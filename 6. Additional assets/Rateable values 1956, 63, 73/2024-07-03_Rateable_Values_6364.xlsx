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treforcities.sharepoint.com/sites/CentreForCities3/Shared Documents/Research/Housing/History of Planning 2/Data/Input/Rateable values/Rateable Values 1933-1973, selected years/Data entered RVs 1933 1973/"/>
    </mc:Choice>
  </mc:AlternateContent>
  <xr:revisionPtr revIDLastSave="2552" documentId="8_{934A20B4-80ED-476C-94C6-0078CCF626EF}" xr6:coauthVersionLast="47" xr6:coauthVersionMax="47" xr10:uidLastSave="{54D21436-518A-4335-9BF5-ABFCC2DCB0C7}"/>
  <bookViews>
    <workbookView xWindow="-105" yWindow="0" windowWidth="26010" windowHeight="20985" tabRatio="702" xr2:uid="{00000000-000D-0000-FFFF-FFFF00000000}"/>
  </bookViews>
  <sheets>
    <sheet name="Poundage_63-64_London_62" sheetId="4" r:id="rId1"/>
    <sheet name="Poundage_63-64_County_Boroug_62" sheetId="5" r:id="rId2"/>
    <sheet name="1963-64 PI Table 6(III)" sheetId="6" r:id="rId3"/>
    <sheet name="RVs_Cty_62_Checked" sheetId="1" r:id="rId4"/>
    <sheet name="RVs_Districts_62_Checked" sheetId="2" r:id="rId5"/>
    <sheet name="Lookup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2" l="1"/>
  <c r="U2" i="2" l="1"/>
  <c r="T33" i="2"/>
  <c r="Z3" i="2" l="1"/>
  <c r="Z4" i="2"/>
  <c r="Z5" i="2"/>
  <c r="Z6" i="2"/>
  <c r="Z7" i="2"/>
  <c r="Z8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Y1520" i="2" l="1"/>
  <c r="X1520" i="2"/>
  <c r="Y1519" i="2"/>
  <c r="X1519" i="2"/>
  <c r="Y1518" i="2"/>
  <c r="X1518" i="2"/>
  <c r="Y1517" i="2"/>
  <c r="X1517" i="2"/>
  <c r="Y1516" i="2"/>
  <c r="X1516" i="2"/>
  <c r="Y1515" i="2"/>
  <c r="X1515" i="2"/>
  <c r="Y1514" i="2"/>
  <c r="X1514" i="2"/>
  <c r="Y1513" i="2"/>
  <c r="X1513" i="2"/>
  <c r="Y1512" i="2"/>
  <c r="X1512" i="2"/>
  <c r="Y1511" i="2"/>
  <c r="X1511" i="2"/>
  <c r="Y1510" i="2"/>
  <c r="X1510" i="2"/>
  <c r="Y1509" i="2"/>
  <c r="X1509" i="2"/>
  <c r="Y1508" i="2"/>
  <c r="X1508" i="2"/>
  <c r="Y1507" i="2"/>
  <c r="X1507" i="2"/>
  <c r="Y1506" i="2"/>
  <c r="X1506" i="2"/>
  <c r="Y1505" i="2"/>
  <c r="X1505" i="2"/>
  <c r="Y1504" i="2"/>
  <c r="X1504" i="2"/>
  <c r="Y1503" i="2"/>
  <c r="X1503" i="2"/>
  <c r="Y1502" i="2"/>
  <c r="X1502" i="2"/>
  <c r="Y1501" i="2"/>
  <c r="X1501" i="2"/>
  <c r="Y1500" i="2"/>
  <c r="X1500" i="2"/>
  <c r="Y1499" i="2"/>
  <c r="X1499" i="2"/>
  <c r="Y1498" i="2"/>
  <c r="X1498" i="2"/>
  <c r="Y1497" i="2"/>
  <c r="X1497" i="2"/>
  <c r="Y1496" i="2"/>
  <c r="X1496" i="2"/>
  <c r="Y1495" i="2"/>
  <c r="X1495" i="2"/>
  <c r="Y1494" i="2"/>
  <c r="X1494" i="2"/>
  <c r="Y1493" i="2"/>
  <c r="X1493" i="2"/>
  <c r="Y1492" i="2"/>
  <c r="X1492" i="2"/>
  <c r="Y1491" i="2"/>
  <c r="X1491" i="2"/>
  <c r="Y1489" i="2"/>
  <c r="X1489" i="2"/>
  <c r="Y1488" i="2"/>
  <c r="X1488" i="2"/>
  <c r="Y1487" i="2"/>
  <c r="X1487" i="2"/>
  <c r="Y1486" i="2"/>
  <c r="X1486" i="2"/>
  <c r="Y1485" i="2"/>
  <c r="X1485" i="2"/>
  <c r="Y1484" i="2"/>
  <c r="X1484" i="2"/>
  <c r="Y1481" i="2"/>
  <c r="X1481" i="2"/>
  <c r="Y1480" i="2"/>
  <c r="X1480" i="2"/>
  <c r="Y1479" i="2"/>
  <c r="X1479" i="2"/>
  <c r="Y1478" i="2"/>
  <c r="X1478" i="2"/>
  <c r="Y1477" i="2"/>
  <c r="X1477" i="2"/>
  <c r="Y1476" i="2"/>
  <c r="X1476" i="2"/>
  <c r="Y1475" i="2"/>
  <c r="X1475" i="2"/>
  <c r="Y1474" i="2"/>
  <c r="X1474" i="2"/>
  <c r="Y1473" i="2"/>
  <c r="X1473" i="2"/>
  <c r="Y1472" i="2"/>
  <c r="X1472" i="2"/>
  <c r="Y1471" i="2"/>
  <c r="X1471" i="2"/>
  <c r="Y1470" i="2"/>
  <c r="X1470" i="2"/>
  <c r="Y1469" i="2"/>
  <c r="X1469" i="2"/>
  <c r="Y1468" i="2"/>
  <c r="X1468" i="2"/>
  <c r="Y1467" i="2"/>
  <c r="X1467" i="2"/>
  <c r="Y1466" i="2"/>
  <c r="X1466" i="2"/>
  <c r="Y1465" i="2"/>
  <c r="X1465" i="2"/>
  <c r="Y1464" i="2"/>
  <c r="X1464" i="2"/>
  <c r="Y1463" i="2"/>
  <c r="X1463" i="2"/>
  <c r="Y1462" i="2"/>
  <c r="X1462" i="2"/>
  <c r="Y1461" i="2"/>
  <c r="X1461" i="2"/>
  <c r="Y1460" i="2"/>
  <c r="X1460" i="2"/>
  <c r="Y1459" i="2"/>
  <c r="X1459" i="2"/>
  <c r="Y1458" i="2"/>
  <c r="X1458" i="2"/>
  <c r="Y1457" i="2"/>
  <c r="X1457" i="2"/>
  <c r="Y1456" i="2"/>
  <c r="X1456" i="2"/>
  <c r="Y1455" i="2"/>
  <c r="X1455" i="2"/>
  <c r="Y1454" i="2"/>
  <c r="X1454" i="2"/>
  <c r="Y1453" i="2"/>
  <c r="X1453" i="2"/>
  <c r="Y1452" i="2"/>
  <c r="X1452" i="2"/>
  <c r="Y1451" i="2"/>
  <c r="X1451" i="2"/>
  <c r="Y1450" i="2"/>
  <c r="X1450" i="2"/>
  <c r="Y1449" i="2"/>
  <c r="X1449" i="2"/>
  <c r="Y1448" i="2"/>
  <c r="X1448" i="2"/>
  <c r="Y1447" i="2"/>
  <c r="X1447" i="2"/>
  <c r="Y1446" i="2"/>
  <c r="X1446" i="2"/>
  <c r="Y1445" i="2"/>
  <c r="X1445" i="2"/>
  <c r="Y1444" i="2"/>
  <c r="X1444" i="2"/>
  <c r="Y1443" i="2"/>
  <c r="X1443" i="2"/>
  <c r="Y1442" i="2"/>
  <c r="X1442" i="2"/>
  <c r="Y1441" i="2"/>
  <c r="X1441" i="2"/>
  <c r="Y1440" i="2"/>
  <c r="X1440" i="2"/>
  <c r="Y1439" i="2"/>
  <c r="X1439" i="2"/>
  <c r="Y1438" i="2"/>
  <c r="X1438" i="2"/>
  <c r="Y1437" i="2"/>
  <c r="X1437" i="2"/>
  <c r="Y1436" i="2"/>
  <c r="X1436" i="2"/>
  <c r="Y1435" i="2"/>
  <c r="X1435" i="2"/>
  <c r="Y1434" i="2"/>
  <c r="X1434" i="2"/>
  <c r="Y1433" i="2"/>
  <c r="X1433" i="2"/>
  <c r="Y1432" i="2"/>
  <c r="X1432" i="2"/>
  <c r="Y1431" i="2"/>
  <c r="X1431" i="2"/>
  <c r="Y1430" i="2"/>
  <c r="X1430" i="2"/>
  <c r="Y1429" i="2"/>
  <c r="X1429" i="2"/>
  <c r="Y1428" i="2"/>
  <c r="X1428" i="2"/>
  <c r="Y1427" i="2"/>
  <c r="X1427" i="2"/>
  <c r="Y1426" i="2"/>
  <c r="X1426" i="2"/>
  <c r="Y1425" i="2"/>
  <c r="X1425" i="2"/>
  <c r="Y1424" i="2"/>
  <c r="X1424" i="2"/>
  <c r="Y1423" i="2"/>
  <c r="X1423" i="2"/>
  <c r="Y1422" i="2"/>
  <c r="X1422" i="2"/>
  <c r="Y1421" i="2"/>
  <c r="X1421" i="2"/>
  <c r="Y1420" i="2"/>
  <c r="X1420" i="2"/>
  <c r="Y1419" i="2"/>
  <c r="X1419" i="2"/>
  <c r="Y1418" i="2"/>
  <c r="X1418" i="2"/>
  <c r="Y1417" i="2"/>
  <c r="X1417" i="2"/>
  <c r="Y1416" i="2"/>
  <c r="X1416" i="2"/>
  <c r="Y1415" i="2"/>
  <c r="X1415" i="2"/>
  <c r="Y1414" i="2"/>
  <c r="X1414" i="2"/>
  <c r="Y1413" i="2"/>
  <c r="X1413" i="2"/>
  <c r="Y1412" i="2"/>
  <c r="X1412" i="2"/>
  <c r="Y1411" i="2"/>
  <c r="X1411" i="2"/>
  <c r="Y1410" i="2"/>
  <c r="X1410" i="2"/>
  <c r="Y1409" i="2"/>
  <c r="X1409" i="2"/>
  <c r="Y1408" i="2"/>
  <c r="X1408" i="2"/>
  <c r="Y1407" i="2"/>
  <c r="X1407" i="2"/>
  <c r="Y1406" i="2"/>
  <c r="X1406" i="2"/>
  <c r="Y1405" i="2"/>
  <c r="X1405" i="2"/>
  <c r="Y1404" i="2"/>
  <c r="X1404" i="2"/>
  <c r="Y1403" i="2"/>
  <c r="X1403" i="2"/>
  <c r="Y1402" i="2"/>
  <c r="X1402" i="2"/>
  <c r="Y1401" i="2"/>
  <c r="X1401" i="2"/>
  <c r="Y1400" i="2"/>
  <c r="X1400" i="2"/>
  <c r="Y1399" i="2"/>
  <c r="X1399" i="2"/>
  <c r="Y1398" i="2"/>
  <c r="X1398" i="2"/>
  <c r="Y1397" i="2"/>
  <c r="X1397" i="2"/>
  <c r="Y1396" i="2"/>
  <c r="X1396" i="2"/>
  <c r="Y1395" i="2"/>
  <c r="X1395" i="2"/>
  <c r="Y1394" i="2"/>
  <c r="X1394" i="2"/>
  <c r="Y1393" i="2"/>
  <c r="X1393" i="2"/>
  <c r="Y1392" i="2"/>
  <c r="X1392" i="2"/>
  <c r="Y1391" i="2"/>
  <c r="X1391" i="2"/>
  <c r="Y1390" i="2"/>
  <c r="X1390" i="2"/>
  <c r="Y1389" i="2"/>
  <c r="X1389" i="2"/>
  <c r="Y1388" i="2"/>
  <c r="X1388" i="2"/>
  <c r="Y1387" i="2"/>
  <c r="X1387" i="2"/>
  <c r="Y1386" i="2"/>
  <c r="X1386" i="2"/>
  <c r="Y1385" i="2"/>
  <c r="X1385" i="2"/>
  <c r="Y1384" i="2"/>
  <c r="X1384" i="2"/>
  <c r="Y1383" i="2"/>
  <c r="X1383" i="2"/>
  <c r="Y1382" i="2"/>
  <c r="X1382" i="2"/>
  <c r="Y1381" i="2"/>
  <c r="X1381" i="2"/>
  <c r="Y1380" i="2"/>
  <c r="X1380" i="2"/>
  <c r="Y1379" i="2"/>
  <c r="X1379" i="2"/>
  <c r="Y1378" i="2"/>
  <c r="X1378" i="2"/>
  <c r="Y1377" i="2"/>
  <c r="X1377" i="2"/>
  <c r="Y1376" i="2"/>
  <c r="X1376" i="2"/>
  <c r="Y1375" i="2"/>
  <c r="X1375" i="2"/>
  <c r="Y1374" i="2"/>
  <c r="X1374" i="2"/>
  <c r="Y1373" i="2"/>
  <c r="X1373" i="2"/>
  <c r="Y1372" i="2"/>
  <c r="X1372" i="2"/>
  <c r="Y1371" i="2"/>
  <c r="X1371" i="2"/>
  <c r="Y1370" i="2"/>
  <c r="X1370" i="2"/>
  <c r="Y1369" i="2"/>
  <c r="X1369" i="2"/>
  <c r="Y1368" i="2"/>
  <c r="X1368" i="2"/>
  <c r="Y1367" i="2"/>
  <c r="X1367" i="2"/>
  <c r="Y1366" i="2"/>
  <c r="X1366" i="2"/>
  <c r="Y1365" i="2"/>
  <c r="X1365" i="2"/>
  <c r="Y1364" i="2"/>
  <c r="X1364" i="2"/>
  <c r="Y1363" i="2"/>
  <c r="X1363" i="2"/>
  <c r="Y1362" i="2"/>
  <c r="X1362" i="2"/>
  <c r="Y1361" i="2"/>
  <c r="X1361" i="2"/>
  <c r="Y1360" i="2"/>
  <c r="X1360" i="2"/>
  <c r="Y1359" i="2"/>
  <c r="X1359" i="2"/>
  <c r="Y1358" i="2"/>
  <c r="X1358" i="2"/>
  <c r="Y1357" i="2"/>
  <c r="X1357" i="2"/>
  <c r="Y1356" i="2"/>
  <c r="X1356" i="2"/>
  <c r="Y1355" i="2"/>
  <c r="X1355" i="2"/>
  <c r="Y1354" i="2"/>
  <c r="X1354" i="2"/>
  <c r="Y1353" i="2"/>
  <c r="X1353" i="2"/>
  <c r="Y1352" i="2"/>
  <c r="X1352" i="2"/>
  <c r="Y1351" i="2"/>
  <c r="X1351" i="2"/>
  <c r="Y1350" i="2"/>
  <c r="X1350" i="2"/>
  <c r="Y1349" i="2"/>
  <c r="X1349" i="2"/>
  <c r="Y1348" i="2"/>
  <c r="X1348" i="2"/>
  <c r="Y1347" i="2"/>
  <c r="X1347" i="2"/>
  <c r="Y1346" i="2"/>
  <c r="X1346" i="2"/>
  <c r="Y1345" i="2"/>
  <c r="X1345" i="2"/>
  <c r="Y1344" i="2"/>
  <c r="X1344" i="2"/>
  <c r="Y1343" i="2"/>
  <c r="X1343" i="2"/>
  <c r="Y1342" i="2"/>
  <c r="X1342" i="2"/>
  <c r="Y1341" i="2"/>
  <c r="X1341" i="2"/>
  <c r="Y1340" i="2"/>
  <c r="X1340" i="2"/>
  <c r="Y1339" i="2"/>
  <c r="X1339" i="2"/>
  <c r="Y1338" i="2"/>
  <c r="X1338" i="2"/>
  <c r="Y1337" i="2"/>
  <c r="X1337" i="2"/>
  <c r="Y1336" i="2"/>
  <c r="X1336" i="2"/>
  <c r="Y1335" i="2"/>
  <c r="X1335" i="2"/>
  <c r="Y1334" i="2"/>
  <c r="X1334" i="2"/>
  <c r="Y1333" i="2"/>
  <c r="X1333" i="2"/>
  <c r="Y1332" i="2"/>
  <c r="X1332" i="2"/>
  <c r="Y1331" i="2"/>
  <c r="X1331" i="2"/>
  <c r="Y1330" i="2"/>
  <c r="X1330" i="2"/>
  <c r="Y1329" i="2"/>
  <c r="X1329" i="2"/>
  <c r="Y1328" i="2"/>
  <c r="X1328" i="2"/>
  <c r="Y1327" i="2"/>
  <c r="X1327" i="2"/>
  <c r="Y1326" i="2"/>
  <c r="X1326" i="2"/>
  <c r="Y1325" i="2"/>
  <c r="X1325" i="2"/>
  <c r="Y1324" i="2"/>
  <c r="X1324" i="2"/>
  <c r="Y1323" i="2"/>
  <c r="X1323" i="2"/>
  <c r="Y1322" i="2"/>
  <c r="X1322" i="2"/>
  <c r="Y1321" i="2"/>
  <c r="X1321" i="2"/>
  <c r="Y1320" i="2"/>
  <c r="X1320" i="2"/>
  <c r="Y1319" i="2"/>
  <c r="X1319" i="2"/>
  <c r="Y1318" i="2"/>
  <c r="X1318" i="2"/>
  <c r="Y1317" i="2"/>
  <c r="X1317" i="2"/>
  <c r="Y1316" i="2"/>
  <c r="X1316" i="2"/>
  <c r="Y1315" i="2"/>
  <c r="X1315" i="2"/>
  <c r="Y1314" i="2"/>
  <c r="X1314" i="2"/>
  <c r="Y1313" i="2"/>
  <c r="X1313" i="2"/>
  <c r="Y1312" i="2"/>
  <c r="X1312" i="2"/>
  <c r="Y1311" i="2"/>
  <c r="X1311" i="2"/>
  <c r="Y1310" i="2"/>
  <c r="X1310" i="2"/>
  <c r="Y1309" i="2"/>
  <c r="X1309" i="2"/>
  <c r="Y1308" i="2"/>
  <c r="X1308" i="2"/>
  <c r="Y1307" i="2"/>
  <c r="X1307" i="2"/>
  <c r="Y1306" i="2"/>
  <c r="X1306" i="2"/>
  <c r="Y1305" i="2"/>
  <c r="X1305" i="2"/>
  <c r="Y1304" i="2"/>
  <c r="X1304" i="2"/>
  <c r="Y1303" i="2"/>
  <c r="X1303" i="2"/>
  <c r="Y1302" i="2"/>
  <c r="X1302" i="2"/>
  <c r="Y1301" i="2"/>
  <c r="X1301" i="2"/>
  <c r="Y1300" i="2"/>
  <c r="X1300" i="2"/>
  <c r="Y1299" i="2"/>
  <c r="X1299" i="2"/>
  <c r="Y1298" i="2"/>
  <c r="X1298" i="2"/>
  <c r="Y1297" i="2"/>
  <c r="X1297" i="2"/>
  <c r="Y1296" i="2"/>
  <c r="X1296" i="2"/>
  <c r="Y1295" i="2"/>
  <c r="X1295" i="2"/>
  <c r="Y1294" i="2"/>
  <c r="X1294" i="2"/>
  <c r="Y1293" i="2"/>
  <c r="X1293" i="2"/>
  <c r="Y1292" i="2"/>
  <c r="X1292" i="2"/>
  <c r="Y1291" i="2"/>
  <c r="X1291" i="2"/>
  <c r="Y1290" i="2"/>
  <c r="X1290" i="2"/>
  <c r="Y1289" i="2"/>
  <c r="X1289" i="2"/>
  <c r="Y1288" i="2"/>
  <c r="X1288" i="2"/>
  <c r="Y1287" i="2"/>
  <c r="X1287" i="2"/>
  <c r="Y1286" i="2"/>
  <c r="X1286" i="2"/>
  <c r="Y1285" i="2"/>
  <c r="X1285" i="2"/>
  <c r="Y1284" i="2"/>
  <c r="X1284" i="2"/>
  <c r="Y1283" i="2"/>
  <c r="X1283" i="2"/>
  <c r="Y1282" i="2"/>
  <c r="X1282" i="2"/>
  <c r="Y1281" i="2"/>
  <c r="X1281" i="2"/>
  <c r="Y1280" i="2"/>
  <c r="X1280" i="2"/>
  <c r="Y1279" i="2"/>
  <c r="X1279" i="2"/>
  <c r="Y1278" i="2"/>
  <c r="X1278" i="2"/>
  <c r="Y1277" i="2"/>
  <c r="X1277" i="2"/>
  <c r="Y1276" i="2"/>
  <c r="X1276" i="2"/>
  <c r="Y1275" i="2"/>
  <c r="X1275" i="2"/>
  <c r="Y1274" i="2"/>
  <c r="X1274" i="2"/>
  <c r="Y1273" i="2"/>
  <c r="X1273" i="2"/>
  <c r="Y1272" i="2"/>
  <c r="X1272" i="2"/>
  <c r="Y1271" i="2"/>
  <c r="X1271" i="2"/>
  <c r="Y1270" i="2"/>
  <c r="X1270" i="2"/>
  <c r="Y1269" i="2"/>
  <c r="X1269" i="2"/>
  <c r="Y1268" i="2"/>
  <c r="X1268" i="2"/>
  <c r="Y1267" i="2"/>
  <c r="X1267" i="2"/>
  <c r="Y1266" i="2"/>
  <c r="X1266" i="2"/>
  <c r="Y1265" i="2"/>
  <c r="X1265" i="2"/>
  <c r="Y1264" i="2"/>
  <c r="X1264" i="2"/>
  <c r="Y1263" i="2"/>
  <c r="X1263" i="2"/>
  <c r="Y1262" i="2"/>
  <c r="X1262" i="2"/>
  <c r="Y1261" i="2"/>
  <c r="X1261" i="2"/>
  <c r="Y1260" i="2"/>
  <c r="X1260" i="2"/>
  <c r="Y1259" i="2"/>
  <c r="X1259" i="2"/>
  <c r="Y1258" i="2"/>
  <c r="X1258" i="2"/>
  <c r="Y1257" i="2"/>
  <c r="X1257" i="2"/>
  <c r="Y1256" i="2"/>
  <c r="X1256" i="2"/>
  <c r="Y1255" i="2"/>
  <c r="X1255" i="2"/>
  <c r="Y1254" i="2"/>
  <c r="X1254" i="2"/>
  <c r="Y1253" i="2"/>
  <c r="X1253" i="2"/>
  <c r="Y1252" i="2"/>
  <c r="X1252" i="2"/>
  <c r="Y1251" i="2"/>
  <c r="X1251" i="2"/>
  <c r="Y1250" i="2"/>
  <c r="X1250" i="2"/>
  <c r="Y1249" i="2"/>
  <c r="X1249" i="2"/>
  <c r="Y1248" i="2"/>
  <c r="X1248" i="2"/>
  <c r="Y1247" i="2"/>
  <c r="X1247" i="2"/>
  <c r="Y1246" i="2"/>
  <c r="X1246" i="2"/>
  <c r="Y1245" i="2"/>
  <c r="X1245" i="2"/>
  <c r="Y1244" i="2"/>
  <c r="X1244" i="2"/>
  <c r="Y1243" i="2"/>
  <c r="X1243" i="2"/>
  <c r="Y1242" i="2"/>
  <c r="X1242" i="2"/>
  <c r="Y1241" i="2"/>
  <c r="X1241" i="2"/>
  <c r="Y1240" i="2"/>
  <c r="X1240" i="2"/>
  <c r="Y1239" i="2"/>
  <c r="X1239" i="2"/>
  <c r="Y1238" i="2"/>
  <c r="X1238" i="2"/>
  <c r="Y1237" i="2"/>
  <c r="X1237" i="2"/>
  <c r="Y1236" i="2"/>
  <c r="X1236" i="2"/>
  <c r="Y1235" i="2"/>
  <c r="X1235" i="2"/>
  <c r="Y1234" i="2"/>
  <c r="X1234" i="2"/>
  <c r="Y1233" i="2"/>
  <c r="X1233" i="2"/>
  <c r="Y1232" i="2"/>
  <c r="X1232" i="2"/>
  <c r="Y1231" i="2"/>
  <c r="X1231" i="2"/>
  <c r="Y1230" i="2"/>
  <c r="X1230" i="2"/>
  <c r="Y1229" i="2"/>
  <c r="X1229" i="2"/>
  <c r="Y1228" i="2"/>
  <c r="X1228" i="2"/>
  <c r="Y1227" i="2"/>
  <c r="X1227" i="2"/>
  <c r="Y1226" i="2"/>
  <c r="X1226" i="2"/>
  <c r="Y1225" i="2"/>
  <c r="X1225" i="2"/>
  <c r="Y1224" i="2"/>
  <c r="X1224" i="2"/>
  <c r="Y1223" i="2"/>
  <c r="X1223" i="2"/>
  <c r="Y1222" i="2"/>
  <c r="X1222" i="2"/>
  <c r="Y1221" i="2"/>
  <c r="X1221" i="2"/>
  <c r="Y1220" i="2"/>
  <c r="X1220" i="2"/>
  <c r="Y1219" i="2"/>
  <c r="X1219" i="2"/>
  <c r="Y1218" i="2"/>
  <c r="X1218" i="2"/>
  <c r="Y1217" i="2"/>
  <c r="X1217" i="2"/>
  <c r="Y1216" i="2"/>
  <c r="X1216" i="2"/>
  <c r="Y1215" i="2"/>
  <c r="X1215" i="2"/>
  <c r="Y1214" i="2"/>
  <c r="X1214" i="2"/>
  <c r="Y1213" i="2"/>
  <c r="X1213" i="2"/>
  <c r="Y1212" i="2"/>
  <c r="X1212" i="2"/>
  <c r="Y1211" i="2"/>
  <c r="X1211" i="2"/>
  <c r="Y1210" i="2"/>
  <c r="X1210" i="2"/>
  <c r="Y1209" i="2"/>
  <c r="X1209" i="2"/>
  <c r="Y1208" i="2"/>
  <c r="X1208" i="2"/>
  <c r="Y1207" i="2"/>
  <c r="X1207" i="2"/>
  <c r="Y1206" i="2"/>
  <c r="X1206" i="2"/>
  <c r="Y1205" i="2"/>
  <c r="X1205" i="2"/>
  <c r="Y1204" i="2"/>
  <c r="X1204" i="2"/>
  <c r="Y1203" i="2"/>
  <c r="X1203" i="2"/>
  <c r="Y1202" i="2"/>
  <c r="X1202" i="2"/>
  <c r="Y1201" i="2"/>
  <c r="X1201" i="2"/>
  <c r="Y1200" i="2"/>
  <c r="X1200" i="2"/>
  <c r="Y1199" i="2"/>
  <c r="X1199" i="2"/>
  <c r="Y1198" i="2"/>
  <c r="X1198" i="2"/>
  <c r="Y1197" i="2"/>
  <c r="X1197" i="2"/>
  <c r="Y1196" i="2"/>
  <c r="X1196" i="2"/>
  <c r="Y1195" i="2"/>
  <c r="X1195" i="2"/>
  <c r="Y1194" i="2"/>
  <c r="X1194" i="2"/>
  <c r="Y1193" i="2"/>
  <c r="X1193" i="2"/>
  <c r="Y1192" i="2"/>
  <c r="X1192" i="2"/>
  <c r="Y1191" i="2"/>
  <c r="X1191" i="2"/>
  <c r="Y1190" i="2"/>
  <c r="X1190" i="2"/>
  <c r="Y1189" i="2"/>
  <c r="X1189" i="2"/>
  <c r="Y1188" i="2"/>
  <c r="X1188" i="2"/>
  <c r="Y1187" i="2"/>
  <c r="X1187" i="2"/>
  <c r="Y1186" i="2"/>
  <c r="X1186" i="2"/>
  <c r="Y1185" i="2"/>
  <c r="X1185" i="2"/>
  <c r="Y1184" i="2"/>
  <c r="X1184" i="2"/>
  <c r="Y1183" i="2"/>
  <c r="X1183" i="2"/>
  <c r="Y1182" i="2"/>
  <c r="X1182" i="2"/>
  <c r="Y1181" i="2"/>
  <c r="X1181" i="2"/>
  <c r="Y1180" i="2"/>
  <c r="X1180" i="2"/>
  <c r="Y1179" i="2"/>
  <c r="X1179" i="2"/>
  <c r="Y1178" i="2"/>
  <c r="X1178" i="2"/>
  <c r="Y1177" i="2"/>
  <c r="X1177" i="2"/>
  <c r="Y1176" i="2"/>
  <c r="X1176" i="2"/>
  <c r="Y1175" i="2"/>
  <c r="X1175" i="2"/>
  <c r="Y1174" i="2"/>
  <c r="X1174" i="2"/>
  <c r="Y1173" i="2"/>
  <c r="X1173" i="2"/>
  <c r="Y1172" i="2"/>
  <c r="X1172" i="2"/>
  <c r="Y1171" i="2"/>
  <c r="X1171" i="2"/>
  <c r="Y1170" i="2"/>
  <c r="X1170" i="2"/>
  <c r="Y1169" i="2"/>
  <c r="X1169" i="2"/>
  <c r="Y1168" i="2"/>
  <c r="X1168" i="2"/>
  <c r="Y1167" i="2"/>
  <c r="X1167" i="2"/>
  <c r="Y1166" i="2"/>
  <c r="X1166" i="2"/>
  <c r="Y1165" i="2"/>
  <c r="X1165" i="2"/>
  <c r="Y1164" i="2"/>
  <c r="X1164" i="2"/>
  <c r="Y1163" i="2"/>
  <c r="X1163" i="2"/>
  <c r="Y1162" i="2"/>
  <c r="X1162" i="2"/>
  <c r="Y1161" i="2"/>
  <c r="X1161" i="2"/>
  <c r="Y1160" i="2"/>
  <c r="X1160" i="2"/>
  <c r="Y1159" i="2"/>
  <c r="X1159" i="2"/>
  <c r="Y1158" i="2"/>
  <c r="X1158" i="2"/>
  <c r="Y1157" i="2"/>
  <c r="X1157" i="2"/>
  <c r="Y1156" i="2"/>
  <c r="X1156" i="2"/>
  <c r="Y1155" i="2"/>
  <c r="X1155" i="2"/>
  <c r="Y1154" i="2"/>
  <c r="X1154" i="2"/>
  <c r="Y1153" i="2"/>
  <c r="X1153" i="2"/>
  <c r="Y1152" i="2"/>
  <c r="X1152" i="2"/>
  <c r="Y1151" i="2"/>
  <c r="X1151" i="2"/>
  <c r="Y1150" i="2"/>
  <c r="X1150" i="2"/>
  <c r="Y1149" i="2"/>
  <c r="X1149" i="2"/>
  <c r="Y1148" i="2"/>
  <c r="X1148" i="2"/>
  <c r="Y1147" i="2"/>
  <c r="X1147" i="2"/>
  <c r="Y1146" i="2"/>
  <c r="X1146" i="2"/>
  <c r="Y1145" i="2"/>
  <c r="X1145" i="2"/>
  <c r="Y1144" i="2"/>
  <c r="X1144" i="2"/>
  <c r="Y1143" i="2"/>
  <c r="X1143" i="2"/>
  <c r="Y1142" i="2"/>
  <c r="X1142" i="2"/>
  <c r="Y1141" i="2"/>
  <c r="X1141" i="2"/>
  <c r="Y1140" i="2"/>
  <c r="X1140" i="2"/>
  <c r="Y1139" i="2"/>
  <c r="X1139" i="2"/>
  <c r="Y1138" i="2"/>
  <c r="X1138" i="2"/>
  <c r="Y1137" i="2"/>
  <c r="X1137" i="2"/>
  <c r="Y1136" i="2"/>
  <c r="X1136" i="2"/>
  <c r="Y1135" i="2"/>
  <c r="X1135" i="2"/>
  <c r="Y1134" i="2"/>
  <c r="X1134" i="2"/>
  <c r="Y1133" i="2"/>
  <c r="X1133" i="2"/>
  <c r="Y1132" i="2"/>
  <c r="X1132" i="2"/>
  <c r="Y1131" i="2"/>
  <c r="X1131" i="2"/>
  <c r="Y1130" i="2"/>
  <c r="X1130" i="2"/>
  <c r="Y1129" i="2"/>
  <c r="X1129" i="2"/>
  <c r="Y1128" i="2"/>
  <c r="X1128" i="2"/>
  <c r="Y1127" i="2"/>
  <c r="X1127" i="2"/>
  <c r="Y1126" i="2"/>
  <c r="X1126" i="2"/>
  <c r="Y1125" i="2"/>
  <c r="X1125" i="2"/>
  <c r="Y1124" i="2"/>
  <c r="X1124" i="2"/>
  <c r="Y1123" i="2"/>
  <c r="X1123" i="2"/>
  <c r="Y1122" i="2"/>
  <c r="X1122" i="2"/>
  <c r="Y1121" i="2"/>
  <c r="X1121" i="2"/>
  <c r="Y1120" i="2"/>
  <c r="X1120" i="2"/>
  <c r="Y1119" i="2"/>
  <c r="X1119" i="2"/>
  <c r="Y1117" i="2"/>
  <c r="X1117" i="2"/>
  <c r="Y1116" i="2"/>
  <c r="X1116" i="2"/>
  <c r="Y1115" i="2"/>
  <c r="X1115" i="2"/>
  <c r="Y1114" i="2"/>
  <c r="X1114" i="2"/>
  <c r="Y1113" i="2"/>
  <c r="X1113" i="2"/>
  <c r="Y1112" i="2"/>
  <c r="X1112" i="2"/>
  <c r="Y1111" i="2"/>
  <c r="X1111" i="2"/>
  <c r="Y1110" i="2"/>
  <c r="X1110" i="2"/>
  <c r="Y1109" i="2"/>
  <c r="X1109" i="2"/>
  <c r="Y1108" i="2"/>
  <c r="X1108" i="2"/>
  <c r="Y1107" i="2"/>
  <c r="X1107" i="2"/>
  <c r="Y1106" i="2"/>
  <c r="X1106" i="2"/>
  <c r="Y1105" i="2"/>
  <c r="X1105" i="2"/>
  <c r="Y1104" i="2"/>
  <c r="X1104" i="2"/>
  <c r="Y1102" i="2"/>
  <c r="X1102" i="2"/>
  <c r="Y1101" i="2"/>
  <c r="X1101" i="2"/>
  <c r="Y1100" i="2"/>
  <c r="X1100" i="2"/>
  <c r="Y1099" i="2"/>
  <c r="X1099" i="2"/>
  <c r="Y1098" i="2"/>
  <c r="X1098" i="2"/>
  <c r="Y1097" i="2"/>
  <c r="X1097" i="2"/>
  <c r="Y1096" i="2"/>
  <c r="X1096" i="2"/>
  <c r="Y1095" i="2"/>
  <c r="X1095" i="2"/>
  <c r="Y1094" i="2"/>
  <c r="X1094" i="2"/>
  <c r="Y1093" i="2"/>
  <c r="X1093" i="2"/>
  <c r="Y1092" i="2"/>
  <c r="X1092" i="2"/>
  <c r="Y1091" i="2"/>
  <c r="X1091" i="2"/>
  <c r="Y1090" i="2"/>
  <c r="X1090" i="2"/>
  <c r="Y1089" i="2"/>
  <c r="X1089" i="2"/>
  <c r="Y1088" i="2"/>
  <c r="X1088" i="2"/>
  <c r="Y1087" i="2"/>
  <c r="X1087" i="2"/>
  <c r="Y1086" i="2"/>
  <c r="X1086" i="2"/>
  <c r="Y1085" i="2"/>
  <c r="X1085" i="2"/>
  <c r="Y1084" i="2"/>
  <c r="X1084" i="2"/>
  <c r="Y1083" i="2"/>
  <c r="X1083" i="2"/>
  <c r="Y1082" i="2"/>
  <c r="X1082" i="2"/>
  <c r="Y1081" i="2"/>
  <c r="X1081" i="2"/>
  <c r="Y1080" i="2"/>
  <c r="X1080" i="2"/>
  <c r="Y1079" i="2"/>
  <c r="X1079" i="2"/>
  <c r="Y1078" i="2"/>
  <c r="X1078" i="2"/>
  <c r="Y1077" i="2"/>
  <c r="X1077" i="2"/>
  <c r="Y1076" i="2"/>
  <c r="X1076" i="2"/>
  <c r="Y1075" i="2"/>
  <c r="X1075" i="2"/>
  <c r="Y1074" i="2"/>
  <c r="X1074" i="2"/>
  <c r="Y1073" i="2"/>
  <c r="X1073" i="2"/>
  <c r="Y1072" i="2"/>
  <c r="X1072" i="2"/>
  <c r="Y1071" i="2"/>
  <c r="X1071" i="2"/>
  <c r="Y1070" i="2"/>
  <c r="X1070" i="2"/>
  <c r="Y1069" i="2"/>
  <c r="X1069" i="2"/>
  <c r="Y1068" i="2"/>
  <c r="X1068" i="2"/>
  <c r="Y1067" i="2"/>
  <c r="X1067" i="2"/>
  <c r="Y1066" i="2"/>
  <c r="X1066" i="2"/>
  <c r="Y1065" i="2"/>
  <c r="X1065" i="2"/>
  <c r="Y1064" i="2"/>
  <c r="X1064" i="2"/>
  <c r="Y1063" i="2"/>
  <c r="X1063" i="2"/>
  <c r="Y1062" i="2"/>
  <c r="X1062" i="2"/>
  <c r="Y1061" i="2"/>
  <c r="X1061" i="2"/>
  <c r="Y1060" i="2"/>
  <c r="X1060" i="2"/>
  <c r="Y1059" i="2"/>
  <c r="X1059" i="2"/>
  <c r="Y1058" i="2"/>
  <c r="X1058" i="2"/>
  <c r="Y1057" i="2"/>
  <c r="X1057" i="2"/>
  <c r="Y1056" i="2"/>
  <c r="X1056" i="2"/>
  <c r="Y1055" i="2"/>
  <c r="X1055" i="2"/>
  <c r="Y1054" i="2"/>
  <c r="X1054" i="2"/>
  <c r="Y1053" i="2"/>
  <c r="X1053" i="2"/>
  <c r="Y1052" i="2"/>
  <c r="X1052" i="2"/>
  <c r="Y1051" i="2"/>
  <c r="X1051" i="2"/>
  <c r="Y1050" i="2"/>
  <c r="X1050" i="2"/>
  <c r="Y1049" i="2"/>
  <c r="X1049" i="2"/>
  <c r="Y1048" i="2"/>
  <c r="X1048" i="2"/>
  <c r="Y1047" i="2"/>
  <c r="X1047" i="2"/>
  <c r="Y1046" i="2"/>
  <c r="X1046" i="2"/>
  <c r="Y1045" i="2"/>
  <c r="X1045" i="2"/>
  <c r="Y1044" i="2"/>
  <c r="X1044" i="2"/>
  <c r="Y1043" i="2"/>
  <c r="X1043" i="2"/>
  <c r="Y1042" i="2"/>
  <c r="X1042" i="2"/>
  <c r="Y1041" i="2"/>
  <c r="X1041" i="2"/>
  <c r="Y1040" i="2"/>
  <c r="X1040" i="2"/>
  <c r="Y1039" i="2"/>
  <c r="X1039" i="2"/>
  <c r="Y1038" i="2"/>
  <c r="X1038" i="2"/>
  <c r="Y1037" i="2"/>
  <c r="X1037" i="2"/>
  <c r="Y1036" i="2"/>
  <c r="X1036" i="2"/>
  <c r="Y1035" i="2"/>
  <c r="X1035" i="2"/>
  <c r="Y1034" i="2"/>
  <c r="X1034" i="2"/>
  <c r="Y1033" i="2"/>
  <c r="X1033" i="2"/>
  <c r="Y1032" i="2"/>
  <c r="X1032" i="2"/>
  <c r="Y1031" i="2"/>
  <c r="X1031" i="2"/>
  <c r="Y1030" i="2"/>
  <c r="X1030" i="2"/>
  <c r="Y1029" i="2"/>
  <c r="X1029" i="2"/>
  <c r="Y1028" i="2"/>
  <c r="X1028" i="2"/>
  <c r="Y1027" i="2"/>
  <c r="X1027" i="2"/>
  <c r="Y1026" i="2"/>
  <c r="X1026" i="2"/>
  <c r="Y1025" i="2"/>
  <c r="X1025" i="2"/>
  <c r="Y1024" i="2"/>
  <c r="X1024" i="2"/>
  <c r="Y1023" i="2"/>
  <c r="X1023" i="2"/>
  <c r="Y1022" i="2"/>
  <c r="X1022" i="2"/>
  <c r="Y1021" i="2"/>
  <c r="X1021" i="2"/>
  <c r="Y1020" i="2"/>
  <c r="X1020" i="2"/>
  <c r="Y1019" i="2"/>
  <c r="X1019" i="2"/>
  <c r="Y1018" i="2"/>
  <c r="X1018" i="2"/>
  <c r="Y1017" i="2"/>
  <c r="X1017" i="2"/>
  <c r="Y1016" i="2"/>
  <c r="X1016" i="2"/>
  <c r="Y1015" i="2"/>
  <c r="X1015" i="2"/>
  <c r="Y1014" i="2"/>
  <c r="X1014" i="2"/>
  <c r="Y1013" i="2"/>
  <c r="X1013" i="2"/>
  <c r="Y1012" i="2"/>
  <c r="X1012" i="2"/>
  <c r="Y1011" i="2"/>
  <c r="X1011" i="2"/>
  <c r="Y1010" i="2"/>
  <c r="X1010" i="2"/>
  <c r="Y1009" i="2"/>
  <c r="X1009" i="2"/>
  <c r="Y1008" i="2"/>
  <c r="X1008" i="2"/>
  <c r="Y1007" i="2"/>
  <c r="X1007" i="2"/>
  <c r="Y1006" i="2"/>
  <c r="X1006" i="2"/>
  <c r="Y1005" i="2"/>
  <c r="X1005" i="2"/>
  <c r="Y1004" i="2"/>
  <c r="X1004" i="2"/>
  <c r="Y1003" i="2"/>
  <c r="X1003" i="2"/>
  <c r="Y1002" i="2"/>
  <c r="X1002" i="2"/>
  <c r="Y1001" i="2"/>
  <c r="X1001" i="2"/>
  <c r="Y1000" i="2"/>
  <c r="X1000" i="2"/>
  <c r="Y999" i="2"/>
  <c r="X999" i="2"/>
  <c r="Y998" i="2"/>
  <c r="X998" i="2"/>
  <c r="Y997" i="2"/>
  <c r="X997" i="2"/>
  <c r="Y996" i="2"/>
  <c r="X996" i="2"/>
  <c r="Y995" i="2"/>
  <c r="X995" i="2"/>
  <c r="Y994" i="2"/>
  <c r="X994" i="2"/>
  <c r="Y993" i="2"/>
  <c r="X993" i="2"/>
  <c r="Y992" i="2"/>
  <c r="X992" i="2"/>
  <c r="Y991" i="2"/>
  <c r="X991" i="2"/>
  <c r="Y990" i="2"/>
  <c r="X990" i="2"/>
  <c r="Y989" i="2"/>
  <c r="X989" i="2"/>
  <c r="Y988" i="2"/>
  <c r="X988" i="2"/>
  <c r="Y987" i="2"/>
  <c r="X987" i="2"/>
  <c r="Y986" i="2"/>
  <c r="X986" i="2"/>
  <c r="Y985" i="2"/>
  <c r="X985" i="2"/>
  <c r="Y984" i="2"/>
  <c r="X984" i="2"/>
  <c r="Y983" i="2"/>
  <c r="X983" i="2"/>
  <c r="Y982" i="2"/>
  <c r="X982" i="2"/>
  <c r="Y981" i="2"/>
  <c r="X981" i="2"/>
  <c r="Y980" i="2"/>
  <c r="X980" i="2"/>
  <c r="Y979" i="2"/>
  <c r="X979" i="2"/>
  <c r="Y978" i="2"/>
  <c r="X978" i="2"/>
  <c r="Y977" i="2"/>
  <c r="X977" i="2"/>
  <c r="Y976" i="2"/>
  <c r="X976" i="2"/>
  <c r="Y975" i="2"/>
  <c r="X975" i="2"/>
  <c r="Y974" i="2"/>
  <c r="X974" i="2"/>
  <c r="Y973" i="2"/>
  <c r="X973" i="2"/>
  <c r="Y972" i="2"/>
  <c r="X972" i="2"/>
  <c r="Y971" i="2"/>
  <c r="X971" i="2"/>
  <c r="Y970" i="2"/>
  <c r="X970" i="2"/>
  <c r="Y969" i="2"/>
  <c r="X969" i="2"/>
  <c r="Y968" i="2"/>
  <c r="X968" i="2"/>
  <c r="Y967" i="2"/>
  <c r="X967" i="2"/>
  <c r="Y966" i="2"/>
  <c r="X966" i="2"/>
  <c r="Y965" i="2"/>
  <c r="X965" i="2"/>
  <c r="Y964" i="2"/>
  <c r="X964" i="2"/>
  <c r="Y963" i="2"/>
  <c r="X963" i="2"/>
  <c r="Y962" i="2"/>
  <c r="X962" i="2"/>
  <c r="Y961" i="2"/>
  <c r="X961" i="2"/>
  <c r="Y960" i="2"/>
  <c r="X960" i="2"/>
  <c r="Y959" i="2"/>
  <c r="X959" i="2"/>
  <c r="Y958" i="2"/>
  <c r="X958" i="2"/>
  <c r="Y957" i="2"/>
  <c r="X957" i="2"/>
  <c r="Y956" i="2"/>
  <c r="X956" i="2"/>
  <c r="Y955" i="2"/>
  <c r="X955" i="2"/>
  <c r="Y954" i="2"/>
  <c r="X954" i="2"/>
  <c r="Y953" i="2"/>
  <c r="X953" i="2"/>
  <c r="Y952" i="2"/>
  <c r="X952" i="2"/>
  <c r="Y951" i="2"/>
  <c r="X951" i="2"/>
  <c r="Y950" i="2"/>
  <c r="X950" i="2"/>
  <c r="Y949" i="2"/>
  <c r="X949" i="2"/>
  <c r="Y948" i="2"/>
  <c r="X948" i="2"/>
  <c r="Y947" i="2"/>
  <c r="X947" i="2"/>
  <c r="Y946" i="2"/>
  <c r="X946" i="2"/>
  <c r="Y945" i="2"/>
  <c r="X945" i="2"/>
  <c r="Y944" i="2"/>
  <c r="X944" i="2"/>
  <c r="Y943" i="2"/>
  <c r="X943" i="2"/>
  <c r="Y942" i="2"/>
  <c r="X942" i="2"/>
  <c r="Y941" i="2"/>
  <c r="X941" i="2"/>
  <c r="Y940" i="2"/>
  <c r="X940" i="2"/>
  <c r="Y939" i="2"/>
  <c r="X939" i="2"/>
  <c r="Y938" i="2"/>
  <c r="X938" i="2"/>
  <c r="Y937" i="2"/>
  <c r="X937" i="2"/>
  <c r="Y936" i="2"/>
  <c r="X936" i="2"/>
  <c r="Y935" i="2"/>
  <c r="X935" i="2"/>
  <c r="Y934" i="2"/>
  <c r="X934" i="2"/>
  <c r="Y933" i="2"/>
  <c r="X933" i="2"/>
  <c r="Y932" i="2"/>
  <c r="X932" i="2"/>
  <c r="Y931" i="2"/>
  <c r="X931" i="2"/>
  <c r="Y930" i="2"/>
  <c r="X930" i="2"/>
  <c r="Y929" i="2"/>
  <c r="X929" i="2"/>
  <c r="Y928" i="2"/>
  <c r="X928" i="2"/>
  <c r="Y927" i="2"/>
  <c r="X927" i="2"/>
  <c r="Y926" i="2"/>
  <c r="X926" i="2"/>
  <c r="Y925" i="2"/>
  <c r="X925" i="2"/>
  <c r="Y924" i="2"/>
  <c r="X924" i="2"/>
  <c r="Y923" i="2"/>
  <c r="X923" i="2"/>
  <c r="Y922" i="2"/>
  <c r="X922" i="2"/>
  <c r="Y921" i="2"/>
  <c r="X921" i="2"/>
  <c r="Y920" i="2"/>
  <c r="X920" i="2"/>
  <c r="Y919" i="2"/>
  <c r="X919" i="2"/>
  <c r="Y918" i="2"/>
  <c r="X918" i="2"/>
  <c r="Y917" i="2"/>
  <c r="X917" i="2"/>
  <c r="Y916" i="2"/>
  <c r="X916" i="2"/>
  <c r="Y915" i="2"/>
  <c r="X915" i="2"/>
  <c r="Y914" i="2"/>
  <c r="X914" i="2"/>
  <c r="Y913" i="2"/>
  <c r="X913" i="2"/>
  <c r="Y912" i="2"/>
  <c r="X912" i="2"/>
  <c r="Y911" i="2"/>
  <c r="X911" i="2"/>
  <c r="Y910" i="2"/>
  <c r="X910" i="2"/>
  <c r="Y909" i="2"/>
  <c r="X909" i="2"/>
  <c r="Y908" i="2"/>
  <c r="X908" i="2"/>
  <c r="Y907" i="2"/>
  <c r="X907" i="2"/>
  <c r="Y906" i="2"/>
  <c r="X906" i="2"/>
  <c r="Y905" i="2"/>
  <c r="X905" i="2"/>
  <c r="Y904" i="2"/>
  <c r="X904" i="2"/>
  <c r="Y903" i="2"/>
  <c r="X903" i="2"/>
  <c r="Y902" i="2"/>
  <c r="X902" i="2"/>
  <c r="Y901" i="2"/>
  <c r="X901" i="2"/>
  <c r="Y900" i="2"/>
  <c r="X900" i="2"/>
  <c r="Y899" i="2"/>
  <c r="X899" i="2"/>
  <c r="Y898" i="2"/>
  <c r="X898" i="2"/>
  <c r="Y897" i="2"/>
  <c r="X897" i="2"/>
  <c r="Y896" i="2"/>
  <c r="X896" i="2"/>
  <c r="Y895" i="2"/>
  <c r="X895" i="2"/>
  <c r="Y894" i="2"/>
  <c r="X894" i="2"/>
  <c r="Y893" i="2"/>
  <c r="X893" i="2"/>
  <c r="Y892" i="2"/>
  <c r="X892" i="2"/>
  <c r="Y891" i="2"/>
  <c r="X891" i="2"/>
  <c r="Y890" i="2"/>
  <c r="X890" i="2"/>
  <c r="Y889" i="2"/>
  <c r="X889" i="2"/>
  <c r="Y888" i="2"/>
  <c r="X888" i="2"/>
  <c r="Y887" i="2"/>
  <c r="X887" i="2"/>
  <c r="Y886" i="2"/>
  <c r="X886" i="2"/>
  <c r="Y885" i="2"/>
  <c r="X885" i="2"/>
  <c r="Y884" i="2"/>
  <c r="X884" i="2"/>
  <c r="Y883" i="2"/>
  <c r="X883" i="2"/>
  <c r="Y882" i="2"/>
  <c r="X882" i="2"/>
  <c r="Y881" i="2"/>
  <c r="X881" i="2"/>
  <c r="Y880" i="2"/>
  <c r="X880" i="2"/>
  <c r="Y879" i="2"/>
  <c r="X879" i="2"/>
  <c r="Y878" i="2"/>
  <c r="X878" i="2"/>
  <c r="Y877" i="2"/>
  <c r="X877" i="2"/>
  <c r="Y876" i="2"/>
  <c r="X876" i="2"/>
  <c r="Y875" i="2"/>
  <c r="X875" i="2"/>
  <c r="Y874" i="2"/>
  <c r="X874" i="2"/>
  <c r="Y873" i="2"/>
  <c r="X873" i="2"/>
  <c r="Y872" i="2"/>
  <c r="X872" i="2"/>
  <c r="Y871" i="2"/>
  <c r="X871" i="2"/>
  <c r="Y870" i="2"/>
  <c r="X870" i="2"/>
  <c r="Y869" i="2"/>
  <c r="X869" i="2"/>
  <c r="Y868" i="2"/>
  <c r="X868" i="2"/>
  <c r="Y867" i="2"/>
  <c r="X867" i="2"/>
  <c r="Y866" i="2"/>
  <c r="X866" i="2"/>
  <c r="Y865" i="2"/>
  <c r="X865" i="2"/>
  <c r="Y864" i="2"/>
  <c r="X864" i="2"/>
  <c r="Y863" i="2"/>
  <c r="X863" i="2"/>
  <c r="Y862" i="2"/>
  <c r="X862" i="2"/>
  <c r="Y861" i="2"/>
  <c r="X861" i="2"/>
  <c r="Y860" i="2"/>
  <c r="X860" i="2"/>
  <c r="Y859" i="2"/>
  <c r="X859" i="2"/>
  <c r="Y858" i="2"/>
  <c r="X858" i="2"/>
  <c r="Y857" i="2"/>
  <c r="X857" i="2"/>
  <c r="Y856" i="2"/>
  <c r="X856" i="2"/>
  <c r="Y855" i="2"/>
  <c r="X855" i="2"/>
  <c r="Y854" i="2"/>
  <c r="X854" i="2"/>
  <c r="Y853" i="2"/>
  <c r="X853" i="2"/>
  <c r="Y852" i="2"/>
  <c r="X852" i="2"/>
  <c r="Y851" i="2"/>
  <c r="X851" i="2"/>
  <c r="Y850" i="2"/>
  <c r="X850" i="2"/>
  <c r="Y849" i="2"/>
  <c r="X849" i="2"/>
  <c r="Y848" i="2"/>
  <c r="X848" i="2"/>
  <c r="Y847" i="2"/>
  <c r="X847" i="2"/>
  <c r="Y846" i="2"/>
  <c r="X846" i="2"/>
  <c r="Y845" i="2"/>
  <c r="X845" i="2"/>
  <c r="Y844" i="2"/>
  <c r="X844" i="2"/>
  <c r="Y843" i="2"/>
  <c r="X843" i="2"/>
  <c r="Y842" i="2"/>
  <c r="X842" i="2"/>
  <c r="Y841" i="2"/>
  <c r="X841" i="2"/>
  <c r="Y840" i="2"/>
  <c r="X840" i="2"/>
  <c r="Y839" i="2"/>
  <c r="X839" i="2"/>
  <c r="Y838" i="2"/>
  <c r="X838" i="2"/>
  <c r="Y837" i="2"/>
  <c r="X837" i="2"/>
  <c r="Y836" i="2"/>
  <c r="X836" i="2"/>
  <c r="Y835" i="2"/>
  <c r="X835" i="2"/>
  <c r="Y834" i="2"/>
  <c r="X834" i="2"/>
  <c r="Y833" i="2"/>
  <c r="X833" i="2"/>
  <c r="Y832" i="2"/>
  <c r="X832" i="2"/>
  <c r="Y831" i="2"/>
  <c r="X831" i="2"/>
  <c r="Y830" i="2"/>
  <c r="X830" i="2"/>
  <c r="Y829" i="2"/>
  <c r="X829" i="2"/>
  <c r="Y828" i="2"/>
  <c r="X828" i="2"/>
  <c r="Y827" i="2"/>
  <c r="X827" i="2"/>
  <c r="Y826" i="2"/>
  <c r="X826" i="2"/>
  <c r="Y825" i="2"/>
  <c r="X825" i="2"/>
  <c r="Y824" i="2"/>
  <c r="X824" i="2"/>
  <c r="Y823" i="2"/>
  <c r="X823" i="2"/>
  <c r="Y822" i="2"/>
  <c r="X822" i="2"/>
  <c r="Y821" i="2"/>
  <c r="X821" i="2"/>
  <c r="Y820" i="2"/>
  <c r="X820" i="2"/>
  <c r="Y819" i="2"/>
  <c r="X819" i="2"/>
  <c r="Y818" i="2"/>
  <c r="X818" i="2"/>
  <c r="Y817" i="2"/>
  <c r="X817" i="2"/>
  <c r="Y816" i="2"/>
  <c r="X816" i="2"/>
  <c r="Y815" i="2"/>
  <c r="X815" i="2"/>
  <c r="Y814" i="2"/>
  <c r="X814" i="2"/>
  <c r="Y813" i="2"/>
  <c r="X813" i="2"/>
  <c r="Y812" i="2"/>
  <c r="X812" i="2"/>
  <c r="Y811" i="2"/>
  <c r="X811" i="2"/>
  <c r="Y810" i="2"/>
  <c r="X810" i="2"/>
  <c r="Y809" i="2"/>
  <c r="X809" i="2"/>
  <c r="Y808" i="2"/>
  <c r="X808" i="2"/>
  <c r="Y807" i="2"/>
  <c r="X807" i="2"/>
  <c r="Y806" i="2"/>
  <c r="X806" i="2"/>
  <c r="Y805" i="2"/>
  <c r="X805" i="2"/>
  <c r="Y804" i="2"/>
  <c r="X804" i="2"/>
  <c r="Y803" i="2"/>
  <c r="X803" i="2"/>
  <c r="Y802" i="2"/>
  <c r="X802" i="2"/>
  <c r="Y801" i="2"/>
  <c r="X801" i="2"/>
  <c r="Y800" i="2"/>
  <c r="X800" i="2"/>
  <c r="Y799" i="2"/>
  <c r="X799" i="2"/>
  <c r="Y798" i="2"/>
  <c r="X798" i="2"/>
  <c r="Y797" i="2"/>
  <c r="X797" i="2"/>
  <c r="Y796" i="2"/>
  <c r="X796" i="2"/>
  <c r="Y795" i="2"/>
  <c r="X795" i="2"/>
  <c r="Y794" i="2"/>
  <c r="X794" i="2"/>
  <c r="Y793" i="2"/>
  <c r="X793" i="2"/>
  <c r="Y792" i="2"/>
  <c r="X792" i="2"/>
  <c r="Y791" i="2"/>
  <c r="X791" i="2"/>
  <c r="Y790" i="2"/>
  <c r="X790" i="2"/>
  <c r="Y789" i="2"/>
  <c r="X789" i="2"/>
  <c r="Y788" i="2"/>
  <c r="X788" i="2"/>
  <c r="Y787" i="2"/>
  <c r="X787" i="2"/>
  <c r="Y786" i="2"/>
  <c r="X786" i="2"/>
  <c r="Y785" i="2"/>
  <c r="X785" i="2"/>
  <c r="Y784" i="2"/>
  <c r="X784" i="2"/>
  <c r="Y783" i="2"/>
  <c r="X783" i="2"/>
  <c r="Y782" i="2"/>
  <c r="X782" i="2"/>
  <c r="Y781" i="2"/>
  <c r="X781" i="2"/>
  <c r="Y780" i="2"/>
  <c r="X780" i="2"/>
  <c r="Y779" i="2"/>
  <c r="X779" i="2"/>
  <c r="Y778" i="2"/>
  <c r="X778" i="2"/>
  <c r="Y777" i="2"/>
  <c r="X777" i="2"/>
  <c r="Y776" i="2"/>
  <c r="X776" i="2"/>
  <c r="Y775" i="2"/>
  <c r="X775" i="2"/>
  <c r="Y774" i="2"/>
  <c r="X774" i="2"/>
  <c r="Y773" i="2"/>
  <c r="X773" i="2"/>
  <c r="Y772" i="2"/>
  <c r="X772" i="2"/>
  <c r="Y771" i="2"/>
  <c r="X771" i="2"/>
  <c r="Y770" i="2"/>
  <c r="X770" i="2"/>
  <c r="Y769" i="2"/>
  <c r="X769" i="2"/>
  <c r="Y768" i="2"/>
  <c r="X768" i="2"/>
  <c r="Y767" i="2"/>
  <c r="X767" i="2"/>
  <c r="Y766" i="2"/>
  <c r="X766" i="2"/>
  <c r="Y765" i="2"/>
  <c r="X765" i="2"/>
  <c r="Y764" i="2"/>
  <c r="X764" i="2"/>
  <c r="Y763" i="2"/>
  <c r="X763" i="2"/>
  <c r="Y762" i="2"/>
  <c r="X762" i="2"/>
  <c r="Y761" i="2"/>
  <c r="X761" i="2"/>
  <c r="Y760" i="2"/>
  <c r="X760" i="2"/>
  <c r="Y759" i="2"/>
  <c r="X759" i="2"/>
  <c r="Y758" i="2"/>
  <c r="X758" i="2"/>
  <c r="Y757" i="2"/>
  <c r="X757" i="2"/>
  <c r="Y756" i="2"/>
  <c r="X756" i="2"/>
  <c r="Y755" i="2"/>
  <c r="X755" i="2"/>
  <c r="Y754" i="2"/>
  <c r="X754" i="2"/>
  <c r="Y753" i="2"/>
  <c r="X753" i="2"/>
  <c r="Y752" i="2"/>
  <c r="X752" i="2"/>
  <c r="Y751" i="2"/>
  <c r="X751" i="2"/>
  <c r="Y750" i="2"/>
  <c r="X750" i="2"/>
  <c r="Y749" i="2"/>
  <c r="X749" i="2"/>
  <c r="Y748" i="2"/>
  <c r="X748" i="2"/>
  <c r="Y747" i="2"/>
  <c r="X747" i="2"/>
  <c r="Y746" i="2"/>
  <c r="X746" i="2"/>
  <c r="Y745" i="2"/>
  <c r="X745" i="2"/>
  <c r="Y744" i="2"/>
  <c r="X744" i="2"/>
  <c r="Y743" i="2"/>
  <c r="X743" i="2"/>
  <c r="Y742" i="2"/>
  <c r="X742" i="2"/>
  <c r="Y741" i="2"/>
  <c r="X741" i="2"/>
  <c r="Y740" i="2"/>
  <c r="X740" i="2"/>
  <c r="Y739" i="2"/>
  <c r="X739" i="2"/>
  <c r="Y738" i="2"/>
  <c r="X738" i="2"/>
  <c r="Y737" i="2"/>
  <c r="X737" i="2"/>
  <c r="Y736" i="2"/>
  <c r="X736" i="2"/>
  <c r="Y735" i="2"/>
  <c r="X735" i="2"/>
  <c r="Y734" i="2"/>
  <c r="X734" i="2"/>
  <c r="Y733" i="2"/>
  <c r="X733" i="2"/>
  <c r="Y732" i="2"/>
  <c r="X732" i="2"/>
  <c r="Y731" i="2"/>
  <c r="X731" i="2"/>
  <c r="Y730" i="2"/>
  <c r="X730" i="2"/>
  <c r="Y729" i="2"/>
  <c r="X729" i="2"/>
  <c r="Y728" i="2"/>
  <c r="X728" i="2"/>
  <c r="Y727" i="2"/>
  <c r="X727" i="2"/>
  <c r="Y726" i="2"/>
  <c r="X726" i="2"/>
  <c r="Y725" i="2"/>
  <c r="X725" i="2"/>
  <c r="Y724" i="2"/>
  <c r="X724" i="2"/>
  <c r="Y723" i="2"/>
  <c r="X723" i="2"/>
  <c r="Y722" i="2"/>
  <c r="X722" i="2"/>
  <c r="Y721" i="2"/>
  <c r="X721" i="2"/>
  <c r="Y720" i="2"/>
  <c r="X720" i="2"/>
  <c r="Y719" i="2"/>
  <c r="X719" i="2"/>
  <c r="Y718" i="2"/>
  <c r="X718" i="2"/>
  <c r="Y717" i="2"/>
  <c r="X717" i="2"/>
  <c r="Y716" i="2"/>
  <c r="X716" i="2"/>
  <c r="Y715" i="2"/>
  <c r="X715" i="2"/>
  <c r="Y714" i="2"/>
  <c r="X714" i="2"/>
  <c r="Y713" i="2"/>
  <c r="X713" i="2"/>
  <c r="Y712" i="2"/>
  <c r="X712" i="2"/>
  <c r="Y711" i="2"/>
  <c r="X711" i="2"/>
  <c r="Y710" i="2"/>
  <c r="X710" i="2"/>
  <c r="Y709" i="2"/>
  <c r="X709" i="2"/>
  <c r="Y708" i="2"/>
  <c r="X708" i="2"/>
  <c r="Y707" i="2"/>
  <c r="X707" i="2"/>
  <c r="Y706" i="2"/>
  <c r="X706" i="2"/>
  <c r="Y705" i="2"/>
  <c r="X705" i="2"/>
  <c r="Y704" i="2"/>
  <c r="X704" i="2"/>
  <c r="Y703" i="2"/>
  <c r="X703" i="2"/>
  <c r="Y702" i="2"/>
  <c r="X702" i="2"/>
  <c r="Y701" i="2"/>
  <c r="X701" i="2"/>
  <c r="Y700" i="2"/>
  <c r="X700" i="2"/>
  <c r="Y699" i="2"/>
  <c r="X699" i="2"/>
  <c r="Y698" i="2"/>
  <c r="X698" i="2"/>
  <c r="Y697" i="2"/>
  <c r="X697" i="2"/>
  <c r="Y696" i="2"/>
  <c r="X696" i="2"/>
  <c r="Y695" i="2"/>
  <c r="X695" i="2"/>
  <c r="Y694" i="2"/>
  <c r="X694" i="2"/>
  <c r="Y693" i="2"/>
  <c r="X693" i="2"/>
  <c r="Y692" i="2"/>
  <c r="X692" i="2"/>
  <c r="Y691" i="2"/>
  <c r="X691" i="2"/>
  <c r="Y690" i="2"/>
  <c r="X690" i="2"/>
  <c r="Y689" i="2"/>
  <c r="X689" i="2"/>
  <c r="Y688" i="2"/>
  <c r="X688" i="2"/>
  <c r="Y687" i="2"/>
  <c r="X687" i="2"/>
  <c r="Y686" i="2"/>
  <c r="X686" i="2"/>
  <c r="Y685" i="2"/>
  <c r="X685" i="2"/>
  <c r="Y684" i="2"/>
  <c r="X684" i="2"/>
  <c r="Y683" i="2"/>
  <c r="X683" i="2"/>
  <c r="Y682" i="2"/>
  <c r="X682" i="2"/>
  <c r="Y681" i="2"/>
  <c r="X681" i="2"/>
  <c r="Y680" i="2"/>
  <c r="X680" i="2"/>
  <c r="Y679" i="2"/>
  <c r="X679" i="2"/>
  <c r="Y678" i="2"/>
  <c r="X678" i="2"/>
  <c r="Y677" i="2"/>
  <c r="X677" i="2"/>
  <c r="Y676" i="2"/>
  <c r="X676" i="2"/>
  <c r="Y675" i="2"/>
  <c r="X675" i="2"/>
  <c r="Y674" i="2"/>
  <c r="X674" i="2"/>
  <c r="Y673" i="2"/>
  <c r="X673" i="2"/>
  <c r="Y672" i="2"/>
  <c r="X672" i="2"/>
  <c r="Y671" i="2"/>
  <c r="X671" i="2"/>
  <c r="Y670" i="2"/>
  <c r="X670" i="2"/>
  <c r="Y669" i="2"/>
  <c r="X669" i="2"/>
  <c r="Y668" i="2"/>
  <c r="X668" i="2"/>
  <c r="Y667" i="2"/>
  <c r="X667" i="2"/>
  <c r="Y666" i="2"/>
  <c r="X666" i="2"/>
  <c r="Y665" i="2"/>
  <c r="X665" i="2"/>
  <c r="Y664" i="2"/>
  <c r="X664" i="2"/>
  <c r="Y663" i="2"/>
  <c r="X663" i="2"/>
  <c r="Y662" i="2"/>
  <c r="X662" i="2"/>
  <c r="Y661" i="2"/>
  <c r="X661" i="2"/>
  <c r="Y660" i="2"/>
  <c r="X660" i="2"/>
  <c r="Y659" i="2"/>
  <c r="X659" i="2"/>
  <c r="Y658" i="2"/>
  <c r="X658" i="2"/>
  <c r="Y657" i="2"/>
  <c r="X657" i="2"/>
  <c r="Y656" i="2"/>
  <c r="X656" i="2"/>
  <c r="Y655" i="2"/>
  <c r="X655" i="2"/>
  <c r="Y654" i="2"/>
  <c r="X654" i="2"/>
  <c r="Y653" i="2"/>
  <c r="X653" i="2"/>
  <c r="Y652" i="2"/>
  <c r="X652" i="2"/>
  <c r="Y651" i="2"/>
  <c r="X651" i="2"/>
  <c r="Y650" i="2"/>
  <c r="X650" i="2"/>
  <c r="Y649" i="2"/>
  <c r="X649" i="2"/>
  <c r="Y648" i="2"/>
  <c r="X648" i="2"/>
  <c r="Y647" i="2"/>
  <c r="X647" i="2"/>
  <c r="Y646" i="2"/>
  <c r="X646" i="2"/>
  <c r="Y645" i="2"/>
  <c r="X645" i="2"/>
  <c r="Y644" i="2"/>
  <c r="X644" i="2"/>
  <c r="Y643" i="2"/>
  <c r="X643" i="2"/>
  <c r="Y642" i="2"/>
  <c r="X642" i="2"/>
  <c r="Y641" i="2"/>
  <c r="X641" i="2"/>
  <c r="Y640" i="2"/>
  <c r="X640" i="2"/>
  <c r="Y639" i="2"/>
  <c r="X639" i="2"/>
  <c r="Y638" i="2"/>
  <c r="X638" i="2"/>
  <c r="Y637" i="2"/>
  <c r="X637" i="2"/>
  <c r="Y636" i="2"/>
  <c r="X636" i="2"/>
  <c r="Y635" i="2"/>
  <c r="X635" i="2"/>
  <c r="Y634" i="2"/>
  <c r="X634" i="2"/>
  <c r="Y633" i="2"/>
  <c r="X633" i="2"/>
  <c r="Y632" i="2"/>
  <c r="X632" i="2"/>
  <c r="Y631" i="2"/>
  <c r="X631" i="2"/>
  <c r="Y630" i="2"/>
  <c r="X630" i="2"/>
  <c r="Y629" i="2"/>
  <c r="X629" i="2"/>
  <c r="Y628" i="2"/>
  <c r="X628" i="2"/>
  <c r="Y627" i="2"/>
  <c r="X627" i="2"/>
  <c r="Y626" i="2"/>
  <c r="X626" i="2"/>
  <c r="Y625" i="2"/>
  <c r="X625" i="2"/>
  <c r="Y624" i="2"/>
  <c r="X624" i="2"/>
  <c r="Y623" i="2"/>
  <c r="X623" i="2"/>
  <c r="Y622" i="2"/>
  <c r="X622" i="2"/>
  <c r="Y621" i="2"/>
  <c r="X621" i="2"/>
  <c r="Y620" i="2"/>
  <c r="X620" i="2"/>
  <c r="Y619" i="2"/>
  <c r="X619" i="2"/>
  <c r="Y618" i="2"/>
  <c r="X618" i="2"/>
  <c r="Y617" i="2"/>
  <c r="X617" i="2"/>
  <c r="Y616" i="2"/>
  <c r="X616" i="2"/>
  <c r="Y615" i="2"/>
  <c r="X615" i="2"/>
  <c r="Y614" i="2"/>
  <c r="X614" i="2"/>
  <c r="Y613" i="2"/>
  <c r="X613" i="2"/>
  <c r="Y612" i="2"/>
  <c r="X612" i="2"/>
  <c r="Y611" i="2"/>
  <c r="X611" i="2"/>
  <c r="Y610" i="2"/>
  <c r="X610" i="2"/>
  <c r="Y609" i="2"/>
  <c r="X609" i="2"/>
  <c r="Y608" i="2"/>
  <c r="X608" i="2"/>
  <c r="Y607" i="2"/>
  <c r="X607" i="2"/>
  <c r="Y606" i="2"/>
  <c r="X606" i="2"/>
  <c r="Y605" i="2"/>
  <c r="X605" i="2"/>
  <c r="Y604" i="2"/>
  <c r="X604" i="2"/>
  <c r="Y603" i="2"/>
  <c r="X603" i="2"/>
  <c r="Y602" i="2"/>
  <c r="X602" i="2"/>
  <c r="Y601" i="2"/>
  <c r="X601" i="2"/>
  <c r="Y600" i="2"/>
  <c r="X600" i="2"/>
  <c r="Y599" i="2"/>
  <c r="X599" i="2"/>
  <c r="Y598" i="2"/>
  <c r="X598" i="2"/>
  <c r="Y597" i="2"/>
  <c r="X597" i="2"/>
  <c r="Y596" i="2"/>
  <c r="X596" i="2"/>
  <c r="Y595" i="2"/>
  <c r="X595" i="2"/>
  <c r="Y594" i="2"/>
  <c r="X594" i="2"/>
  <c r="Y593" i="2"/>
  <c r="X593" i="2"/>
  <c r="Y592" i="2"/>
  <c r="X592" i="2"/>
  <c r="Y591" i="2"/>
  <c r="X591" i="2"/>
  <c r="Y590" i="2"/>
  <c r="X590" i="2"/>
  <c r="Y589" i="2"/>
  <c r="X589" i="2"/>
  <c r="Y588" i="2"/>
  <c r="X588" i="2"/>
  <c r="Y587" i="2"/>
  <c r="X587" i="2"/>
  <c r="Y586" i="2"/>
  <c r="X586" i="2"/>
  <c r="Y585" i="2"/>
  <c r="X585" i="2"/>
  <c r="Y584" i="2"/>
  <c r="X584" i="2"/>
  <c r="Y583" i="2"/>
  <c r="X583" i="2"/>
  <c r="Y582" i="2"/>
  <c r="X582" i="2"/>
  <c r="Y581" i="2"/>
  <c r="X581" i="2"/>
  <c r="Y580" i="2"/>
  <c r="X580" i="2"/>
  <c r="Y579" i="2"/>
  <c r="X579" i="2"/>
  <c r="Y578" i="2"/>
  <c r="X578" i="2"/>
  <c r="Y577" i="2"/>
  <c r="X577" i="2"/>
  <c r="Y576" i="2"/>
  <c r="X576" i="2"/>
  <c r="Y575" i="2"/>
  <c r="X575" i="2"/>
  <c r="Y574" i="2"/>
  <c r="X574" i="2"/>
  <c r="Y573" i="2"/>
  <c r="X573" i="2"/>
  <c r="Y572" i="2"/>
  <c r="X572" i="2"/>
  <c r="Y571" i="2"/>
  <c r="X571" i="2"/>
  <c r="Y570" i="2"/>
  <c r="X570" i="2"/>
  <c r="Y569" i="2"/>
  <c r="X569" i="2"/>
  <c r="Y568" i="2"/>
  <c r="X568" i="2"/>
  <c r="Y567" i="2"/>
  <c r="X567" i="2"/>
  <c r="Y566" i="2"/>
  <c r="X566" i="2"/>
  <c r="Y565" i="2"/>
  <c r="X565" i="2"/>
  <c r="Y564" i="2"/>
  <c r="X564" i="2"/>
  <c r="Y563" i="2"/>
  <c r="X563" i="2"/>
  <c r="Y562" i="2"/>
  <c r="X562" i="2"/>
  <c r="Y561" i="2"/>
  <c r="X561" i="2"/>
  <c r="Y560" i="2"/>
  <c r="X560" i="2"/>
  <c r="Y559" i="2"/>
  <c r="X559" i="2"/>
  <c r="Y558" i="2"/>
  <c r="X558" i="2"/>
  <c r="Y557" i="2"/>
  <c r="X557" i="2"/>
  <c r="Y556" i="2"/>
  <c r="X556" i="2"/>
  <c r="Y555" i="2"/>
  <c r="X555" i="2"/>
  <c r="Y554" i="2"/>
  <c r="X554" i="2"/>
  <c r="Y553" i="2"/>
  <c r="X553" i="2"/>
  <c r="Y552" i="2"/>
  <c r="X552" i="2"/>
  <c r="Y551" i="2"/>
  <c r="X551" i="2"/>
  <c r="Y550" i="2"/>
  <c r="X550" i="2"/>
  <c r="Y549" i="2"/>
  <c r="X549" i="2"/>
  <c r="Y548" i="2"/>
  <c r="X548" i="2"/>
  <c r="Y547" i="2"/>
  <c r="X547" i="2"/>
  <c r="Y546" i="2"/>
  <c r="X546" i="2"/>
  <c r="Y545" i="2"/>
  <c r="X545" i="2"/>
  <c r="Y544" i="2"/>
  <c r="X544" i="2"/>
  <c r="Y543" i="2"/>
  <c r="X543" i="2"/>
  <c r="Y542" i="2"/>
  <c r="X542" i="2"/>
  <c r="Y541" i="2"/>
  <c r="X541" i="2"/>
  <c r="Y540" i="2"/>
  <c r="X540" i="2"/>
  <c r="Y539" i="2"/>
  <c r="X539" i="2"/>
  <c r="Y538" i="2"/>
  <c r="X538" i="2"/>
  <c r="Y537" i="2"/>
  <c r="X537" i="2"/>
  <c r="Y536" i="2"/>
  <c r="X536" i="2"/>
  <c r="Y535" i="2"/>
  <c r="X535" i="2"/>
  <c r="Y534" i="2"/>
  <c r="X534" i="2"/>
  <c r="Y533" i="2"/>
  <c r="X533" i="2"/>
  <c r="Y532" i="2"/>
  <c r="X532" i="2"/>
  <c r="Y531" i="2"/>
  <c r="X531" i="2"/>
  <c r="Y530" i="2"/>
  <c r="X530" i="2"/>
  <c r="Y529" i="2"/>
  <c r="X529" i="2"/>
  <c r="Y528" i="2"/>
  <c r="X528" i="2"/>
  <c r="Y527" i="2"/>
  <c r="X527" i="2"/>
  <c r="Y526" i="2"/>
  <c r="X526" i="2"/>
  <c r="Y525" i="2"/>
  <c r="X525" i="2"/>
  <c r="Y524" i="2"/>
  <c r="X524" i="2"/>
  <c r="Y523" i="2"/>
  <c r="X523" i="2"/>
  <c r="Y522" i="2"/>
  <c r="X522" i="2"/>
  <c r="Y521" i="2"/>
  <c r="X521" i="2"/>
  <c r="Y520" i="2"/>
  <c r="X520" i="2"/>
  <c r="Y519" i="2"/>
  <c r="X519" i="2"/>
  <c r="Y518" i="2"/>
  <c r="X518" i="2"/>
  <c r="Y517" i="2"/>
  <c r="X517" i="2"/>
  <c r="Y516" i="2"/>
  <c r="X516" i="2"/>
  <c r="Y515" i="2"/>
  <c r="X515" i="2"/>
  <c r="Y514" i="2"/>
  <c r="X514" i="2"/>
  <c r="Y513" i="2"/>
  <c r="X513" i="2"/>
  <c r="Y512" i="2"/>
  <c r="X512" i="2"/>
  <c r="Y511" i="2"/>
  <c r="X511" i="2"/>
  <c r="Y510" i="2"/>
  <c r="X510" i="2"/>
  <c r="Y509" i="2"/>
  <c r="X509" i="2"/>
  <c r="Y508" i="2"/>
  <c r="X508" i="2"/>
  <c r="Y507" i="2"/>
  <c r="X507" i="2"/>
  <c r="Y506" i="2"/>
  <c r="X506" i="2"/>
  <c r="Y505" i="2"/>
  <c r="X505" i="2"/>
  <c r="Y504" i="2"/>
  <c r="X504" i="2"/>
  <c r="Y503" i="2"/>
  <c r="X503" i="2"/>
  <c r="Y502" i="2"/>
  <c r="X502" i="2"/>
  <c r="Y501" i="2"/>
  <c r="X501" i="2"/>
  <c r="Y500" i="2"/>
  <c r="X500" i="2"/>
  <c r="Y499" i="2"/>
  <c r="X499" i="2"/>
  <c r="Y498" i="2"/>
  <c r="X498" i="2"/>
  <c r="Y497" i="2"/>
  <c r="X497" i="2"/>
  <c r="Y496" i="2"/>
  <c r="X496" i="2"/>
  <c r="Y495" i="2"/>
  <c r="X495" i="2"/>
  <c r="Y494" i="2"/>
  <c r="X494" i="2"/>
  <c r="Y493" i="2"/>
  <c r="X493" i="2"/>
  <c r="Y492" i="2"/>
  <c r="X492" i="2"/>
  <c r="Y491" i="2"/>
  <c r="X491" i="2"/>
  <c r="Y490" i="2"/>
  <c r="X490" i="2"/>
  <c r="Y489" i="2"/>
  <c r="X489" i="2"/>
  <c r="Y488" i="2"/>
  <c r="X488" i="2"/>
  <c r="Y487" i="2"/>
  <c r="X487" i="2"/>
  <c r="Y486" i="2"/>
  <c r="X486" i="2"/>
  <c r="Y485" i="2"/>
  <c r="X485" i="2"/>
  <c r="Y484" i="2"/>
  <c r="X484" i="2"/>
  <c r="Y483" i="2"/>
  <c r="X483" i="2"/>
  <c r="Y482" i="2"/>
  <c r="X482" i="2"/>
  <c r="Y481" i="2"/>
  <c r="X481" i="2"/>
  <c r="Y480" i="2"/>
  <c r="X480" i="2"/>
  <c r="Y479" i="2"/>
  <c r="X479" i="2"/>
  <c r="Y478" i="2"/>
  <c r="X478" i="2"/>
  <c r="Y477" i="2"/>
  <c r="X477" i="2"/>
  <c r="Y476" i="2"/>
  <c r="X476" i="2"/>
  <c r="Y475" i="2"/>
  <c r="X475" i="2"/>
  <c r="Y474" i="2"/>
  <c r="X474" i="2"/>
  <c r="Y473" i="2"/>
  <c r="X473" i="2"/>
  <c r="Y472" i="2"/>
  <c r="X472" i="2"/>
  <c r="Y471" i="2"/>
  <c r="X471" i="2"/>
  <c r="Y470" i="2"/>
  <c r="X470" i="2"/>
  <c r="Y469" i="2"/>
  <c r="X469" i="2"/>
  <c r="Y468" i="2"/>
  <c r="X468" i="2"/>
  <c r="Y467" i="2"/>
  <c r="X467" i="2"/>
  <c r="Y466" i="2"/>
  <c r="X466" i="2"/>
  <c r="Y465" i="2"/>
  <c r="X465" i="2"/>
  <c r="Y464" i="2"/>
  <c r="X464" i="2"/>
  <c r="Y463" i="2"/>
  <c r="X463" i="2"/>
  <c r="Y462" i="2"/>
  <c r="X462" i="2"/>
  <c r="Y461" i="2"/>
  <c r="X461" i="2"/>
  <c r="Y460" i="2"/>
  <c r="X460" i="2"/>
  <c r="Y459" i="2"/>
  <c r="X459" i="2"/>
  <c r="Y458" i="2"/>
  <c r="X458" i="2"/>
  <c r="Y457" i="2"/>
  <c r="X457" i="2"/>
  <c r="Y456" i="2"/>
  <c r="X456" i="2"/>
  <c r="Y455" i="2"/>
  <c r="X455" i="2"/>
  <c r="Y454" i="2"/>
  <c r="X454" i="2"/>
  <c r="Y453" i="2"/>
  <c r="X453" i="2"/>
  <c r="Y452" i="2"/>
  <c r="X452" i="2"/>
  <c r="Y451" i="2"/>
  <c r="X451" i="2"/>
  <c r="Y450" i="2"/>
  <c r="X450" i="2"/>
  <c r="Y449" i="2"/>
  <c r="X449" i="2"/>
  <c r="Y448" i="2"/>
  <c r="X448" i="2"/>
  <c r="Y447" i="2"/>
  <c r="X447" i="2"/>
  <c r="Y446" i="2"/>
  <c r="X446" i="2"/>
  <c r="Y445" i="2"/>
  <c r="X445" i="2"/>
  <c r="Y444" i="2"/>
  <c r="X444" i="2"/>
  <c r="Y443" i="2"/>
  <c r="X443" i="2"/>
  <c r="Y442" i="2"/>
  <c r="X442" i="2"/>
  <c r="Y441" i="2"/>
  <c r="X441" i="2"/>
  <c r="Y440" i="2"/>
  <c r="X440" i="2"/>
  <c r="Y439" i="2"/>
  <c r="X439" i="2"/>
  <c r="Y438" i="2"/>
  <c r="X438" i="2"/>
  <c r="Y437" i="2"/>
  <c r="X437" i="2"/>
  <c r="Y436" i="2"/>
  <c r="X436" i="2"/>
  <c r="Y435" i="2"/>
  <c r="X435" i="2"/>
  <c r="Y434" i="2"/>
  <c r="X434" i="2"/>
  <c r="Y433" i="2"/>
  <c r="X433" i="2"/>
  <c r="Y432" i="2"/>
  <c r="X432" i="2"/>
  <c r="Y431" i="2"/>
  <c r="X431" i="2"/>
  <c r="Y430" i="2"/>
  <c r="X430" i="2"/>
  <c r="Y429" i="2"/>
  <c r="X429" i="2"/>
  <c r="Y428" i="2"/>
  <c r="X428" i="2"/>
  <c r="Y427" i="2"/>
  <c r="X427" i="2"/>
  <c r="Y426" i="2"/>
  <c r="X426" i="2"/>
  <c r="Y425" i="2"/>
  <c r="X425" i="2"/>
  <c r="Y424" i="2"/>
  <c r="X424" i="2"/>
  <c r="Y423" i="2"/>
  <c r="X423" i="2"/>
  <c r="Y422" i="2"/>
  <c r="X422" i="2"/>
  <c r="Y421" i="2"/>
  <c r="X421" i="2"/>
  <c r="Y420" i="2"/>
  <c r="X420" i="2"/>
  <c r="Y419" i="2"/>
  <c r="X419" i="2"/>
  <c r="Y418" i="2"/>
  <c r="X418" i="2"/>
  <c r="Y417" i="2"/>
  <c r="X417" i="2"/>
  <c r="Y416" i="2"/>
  <c r="X416" i="2"/>
  <c r="Y415" i="2"/>
  <c r="X415" i="2"/>
  <c r="Y414" i="2"/>
  <c r="X414" i="2"/>
  <c r="Y413" i="2"/>
  <c r="X413" i="2"/>
  <c r="Y412" i="2"/>
  <c r="X412" i="2"/>
  <c r="Y411" i="2"/>
  <c r="X411" i="2"/>
  <c r="Y410" i="2"/>
  <c r="X410" i="2"/>
  <c r="Y409" i="2"/>
  <c r="X409" i="2"/>
  <c r="Y408" i="2"/>
  <c r="X408" i="2"/>
  <c r="Y407" i="2"/>
  <c r="X407" i="2"/>
  <c r="Y406" i="2"/>
  <c r="X406" i="2"/>
  <c r="Y405" i="2"/>
  <c r="X405" i="2"/>
  <c r="Y404" i="2"/>
  <c r="X404" i="2"/>
  <c r="Y403" i="2"/>
  <c r="X403" i="2"/>
  <c r="Y402" i="2"/>
  <c r="X402" i="2"/>
  <c r="Y401" i="2"/>
  <c r="X401" i="2"/>
  <c r="Y400" i="2"/>
  <c r="X400" i="2"/>
  <c r="Y399" i="2"/>
  <c r="X399" i="2"/>
  <c r="Y398" i="2"/>
  <c r="X398" i="2"/>
  <c r="Y397" i="2"/>
  <c r="X397" i="2"/>
  <c r="Y396" i="2"/>
  <c r="X396" i="2"/>
  <c r="Y395" i="2"/>
  <c r="X395" i="2"/>
  <c r="Y394" i="2"/>
  <c r="X394" i="2"/>
  <c r="Y393" i="2"/>
  <c r="X393" i="2"/>
  <c r="Y392" i="2"/>
  <c r="X392" i="2"/>
  <c r="Y391" i="2"/>
  <c r="X391" i="2"/>
  <c r="Y390" i="2"/>
  <c r="X390" i="2"/>
  <c r="Y389" i="2"/>
  <c r="X389" i="2"/>
  <c r="Y388" i="2"/>
  <c r="X388" i="2"/>
  <c r="Y387" i="2"/>
  <c r="X387" i="2"/>
  <c r="Y386" i="2"/>
  <c r="X386" i="2"/>
  <c r="Y385" i="2"/>
  <c r="X385" i="2"/>
  <c r="Y384" i="2"/>
  <c r="X384" i="2"/>
  <c r="Y383" i="2"/>
  <c r="X383" i="2"/>
  <c r="Y382" i="2"/>
  <c r="X382" i="2"/>
  <c r="Y381" i="2"/>
  <c r="X381" i="2"/>
  <c r="Y380" i="2"/>
  <c r="X380" i="2"/>
  <c r="Y379" i="2"/>
  <c r="X379" i="2"/>
  <c r="Y378" i="2"/>
  <c r="X378" i="2"/>
  <c r="Y377" i="2"/>
  <c r="X377" i="2"/>
  <c r="Y376" i="2"/>
  <c r="X376" i="2"/>
  <c r="Y375" i="2"/>
  <c r="X375" i="2"/>
  <c r="Y374" i="2"/>
  <c r="X374" i="2"/>
  <c r="Y373" i="2"/>
  <c r="X373" i="2"/>
  <c r="Y372" i="2"/>
  <c r="X372" i="2"/>
  <c r="Y371" i="2"/>
  <c r="X371" i="2"/>
  <c r="Y370" i="2"/>
  <c r="X370" i="2"/>
  <c r="Y369" i="2"/>
  <c r="X369" i="2"/>
  <c r="Y368" i="2"/>
  <c r="X368" i="2"/>
  <c r="Y367" i="2"/>
  <c r="X367" i="2"/>
  <c r="Y366" i="2"/>
  <c r="X366" i="2"/>
  <c r="Y365" i="2"/>
  <c r="X365" i="2"/>
  <c r="Y364" i="2"/>
  <c r="X364" i="2"/>
  <c r="Y363" i="2"/>
  <c r="X363" i="2"/>
  <c r="Y362" i="2"/>
  <c r="X362" i="2"/>
  <c r="Y361" i="2"/>
  <c r="X361" i="2"/>
  <c r="Y360" i="2"/>
  <c r="X360" i="2"/>
  <c r="Y359" i="2"/>
  <c r="X359" i="2"/>
  <c r="Y358" i="2"/>
  <c r="X358" i="2"/>
  <c r="Y357" i="2"/>
  <c r="X357" i="2"/>
  <c r="Y356" i="2"/>
  <c r="X356" i="2"/>
  <c r="Y355" i="2"/>
  <c r="X355" i="2"/>
  <c r="Y354" i="2"/>
  <c r="X354" i="2"/>
  <c r="Y353" i="2"/>
  <c r="X353" i="2"/>
  <c r="Y352" i="2"/>
  <c r="X352" i="2"/>
  <c r="Y351" i="2"/>
  <c r="X351" i="2"/>
  <c r="Y350" i="2"/>
  <c r="X350" i="2"/>
  <c r="Y349" i="2"/>
  <c r="X349" i="2"/>
  <c r="Y348" i="2"/>
  <c r="X348" i="2"/>
  <c r="Y347" i="2"/>
  <c r="X347" i="2"/>
  <c r="Y346" i="2"/>
  <c r="X346" i="2"/>
  <c r="Y345" i="2"/>
  <c r="X345" i="2"/>
  <c r="Y344" i="2"/>
  <c r="X344" i="2"/>
  <c r="Y343" i="2"/>
  <c r="X343" i="2"/>
  <c r="Y342" i="2"/>
  <c r="X342" i="2"/>
  <c r="Y341" i="2"/>
  <c r="X341" i="2"/>
  <c r="Y340" i="2"/>
  <c r="X340" i="2"/>
  <c r="Y339" i="2"/>
  <c r="X339" i="2"/>
  <c r="Y338" i="2"/>
  <c r="X338" i="2"/>
  <c r="Y337" i="2"/>
  <c r="X337" i="2"/>
  <c r="Y336" i="2"/>
  <c r="X336" i="2"/>
  <c r="Y335" i="2"/>
  <c r="X335" i="2"/>
  <c r="Y334" i="2"/>
  <c r="X334" i="2"/>
  <c r="Y333" i="2"/>
  <c r="X333" i="2"/>
  <c r="Y332" i="2"/>
  <c r="X332" i="2"/>
  <c r="Y331" i="2"/>
  <c r="X331" i="2"/>
  <c r="Y330" i="2"/>
  <c r="X330" i="2"/>
  <c r="Y329" i="2"/>
  <c r="X329" i="2"/>
  <c r="Y328" i="2"/>
  <c r="X328" i="2"/>
  <c r="Y327" i="2"/>
  <c r="X327" i="2"/>
  <c r="Y326" i="2"/>
  <c r="X326" i="2"/>
  <c r="Y325" i="2"/>
  <c r="X325" i="2"/>
  <c r="Y324" i="2"/>
  <c r="X324" i="2"/>
  <c r="Y323" i="2"/>
  <c r="X323" i="2"/>
  <c r="Y322" i="2"/>
  <c r="X322" i="2"/>
  <c r="Y321" i="2"/>
  <c r="X321" i="2"/>
  <c r="Y320" i="2"/>
  <c r="X320" i="2"/>
  <c r="Y319" i="2"/>
  <c r="X319" i="2"/>
  <c r="Y318" i="2"/>
  <c r="X318" i="2"/>
  <c r="Y317" i="2"/>
  <c r="X317" i="2"/>
  <c r="Y316" i="2"/>
  <c r="X316" i="2"/>
  <c r="Y315" i="2"/>
  <c r="X315" i="2"/>
  <c r="Y314" i="2"/>
  <c r="X314" i="2"/>
  <c r="Y313" i="2"/>
  <c r="X313" i="2"/>
  <c r="Y312" i="2"/>
  <c r="X312" i="2"/>
  <c r="Y311" i="2"/>
  <c r="X311" i="2"/>
  <c r="Y310" i="2"/>
  <c r="X310" i="2"/>
  <c r="Y309" i="2"/>
  <c r="X309" i="2"/>
  <c r="Y308" i="2"/>
  <c r="X308" i="2"/>
  <c r="Y307" i="2"/>
  <c r="X307" i="2"/>
  <c r="Y306" i="2"/>
  <c r="X306" i="2"/>
  <c r="Y305" i="2"/>
  <c r="X305" i="2"/>
  <c r="Y304" i="2"/>
  <c r="X304" i="2"/>
  <c r="Y303" i="2"/>
  <c r="X303" i="2"/>
  <c r="Y302" i="2"/>
  <c r="X302" i="2"/>
  <c r="Y301" i="2"/>
  <c r="X301" i="2"/>
  <c r="Y300" i="2"/>
  <c r="X300" i="2"/>
  <c r="Y299" i="2"/>
  <c r="X299" i="2"/>
  <c r="Y298" i="2"/>
  <c r="X298" i="2"/>
  <c r="Y297" i="2"/>
  <c r="X297" i="2"/>
  <c r="Y296" i="2"/>
  <c r="X296" i="2"/>
  <c r="Y295" i="2"/>
  <c r="X295" i="2"/>
  <c r="Y294" i="2"/>
  <c r="X294" i="2"/>
  <c r="Y293" i="2"/>
  <c r="X293" i="2"/>
  <c r="Y292" i="2"/>
  <c r="X292" i="2"/>
  <c r="Y291" i="2"/>
  <c r="X291" i="2"/>
  <c r="Y290" i="2"/>
  <c r="X290" i="2"/>
  <c r="Y289" i="2"/>
  <c r="X289" i="2"/>
  <c r="Y288" i="2"/>
  <c r="X288" i="2"/>
  <c r="Y287" i="2"/>
  <c r="X287" i="2"/>
  <c r="Y286" i="2"/>
  <c r="X286" i="2"/>
  <c r="Y285" i="2"/>
  <c r="X285" i="2"/>
  <c r="Y284" i="2"/>
  <c r="X284" i="2"/>
  <c r="Y283" i="2"/>
  <c r="X283" i="2"/>
  <c r="Y282" i="2"/>
  <c r="X282" i="2"/>
  <c r="Y281" i="2"/>
  <c r="X281" i="2"/>
  <c r="Y280" i="2"/>
  <c r="X280" i="2"/>
  <c r="Y279" i="2"/>
  <c r="X279" i="2"/>
  <c r="Y278" i="2"/>
  <c r="X278" i="2"/>
  <c r="Y277" i="2"/>
  <c r="X277" i="2"/>
  <c r="Y276" i="2"/>
  <c r="X276" i="2"/>
  <c r="Y275" i="2"/>
  <c r="X275" i="2"/>
  <c r="Y274" i="2"/>
  <c r="X274" i="2"/>
  <c r="Y273" i="2"/>
  <c r="X273" i="2"/>
  <c r="Y272" i="2"/>
  <c r="X272" i="2"/>
  <c r="Y271" i="2"/>
  <c r="X271" i="2"/>
  <c r="Y270" i="2"/>
  <c r="X270" i="2"/>
  <c r="Y269" i="2"/>
  <c r="X269" i="2"/>
  <c r="Y268" i="2"/>
  <c r="X268" i="2"/>
  <c r="Y267" i="2"/>
  <c r="X267" i="2"/>
  <c r="Y266" i="2"/>
  <c r="X266" i="2"/>
  <c r="Y265" i="2"/>
  <c r="X265" i="2"/>
  <c r="Y264" i="2"/>
  <c r="X264" i="2"/>
  <c r="Y263" i="2"/>
  <c r="X263" i="2"/>
  <c r="Y262" i="2"/>
  <c r="X262" i="2"/>
  <c r="Y261" i="2"/>
  <c r="X261" i="2"/>
  <c r="Y260" i="2"/>
  <c r="X260" i="2"/>
  <c r="Y259" i="2"/>
  <c r="X259" i="2"/>
  <c r="Y258" i="2"/>
  <c r="X258" i="2"/>
  <c r="Y257" i="2"/>
  <c r="X257" i="2"/>
  <c r="Y256" i="2"/>
  <c r="X256" i="2"/>
  <c r="Y255" i="2"/>
  <c r="X255" i="2"/>
  <c r="Y254" i="2"/>
  <c r="X254" i="2"/>
  <c r="Y253" i="2"/>
  <c r="X253" i="2"/>
  <c r="Y252" i="2"/>
  <c r="X252" i="2"/>
  <c r="Y251" i="2"/>
  <c r="X251" i="2"/>
  <c r="Y250" i="2"/>
  <c r="X250" i="2"/>
  <c r="Y249" i="2"/>
  <c r="X249" i="2"/>
  <c r="Y248" i="2"/>
  <c r="X248" i="2"/>
  <c r="Y247" i="2"/>
  <c r="X247" i="2"/>
  <c r="Y246" i="2"/>
  <c r="X246" i="2"/>
  <c r="Y245" i="2"/>
  <c r="X245" i="2"/>
  <c r="Y243" i="2"/>
  <c r="X243" i="2"/>
  <c r="Y242" i="2"/>
  <c r="X242" i="2"/>
  <c r="Y241" i="2"/>
  <c r="X241" i="2"/>
  <c r="Y240" i="2"/>
  <c r="X240" i="2"/>
  <c r="Y239" i="2"/>
  <c r="X239" i="2"/>
  <c r="Y238" i="2"/>
  <c r="X238" i="2"/>
  <c r="Y237" i="2"/>
  <c r="X237" i="2"/>
  <c r="Y236" i="2"/>
  <c r="X236" i="2"/>
  <c r="Y235" i="2"/>
  <c r="X235" i="2"/>
  <c r="Y234" i="2"/>
  <c r="X234" i="2"/>
  <c r="Y233" i="2"/>
  <c r="X233" i="2"/>
  <c r="Y232" i="2"/>
  <c r="X232" i="2"/>
  <c r="Y231" i="2"/>
  <c r="X231" i="2"/>
  <c r="Y230" i="2"/>
  <c r="X230" i="2"/>
  <c r="Y229" i="2"/>
  <c r="X229" i="2"/>
  <c r="Y228" i="2"/>
  <c r="X228" i="2"/>
  <c r="Y227" i="2"/>
  <c r="X227" i="2"/>
  <c r="Y226" i="2"/>
  <c r="X226" i="2"/>
  <c r="Y225" i="2"/>
  <c r="X225" i="2"/>
  <c r="Y224" i="2"/>
  <c r="X224" i="2"/>
  <c r="Y223" i="2"/>
  <c r="X223" i="2"/>
  <c r="Y222" i="2"/>
  <c r="X222" i="2"/>
  <c r="Y221" i="2"/>
  <c r="X221" i="2"/>
  <c r="Y220" i="2"/>
  <c r="X220" i="2"/>
  <c r="Y219" i="2"/>
  <c r="X219" i="2"/>
  <c r="Y218" i="2"/>
  <c r="X218" i="2"/>
  <c r="Y217" i="2"/>
  <c r="X217" i="2"/>
  <c r="Y216" i="2"/>
  <c r="X216" i="2"/>
  <c r="Y215" i="2"/>
  <c r="X215" i="2"/>
  <c r="Y214" i="2"/>
  <c r="X214" i="2"/>
  <c r="Y213" i="2"/>
  <c r="X213" i="2"/>
  <c r="Y212" i="2"/>
  <c r="X212" i="2"/>
  <c r="Y211" i="2"/>
  <c r="X211" i="2"/>
  <c r="Y210" i="2"/>
  <c r="X210" i="2"/>
  <c r="Y209" i="2"/>
  <c r="X209" i="2"/>
  <c r="Y208" i="2"/>
  <c r="X208" i="2"/>
  <c r="Y207" i="2"/>
  <c r="X207" i="2"/>
  <c r="Y206" i="2"/>
  <c r="X206" i="2"/>
  <c r="Y205" i="2"/>
  <c r="X205" i="2"/>
  <c r="Y204" i="2"/>
  <c r="X204" i="2"/>
  <c r="Y203" i="2"/>
  <c r="X203" i="2"/>
  <c r="Y202" i="2"/>
  <c r="X202" i="2"/>
  <c r="Y201" i="2"/>
  <c r="X201" i="2"/>
  <c r="Y200" i="2"/>
  <c r="X200" i="2"/>
  <c r="Y199" i="2"/>
  <c r="X199" i="2"/>
  <c r="Y198" i="2"/>
  <c r="X198" i="2"/>
  <c r="Y197" i="2"/>
  <c r="X197" i="2"/>
  <c r="Y196" i="2"/>
  <c r="X196" i="2"/>
  <c r="Y195" i="2"/>
  <c r="X195" i="2"/>
  <c r="Y194" i="2"/>
  <c r="X194" i="2"/>
  <c r="Y193" i="2"/>
  <c r="X193" i="2"/>
  <c r="Y192" i="2"/>
  <c r="X192" i="2"/>
  <c r="Y191" i="2"/>
  <c r="X191" i="2"/>
  <c r="Y190" i="2"/>
  <c r="X190" i="2"/>
  <c r="Y189" i="2"/>
  <c r="X189" i="2"/>
  <c r="Y188" i="2"/>
  <c r="X188" i="2"/>
  <c r="Y187" i="2"/>
  <c r="X187" i="2"/>
  <c r="Y186" i="2"/>
  <c r="X186" i="2"/>
  <c r="Y185" i="2"/>
  <c r="X185" i="2"/>
  <c r="Y184" i="2"/>
  <c r="X184" i="2"/>
  <c r="Y183" i="2"/>
  <c r="X183" i="2"/>
  <c r="Y182" i="2"/>
  <c r="X182" i="2"/>
  <c r="Y181" i="2"/>
  <c r="X181" i="2"/>
  <c r="Y180" i="2"/>
  <c r="X180" i="2"/>
  <c r="Y179" i="2"/>
  <c r="X179" i="2"/>
  <c r="Y178" i="2"/>
  <c r="X178" i="2"/>
  <c r="Y177" i="2"/>
  <c r="X177" i="2"/>
  <c r="Y176" i="2"/>
  <c r="X176" i="2"/>
  <c r="Y175" i="2"/>
  <c r="X175" i="2"/>
  <c r="Y174" i="2"/>
  <c r="X174" i="2"/>
  <c r="Y173" i="2"/>
  <c r="X173" i="2"/>
  <c r="Y172" i="2"/>
  <c r="X172" i="2"/>
  <c r="Y171" i="2"/>
  <c r="X171" i="2"/>
  <c r="Y170" i="2"/>
  <c r="X170" i="2"/>
  <c r="Y169" i="2"/>
  <c r="X169" i="2"/>
  <c r="Y168" i="2"/>
  <c r="X168" i="2"/>
  <c r="Y167" i="2"/>
  <c r="X167" i="2"/>
  <c r="Y166" i="2"/>
  <c r="X166" i="2"/>
  <c r="Y165" i="2"/>
  <c r="X165" i="2"/>
  <c r="Y164" i="2"/>
  <c r="X164" i="2"/>
  <c r="Y163" i="2"/>
  <c r="X163" i="2"/>
  <c r="Y162" i="2"/>
  <c r="X162" i="2"/>
  <c r="Y161" i="2"/>
  <c r="X161" i="2"/>
  <c r="Y160" i="2"/>
  <c r="X160" i="2"/>
  <c r="Y159" i="2"/>
  <c r="X159" i="2"/>
  <c r="Y158" i="2"/>
  <c r="X158" i="2"/>
  <c r="Y157" i="2"/>
  <c r="X157" i="2"/>
  <c r="Y156" i="2"/>
  <c r="X156" i="2"/>
  <c r="Y155" i="2"/>
  <c r="X155" i="2"/>
  <c r="Y154" i="2"/>
  <c r="X154" i="2"/>
  <c r="Y153" i="2"/>
  <c r="X153" i="2"/>
  <c r="Y152" i="2"/>
  <c r="X152" i="2"/>
  <c r="Y151" i="2"/>
  <c r="X151" i="2"/>
  <c r="Y150" i="2"/>
  <c r="X150" i="2"/>
  <c r="Y149" i="2"/>
  <c r="X149" i="2"/>
  <c r="Y148" i="2"/>
  <c r="X148" i="2"/>
  <c r="Y147" i="2"/>
  <c r="X147" i="2"/>
  <c r="Y146" i="2"/>
  <c r="X146" i="2"/>
  <c r="Y145" i="2"/>
  <c r="X145" i="2"/>
  <c r="Y144" i="2"/>
  <c r="X144" i="2"/>
  <c r="Y143" i="2"/>
  <c r="X143" i="2"/>
  <c r="Y142" i="2"/>
  <c r="X142" i="2"/>
  <c r="Y141" i="2"/>
  <c r="X141" i="2"/>
  <c r="Y140" i="2"/>
  <c r="X140" i="2"/>
  <c r="Y139" i="2"/>
  <c r="X139" i="2"/>
  <c r="Y138" i="2"/>
  <c r="X138" i="2"/>
  <c r="Y137" i="2"/>
  <c r="X137" i="2"/>
  <c r="Y136" i="2"/>
  <c r="X136" i="2"/>
  <c r="Y135" i="2"/>
  <c r="X135" i="2"/>
  <c r="Y134" i="2"/>
  <c r="X134" i="2"/>
  <c r="Y133" i="2"/>
  <c r="X133" i="2"/>
  <c r="Y132" i="2"/>
  <c r="X132" i="2"/>
  <c r="Y131" i="2"/>
  <c r="X131" i="2"/>
  <c r="Y130" i="2"/>
  <c r="X130" i="2"/>
  <c r="Y129" i="2"/>
  <c r="X129" i="2"/>
  <c r="Y128" i="2"/>
  <c r="X128" i="2"/>
  <c r="Y127" i="2"/>
  <c r="X127" i="2"/>
  <c r="Y126" i="2"/>
  <c r="X126" i="2"/>
  <c r="Y125" i="2"/>
  <c r="X125" i="2"/>
  <c r="Y124" i="2"/>
  <c r="X124" i="2"/>
  <c r="Y123" i="2"/>
  <c r="X123" i="2"/>
  <c r="Y122" i="2"/>
  <c r="X122" i="2"/>
  <c r="Y121" i="2"/>
  <c r="X121" i="2"/>
  <c r="Y120" i="2"/>
  <c r="X120" i="2"/>
  <c r="Y119" i="2"/>
  <c r="X119" i="2"/>
  <c r="Y118" i="2"/>
  <c r="X118" i="2"/>
  <c r="Y117" i="2"/>
  <c r="X117" i="2"/>
  <c r="Y116" i="2"/>
  <c r="X116" i="2"/>
  <c r="Y115" i="2"/>
  <c r="X115" i="2"/>
  <c r="Y114" i="2"/>
  <c r="X114" i="2"/>
  <c r="Y113" i="2"/>
  <c r="X113" i="2"/>
  <c r="Y112" i="2"/>
  <c r="X112" i="2"/>
  <c r="Y111" i="2"/>
  <c r="X111" i="2"/>
  <c r="Y110" i="2"/>
  <c r="X110" i="2"/>
  <c r="Y109" i="2"/>
  <c r="X109" i="2"/>
  <c r="Y108" i="2"/>
  <c r="X108" i="2"/>
  <c r="Y107" i="2"/>
  <c r="X107" i="2"/>
  <c r="Y106" i="2"/>
  <c r="X106" i="2"/>
  <c r="Y105" i="2"/>
  <c r="X105" i="2"/>
  <c r="Y104" i="2"/>
  <c r="X104" i="2"/>
  <c r="Y103" i="2"/>
  <c r="X103" i="2"/>
  <c r="Y102" i="2"/>
  <c r="X102" i="2"/>
  <c r="Y101" i="2"/>
  <c r="X101" i="2"/>
  <c r="Y100" i="2"/>
  <c r="X100" i="2"/>
  <c r="Y99" i="2"/>
  <c r="X99" i="2"/>
  <c r="Y98" i="2"/>
  <c r="X98" i="2"/>
  <c r="Y97" i="2"/>
  <c r="X97" i="2"/>
  <c r="Y96" i="2"/>
  <c r="X96" i="2"/>
  <c r="Y95" i="2"/>
  <c r="X95" i="2"/>
  <c r="Y94" i="2"/>
  <c r="X94" i="2"/>
  <c r="Y93" i="2"/>
  <c r="X93" i="2"/>
  <c r="Y92" i="2"/>
  <c r="X92" i="2"/>
  <c r="Y91" i="2"/>
  <c r="X91" i="2"/>
  <c r="Y90" i="2"/>
  <c r="X90" i="2"/>
  <c r="Y89" i="2"/>
  <c r="X89" i="2"/>
  <c r="Y88" i="2"/>
  <c r="X88" i="2"/>
  <c r="Y87" i="2"/>
  <c r="X87" i="2"/>
  <c r="Y86" i="2"/>
  <c r="X86" i="2"/>
  <c r="Y85" i="2"/>
  <c r="X85" i="2"/>
  <c r="Y84" i="2"/>
  <c r="X84" i="2"/>
  <c r="Y83" i="2"/>
  <c r="X83" i="2"/>
  <c r="Y82" i="2"/>
  <c r="X82" i="2"/>
  <c r="Y81" i="2"/>
  <c r="X81" i="2"/>
  <c r="Y80" i="2"/>
  <c r="X80" i="2"/>
  <c r="Y79" i="2"/>
  <c r="X79" i="2"/>
  <c r="Y78" i="2"/>
  <c r="X78" i="2"/>
  <c r="Y77" i="2"/>
  <c r="X77" i="2"/>
  <c r="Y76" i="2"/>
  <c r="X76" i="2"/>
  <c r="Y75" i="2"/>
  <c r="X75" i="2"/>
  <c r="Y74" i="2"/>
  <c r="X74" i="2"/>
  <c r="Y73" i="2"/>
  <c r="X73" i="2"/>
  <c r="Y72" i="2"/>
  <c r="X72" i="2"/>
  <c r="Y71" i="2"/>
  <c r="X71" i="2"/>
  <c r="Y70" i="2"/>
  <c r="X70" i="2"/>
  <c r="Y69" i="2"/>
  <c r="X69" i="2"/>
  <c r="Y68" i="2"/>
  <c r="X68" i="2"/>
  <c r="Y67" i="2"/>
  <c r="X67" i="2"/>
  <c r="Y66" i="2"/>
  <c r="X66" i="2"/>
  <c r="Y65" i="2"/>
  <c r="X65" i="2"/>
  <c r="Y64" i="2"/>
  <c r="X64" i="2"/>
  <c r="Y63" i="2"/>
  <c r="X63" i="2"/>
  <c r="Y62" i="2"/>
  <c r="X62" i="2"/>
  <c r="Y61" i="2"/>
  <c r="X61" i="2"/>
  <c r="Y60" i="2"/>
  <c r="X60" i="2"/>
  <c r="Y59" i="2"/>
  <c r="X59" i="2"/>
  <c r="Y58" i="2"/>
  <c r="X58" i="2"/>
  <c r="Y57" i="2"/>
  <c r="X57" i="2"/>
  <c r="Y56" i="2"/>
  <c r="X56" i="2"/>
  <c r="Y55" i="2"/>
  <c r="X55" i="2"/>
  <c r="Y54" i="2"/>
  <c r="X54" i="2"/>
  <c r="Y53" i="2"/>
  <c r="X53" i="2"/>
  <c r="Y52" i="2"/>
  <c r="X52" i="2"/>
  <c r="Y51" i="2"/>
  <c r="X51" i="2"/>
  <c r="Y50" i="2"/>
  <c r="X50" i="2"/>
  <c r="Y49" i="2"/>
  <c r="X49" i="2"/>
  <c r="Y48" i="2"/>
  <c r="X48" i="2"/>
  <c r="Y47" i="2"/>
  <c r="X47" i="2"/>
  <c r="Y46" i="2"/>
  <c r="X46" i="2"/>
  <c r="Y45" i="2"/>
  <c r="X45" i="2"/>
  <c r="Y44" i="2"/>
  <c r="X44" i="2"/>
  <c r="Y43" i="2"/>
  <c r="X43" i="2"/>
  <c r="Y42" i="2"/>
  <c r="X42" i="2"/>
  <c r="Y41" i="2"/>
  <c r="X41" i="2"/>
  <c r="Y40" i="2"/>
  <c r="X40" i="2"/>
  <c r="Y39" i="2"/>
  <c r="X39" i="2"/>
  <c r="Y38" i="2"/>
  <c r="X38" i="2"/>
  <c r="Y37" i="2"/>
  <c r="X37" i="2"/>
  <c r="Y36" i="2"/>
  <c r="X36" i="2"/>
  <c r="Y35" i="2"/>
  <c r="X35" i="2"/>
  <c r="Y34" i="2"/>
  <c r="X34" i="2"/>
  <c r="Y33" i="2"/>
  <c r="X33" i="2"/>
  <c r="Y32" i="2"/>
  <c r="X32" i="2"/>
  <c r="Y31" i="2"/>
  <c r="X31" i="2"/>
  <c r="Y30" i="2"/>
  <c r="X30" i="2"/>
  <c r="Y29" i="2"/>
  <c r="X29" i="2"/>
  <c r="Y28" i="2"/>
  <c r="X28" i="2"/>
  <c r="Y27" i="2"/>
  <c r="X27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Y19" i="2"/>
  <c r="X19" i="2"/>
  <c r="Y18" i="2"/>
  <c r="X18" i="2"/>
  <c r="Y17" i="2"/>
  <c r="X17" i="2"/>
  <c r="Y16" i="2"/>
  <c r="X16" i="2"/>
  <c r="Y15" i="2"/>
  <c r="X15" i="2"/>
  <c r="Y14" i="2"/>
  <c r="X14" i="2"/>
  <c r="Y13" i="2"/>
  <c r="X13" i="2"/>
  <c r="Y12" i="2"/>
  <c r="X12" i="2"/>
  <c r="Y11" i="2"/>
  <c r="X11" i="2"/>
  <c r="Y10" i="2"/>
  <c r="X10" i="2"/>
  <c r="Y9" i="2"/>
  <c r="X9" i="2"/>
  <c r="Z9" i="2" s="1"/>
  <c r="Y8" i="2"/>
  <c r="X8" i="2"/>
  <c r="Y7" i="2"/>
  <c r="X7" i="2"/>
  <c r="Y6" i="2"/>
  <c r="X6" i="2"/>
  <c r="Y5" i="2"/>
  <c r="X5" i="2"/>
  <c r="Y4" i="2"/>
  <c r="X4" i="2"/>
  <c r="Y3" i="2"/>
  <c r="X3" i="2"/>
  <c r="Y2" i="2"/>
  <c r="X2" i="2"/>
  <c r="Z2" i="2" s="1"/>
  <c r="Y244" i="2" l="1"/>
  <c r="X244" i="2"/>
  <c r="Y1118" i="2"/>
  <c r="X1118" i="2"/>
  <c r="W1114" i="2"/>
  <c r="W1115" i="2"/>
  <c r="W1116" i="2"/>
  <c r="W1117" i="2"/>
  <c r="W1118" i="2"/>
  <c r="W1119" i="2"/>
  <c r="W1120" i="2"/>
  <c r="W1121" i="2"/>
  <c r="W1122" i="2"/>
  <c r="T1114" i="2"/>
  <c r="U1114" i="2" s="1"/>
  <c r="T1115" i="2"/>
  <c r="U1115" i="2" s="1"/>
  <c r="T1116" i="2"/>
  <c r="U1116" i="2" s="1"/>
  <c r="T1117" i="2"/>
  <c r="U1117" i="2"/>
  <c r="T1118" i="2"/>
  <c r="U1118" i="2" s="1"/>
  <c r="T1119" i="2"/>
  <c r="U1119" i="2" s="1"/>
  <c r="T1120" i="2"/>
  <c r="U1120" i="2" s="1"/>
  <c r="T1121" i="2"/>
  <c r="U1121" i="2"/>
  <c r="T1122" i="2"/>
  <c r="U1122" i="2" s="1"/>
  <c r="X1482" i="2" l="1"/>
  <c r="Y1482" i="2"/>
  <c r="T1102" i="2"/>
  <c r="T1095" i="2"/>
  <c r="T1083" i="2"/>
  <c r="T1059" i="2"/>
  <c r="T1056" i="2"/>
  <c r="T1046" i="2"/>
  <c r="T1009" i="2"/>
  <c r="T1010" i="2"/>
  <c r="T1011" i="2"/>
  <c r="T1008" i="2"/>
  <c r="T1006" i="2"/>
  <c r="T998" i="2"/>
  <c r="U998" i="2" s="1"/>
  <c r="T984" i="2"/>
  <c r="T983" i="2"/>
  <c r="T981" i="2"/>
  <c r="T976" i="2"/>
  <c r="T977" i="2"/>
  <c r="T975" i="2"/>
  <c r="T971" i="2"/>
  <c r="T969" i="2"/>
  <c r="T948" i="2"/>
  <c r="T880" i="2"/>
  <c r="U880" i="2" s="1"/>
  <c r="T877" i="2"/>
  <c r="T868" i="2"/>
  <c r="T866" i="2"/>
  <c r="T863" i="2"/>
  <c r="T862" i="2"/>
  <c r="T849" i="2"/>
  <c r="T826" i="2"/>
  <c r="T790" i="2"/>
  <c r="U790" i="2" s="1"/>
  <c r="T785" i="2"/>
  <c r="T783" i="2"/>
  <c r="T779" i="2"/>
  <c r="T777" i="2"/>
  <c r="U777" i="2" s="1"/>
  <c r="T770" i="2"/>
  <c r="T766" i="2"/>
  <c r="T764" i="2"/>
  <c r="T758" i="2"/>
  <c r="T759" i="2"/>
  <c r="T757" i="2"/>
  <c r="T754" i="2"/>
  <c r="T755" i="2"/>
  <c r="U755" i="2" s="1"/>
  <c r="T753" i="2"/>
  <c r="U753" i="2" s="1"/>
  <c r="T750" i="2"/>
  <c r="T749" i="2"/>
  <c r="T743" i="2"/>
  <c r="T742" i="2"/>
  <c r="T740" i="2"/>
  <c r="T737" i="2"/>
  <c r="T735" i="2"/>
  <c r="T729" i="2"/>
  <c r="T726" i="2"/>
  <c r="U726" i="2" s="1"/>
  <c r="T725" i="2"/>
  <c r="T717" i="2"/>
  <c r="U717" i="2" s="1"/>
  <c r="T707" i="2"/>
  <c r="T674" i="2"/>
  <c r="U674" i="2" s="1"/>
  <c r="T671" i="2"/>
  <c r="T667" i="2"/>
  <c r="T655" i="2"/>
  <c r="U655" i="2" s="1"/>
  <c r="T605" i="2"/>
  <c r="T549" i="2"/>
  <c r="T548" i="2"/>
  <c r="T424" i="2"/>
  <c r="T425" i="2"/>
  <c r="U425" i="2" s="1"/>
  <c r="T423" i="2"/>
  <c r="T420" i="2"/>
  <c r="T421" i="2"/>
  <c r="U421" i="2" s="1"/>
  <c r="T419" i="2"/>
  <c r="T415" i="2"/>
  <c r="U415" i="2" s="1"/>
  <c r="T416" i="2"/>
  <c r="U416" i="2" s="1"/>
  <c r="T414" i="2"/>
  <c r="U414" i="2" s="1"/>
  <c r="T409" i="2"/>
  <c r="T408" i="2"/>
  <c r="T400" i="2"/>
  <c r="U400" i="2" s="1"/>
  <c r="T382" i="2"/>
  <c r="T359" i="2"/>
  <c r="U359" i="2" s="1"/>
  <c r="T342" i="2"/>
  <c r="U342" i="2" s="1"/>
  <c r="T341" i="2"/>
  <c r="T334" i="2"/>
  <c r="U334" i="2" s="1"/>
  <c r="T327" i="2"/>
  <c r="U327" i="2" s="1"/>
  <c r="T316" i="2"/>
  <c r="U316" i="2" s="1"/>
  <c r="T308" i="2"/>
  <c r="U308" i="2" s="1"/>
  <c r="T304" i="2"/>
  <c r="U304" i="2" s="1"/>
  <c r="T303" i="2"/>
  <c r="T297" i="2"/>
  <c r="T290" i="2"/>
  <c r="T278" i="2"/>
  <c r="U278" i="2" s="1"/>
  <c r="T275" i="2"/>
  <c r="T273" i="2"/>
  <c r="T255" i="2"/>
  <c r="T240" i="2"/>
  <c r="U240" i="2" s="1"/>
  <c r="T94" i="2"/>
  <c r="U94" i="2"/>
  <c r="U255" i="2"/>
  <c r="U273" i="2"/>
  <c r="U275" i="2"/>
  <c r="U290" i="2"/>
  <c r="U297" i="2"/>
  <c r="U303" i="2"/>
  <c r="U341" i="2"/>
  <c r="U382" i="2"/>
  <c r="U408" i="2"/>
  <c r="U409" i="2"/>
  <c r="U419" i="2"/>
  <c r="U420" i="2"/>
  <c r="U423" i="2"/>
  <c r="U424" i="2"/>
  <c r="U548" i="2"/>
  <c r="U549" i="2"/>
  <c r="U605" i="2"/>
  <c r="U667" i="2"/>
  <c r="U671" i="2"/>
  <c r="U707" i="2"/>
  <c r="U725" i="2"/>
  <c r="U729" i="2"/>
  <c r="U735" i="2"/>
  <c r="U737" i="2"/>
  <c r="U740" i="2"/>
  <c r="U742" i="2"/>
  <c r="U743" i="2"/>
  <c r="U749" i="2"/>
  <c r="U750" i="2"/>
  <c r="U754" i="2"/>
  <c r="U757" i="2"/>
  <c r="U758" i="2"/>
  <c r="U759" i="2"/>
  <c r="U764" i="2"/>
  <c r="U766" i="2"/>
  <c r="U770" i="2"/>
  <c r="U779" i="2"/>
  <c r="U783" i="2"/>
  <c r="U785" i="2"/>
  <c r="U826" i="2"/>
  <c r="U849" i="2"/>
  <c r="U862" i="2"/>
  <c r="U863" i="2"/>
  <c r="U866" i="2"/>
  <c r="U868" i="2"/>
  <c r="U877" i="2"/>
  <c r="U948" i="2"/>
  <c r="U969" i="2"/>
  <c r="U971" i="2"/>
  <c r="U975" i="2"/>
  <c r="U976" i="2"/>
  <c r="U977" i="2"/>
  <c r="U981" i="2"/>
  <c r="U983" i="2"/>
  <c r="U984" i="2"/>
  <c r="U1006" i="2"/>
  <c r="U1008" i="2"/>
  <c r="U1009" i="2"/>
  <c r="U1010" i="2"/>
  <c r="U1011" i="2"/>
  <c r="U1046" i="2"/>
  <c r="U1056" i="2"/>
  <c r="U1059" i="2"/>
  <c r="U1083" i="2"/>
  <c r="U1095" i="2"/>
  <c r="U1102" i="2"/>
  <c r="U1292" i="2"/>
  <c r="U1409" i="2"/>
  <c r="U1499" i="2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U33" i="2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U62" i="2" s="1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U100" i="2" s="1"/>
  <c r="T101" i="2"/>
  <c r="U101" i="2" s="1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T112" i="2"/>
  <c r="U112" i="2" s="1"/>
  <c r="T113" i="2"/>
  <c r="U113" i="2" s="1"/>
  <c r="T117" i="2"/>
  <c r="U117" i="2" s="1"/>
  <c r="T118" i="2"/>
  <c r="U118" i="2" s="1"/>
  <c r="T119" i="2"/>
  <c r="U119" i="2" s="1"/>
  <c r="T122" i="2"/>
  <c r="U122" i="2" s="1"/>
  <c r="T123" i="2"/>
  <c r="U123" i="2" s="1"/>
  <c r="T124" i="2"/>
  <c r="U124" i="2" s="1"/>
  <c r="T125" i="2"/>
  <c r="U125" i="2" s="1"/>
  <c r="T126" i="2"/>
  <c r="U126" i="2" s="1"/>
  <c r="T128" i="2"/>
  <c r="U128" i="2" s="1"/>
  <c r="T129" i="2"/>
  <c r="U129" i="2" s="1"/>
  <c r="T130" i="2"/>
  <c r="U130" i="2" s="1"/>
  <c r="T131" i="2"/>
  <c r="U131" i="2" s="1"/>
  <c r="T134" i="2"/>
  <c r="U134" i="2" s="1"/>
  <c r="T135" i="2"/>
  <c r="U135" i="2" s="1"/>
  <c r="T136" i="2"/>
  <c r="U136" i="2" s="1"/>
  <c r="T137" i="2"/>
  <c r="U137" i="2" s="1"/>
  <c r="T138" i="2"/>
  <c r="U138" i="2" s="1"/>
  <c r="T139" i="2"/>
  <c r="U139" i="2" s="1"/>
  <c r="T141" i="2"/>
  <c r="U141" i="2" s="1"/>
  <c r="T143" i="2"/>
  <c r="U143" i="2" s="1"/>
  <c r="T144" i="2"/>
  <c r="U144" i="2" s="1"/>
  <c r="T145" i="2"/>
  <c r="U145" i="2" s="1"/>
  <c r="T146" i="2"/>
  <c r="U146" i="2" s="1"/>
  <c r="T147" i="2"/>
  <c r="U147" i="2" s="1"/>
  <c r="T148" i="2"/>
  <c r="U148" i="2" s="1"/>
  <c r="T149" i="2"/>
  <c r="U149" i="2" s="1"/>
  <c r="T150" i="2"/>
  <c r="U150" i="2" s="1"/>
  <c r="T151" i="2"/>
  <c r="U151" i="2" s="1"/>
  <c r="T152" i="2"/>
  <c r="U152" i="2" s="1"/>
  <c r="T153" i="2"/>
  <c r="U153" i="2" s="1"/>
  <c r="T156" i="2"/>
  <c r="U156" i="2" s="1"/>
  <c r="T157" i="2"/>
  <c r="U157" i="2" s="1"/>
  <c r="T158" i="2"/>
  <c r="U158" i="2" s="1"/>
  <c r="T159" i="2"/>
  <c r="U159" i="2" s="1"/>
  <c r="T161" i="2"/>
  <c r="U161" i="2" s="1"/>
  <c r="T162" i="2"/>
  <c r="U162" i="2" s="1"/>
  <c r="T163" i="2"/>
  <c r="U163" i="2" s="1"/>
  <c r="T164" i="2"/>
  <c r="U164" i="2" s="1"/>
  <c r="T165" i="2"/>
  <c r="U165" i="2" s="1"/>
  <c r="T166" i="2"/>
  <c r="U166" i="2" s="1"/>
  <c r="T167" i="2"/>
  <c r="U167" i="2" s="1"/>
  <c r="T168" i="2"/>
  <c r="U168" i="2" s="1"/>
  <c r="T170" i="2"/>
  <c r="U170" i="2" s="1"/>
  <c r="T171" i="2"/>
  <c r="U171" i="2" s="1"/>
  <c r="T172" i="2"/>
  <c r="U172" i="2" s="1"/>
  <c r="T173" i="2"/>
  <c r="U173" i="2" s="1"/>
  <c r="T174" i="2"/>
  <c r="U174" i="2" s="1"/>
  <c r="T175" i="2"/>
  <c r="U175" i="2" s="1"/>
  <c r="T176" i="2"/>
  <c r="U176" i="2" s="1"/>
  <c r="T177" i="2"/>
  <c r="U177" i="2" s="1"/>
  <c r="T180" i="2"/>
  <c r="U180" i="2" s="1"/>
  <c r="T182" i="2"/>
  <c r="U182" i="2" s="1"/>
  <c r="T183" i="2"/>
  <c r="U183" i="2" s="1"/>
  <c r="T184" i="2"/>
  <c r="U184" i="2" s="1"/>
  <c r="T187" i="2"/>
  <c r="U187" i="2" s="1"/>
  <c r="T188" i="2"/>
  <c r="U188" i="2" s="1"/>
  <c r="T189" i="2"/>
  <c r="U189" i="2" s="1"/>
  <c r="T190" i="2"/>
  <c r="U190" i="2" s="1"/>
  <c r="T191" i="2"/>
  <c r="U191" i="2" s="1"/>
  <c r="T192" i="2"/>
  <c r="U192" i="2" s="1"/>
  <c r="T193" i="2"/>
  <c r="U193" i="2" s="1"/>
  <c r="T194" i="2"/>
  <c r="U194" i="2" s="1"/>
  <c r="T195" i="2"/>
  <c r="U195" i="2" s="1"/>
  <c r="T196" i="2"/>
  <c r="U196" i="2" s="1"/>
  <c r="T198" i="2"/>
  <c r="U198" i="2" s="1"/>
  <c r="T199" i="2"/>
  <c r="U199" i="2" s="1"/>
  <c r="T200" i="2"/>
  <c r="U200" i="2" s="1"/>
  <c r="T201" i="2"/>
  <c r="U201" i="2" s="1"/>
  <c r="T202" i="2"/>
  <c r="U202" i="2" s="1"/>
  <c r="T203" i="2"/>
  <c r="U203" i="2" s="1"/>
  <c r="T204" i="2"/>
  <c r="U204" i="2" s="1"/>
  <c r="T205" i="2"/>
  <c r="U205" i="2" s="1"/>
  <c r="T206" i="2"/>
  <c r="U206" i="2" s="1"/>
  <c r="T207" i="2"/>
  <c r="U207" i="2" s="1"/>
  <c r="T208" i="2"/>
  <c r="U208" i="2" s="1"/>
  <c r="T209" i="2"/>
  <c r="U209" i="2" s="1"/>
  <c r="T210" i="2"/>
  <c r="U210" i="2" s="1"/>
  <c r="T211" i="2"/>
  <c r="U211" i="2" s="1"/>
  <c r="T212" i="2"/>
  <c r="U212" i="2" s="1"/>
  <c r="T213" i="2"/>
  <c r="U213" i="2" s="1"/>
  <c r="T214" i="2"/>
  <c r="U214" i="2" s="1"/>
  <c r="T215" i="2"/>
  <c r="U215" i="2" s="1"/>
  <c r="T216" i="2"/>
  <c r="U216" i="2" s="1"/>
  <c r="T217" i="2"/>
  <c r="U217" i="2" s="1"/>
  <c r="T218" i="2"/>
  <c r="U218" i="2" s="1"/>
  <c r="T219" i="2"/>
  <c r="U219" i="2" s="1"/>
  <c r="T221" i="2"/>
  <c r="U221" i="2" s="1"/>
  <c r="T222" i="2"/>
  <c r="U222" i="2" s="1"/>
  <c r="T223" i="2"/>
  <c r="U223" i="2" s="1"/>
  <c r="T224" i="2"/>
  <c r="U224" i="2" s="1"/>
  <c r="T225" i="2"/>
  <c r="U225" i="2" s="1"/>
  <c r="T226" i="2"/>
  <c r="U226" i="2" s="1"/>
  <c r="T227" i="2"/>
  <c r="U227" i="2" s="1"/>
  <c r="T228" i="2"/>
  <c r="U228" i="2" s="1"/>
  <c r="T229" i="2"/>
  <c r="U229" i="2" s="1"/>
  <c r="T230" i="2"/>
  <c r="U230" i="2" s="1"/>
  <c r="T233" i="2"/>
  <c r="U233" i="2" s="1"/>
  <c r="T234" i="2"/>
  <c r="U234" i="2" s="1"/>
  <c r="T235" i="2"/>
  <c r="U235" i="2" s="1"/>
  <c r="T236" i="2"/>
  <c r="U236" i="2" s="1"/>
  <c r="T239" i="2"/>
  <c r="U239" i="2" s="1"/>
  <c r="T241" i="2"/>
  <c r="U241" i="2" s="1"/>
  <c r="T242" i="2"/>
  <c r="U242" i="2" s="1"/>
  <c r="T243" i="2"/>
  <c r="U243" i="2" s="1"/>
  <c r="T244" i="2"/>
  <c r="U244" i="2" s="1"/>
  <c r="T245" i="2"/>
  <c r="U245" i="2" s="1"/>
  <c r="T246" i="2"/>
  <c r="U246" i="2" s="1"/>
  <c r="T248" i="2"/>
  <c r="U248" i="2" s="1"/>
  <c r="T249" i="2"/>
  <c r="U249" i="2" s="1"/>
  <c r="T250" i="2"/>
  <c r="U250" i="2" s="1"/>
  <c r="T251" i="2"/>
  <c r="U251" i="2" s="1"/>
  <c r="T252" i="2"/>
  <c r="U252" i="2" s="1"/>
  <c r="T253" i="2"/>
  <c r="U253" i="2" s="1"/>
  <c r="T254" i="2"/>
  <c r="U254" i="2" s="1"/>
  <c r="T257" i="2"/>
  <c r="U257" i="2" s="1"/>
  <c r="T258" i="2"/>
  <c r="U258" i="2" s="1"/>
  <c r="T259" i="2"/>
  <c r="U259" i="2" s="1"/>
  <c r="T260" i="2"/>
  <c r="U260" i="2" s="1"/>
  <c r="T261" i="2"/>
  <c r="U261" i="2" s="1"/>
  <c r="T262" i="2"/>
  <c r="U262" i="2" s="1"/>
  <c r="T263" i="2"/>
  <c r="U263" i="2" s="1"/>
  <c r="T264" i="2"/>
  <c r="U264" i="2" s="1"/>
  <c r="T265" i="2"/>
  <c r="U265" i="2" s="1"/>
  <c r="T266" i="2"/>
  <c r="U266" i="2" s="1"/>
  <c r="T267" i="2"/>
  <c r="U267" i="2" s="1"/>
  <c r="T270" i="2"/>
  <c r="U270" i="2" s="1"/>
  <c r="T271" i="2"/>
  <c r="U271" i="2" s="1"/>
  <c r="T274" i="2"/>
  <c r="U274" i="2" s="1"/>
  <c r="T276" i="2"/>
  <c r="U276" i="2" s="1"/>
  <c r="T279" i="2"/>
  <c r="U279" i="2" s="1"/>
  <c r="T280" i="2"/>
  <c r="U280" i="2" s="1"/>
  <c r="T281" i="2"/>
  <c r="U281" i="2" s="1"/>
  <c r="T282" i="2"/>
  <c r="U282" i="2" s="1"/>
  <c r="T283" i="2"/>
  <c r="U283" i="2" s="1"/>
  <c r="T284" i="2"/>
  <c r="U284" i="2" s="1"/>
  <c r="T287" i="2"/>
  <c r="U287" i="2" s="1"/>
  <c r="T288" i="2"/>
  <c r="U288" i="2" s="1"/>
  <c r="T289" i="2"/>
  <c r="U289" i="2" s="1"/>
  <c r="T293" i="2"/>
  <c r="U293" i="2" s="1"/>
  <c r="T294" i="2"/>
  <c r="U294" i="2" s="1"/>
  <c r="T295" i="2"/>
  <c r="U295" i="2" s="1"/>
  <c r="T296" i="2"/>
  <c r="U296" i="2" s="1"/>
  <c r="T298" i="2"/>
  <c r="U298" i="2" s="1"/>
  <c r="T299" i="2"/>
  <c r="U299" i="2" s="1"/>
  <c r="T300" i="2"/>
  <c r="U300" i="2" s="1"/>
  <c r="T301" i="2"/>
  <c r="U301" i="2" s="1"/>
  <c r="T302" i="2"/>
  <c r="U302" i="2" s="1"/>
  <c r="T305" i="2"/>
  <c r="U305" i="2" s="1"/>
  <c r="T306" i="2"/>
  <c r="U306" i="2" s="1"/>
  <c r="T307" i="2"/>
  <c r="U307" i="2" s="1"/>
  <c r="T310" i="2"/>
  <c r="U310" i="2" s="1"/>
  <c r="T311" i="2"/>
  <c r="U311" i="2" s="1"/>
  <c r="T312" i="2"/>
  <c r="U312" i="2" s="1"/>
  <c r="T313" i="2"/>
  <c r="U313" i="2" s="1"/>
  <c r="T314" i="2"/>
  <c r="U314" i="2" s="1"/>
  <c r="T315" i="2"/>
  <c r="U315" i="2" s="1"/>
  <c r="T317" i="2"/>
  <c r="U317" i="2" s="1"/>
  <c r="T318" i="2"/>
  <c r="U318" i="2" s="1"/>
  <c r="T321" i="2"/>
  <c r="U321" i="2" s="1"/>
  <c r="T322" i="2"/>
  <c r="U322" i="2" s="1"/>
  <c r="T323" i="2"/>
  <c r="U323" i="2" s="1"/>
  <c r="T324" i="2"/>
  <c r="U324" i="2" s="1"/>
  <c r="T325" i="2"/>
  <c r="U325" i="2" s="1"/>
  <c r="T326" i="2"/>
  <c r="U326" i="2" s="1"/>
  <c r="T328" i="2"/>
  <c r="U328" i="2" s="1"/>
  <c r="T329" i="2"/>
  <c r="U329" i="2" s="1"/>
  <c r="T330" i="2"/>
  <c r="U330" i="2" s="1"/>
  <c r="T332" i="2"/>
  <c r="U332" i="2" s="1"/>
  <c r="T333" i="2"/>
  <c r="U333" i="2" s="1"/>
  <c r="T335" i="2"/>
  <c r="U335" i="2" s="1"/>
  <c r="T336" i="2"/>
  <c r="U336" i="2" s="1"/>
  <c r="T337" i="2"/>
  <c r="U337" i="2" s="1"/>
  <c r="T338" i="2"/>
  <c r="U338" i="2" s="1"/>
  <c r="T339" i="2"/>
  <c r="U339" i="2" s="1"/>
  <c r="T340" i="2"/>
  <c r="U340" i="2" s="1"/>
  <c r="T343" i="2"/>
  <c r="U343" i="2" s="1"/>
  <c r="T344" i="2"/>
  <c r="U344" i="2" s="1"/>
  <c r="T345" i="2"/>
  <c r="U345" i="2" s="1"/>
  <c r="T346" i="2"/>
  <c r="U346" i="2" s="1"/>
  <c r="T347" i="2"/>
  <c r="U347" i="2" s="1"/>
  <c r="T348" i="2"/>
  <c r="U348" i="2" s="1"/>
  <c r="T349" i="2"/>
  <c r="U349" i="2" s="1"/>
  <c r="T350" i="2"/>
  <c r="U350" i="2" s="1"/>
  <c r="T351" i="2"/>
  <c r="U351" i="2" s="1"/>
  <c r="T354" i="2"/>
  <c r="U354" i="2" s="1"/>
  <c r="T355" i="2"/>
  <c r="U355" i="2" s="1"/>
  <c r="T356" i="2"/>
  <c r="U356" i="2" s="1"/>
  <c r="T357" i="2"/>
  <c r="U357" i="2" s="1"/>
  <c r="T358" i="2"/>
  <c r="U358" i="2" s="1"/>
  <c r="T360" i="2"/>
  <c r="U360" i="2" s="1"/>
  <c r="T361" i="2"/>
  <c r="U361" i="2" s="1"/>
  <c r="T362" i="2"/>
  <c r="U362" i="2" s="1"/>
  <c r="T363" i="2"/>
  <c r="U363" i="2" s="1"/>
  <c r="T364" i="2"/>
  <c r="U364" i="2" s="1"/>
  <c r="T365" i="2"/>
  <c r="U365" i="2" s="1"/>
  <c r="T366" i="2"/>
  <c r="U366" i="2" s="1"/>
  <c r="T367" i="2"/>
  <c r="U367" i="2" s="1"/>
  <c r="T368" i="2"/>
  <c r="U368" i="2" s="1"/>
  <c r="T369" i="2"/>
  <c r="U369" i="2" s="1"/>
  <c r="T370" i="2"/>
  <c r="U370" i="2" s="1"/>
  <c r="T373" i="2"/>
  <c r="U373" i="2" s="1"/>
  <c r="T374" i="2"/>
  <c r="U374" i="2" s="1"/>
  <c r="T375" i="2"/>
  <c r="U375" i="2" s="1"/>
  <c r="T376" i="2"/>
  <c r="U376" i="2" s="1"/>
  <c r="T377" i="2"/>
  <c r="U377" i="2" s="1"/>
  <c r="T378" i="2"/>
  <c r="U378" i="2" s="1"/>
  <c r="T379" i="2"/>
  <c r="U379" i="2" s="1"/>
  <c r="T380" i="2"/>
  <c r="U380" i="2" s="1"/>
  <c r="T383" i="2"/>
  <c r="U383" i="2" s="1"/>
  <c r="T384" i="2"/>
  <c r="U384" i="2" s="1"/>
  <c r="T385" i="2"/>
  <c r="U385" i="2" s="1"/>
  <c r="T387" i="2"/>
  <c r="U387" i="2" s="1"/>
  <c r="T388" i="2"/>
  <c r="U388" i="2" s="1"/>
  <c r="T389" i="2"/>
  <c r="U389" i="2" s="1"/>
  <c r="T390" i="2"/>
  <c r="U390" i="2" s="1"/>
  <c r="T391" i="2"/>
  <c r="U391" i="2" s="1"/>
  <c r="T392" i="2"/>
  <c r="U392" i="2" s="1"/>
  <c r="T393" i="2"/>
  <c r="U393" i="2" s="1"/>
  <c r="T394" i="2"/>
  <c r="U394" i="2" s="1"/>
  <c r="T395" i="2"/>
  <c r="U395" i="2" s="1"/>
  <c r="T398" i="2"/>
  <c r="U398" i="2" s="1"/>
  <c r="T399" i="2"/>
  <c r="U399" i="2" s="1"/>
  <c r="T401" i="2"/>
  <c r="U401" i="2" s="1"/>
  <c r="T403" i="2"/>
  <c r="U403" i="2" s="1"/>
  <c r="T404" i="2"/>
  <c r="U404" i="2" s="1"/>
  <c r="T405" i="2"/>
  <c r="U405" i="2" s="1"/>
  <c r="T406" i="2"/>
  <c r="U406" i="2" s="1"/>
  <c r="T407" i="2"/>
  <c r="U407" i="2" s="1"/>
  <c r="T410" i="2"/>
  <c r="U410" i="2" s="1"/>
  <c r="T413" i="2"/>
  <c r="U413" i="2" s="1"/>
  <c r="T417" i="2"/>
  <c r="U417" i="2" s="1"/>
  <c r="T418" i="2"/>
  <c r="U418" i="2" s="1"/>
  <c r="T422" i="2"/>
  <c r="U422" i="2" s="1"/>
  <c r="T427" i="2"/>
  <c r="U427" i="2" s="1"/>
  <c r="T428" i="2"/>
  <c r="U428" i="2" s="1"/>
  <c r="T429" i="2"/>
  <c r="U429" i="2" s="1"/>
  <c r="T430" i="2"/>
  <c r="U430" i="2" s="1"/>
  <c r="T431" i="2"/>
  <c r="U431" i="2" s="1"/>
  <c r="T432" i="2"/>
  <c r="U432" i="2" s="1"/>
  <c r="T433" i="2"/>
  <c r="U433" i="2" s="1"/>
  <c r="T434" i="2"/>
  <c r="U434" i="2" s="1"/>
  <c r="T435" i="2"/>
  <c r="U435" i="2" s="1"/>
  <c r="T436" i="2"/>
  <c r="U436" i="2" s="1"/>
  <c r="T439" i="2"/>
  <c r="U439" i="2" s="1"/>
  <c r="T440" i="2"/>
  <c r="U440" i="2" s="1"/>
  <c r="T441" i="2"/>
  <c r="U441" i="2" s="1"/>
  <c r="T442" i="2"/>
  <c r="U442" i="2" s="1"/>
  <c r="T443" i="2"/>
  <c r="U443" i="2" s="1"/>
  <c r="T444" i="2"/>
  <c r="U444" i="2" s="1"/>
  <c r="T445" i="2"/>
  <c r="U445" i="2" s="1"/>
  <c r="T446" i="2"/>
  <c r="U446" i="2" s="1"/>
  <c r="T447" i="2"/>
  <c r="U447" i="2" s="1"/>
  <c r="T448" i="2"/>
  <c r="U448" i="2" s="1"/>
  <c r="T449" i="2"/>
  <c r="U449" i="2" s="1"/>
  <c r="T450" i="2"/>
  <c r="U450" i="2" s="1"/>
  <c r="T451" i="2"/>
  <c r="U451" i="2" s="1"/>
  <c r="T453" i="2"/>
  <c r="U453" i="2" s="1"/>
  <c r="T454" i="2"/>
  <c r="U454" i="2" s="1"/>
  <c r="T455" i="2"/>
  <c r="U455" i="2" s="1"/>
  <c r="T456" i="2"/>
  <c r="U456" i="2" s="1"/>
  <c r="T457" i="2"/>
  <c r="U457" i="2" s="1"/>
  <c r="T458" i="2"/>
  <c r="U458" i="2" s="1"/>
  <c r="T459" i="2"/>
  <c r="U459" i="2" s="1"/>
  <c r="T460" i="2"/>
  <c r="U460" i="2" s="1"/>
  <c r="T461" i="2"/>
  <c r="U461" i="2" s="1"/>
  <c r="T462" i="2"/>
  <c r="U462" i="2" s="1"/>
  <c r="T463" i="2"/>
  <c r="U463" i="2" s="1"/>
  <c r="T464" i="2"/>
  <c r="U464" i="2" s="1"/>
  <c r="T465" i="2"/>
  <c r="U465" i="2" s="1"/>
  <c r="T466" i="2"/>
  <c r="U466" i="2" s="1"/>
  <c r="T467" i="2"/>
  <c r="U467" i="2" s="1"/>
  <c r="T468" i="2"/>
  <c r="U468" i="2" s="1"/>
  <c r="T469" i="2"/>
  <c r="U469" i="2" s="1"/>
  <c r="T470" i="2"/>
  <c r="U470" i="2" s="1"/>
  <c r="T471" i="2"/>
  <c r="U471" i="2" s="1"/>
  <c r="T472" i="2"/>
  <c r="U472" i="2" s="1"/>
  <c r="T475" i="2"/>
  <c r="U475" i="2" s="1"/>
  <c r="T476" i="2"/>
  <c r="U476" i="2" s="1"/>
  <c r="T477" i="2"/>
  <c r="U477" i="2" s="1"/>
  <c r="T478" i="2"/>
  <c r="U478" i="2" s="1"/>
  <c r="T479" i="2"/>
  <c r="U479" i="2" s="1"/>
  <c r="T480" i="2"/>
  <c r="U480" i="2" s="1"/>
  <c r="T481" i="2"/>
  <c r="U481" i="2" s="1"/>
  <c r="T482" i="2"/>
  <c r="U482" i="2" s="1"/>
  <c r="T483" i="2"/>
  <c r="U483" i="2" s="1"/>
  <c r="T484" i="2"/>
  <c r="U484" i="2" s="1"/>
  <c r="T487" i="2"/>
  <c r="U487" i="2" s="1"/>
  <c r="T488" i="2"/>
  <c r="U488" i="2" s="1"/>
  <c r="T490" i="2"/>
  <c r="U490" i="2" s="1"/>
  <c r="T491" i="2"/>
  <c r="U491" i="2" s="1"/>
  <c r="T492" i="2"/>
  <c r="U492" i="2" s="1"/>
  <c r="T493" i="2"/>
  <c r="U493" i="2" s="1"/>
  <c r="T494" i="2"/>
  <c r="U494" i="2" s="1"/>
  <c r="T495" i="2"/>
  <c r="U495" i="2" s="1"/>
  <c r="T497" i="2"/>
  <c r="U497" i="2" s="1"/>
  <c r="T498" i="2"/>
  <c r="U498" i="2" s="1"/>
  <c r="T499" i="2"/>
  <c r="U499" i="2" s="1"/>
  <c r="T500" i="2"/>
  <c r="U500" i="2" s="1"/>
  <c r="T501" i="2"/>
  <c r="U501" i="2" s="1"/>
  <c r="T502" i="2"/>
  <c r="U502" i="2" s="1"/>
  <c r="T503" i="2"/>
  <c r="U503" i="2" s="1"/>
  <c r="T504" i="2"/>
  <c r="U504" i="2" s="1"/>
  <c r="T505" i="2"/>
  <c r="U505" i="2" s="1"/>
  <c r="T506" i="2"/>
  <c r="U506" i="2" s="1"/>
  <c r="T507" i="2"/>
  <c r="U507" i="2" s="1"/>
  <c r="T508" i="2"/>
  <c r="U508" i="2" s="1"/>
  <c r="T509" i="2"/>
  <c r="U509" i="2" s="1"/>
  <c r="T510" i="2"/>
  <c r="U510" i="2" s="1"/>
  <c r="T511" i="2"/>
  <c r="U511" i="2" s="1"/>
  <c r="T514" i="2"/>
  <c r="U514" i="2" s="1"/>
  <c r="T515" i="2"/>
  <c r="U515" i="2" s="1"/>
  <c r="T516" i="2"/>
  <c r="U516" i="2" s="1"/>
  <c r="T517" i="2"/>
  <c r="U517" i="2" s="1"/>
  <c r="T518" i="2"/>
  <c r="U518" i="2" s="1"/>
  <c r="T519" i="2"/>
  <c r="U519" i="2" s="1"/>
  <c r="T520" i="2"/>
  <c r="U520" i="2" s="1"/>
  <c r="T521" i="2"/>
  <c r="U521" i="2" s="1"/>
  <c r="T522" i="2"/>
  <c r="U522" i="2" s="1"/>
  <c r="T524" i="2"/>
  <c r="U524" i="2" s="1"/>
  <c r="T525" i="2"/>
  <c r="U525" i="2" s="1"/>
  <c r="T526" i="2"/>
  <c r="U526" i="2" s="1"/>
  <c r="T527" i="2"/>
  <c r="U527" i="2" s="1"/>
  <c r="T528" i="2"/>
  <c r="U528" i="2" s="1"/>
  <c r="T529" i="2"/>
  <c r="U529" i="2" s="1"/>
  <c r="T532" i="2"/>
  <c r="U532" i="2" s="1"/>
  <c r="T533" i="2"/>
  <c r="U533" i="2" s="1"/>
  <c r="T534" i="2"/>
  <c r="U534" i="2" s="1"/>
  <c r="T535" i="2"/>
  <c r="U535" i="2" s="1"/>
  <c r="T536" i="2"/>
  <c r="U536" i="2" s="1"/>
  <c r="T537" i="2"/>
  <c r="U537" i="2" s="1"/>
  <c r="T538" i="2"/>
  <c r="U538" i="2" s="1"/>
  <c r="T539" i="2"/>
  <c r="U539" i="2" s="1"/>
  <c r="T540" i="2"/>
  <c r="U540" i="2" s="1"/>
  <c r="T541" i="2"/>
  <c r="U541" i="2" s="1"/>
  <c r="T542" i="2"/>
  <c r="U542" i="2" s="1"/>
  <c r="T545" i="2"/>
  <c r="U545" i="2" s="1"/>
  <c r="T546" i="2"/>
  <c r="U546" i="2" s="1"/>
  <c r="T550" i="2"/>
  <c r="U550" i="2" s="1"/>
  <c r="T551" i="2"/>
  <c r="U551" i="2" s="1"/>
  <c r="T553" i="2"/>
  <c r="U553" i="2" s="1"/>
  <c r="T554" i="2"/>
  <c r="U554" i="2" s="1"/>
  <c r="T555" i="2"/>
  <c r="U555" i="2" s="1"/>
  <c r="T556" i="2"/>
  <c r="U556" i="2" s="1"/>
  <c r="T557" i="2"/>
  <c r="U557" i="2" s="1"/>
  <c r="T558" i="2"/>
  <c r="U558" i="2" s="1"/>
  <c r="T559" i="2"/>
  <c r="U559" i="2" s="1"/>
  <c r="T560" i="2"/>
  <c r="U560" i="2" s="1"/>
  <c r="T563" i="2"/>
  <c r="U563" i="2" s="1"/>
  <c r="T564" i="2"/>
  <c r="U564" i="2" s="1"/>
  <c r="T565" i="2"/>
  <c r="U565" i="2" s="1"/>
  <c r="T566" i="2"/>
  <c r="U566" i="2" s="1"/>
  <c r="T568" i="2"/>
  <c r="U568" i="2" s="1"/>
  <c r="T569" i="2"/>
  <c r="U569" i="2" s="1"/>
  <c r="T570" i="2"/>
  <c r="U570" i="2" s="1"/>
  <c r="T571" i="2"/>
  <c r="U571" i="2" s="1"/>
  <c r="T572" i="2"/>
  <c r="U572" i="2" s="1"/>
  <c r="T573" i="2"/>
  <c r="U573" i="2" s="1"/>
  <c r="T574" i="2"/>
  <c r="U574" i="2" s="1"/>
  <c r="T575" i="2"/>
  <c r="U575" i="2" s="1"/>
  <c r="T576" i="2"/>
  <c r="U576" i="2" s="1"/>
  <c r="T577" i="2"/>
  <c r="U577" i="2" s="1"/>
  <c r="T578" i="2"/>
  <c r="U578" i="2" s="1"/>
  <c r="T579" i="2"/>
  <c r="U579" i="2" s="1"/>
  <c r="T580" i="2"/>
  <c r="U580" i="2" s="1"/>
  <c r="T581" i="2"/>
  <c r="U581" i="2" s="1"/>
  <c r="T582" i="2"/>
  <c r="U582" i="2" s="1"/>
  <c r="T583" i="2"/>
  <c r="U583" i="2" s="1"/>
  <c r="T584" i="2"/>
  <c r="U584" i="2" s="1"/>
  <c r="T585" i="2"/>
  <c r="U585" i="2" s="1"/>
  <c r="T586" i="2"/>
  <c r="U586" i="2" s="1"/>
  <c r="T589" i="2"/>
  <c r="U589" i="2" s="1"/>
  <c r="T590" i="2"/>
  <c r="U590" i="2" s="1"/>
  <c r="T591" i="2"/>
  <c r="U591" i="2" s="1"/>
  <c r="T592" i="2"/>
  <c r="U592" i="2" s="1"/>
  <c r="T593" i="2"/>
  <c r="U593" i="2" s="1"/>
  <c r="T594" i="2"/>
  <c r="U594" i="2" s="1"/>
  <c r="T595" i="2"/>
  <c r="U595" i="2" s="1"/>
  <c r="T596" i="2"/>
  <c r="U596" i="2" s="1"/>
  <c r="T597" i="2"/>
  <c r="U597" i="2" s="1"/>
  <c r="T598" i="2"/>
  <c r="U598" i="2" s="1"/>
  <c r="T599" i="2"/>
  <c r="U599" i="2" s="1"/>
  <c r="T602" i="2"/>
  <c r="U602" i="2" s="1"/>
  <c r="T603" i="2"/>
  <c r="U603" i="2" s="1"/>
  <c r="T606" i="2"/>
  <c r="U606" i="2" s="1"/>
  <c r="T607" i="2"/>
  <c r="U607" i="2" s="1"/>
  <c r="T609" i="2"/>
  <c r="U609" i="2" s="1"/>
  <c r="T610" i="2"/>
  <c r="U610" i="2" s="1"/>
  <c r="T611" i="2"/>
  <c r="U611" i="2" s="1"/>
  <c r="T612" i="2"/>
  <c r="U612" i="2" s="1"/>
  <c r="T615" i="2"/>
  <c r="U615" i="2" s="1"/>
  <c r="T617" i="2"/>
  <c r="U617" i="2" s="1"/>
  <c r="T618" i="2"/>
  <c r="U618" i="2" s="1"/>
  <c r="T619" i="2"/>
  <c r="U619" i="2" s="1"/>
  <c r="T620" i="2"/>
  <c r="U620" i="2" s="1"/>
  <c r="T622" i="2"/>
  <c r="U622" i="2" s="1"/>
  <c r="T623" i="2"/>
  <c r="U623" i="2" s="1"/>
  <c r="T624" i="2"/>
  <c r="U624" i="2" s="1"/>
  <c r="T625" i="2"/>
  <c r="U625" i="2" s="1"/>
  <c r="T628" i="2"/>
  <c r="U628" i="2" s="1"/>
  <c r="T629" i="2"/>
  <c r="U629" i="2" s="1"/>
  <c r="T631" i="2"/>
  <c r="U631" i="2" s="1"/>
  <c r="T632" i="2"/>
  <c r="U632" i="2" s="1"/>
  <c r="T633" i="2"/>
  <c r="U633" i="2" s="1"/>
  <c r="T635" i="2"/>
  <c r="U635" i="2" s="1"/>
  <c r="T638" i="2"/>
  <c r="U638" i="2" s="1"/>
  <c r="T639" i="2"/>
  <c r="U639" i="2" s="1"/>
  <c r="T640" i="2"/>
  <c r="U640" i="2" s="1"/>
  <c r="T641" i="2"/>
  <c r="U641" i="2" s="1"/>
  <c r="T642" i="2"/>
  <c r="U642" i="2" s="1"/>
  <c r="T643" i="2"/>
  <c r="U643" i="2" s="1"/>
  <c r="T644" i="2"/>
  <c r="U644" i="2" s="1"/>
  <c r="T645" i="2"/>
  <c r="U645" i="2" s="1"/>
  <c r="T646" i="2"/>
  <c r="U646" i="2" s="1"/>
  <c r="T647" i="2"/>
  <c r="U647" i="2" s="1"/>
  <c r="T648" i="2"/>
  <c r="U648" i="2" s="1"/>
  <c r="T649" i="2"/>
  <c r="U649" i="2" s="1"/>
  <c r="T650" i="2"/>
  <c r="U650" i="2" s="1"/>
  <c r="T651" i="2"/>
  <c r="U651" i="2" s="1"/>
  <c r="T652" i="2"/>
  <c r="U652" i="2" s="1"/>
  <c r="T653" i="2"/>
  <c r="U653" i="2" s="1"/>
  <c r="T654" i="2"/>
  <c r="U654" i="2" s="1"/>
  <c r="T656" i="2"/>
  <c r="U656" i="2" s="1"/>
  <c r="T657" i="2"/>
  <c r="U657" i="2" s="1"/>
  <c r="T658" i="2"/>
  <c r="U658" i="2" s="1"/>
  <c r="T659" i="2"/>
  <c r="U659" i="2" s="1"/>
  <c r="T660" i="2"/>
  <c r="U660" i="2" s="1"/>
  <c r="T662" i="2"/>
  <c r="U662" i="2" s="1"/>
  <c r="T663" i="2"/>
  <c r="U663" i="2" s="1"/>
  <c r="T664" i="2"/>
  <c r="U664" i="2" s="1"/>
  <c r="T665" i="2"/>
  <c r="U665" i="2" s="1"/>
  <c r="T666" i="2"/>
  <c r="U666" i="2" s="1"/>
  <c r="T668" i="2"/>
  <c r="U668" i="2" s="1"/>
  <c r="T669" i="2"/>
  <c r="U669" i="2" s="1"/>
  <c r="T670" i="2"/>
  <c r="U670" i="2" s="1"/>
  <c r="T672" i="2"/>
  <c r="U672" i="2" s="1"/>
  <c r="T673" i="2"/>
  <c r="U673" i="2" s="1"/>
  <c r="T675" i="2"/>
  <c r="U675" i="2" s="1"/>
  <c r="T676" i="2"/>
  <c r="U676" i="2" s="1"/>
  <c r="T678" i="2"/>
  <c r="U678" i="2" s="1"/>
  <c r="T679" i="2"/>
  <c r="U679" i="2" s="1"/>
  <c r="T680" i="2"/>
  <c r="U680" i="2" s="1"/>
  <c r="T681" i="2"/>
  <c r="U681" i="2" s="1"/>
  <c r="T682" i="2"/>
  <c r="U682" i="2" s="1"/>
  <c r="T683" i="2"/>
  <c r="U683" i="2" s="1"/>
  <c r="T684" i="2"/>
  <c r="U684" i="2" s="1"/>
  <c r="T685" i="2"/>
  <c r="U685" i="2" s="1"/>
  <c r="T686" i="2"/>
  <c r="U686" i="2" s="1"/>
  <c r="T687" i="2"/>
  <c r="U687" i="2" s="1"/>
  <c r="T688" i="2"/>
  <c r="U688" i="2" s="1"/>
  <c r="T689" i="2"/>
  <c r="U689" i="2" s="1"/>
  <c r="T690" i="2"/>
  <c r="U690" i="2" s="1"/>
  <c r="T691" i="2"/>
  <c r="U691" i="2" s="1"/>
  <c r="T692" i="2"/>
  <c r="U692" i="2" s="1"/>
  <c r="T693" i="2"/>
  <c r="U693" i="2" s="1"/>
  <c r="T694" i="2"/>
  <c r="U694" i="2" s="1"/>
  <c r="T695" i="2"/>
  <c r="U695" i="2" s="1"/>
  <c r="T698" i="2"/>
  <c r="U698" i="2" s="1"/>
  <c r="T699" i="2"/>
  <c r="U699" i="2" s="1"/>
  <c r="T700" i="2"/>
  <c r="U700" i="2" s="1"/>
  <c r="T701" i="2"/>
  <c r="U701" i="2" s="1"/>
  <c r="T702" i="2"/>
  <c r="U702" i="2" s="1"/>
  <c r="T703" i="2"/>
  <c r="U703" i="2" s="1"/>
  <c r="T704" i="2"/>
  <c r="U704" i="2" s="1"/>
  <c r="T705" i="2"/>
  <c r="U705" i="2" s="1"/>
  <c r="T706" i="2"/>
  <c r="U706" i="2" s="1"/>
  <c r="T708" i="2"/>
  <c r="U708" i="2" s="1"/>
  <c r="T709" i="2"/>
  <c r="U709" i="2" s="1"/>
  <c r="T710" i="2"/>
  <c r="U710" i="2" s="1"/>
  <c r="T711" i="2"/>
  <c r="U711" i="2" s="1"/>
  <c r="T712" i="2"/>
  <c r="U712" i="2" s="1"/>
  <c r="T713" i="2"/>
  <c r="U713" i="2" s="1"/>
  <c r="T714" i="2"/>
  <c r="U714" i="2" s="1"/>
  <c r="T715" i="2"/>
  <c r="U715" i="2" s="1"/>
  <c r="T716" i="2"/>
  <c r="U716" i="2" s="1"/>
  <c r="T718" i="2"/>
  <c r="U718" i="2" s="1"/>
  <c r="T719" i="2"/>
  <c r="U719" i="2" s="1"/>
  <c r="T720" i="2"/>
  <c r="U720" i="2" s="1"/>
  <c r="T721" i="2"/>
  <c r="U721" i="2" s="1"/>
  <c r="T722" i="2"/>
  <c r="U722" i="2" s="1"/>
  <c r="T723" i="2"/>
  <c r="U723" i="2" s="1"/>
  <c r="T727" i="2"/>
  <c r="U727" i="2" s="1"/>
  <c r="T728" i="2"/>
  <c r="U728" i="2" s="1"/>
  <c r="T730" i="2"/>
  <c r="U730" i="2" s="1"/>
  <c r="T731" i="2"/>
  <c r="U731" i="2" s="1"/>
  <c r="T732" i="2"/>
  <c r="U732" i="2" s="1"/>
  <c r="T733" i="2"/>
  <c r="U733" i="2" s="1"/>
  <c r="T734" i="2"/>
  <c r="U734" i="2" s="1"/>
  <c r="T736" i="2"/>
  <c r="U736" i="2" s="1"/>
  <c r="T738" i="2"/>
  <c r="U738" i="2" s="1"/>
  <c r="T739" i="2"/>
  <c r="U739" i="2" s="1"/>
  <c r="T741" i="2"/>
  <c r="U741" i="2" s="1"/>
  <c r="T744" i="2"/>
  <c r="U744" i="2" s="1"/>
  <c r="T745" i="2"/>
  <c r="U745" i="2" s="1"/>
  <c r="T746" i="2"/>
  <c r="U746" i="2" s="1"/>
  <c r="T747" i="2"/>
  <c r="U747" i="2" s="1"/>
  <c r="T748" i="2"/>
  <c r="U748" i="2" s="1"/>
  <c r="T751" i="2"/>
  <c r="U751" i="2" s="1"/>
  <c r="T752" i="2"/>
  <c r="U752" i="2" s="1"/>
  <c r="T756" i="2"/>
  <c r="U756" i="2" s="1"/>
  <c r="T760" i="2"/>
  <c r="U760" i="2" s="1"/>
  <c r="T761" i="2"/>
  <c r="U761" i="2" s="1"/>
  <c r="T765" i="2"/>
  <c r="U765" i="2" s="1"/>
  <c r="T767" i="2"/>
  <c r="U767" i="2" s="1"/>
  <c r="T768" i="2"/>
  <c r="U768" i="2" s="1"/>
  <c r="T769" i="2"/>
  <c r="U769" i="2" s="1"/>
  <c r="T771" i="2"/>
  <c r="U771" i="2" s="1"/>
  <c r="T772" i="2"/>
  <c r="U772" i="2" s="1"/>
  <c r="T773" i="2"/>
  <c r="U773" i="2" s="1"/>
  <c r="T774" i="2"/>
  <c r="U774" i="2" s="1"/>
  <c r="T775" i="2"/>
  <c r="U775" i="2" s="1"/>
  <c r="T776" i="2"/>
  <c r="U776" i="2" s="1"/>
  <c r="T778" i="2"/>
  <c r="U778" i="2" s="1"/>
  <c r="T780" i="2"/>
  <c r="U780" i="2" s="1"/>
  <c r="T781" i="2"/>
  <c r="U781" i="2" s="1"/>
  <c r="T782" i="2"/>
  <c r="U782" i="2" s="1"/>
  <c r="T784" i="2"/>
  <c r="U784" i="2" s="1"/>
  <c r="T786" i="2"/>
  <c r="U786" i="2" s="1"/>
  <c r="T787" i="2"/>
  <c r="U787" i="2" s="1"/>
  <c r="T788" i="2"/>
  <c r="U788" i="2" s="1"/>
  <c r="T789" i="2"/>
  <c r="U789" i="2" s="1"/>
  <c r="T791" i="2"/>
  <c r="U791" i="2" s="1"/>
  <c r="T792" i="2"/>
  <c r="U792" i="2" s="1"/>
  <c r="T793" i="2"/>
  <c r="U793" i="2" s="1"/>
  <c r="T794" i="2"/>
  <c r="U794" i="2" s="1"/>
  <c r="T795" i="2"/>
  <c r="U795" i="2" s="1"/>
  <c r="T797" i="2"/>
  <c r="U797" i="2" s="1"/>
  <c r="T798" i="2"/>
  <c r="U798" i="2" s="1"/>
  <c r="T799" i="2"/>
  <c r="U799" i="2" s="1"/>
  <c r="T800" i="2"/>
  <c r="U800" i="2" s="1"/>
  <c r="T801" i="2"/>
  <c r="U801" i="2" s="1"/>
  <c r="T802" i="2"/>
  <c r="U802" i="2" s="1"/>
  <c r="T803" i="2"/>
  <c r="U803" i="2" s="1"/>
  <c r="T804" i="2"/>
  <c r="U804" i="2" s="1"/>
  <c r="T805" i="2"/>
  <c r="U805" i="2" s="1"/>
  <c r="T806" i="2"/>
  <c r="U806" i="2" s="1"/>
  <c r="T807" i="2"/>
  <c r="U807" i="2" s="1"/>
  <c r="T808" i="2"/>
  <c r="U808" i="2" s="1"/>
  <c r="T809" i="2"/>
  <c r="U809" i="2" s="1"/>
  <c r="T810" i="2"/>
  <c r="U810" i="2" s="1"/>
  <c r="T813" i="2"/>
  <c r="U813" i="2" s="1"/>
  <c r="T815" i="2"/>
  <c r="U815" i="2" s="1"/>
  <c r="T816" i="2"/>
  <c r="U816" i="2" s="1"/>
  <c r="T817" i="2"/>
  <c r="U817" i="2" s="1"/>
  <c r="T818" i="2"/>
  <c r="U818" i="2" s="1"/>
  <c r="T819" i="2"/>
  <c r="U819" i="2" s="1"/>
  <c r="T820" i="2"/>
  <c r="U820" i="2" s="1"/>
  <c r="T821" i="2"/>
  <c r="U821" i="2" s="1"/>
  <c r="T822" i="2"/>
  <c r="U822" i="2" s="1"/>
  <c r="T823" i="2"/>
  <c r="U823" i="2" s="1"/>
  <c r="T827" i="2"/>
  <c r="U827" i="2" s="1"/>
  <c r="T828" i="2"/>
  <c r="U828" i="2" s="1"/>
  <c r="T829" i="2"/>
  <c r="U829" i="2" s="1"/>
  <c r="T830" i="2"/>
  <c r="U830" i="2" s="1"/>
  <c r="T831" i="2"/>
  <c r="U831" i="2" s="1"/>
  <c r="T832" i="2"/>
  <c r="U832" i="2" s="1"/>
  <c r="T833" i="2"/>
  <c r="U833" i="2" s="1"/>
  <c r="T834" i="2"/>
  <c r="U834" i="2" s="1"/>
  <c r="T837" i="2"/>
  <c r="U837" i="2" s="1"/>
  <c r="T839" i="2"/>
  <c r="U839" i="2" s="1"/>
  <c r="T841" i="2"/>
  <c r="U841" i="2" s="1"/>
  <c r="T842" i="2"/>
  <c r="U842" i="2" s="1"/>
  <c r="T843" i="2"/>
  <c r="U843" i="2" s="1"/>
  <c r="T846" i="2"/>
  <c r="U846" i="2" s="1"/>
  <c r="T847" i="2"/>
  <c r="U847" i="2" s="1"/>
  <c r="T850" i="2"/>
  <c r="U850" i="2" s="1"/>
  <c r="T852" i="2"/>
  <c r="U852" i="2" s="1"/>
  <c r="T853" i="2"/>
  <c r="U853" i="2" s="1"/>
  <c r="T854" i="2"/>
  <c r="U854" i="2" s="1"/>
  <c r="T855" i="2"/>
  <c r="U855" i="2" s="1"/>
  <c r="T858" i="2"/>
  <c r="U858" i="2" s="1"/>
  <c r="T859" i="2"/>
  <c r="U859" i="2" s="1"/>
  <c r="T860" i="2"/>
  <c r="U860" i="2" s="1"/>
  <c r="T864" i="2"/>
  <c r="U864" i="2" s="1"/>
  <c r="T865" i="2"/>
  <c r="U865" i="2" s="1"/>
  <c r="T867" i="2"/>
  <c r="U867" i="2" s="1"/>
  <c r="T869" i="2"/>
  <c r="U869" i="2" s="1"/>
  <c r="T870" i="2"/>
  <c r="U870" i="2" s="1"/>
  <c r="T872" i="2"/>
  <c r="U872" i="2" s="1"/>
  <c r="T873" i="2"/>
  <c r="U873" i="2" s="1"/>
  <c r="T874" i="2"/>
  <c r="U874" i="2" s="1"/>
  <c r="T875" i="2"/>
  <c r="U875" i="2" s="1"/>
  <c r="T876" i="2"/>
  <c r="U876" i="2" s="1"/>
  <c r="T878" i="2"/>
  <c r="U878" i="2" s="1"/>
  <c r="T879" i="2"/>
  <c r="U879" i="2" s="1"/>
  <c r="T883" i="2"/>
  <c r="U883" i="2" s="1"/>
  <c r="T884" i="2"/>
  <c r="U884" i="2" s="1"/>
  <c r="T885" i="2"/>
  <c r="U885" i="2" s="1"/>
  <c r="T886" i="2"/>
  <c r="U886" i="2" s="1"/>
  <c r="T887" i="2"/>
  <c r="U887" i="2" s="1"/>
  <c r="T888" i="2"/>
  <c r="U888" i="2" s="1"/>
  <c r="T889" i="2"/>
  <c r="U889" i="2" s="1"/>
  <c r="T890" i="2"/>
  <c r="U890" i="2" s="1"/>
  <c r="T891" i="2"/>
  <c r="U891" i="2" s="1"/>
  <c r="T892" i="2"/>
  <c r="U892" i="2" s="1"/>
  <c r="T893" i="2"/>
  <c r="U893" i="2" s="1"/>
  <c r="T894" i="2"/>
  <c r="U894" i="2" s="1"/>
  <c r="T895" i="2"/>
  <c r="U895" i="2" s="1"/>
  <c r="T896" i="2"/>
  <c r="U896" i="2" s="1"/>
  <c r="T897" i="2"/>
  <c r="U897" i="2" s="1"/>
  <c r="T898" i="2"/>
  <c r="U898" i="2" s="1"/>
  <c r="T899" i="2"/>
  <c r="U899" i="2" s="1"/>
  <c r="T900" i="2"/>
  <c r="U900" i="2" s="1"/>
  <c r="T902" i="2"/>
  <c r="U902" i="2" s="1"/>
  <c r="T903" i="2"/>
  <c r="U903" i="2" s="1"/>
  <c r="T904" i="2"/>
  <c r="U904" i="2" s="1"/>
  <c r="T905" i="2"/>
  <c r="U905" i="2" s="1"/>
  <c r="T906" i="2"/>
  <c r="U906" i="2" s="1"/>
  <c r="T907" i="2"/>
  <c r="U907" i="2" s="1"/>
  <c r="T908" i="2"/>
  <c r="U908" i="2" s="1"/>
  <c r="T909" i="2"/>
  <c r="U909" i="2" s="1"/>
  <c r="T912" i="2"/>
  <c r="U912" i="2" s="1"/>
  <c r="T913" i="2"/>
  <c r="U913" i="2" s="1"/>
  <c r="T915" i="2"/>
  <c r="U915" i="2" s="1"/>
  <c r="T916" i="2"/>
  <c r="U916" i="2" s="1"/>
  <c r="T917" i="2"/>
  <c r="U917" i="2" s="1"/>
  <c r="T918" i="2"/>
  <c r="U918" i="2" s="1"/>
  <c r="T919" i="2"/>
  <c r="U919" i="2" s="1"/>
  <c r="T920" i="2"/>
  <c r="U920" i="2" s="1"/>
  <c r="T921" i="2"/>
  <c r="U921" i="2" s="1"/>
  <c r="T922" i="2"/>
  <c r="U922" i="2" s="1"/>
  <c r="T923" i="2"/>
  <c r="U923" i="2" s="1"/>
  <c r="T924" i="2"/>
  <c r="U924" i="2" s="1"/>
  <c r="T926" i="2"/>
  <c r="U926" i="2" s="1"/>
  <c r="T927" i="2"/>
  <c r="U927" i="2" s="1"/>
  <c r="T928" i="2"/>
  <c r="U928" i="2" s="1"/>
  <c r="T929" i="2"/>
  <c r="U929" i="2" s="1"/>
  <c r="T930" i="2"/>
  <c r="U930" i="2" s="1"/>
  <c r="T931" i="2"/>
  <c r="U931" i="2" s="1"/>
  <c r="T932" i="2"/>
  <c r="U932" i="2" s="1"/>
  <c r="T933" i="2"/>
  <c r="U933" i="2" s="1"/>
  <c r="T934" i="2"/>
  <c r="U934" i="2" s="1"/>
  <c r="T935" i="2"/>
  <c r="U935" i="2" s="1"/>
  <c r="T936" i="2"/>
  <c r="U936" i="2" s="1"/>
  <c r="T937" i="2"/>
  <c r="U937" i="2" s="1"/>
  <c r="T938" i="2"/>
  <c r="U938" i="2" s="1"/>
  <c r="T939" i="2"/>
  <c r="U939" i="2" s="1"/>
  <c r="T940" i="2"/>
  <c r="U940" i="2" s="1"/>
  <c r="T943" i="2"/>
  <c r="U943" i="2" s="1"/>
  <c r="T944" i="2"/>
  <c r="U944" i="2" s="1"/>
  <c r="T945" i="2"/>
  <c r="U945" i="2" s="1"/>
  <c r="T946" i="2"/>
  <c r="U946" i="2" s="1"/>
  <c r="T949" i="2"/>
  <c r="U949" i="2" s="1"/>
  <c r="T950" i="2"/>
  <c r="U950" i="2" s="1"/>
  <c r="T951" i="2"/>
  <c r="U951" i="2" s="1"/>
  <c r="T952" i="2"/>
  <c r="U952" i="2" s="1"/>
  <c r="T953" i="2"/>
  <c r="U953" i="2" s="1"/>
  <c r="T954" i="2"/>
  <c r="U954" i="2" s="1"/>
  <c r="T955" i="2"/>
  <c r="U955" i="2" s="1"/>
  <c r="T956" i="2"/>
  <c r="U956" i="2" s="1"/>
  <c r="T958" i="2"/>
  <c r="U958" i="2" s="1"/>
  <c r="T959" i="2"/>
  <c r="U959" i="2" s="1"/>
  <c r="T960" i="2"/>
  <c r="U960" i="2" s="1"/>
  <c r="T961" i="2"/>
  <c r="U961" i="2" s="1"/>
  <c r="T962" i="2"/>
  <c r="U962" i="2" s="1"/>
  <c r="T963" i="2"/>
  <c r="U963" i="2" s="1"/>
  <c r="T964" i="2"/>
  <c r="U964" i="2" s="1"/>
  <c r="T965" i="2"/>
  <c r="U965" i="2" s="1"/>
  <c r="T968" i="2"/>
  <c r="U968" i="2" s="1"/>
  <c r="T970" i="2"/>
  <c r="U970" i="2" s="1"/>
  <c r="T972" i="2"/>
  <c r="U972" i="2" s="1"/>
  <c r="T974" i="2"/>
  <c r="U974" i="2" s="1"/>
  <c r="T978" i="2"/>
  <c r="U978" i="2" s="1"/>
  <c r="T979" i="2"/>
  <c r="U979" i="2" s="1"/>
  <c r="T980" i="2"/>
  <c r="U980" i="2" s="1"/>
  <c r="T982" i="2"/>
  <c r="U982" i="2" s="1"/>
  <c r="T986" i="2"/>
  <c r="U986" i="2" s="1"/>
  <c r="T987" i="2"/>
  <c r="U987" i="2" s="1"/>
  <c r="T988" i="2"/>
  <c r="U988" i="2" s="1"/>
  <c r="T989" i="2"/>
  <c r="U989" i="2" s="1"/>
  <c r="T990" i="2"/>
  <c r="U990" i="2" s="1"/>
  <c r="T991" i="2"/>
  <c r="U991" i="2" s="1"/>
  <c r="T992" i="2"/>
  <c r="U992" i="2" s="1"/>
  <c r="T993" i="2"/>
  <c r="U993" i="2" s="1"/>
  <c r="T994" i="2"/>
  <c r="U994" i="2" s="1"/>
  <c r="T995" i="2"/>
  <c r="U995" i="2" s="1"/>
  <c r="T999" i="2"/>
  <c r="U999" i="2" s="1"/>
  <c r="T1000" i="2"/>
  <c r="U1000" i="2" s="1"/>
  <c r="T1001" i="2"/>
  <c r="U1001" i="2" s="1"/>
  <c r="T1003" i="2"/>
  <c r="U1003" i="2" s="1"/>
  <c r="T1004" i="2"/>
  <c r="U1004" i="2" s="1"/>
  <c r="T1005" i="2"/>
  <c r="U1005" i="2" s="1"/>
  <c r="T1007" i="2"/>
  <c r="U1007" i="2" s="1"/>
  <c r="T1012" i="2"/>
  <c r="U1012" i="2" s="1"/>
  <c r="T1014" i="2"/>
  <c r="U1014" i="2" s="1"/>
  <c r="T1015" i="2"/>
  <c r="U1015" i="2" s="1"/>
  <c r="T1016" i="2"/>
  <c r="U1016" i="2" s="1"/>
  <c r="T1017" i="2"/>
  <c r="U1017" i="2" s="1"/>
  <c r="T1018" i="2"/>
  <c r="U1018" i="2" s="1"/>
  <c r="T1019" i="2"/>
  <c r="U1019" i="2" s="1"/>
  <c r="T1022" i="2"/>
  <c r="U1022" i="2" s="1"/>
  <c r="T1023" i="2"/>
  <c r="U1023" i="2" s="1"/>
  <c r="T1024" i="2"/>
  <c r="U1024" i="2" s="1"/>
  <c r="T1025" i="2"/>
  <c r="U1025" i="2" s="1"/>
  <c r="T1027" i="2"/>
  <c r="U1027" i="2" s="1"/>
  <c r="T1028" i="2"/>
  <c r="U1028" i="2" s="1"/>
  <c r="T1029" i="2"/>
  <c r="U1029" i="2" s="1"/>
  <c r="T1031" i="2"/>
  <c r="U1031" i="2" s="1"/>
  <c r="T1032" i="2"/>
  <c r="U1032" i="2" s="1"/>
  <c r="T1033" i="2"/>
  <c r="U1033" i="2" s="1"/>
  <c r="T1034" i="2"/>
  <c r="U1034" i="2" s="1"/>
  <c r="T1035" i="2"/>
  <c r="U1035" i="2" s="1"/>
  <c r="T1036" i="2"/>
  <c r="U1036" i="2" s="1"/>
  <c r="T1039" i="2"/>
  <c r="U1039" i="2" s="1"/>
  <c r="T1041" i="2"/>
  <c r="U1041" i="2" s="1"/>
  <c r="T1042" i="2"/>
  <c r="U1042" i="2" s="1"/>
  <c r="T1043" i="2"/>
  <c r="U1043" i="2" s="1"/>
  <c r="T1047" i="2"/>
  <c r="U1047" i="2" s="1"/>
  <c r="T1048" i="2"/>
  <c r="U1048" i="2" s="1"/>
  <c r="T1051" i="2"/>
  <c r="U1051" i="2" s="1"/>
  <c r="T1052" i="2"/>
  <c r="U1052" i="2" s="1"/>
  <c r="T1053" i="2"/>
  <c r="U1053" i="2" s="1"/>
  <c r="T1055" i="2"/>
  <c r="U1055" i="2" s="1"/>
  <c r="T1057" i="2"/>
  <c r="U1057" i="2" s="1"/>
  <c r="T1058" i="2"/>
  <c r="U1058" i="2" s="1"/>
  <c r="T1060" i="2"/>
  <c r="U1060" i="2" s="1"/>
  <c r="T1061" i="2"/>
  <c r="U1061" i="2" s="1"/>
  <c r="T1062" i="2"/>
  <c r="U1062" i="2" s="1"/>
  <c r="T1063" i="2"/>
  <c r="U1063" i="2" s="1"/>
  <c r="T1065" i="2"/>
  <c r="U1065" i="2" s="1"/>
  <c r="T1066" i="2"/>
  <c r="U1066" i="2" s="1"/>
  <c r="T1067" i="2"/>
  <c r="U1067" i="2" s="1"/>
  <c r="T1068" i="2"/>
  <c r="U1068" i="2" s="1"/>
  <c r="T1069" i="2"/>
  <c r="U1069" i="2" s="1"/>
  <c r="T1070" i="2"/>
  <c r="U1070" i="2" s="1"/>
  <c r="T1071" i="2"/>
  <c r="U1071" i="2" s="1"/>
  <c r="T1072" i="2"/>
  <c r="U1072" i="2" s="1"/>
  <c r="T1073" i="2"/>
  <c r="U1073" i="2" s="1"/>
  <c r="T1074" i="2"/>
  <c r="U1074" i="2" s="1"/>
  <c r="T1077" i="2"/>
  <c r="U1077" i="2" s="1"/>
  <c r="T1079" i="2"/>
  <c r="U1079" i="2" s="1"/>
  <c r="T1080" i="2"/>
  <c r="U1080" i="2" s="1"/>
  <c r="T1084" i="2"/>
  <c r="U1084" i="2" s="1"/>
  <c r="T1085" i="2"/>
  <c r="U1085" i="2" s="1"/>
  <c r="T1086" i="2"/>
  <c r="U1086" i="2" s="1"/>
  <c r="T1087" i="2"/>
  <c r="U1087" i="2" s="1"/>
  <c r="T1088" i="2"/>
  <c r="U1088" i="2" s="1"/>
  <c r="T1089" i="2"/>
  <c r="U1089" i="2" s="1"/>
  <c r="T1091" i="2"/>
  <c r="U1091" i="2" s="1"/>
  <c r="T1092" i="2"/>
  <c r="U1092" i="2" s="1"/>
  <c r="T1093" i="2"/>
  <c r="U1093" i="2" s="1"/>
  <c r="T1094" i="2"/>
  <c r="U1094" i="2" s="1"/>
  <c r="T1096" i="2"/>
  <c r="U1096" i="2" s="1"/>
  <c r="T1097" i="2"/>
  <c r="U1097" i="2" s="1"/>
  <c r="T1098" i="2"/>
  <c r="U1098" i="2" s="1"/>
  <c r="T1099" i="2"/>
  <c r="U1099" i="2" s="1"/>
  <c r="T1100" i="2"/>
  <c r="U1100" i="2" s="1"/>
  <c r="T1101" i="2"/>
  <c r="U1101" i="2" s="1"/>
  <c r="T1103" i="2"/>
  <c r="U1103" i="2" s="1"/>
  <c r="T1105" i="2"/>
  <c r="U1105" i="2" s="1"/>
  <c r="T1106" i="2"/>
  <c r="U1106" i="2" s="1"/>
  <c r="T1109" i="2"/>
  <c r="U1109" i="2" s="1"/>
  <c r="T1110" i="2"/>
  <c r="U1110" i="2" s="1"/>
  <c r="T1111" i="2"/>
  <c r="U1111" i="2" s="1"/>
  <c r="T1112" i="2"/>
  <c r="U1112" i="2" s="1"/>
  <c r="T1113" i="2"/>
  <c r="U1113" i="2" s="1"/>
  <c r="T1125" i="2"/>
  <c r="U1125" i="2" s="1"/>
  <c r="T1126" i="2"/>
  <c r="U1126" i="2" s="1"/>
  <c r="T1127" i="2"/>
  <c r="U1127" i="2" s="1"/>
  <c r="T1128" i="2"/>
  <c r="U1128" i="2" s="1"/>
  <c r="T1129" i="2"/>
  <c r="U1129" i="2" s="1"/>
  <c r="T1130" i="2"/>
  <c r="U1130" i="2" s="1"/>
  <c r="T1131" i="2"/>
  <c r="U1131" i="2" s="1"/>
  <c r="T1132" i="2"/>
  <c r="U1132" i="2" s="1"/>
  <c r="T1134" i="2"/>
  <c r="U1134" i="2" s="1"/>
  <c r="T1135" i="2"/>
  <c r="U1135" i="2" s="1"/>
  <c r="T1136" i="2"/>
  <c r="U1136" i="2" s="1"/>
  <c r="T1137" i="2"/>
  <c r="U1137" i="2" s="1"/>
  <c r="T1138" i="2"/>
  <c r="U1138" i="2" s="1"/>
  <c r="T1139" i="2"/>
  <c r="U1139" i="2" s="1"/>
  <c r="T1140" i="2"/>
  <c r="U1140" i="2" s="1"/>
  <c r="T1141" i="2"/>
  <c r="U1141" i="2" s="1"/>
  <c r="T1142" i="2"/>
  <c r="U1142" i="2" s="1"/>
  <c r="T1143" i="2"/>
  <c r="U1143" i="2" s="1"/>
  <c r="T1144" i="2"/>
  <c r="U1144" i="2" s="1"/>
  <c r="T1145" i="2"/>
  <c r="U1145" i="2" s="1"/>
  <c r="T1146" i="2"/>
  <c r="U1146" i="2" s="1"/>
  <c r="T1147" i="2"/>
  <c r="U1147" i="2" s="1"/>
  <c r="T1148" i="2"/>
  <c r="U1148" i="2" s="1"/>
  <c r="T1149" i="2"/>
  <c r="U1149" i="2" s="1"/>
  <c r="T1150" i="2"/>
  <c r="U1150" i="2" s="1"/>
  <c r="T1152" i="2"/>
  <c r="U1152" i="2" s="1"/>
  <c r="T1153" i="2"/>
  <c r="U1153" i="2" s="1"/>
  <c r="T1154" i="2"/>
  <c r="U1154" i="2" s="1"/>
  <c r="T1155" i="2"/>
  <c r="U1155" i="2" s="1"/>
  <c r="T1156" i="2"/>
  <c r="U1156" i="2" s="1"/>
  <c r="T1157" i="2"/>
  <c r="U1157" i="2" s="1"/>
  <c r="T1158" i="2"/>
  <c r="U1158" i="2" s="1"/>
  <c r="T1159" i="2"/>
  <c r="U1159" i="2" s="1"/>
  <c r="T1160" i="2"/>
  <c r="U1160" i="2" s="1"/>
  <c r="T1161" i="2"/>
  <c r="U1161" i="2" s="1"/>
  <c r="T1164" i="2"/>
  <c r="U1164" i="2" s="1"/>
  <c r="T1165" i="2"/>
  <c r="U1165" i="2" s="1"/>
  <c r="T1166" i="2"/>
  <c r="U1166" i="2" s="1"/>
  <c r="T1169" i="2"/>
  <c r="U1169" i="2" s="1"/>
  <c r="T1170" i="2"/>
  <c r="U1170" i="2" s="1"/>
  <c r="T1172" i="2"/>
  <c r="U1172" i="2" s="1"/>
  <c r="T1173" i="2"/>
  <c r="U1173" i="2" s="1"/>
  <c r="T1174" i="2"/>
  <c r="U1174" i="2" s="1"/>
  <c r="T1175" i="2"/>
  <c r="U1175" i="2" s="1"/>
  <c r="T1176" i="2"/>
  <c r="U1176" i="2" s="1"/>
  <c r="T1177" i="2"/>
  <c r="U1177" i="2" s="1"/>
  <c r="T1178" i="2"/>
  <c r="U1178" i="2" s="1"/>
  <c r="T1180" i="2"/>
  <c r="U1180" i="2" s="1"/>
  <c r="T1181" i="2"/>
  <c r="U1181" i="2" s="1"/>
  <c r="T1182" i="2"/>
  <c r="U1182" i="2" s="1"/>
  <c r="T1183" i="2"/>
  <c r="U1183" i="2" s="1"/>
  <c r="T1184" i="2"/>
  <c r="U1184" i="2" s="1"/>
  <c r="T1185" i="2"/>
  <c r="U1185" i="2" s="1"/>
  <c r="T1186" i="2"/>
  <c r="U1186" i="2" s="1"/>
  <c r="T1189" i="2"/>
  <c r="U1189" i="2" s="1"/>
  <c r="T1190" i="2"/>
  <c r="U1190" i="2" s="1"/>
  <c r="T1192" i="2"/>
  <c r="U1192" i="2" s="1"/>
  <c r="T1193" i="2"/>
  <c r="U1193" i="2" s="1"/>
  <c r="T1194" i="2"/>
  <c r="U1194" i="2" s="1"/>
  <c r="T1196" i="2"/>
  <c r="U1196" i="2" s="1"/>
  <c r="T1197" i="2"/>
  <c r="U1197" i="2" s="1"/>
  <c r="T1198" i="2"/>
  <c r="U1198" i="2" s="1"/>
  <c r="T1199" i="2"/>
  <c r="U1199" i="2" s="1"/>
  <c r="T1200" i="2"/>
  <c r="U1200" i="2" s="1"/>
  <c r="T1201" i="2"/>
  <c r="U1201" i="2" s="1"/>
  <c r="T1204" i="2"/>
  <c r="U1204" i="2" s="1"/>
  <c r="T1205" i="2"/>
  <c r="U1205" i="2" s="1"/>
  <c r="T1206" i="2"/>
  <c r="U1206" i="2" s="1"/>
  <c r="T1207" i="2"/>
  <c r="U1207" i="2" s="1"/>
  <c r="T1208" i="2"/>
  <c r="U1208" i="2" s="1"/>
  <c r="T1209" i="2"/>
  <c r="U1209" i="2" s="1"/>
  <c r="T1210" i="2"/>
  <c r="U1210" i="2" s="1"/>
  <c r="T1211" i="2"/>
  <c r="U1211" i="2" s="1"/>
  <c r="T1212" i="2"/>
  <c r="U1212" i="2" s="1"/>
  <c r="T1213" i="2"/>
  <c r="U1213" i="2" s="1"/>
  <c r="T1214" i="2"/>
  <c r="U1214" i="2" s="1"/>
  <c r="T1215" i="2"/>
  <c r="U1215" i="2" s="1"/>
  <c r="T1216" i="2"/>
  <c r="U1216" i="2" s="1"/>
  <c r="T1218" i="2"/>
  <c r="U1218" i="2" s="1"/>
  <c r="T1219" i="2"/>
  <c r="U1219" i="2" s="1"/>
  <c r="T1220" i="2"/>
  <c r="U1220" i="2" s="1"/>
  <c r="T1221" i="2"/>
  <c r="U1221" i="2" s="1"/>
  <c r="T1222" i="2"/>
  <c r="U1222" i="2" s="1"/>
  <c r="T1225" i="2"/>
  <c r="U1225" i="2" s="1"/>
  <c r="T1226" i="2"/>
  <c r="U1226" i="2" s="1"/>
  <c r="T1227" i="2"/>
  <c r="U1227" i="2" s="1"/>
  <c r="T1228" i="2"/>
  <c r="U1228" i="2" s="1"/>
  <c r="T1229" i="2"/>
  <c r="U1229" i="2" s="1"/>
  <c r="T1230" i="2"/>
  <c r="U1230" i="2" s="1"/>
  <c r="T1231" i="2"/>
  <c r="U1231" i="2" s="1"/>
  <c r="T1232" i="2"/>
  <c r="U1232" i="2" s="1"/>
  <c r="T1233" i="2"/>
  <c r="U1233" i="2" s="1"/>
  <c r="T1234" i="2"/>
  <c r="U1234" i="2" s="1"/>
  <c r="T1236" i="2"/>
  <c r="U1236" i="2" s="1"/>
  <c r="T1237" i="2"/>
  <c r="U1237" i="2" s="1"/>
  <c r="T1238" i="2"/>
  <c r="U1238" i="2" s="1"/>
  <c r="T1239" i="2"/>
  <c r="U1239" i="2" s="1"/>
  <c r="T1240" i="2"/>
  <c r="U1240" i="2" s="1"/>
  <c r="T1243" i="2"/>
  <c r="U1243" i="2" s="1"/>
  <c r="T1244" i="2"/>
  <c r="U1244" i="2" s="1"/>
  <c r="T1245" i="2"/>
  <c r="U1245" i="2" s="1"/>
  <c r="T1246" i="2"/>
  <c r="U1246" i="2" s="1"/>
  <c r="T1248" i="2"/>
  <c r="U1248" i="2" s="1"/>
  <c r="T1249" i="2"/>
  <c r="U1249" i="2" s="1"/>
  <c r="T1250" i="2"/>
  <c r="U1250" i="2" s="1"/>
  <c r="T1251" i="2"/>
  <c r="U1251" i="2" s="1"/>
  <c r="T1252" i="2"/>
  <c r="U1252" i="2" s="1"/>
  <c r="T1253" i="2"/>
  <c r="U1253" i="2" s="1"/>
  <c r="T1255" i="2"/>
  <c r="U1255" i="2" s="1"/>
  <c r="T1256" i="2"/>
  <c r="U1256" i="2" s="1"/>
  <c r="T1257" i="2"/>
  <c r="U1257" i="2" s="1"/>
  <c r="T1258" i="2"/>
  <c r="U1258" i="2" s="1"/>
  <c r="T1259" i="2"/>
  <c r="U1259" i="2" s="1"/>
  <c r="T1262" i="2"/>
  <c r="U1262" i="2" s="1"/>
  <c r="T1263" i="2"/>
  <c r="U1263" i="2" s="1"/>
  <c r="T1264" i="2"/>
  <c r="U1264" i="2" s="1"/>
  <c r="T1266" i="2"/>
  <c r="U1266" i="2" s="1"/>
  <c r="T1267" i="2"/>
  <c r="U1267" i="2" s="1"/>
  <c r="T1268" i="2"/>
  <c r="U1268" i="2" s="1"/>
  <c r="T1269" i="2"/>
  <c r="U1269" i="2" s="1"/>
  <c r="T1270" i="2"/>
  <c r="U1270" i="2" s="1"/>
  <c r="T1271" i="2"/>
  <c r="U1271" i="2" s="1"/>
  <c r="T1273" i="2"/>
  <c r="U1273" i="2" s="1"/>
  <c r="T1274" i="2"/>
  <c r="U1274" i="2" s="1"/>
  <c r="T1275" i="2"/>
  <c r="U1275" i="2" s="1"/>
  <c r="T1276" i="2"/>
  <c r="U1276" i="2" s="1"/>
  <c r="T1277" i="2"/>
  <c r="U1277" i="2" s="1"/>
  <c r="T1278" i="2"/>
  <c r="U1278" i="2" s="1"/>
  <c r="T1281" i="2"/>
  <c r="U1281" i="2" s="1"/>
  <c r="T1282" i="2"/>
  <c r="U1282" i="2" s="1"/>
  <c r="T1283" i="2"/>
  <c r="U1283" i="2" s="1"/>
  <c r="T1284" i="2"/>
  <c r="U1284" i="2" s="1"/>
  <c r="T1285" i="2"/>
  <c r="U1285" i="2" s="1"/>
  <c r="T1286" i="2"/>
  <c r="U1286" i="2" s="1"/>
  <c r="T1287" i="2"/>
  <c r="U1287" i="2" s="1"/>
  <c r="T1289" i="2"/>
  <c r="U1289" i="2" s="1"/>
  <c r="T1290" i="2"/>
  <c r="U1290" i="2" s="1"/>
  <c r="T1292" i="2"/>
  <c r="T1293" i="2"/>
  <c r="U1293" i="2" s="1"/>
  <c r="T1294" i="2"/>
  <c r="U1294" i="2" s="1"/>
  <c r="T1295" i="2"/>
  <c r="U1295" i="2" s="1"/>
  <c r="T1296" i="2"/>
  <c r="U1296" i="2" s="1"/>
  <c r="T1297" i="2"/>
  <c r="U1297" i="2" s="1"/>
  <c r="T1298" i="2"/>
  <c r="U1298" i="2" s="1"/>
  <c r="T1299" i="2"/>
  <c r="U1299" i="2" s="1"/>
  <c r="T1300" i="2"/>
  <c r="U1300" i="2" s="1"/>
  <c r="T1303" i="2"/>
  <c r="U1303" i="2" s="1"/>
  <c r="T1304" i="2"/>
  <c r="U1304" i="2" s="1"/>
  <c r="T1306" i="2"/>
  <c r="U1306" i="2" s="1"/>
  <c r="T1307" i="2"/>
  <c r="U1307" i="2" s="1"/>
  <c r="T1309" i="2"/>
  <c r="U1309" i="2" s="1"/>
  <c r="T1310" i="2"/>
  <c r="U1310" i="2" s="1"/>
  <c r="T1313" i="2"/>
  <c r="U1313" i="2" s="1"/>
  <c r="T1314" i="2"/>
  <c r="U1314" i="2" s="1"/>
  <c r="T1315" i="2"/>
  <c r="U1315" i="2" s="1"/>
  <c r="T1316" i="2"/>
  <c r="U1316" i="2" s="1"/>
  <c r="T1317" i="2"/>
  <c r="U1317" i="2" s="1"/>
  <c r="T1318" i="2"/>
  <c r="U1318" i="2" s="1"/>
  <c r="T1319" i="2"/>
  <c r="U1319" i="2" s="1"/>
  <c r="T1320" i="2"/>
  <c r="U1320" i="2" s="1"/>
  <c r="T1322" i="2"/>
  <c r="U1322" i="2" s="1"/>
  <c r="T1323" i="2"/>
  <c r="U1323" i="2" s="1"/>
  <c r="T1324" i="2"/>
  <c r="U1324" i="2" s="1"/>
  <c r="T1325" i="2"/>
  <c r="U1325" i="2" s="1"/>
  <c r="T1326" i="2"/>
  <c r="U1326" i="2" s="1"/>
  <c r="T1328" i="2"/>
  <c r="U1328" i="2" s="1"/>
  <c r="T1329" i="2"/>
  <c r="U1329" i="2" s="1"/>
  <c r="T1330" i="2"/>
  <c r="U1330" i="2" s="1"/>
  <c r="T1331" i="2"/>
  <c r="U1331" i="2" s="1"/>
  <c r="T1334" i="2"/>
  <c r="U1334" i="2" s="1"/>
  <c r="T1335" i="2"/>
  <c r="U1335" i="2" s="1"/>
  <c r="T1336" i="2"/>
  <c r="U1336" i="2" s="1"/>
  <c r="T1337" i="2"/>
  <c r="U1337" i="2" s="1"/>
  <c r="T1338" i="2"/>
  <c r="U1338" i="2" s="1"/>
  <c r="T1339" i="2"/>
  <c r="U1339" i="2" s="1"/>
  <c r="T1340" i="2"/>
  <c r="U1340" i="2" s="1"/>
  <c r="T1341" i="2"/>
  <c r="U1341" i="2" s="1"/>
  <c r="T1344" i="2"/>
  <c r="U1344" i="2" s="1"/>
  <c r="T1345" i="2"/>
  <c r="U1345" i="2" s="1"/>
  <c r="T1346" i="2"/>
  <c r="U1346" i="2" s="1"/>
  <c r="T1347" i="2"/>
  <c r="U1347" i="2" s="1"/>
  <c r="T1348" i="2"/>
  <c r="U1348" i="2" s="1"/>
  <c r="T1349" i="2"/>
  <c r="U1349" i="2" s="1"/>
  <c r="T1350" i="2"/>
  <c r="U1350" i="2" s="1"/>
  <c r="T1352" i="2"/>
  <c r="U1352" i="2" s="1"/>
  <c r="T1353" i="2"/>
  <c r="U1353" i="2" s="1"/>
  <c r="T1354" i="2"/>
  <c r="U1354" i="2" s="1"/>
  <c r="T1355" i="2"/>
  <c r="U1355" i="2" s="1"/>
  <c r="T1357" i="2"/>
  <c r="U1357" i="2" s="1"/>
  <c r="T1358" i="2"/>
  <c r="U1358" i="2" s="1"/>
  <c r="T1359" i="2"/>
  <c r="U1359" i="2" s="1"/>
  <c r="T1360" i="2"/>
  <c r="U1360" i="2" s="1"/>
  <c r="T1361" i="2"/>
  <c r="U1361" i="2" s="1"/>
  <c r="T1362" i="2"/>
  <c r="U1362" i="2" s="1"/>
  <c r="T1363" i="2"/>
  <c r="U1363" i="2" s="1"/>
  <c r="T1364" i="2"/>
  <c r="U1364" i="2" s="1"/>
  <c r="T1367" i="2"/>
  <c r="U1367" i="2" s="1"/>
  <c r="T1368" i="2"/>
  <c r="U1368" i="2" s="1"/>
  <c r="T1369" i="2"/>
  <c r="U1369" i="2" s="1"/>
  <c r="T1371" i="2"/>
  <c r="U1371" i="2" s="1"/>
  <c r="T1372" i="2"/>
  <c r="U1372" i="2" s="1"/>
  <c r="T1373" i="2"/>
  <c r="U1373" i="2" s="1"/>
  <c r="T1374" i="2"/>
  <c r="U1374" i="2" s="1"/>
  <c r="T1375" i="2"/>
  <c r="U1375" i="2" s="1"/>
  <c r="T1376" i="2"/>
  <c r="U1376" i="2" s="1"/>
  <c r="T1378" i="2"/>
  <c r="U1378" i="2" s="1"/>
  <c r="T1379" i="2"/>
  <c r="U1379" i="2" s="1"/>
  <c r="T1380" i="2"/>
  <c r="U1380" i="2" s="1"/>
  <c r="T1381" i="2"/>
  <c r="U1381" i="2" s="1"/>
  <c r="T1382" i="2"/>
  <c r="U1382" i="2" s="1"/>
  <c r="T1383" i="2"/>
  <c r="U1383" i="2" s="1"/>
  <c r="T1384" i="2"/>
  <c r="U1384" i="2" s="1"/>
  <c r="T1385" i="2"/>
  <c r="U1385" i="2" s="1"/>
  <c r="T1388" i="2"/>
  <c r="U1388" i="2" s="1"/>
  <c r="T1389" i="2"/>
  <c r="U1389" i="2" s="1"/>
  <c r="T1390" i="2"/>
  <c r="U1390" i="2" s="1"/>
  <c r="T1391" i="2"/>
  <c r="U1391" i="2" s="1"/>
  <c r="T1393" i="2"/>
  <c r="U1393" i="2" s="1"/>
  <c r="T1394" i="2"/>
  <c r="U1394" i="2" s="1"/>
  <c r="T1395" i="2"/>
  <c r="U1395" i="2" s="1"/>
  <c r="T1396" i="2"/>
  <c r="U1396" i="2" s="1"/>
  <c r="T1397" i="2"/>
  <c r="U1397" i="2" s="1"/>
  <c r="T1398" i="2"/>
  <c r="U1398" i="2" s="1"/>
  <c r="T1399" i="2"/>
  <c r="U1399" i="2" s="1"/>
  <c r="T1400" i="2"/>
  <c r="U1400" i="2" s="1"/>
  <c r="T1401" i="2"/>
  <c r="U1401" i="2" s="1"/>
  <c r="T1402" i="2"/>
  <c r="U1402" i="2" s="1"/>
  <c r="T1404" i="2"/>
  <c r="U1404" i="2" s="1"/>
  <c r="T1405" i="2"/>
  <c r="U1405" i="2" s="1"/>
  <c r="T1406" i="2"/>
  <c r="U1406" i="2" s="1"/>
  <c r="T1407" i="2"/>
  <c r="U1407" i="2" s="1"/>
  <c r="T1408" i="2"/>
  <c r="U1408" i="2" s="1"/>
  <c r="T1409" i="2"/>
  <c r="T1410" i="2"/>
  <c r="U1410" i="2" s="1"/>
  <c r="T1411" i="2"/>
  <c r="U1411" i="2" s="1"/>
  <c r="T1412" i="2"/>
  <c r="U1412" i="2" s="1"/>
  <c r="T1413" i="2"/>
  <c r="U1413" i="2" s="1"/>
  <c r="T1414" i="2"/>
  <c r="U1414" i="2" s="1"/>
  <c r="T1415" i="2"/>
  <c r="U1415" i="2" s="1"/>
  <c r="T1416" i="2"/>
  <c r="U1416" i="2" s="1"/>
  <c r="T1417" i="2"/>
  <c r="U1417" i="2" s="1"/>
  <c r="T1418" i="2"/>
  <c r="U1418" i="2" s="1"/>
  <c r="T1419" i="2"/>
  <c r="U1419" i="2" s="1"/>
  <c r="T1420" i="2"/>
  <c r="U1420" i="2" s="1"/>
  <c r="T1421" i="2"/>
  <c r="U1421" i="2" s="1"/>
  <c r="T1422" i="2"/>
  <c r="U1422" i="2" s="1"/>
  <c r="T1423" i="2"/>
  <c r="U1423" i="2" s="1"/>
  <c r="T1426" i="2"/>
  <c r="U1426" i="2" s="1"/>
  <c r="T1427" i="2"/>
  <c r="U1427" i="2" s="1"/>
  <c r="T1428" i="2"/>
  <c r="U1428" i="2" s="1"/>
  <c r="T1429" i="2"/>
  <c r="U1429" i="2" s="1"/>
  <c r="T1430" i="2"/>
  <c r="U1430" i="2" s="1"/>
  <c r="T1431" i="2"/>
  <c r="U1431" i="2" s="1"/>
  <c r="T1432" i="2"/>
  <c r="U1432" i="2" s="1"/>
  <c r="T1433" i="2"/>
  <c r="U1433" i="2" s="1"/>
  <c r="T1434" i="2"/>
  <c r="U1434" i="2" s="1"/>
  <c r="T1435" i="2"/>
  <c r="U1435" i="2" s="1"/>
  <c r="T1436" i="2"/>
  <c r="U1436" i="2" s="1"/>
  <c r="T1437" i="2"/>
  <c r="U1437" i="2" s="1"/>
  <c r="T1438" i="2"/>
  <c r="U1438" i="2" s="1"/>
  <c r="T1440" i="2"/>
  <c r="U1440" i="2" s="1"/>
  <c r="T1441" i="2"/>
  <c r="U1441" i="2" s="1"/>
  <c r="T1444" i="2"/>
  <c r="U1444" i="2" s="1"/>
  <c r="T1445" i="2"/>
  <c r="U1445" i="2" s="1"/>
  <c r="T1446" i="2"/>
  <c r="U1446" i="2" s="1"/>
  <c r="T1447" i="2"/>
  <c r="U1447" i="2" s="1"/>
  <c r="T1448" i="2"/>
  <c r="U1448" i="2" s="1"/>
  <c r="T1449" i="2"/>
  <c r="U1449" i="2" s="1"/>
  <c r="T1450" i="2"/>
  <c r="U1450" i="2" s="1"/>
  <c r="T1451" i="2"/>
  <c r="U1451" i="2" s="1"/>
  <c r="T1452" i="2"/>
  <c r="U1452" i="2" s="1"/>
  <c r="T1453" i="2"/>
  <c r="U1453" i="2" s="1"/>
  <c r="T1454" i="2"/>
  <c r="U1454" i="2" s="1"/>
  <c r="T1455" i="2"/>
  <c r="U1455" i="2" s="1"/>
  <c r="T1456" i="2"/>
  <c r="U1456" i="2" s="1"/>
  <c r="T1457" i="2"/>
  <c r="U1457" i="2" s="1"/>
  <c r="T1458" i="2"/>
  <c r="U1458" i="2" s="1"/>
  <c r="T1459" i="2"/>
  <c r="U1459" i="2" s="1"/>
  <c r="T1460" i="2"/>
  <c r="U1460" i="2" s="1"/>
  <c r="T1461" i="2"/>
  <c r="U1461" i="2" s="1"/>
  <c r="T1462" i="2"/>
  <c r="U1462" i="2" s="1"/>
  <c r="T1463" i="2"/>
  <c r="U1463" i="2" s="1"/>
  <c r="T1464" i="2"/>
  <c r="U1464" i="2" s="1"/>
  <c r="T1465" i="2"/>
  <c r="U1465" i="2" s="1"/>
  <c r="T1466" i="2"/>
  <c r="U1466" i="2" s="1"/>
  <c r="T1467" i="2"/>
  <c r="U1467" i="2" s="1"/>
  <c r="T1468" i="2"/>
  <c r="U1468" i="2" s="1"/>
  <c r="T1469" i="2"/>
  <c r="U1469" i="2" s="1"/>
  <c r="T1470" i="2"/>
  <c r="U1470" i="2" s="1"/>
  <c r="T1471" i="2"/>
  <c r="U1471" i="2" s="1"/>
  <c r="T1472" i="2"/>
  <c r="U1472" i="2" s="1"/>
  <c r="T1473" i="2"/>
  <c r="U1473" i="2" s="1"/>
  <c r="T1474" i="2"/>
  <c r="U1474" i="2" s="1"/>
  <c r="T1475" i="2"/>
  <c r="U1475" i="2" s="1"/>
  <c r="T1476" i="2"/>
  <c r="U1476" i="2" s="1"/>
  <c r="T1477" i="2"/>
  <c r="U1477" i="2" s="1"/>
  <c r="T1478" i="2"/>
  <c r="U1478" i="2" s="1"/>
  <c r="T1479" i="2"/>
  <c r="U1479" i="2" s="1"/>
  <c r="T1480" i="2"/>
  <c r="U1480" i="2" s="1"/>
  <c r="T1481" i="2"/>
  <c r="U1481" i="2" s="1"/>
  <c r="T1482" i="2"/>
  <c r="U1482" i="2" s="1"/>
  <c r="T1483" i="2"/>
  <c r="U1483" i="2" s="1"/>
  <c r="T1484" i="2"/>
  <c r="U1484" i="2" s="1"/>
  <c r="T1485" i="2"/>
  <c r="U1485" i="2" s="1"/>
  <c r="T1486" i="2"/>
  <c r="U1486" i="2" s="1"/>
  <c r="T1487" i="2"/>
  <c r="U1487" i="2" s="1"/>
  <c r="T1488" i="2"/>
  <c r="U1488" i="2" s="1"/>
  <c r="T1489" i="2"/>
  <c r="U1489" i="2" s="1"/>
  <c r="T1490" i="2"/>
  <c r="U1490" i="2" s="1"/>
  <c r="T1491" i="2"/>
  <c r="U1491" i="2" s="1"/>
  <c r="T1492" i="2"/>
  <c r="U1492" i="2" s="1"/>
  <c r="T1493" i="2"/>
  <c r="U1493" i="2" s="1"/>
  <c r="T1494" i="2"/>
  <c r="U1494" i="2" s="1"/>
  <c r="T1495" i="2"/>
  <c r="U1495" i="2" s="1"/>
  <c r="T1496" i="2"/>
  <c r="U1496" i="2" s="1"/>
  <c r="T1498" i="2"/>
  <c r="U1498" i="2" s="1"/>
  <c r="T1499" i="2"/>
  <c r="T1500" i="2"/>
  <c r="U1500" i="2" s="1"/>
  <c r="T1501" i="2"/>
  <c r="U1501" i="2" s="1"/>
  <c r="T1502" i="2"/>
  <c r="U1502" i="2" s="1"/>
  <c r="T1503" i="2"/>
  <c r="U1503" i="2" s="1"/>
  <c r="T1504" i="2"/>
  <c r="U1504" i="2" s="1"/>
  <c r="T1505" i="2"/>
  <c r="U1505" i="2" s="1"/>
  <c r="T1506" i="2"/>
  <c r="U1506" i="2" s="1"/>
  <c r="T1509" i="2"/>
  <c r="U1509" i="2" s="1"/>
  <c r="T1510" i="2"/>
  <c r="U1510" i="2" s="1"/>
  <c r="T1511" i="2"/>
  <c r="U1511" i="2" s="1"/>
  <c r="T1512" i="2"/>
  <c r="U1512" i="2" s="1"/>
  <c r="T1513" i="2"/>
  <c r="U1513" i="2" s="1"/>
  <c r="T1514" i="2"/>
  <c r="U1514" i="2" s="1"/>
  <c r="T1515" i="2"/>
  <c r="U1515" i="2" s="1"/>
  <c r="T1516" i="2"/>
  <c r="U1516" i="2" s="1"/>
  <c r="T1517" i="2"/>
  <c r="U1517" i="2" s="1"/>
  <c r="T1518" i="2"/>
  <c r="U1518" i="2" s="1"/>
  <c r="T1519" i="2"/>
  <c r="U1519" i="2" s="1"/>
  <c r="T1520" i="2"/>
  <c r="U1520" i="2" s="1"/>
  <c r="T2" i="2"/>
  <c r="W4" i="2" l="1"/>
  <c r="W5" i="2"/>
  <c r="W6" i="2"/>
  <c r="W7" i="2"/>
  <c r="W8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3" i="2"/>
</calcChain>
</file>

<file path=xl/sharedStrings.xml><?xml version="1.0" encoding="utf-8"?>
<sst xmlns="http://schemas.openxmlformats.org/spreadsheetml/2006/main" count="18154" uniqueCount="6959">
  <si>
    <t xml:space="preserve">Local Authority </t>
  </si>
  <si>
    <t>Nos.</t>
  </si>
  <si>
    <t>Value(£)</t>
  </si>
  <si>
    <t xml:space="preserve">Domestic </t>
  </si>
  <si>
    <t>Value£</t>
  </si>
  <si>
    <t>Offices</t>
  </si>
  <si>
    <t>Other Commerical(6)</t>
  </si>
  <si>
    <t>Industrial(7)</t>
  </si>
  <si>
    <t>Crown(8)</t>
  </si>
  <si>
    <t>Other(9)</t>
  </si>
  <si>
    <t>Total(10)</t>
  </si>
  <si>
    <t xml:space="preserve">ENGLAND </t>
  </si>
  <si>
    <t>Bedford</t>
  </si>
  <si>
    <t>Shops (4)</t>
  </si>
  <si>
    <t>Over £200(3)</t>
  </si>
  <si>
    <t>£101-£200(2)</t>
  </si>
  <si>
    <t>£1-£100(1)</t>
  </si>
  <si>
    <t xml:space="preserve">Berkshire </t>
  </si>
  <si>
    <t xml:space="preserve">Buckingham </t>
  </si>
  <si>
    <t>Cambridge</t>
  </si>
  <si>
    <t>Chester</t>
  </si>
  <si>
    <t>Cornwall</t>
  </si>
  <si>
    <t>Cumberland</t>
  </si>
  <si>
    <t>Derbyshire</t>
  </si>
  <si>
    <t>Devon</t>
  </si>
  <si>
    <t>Dorset</t>
  </si>
  <si>
    <t>Durham</t>
  </si>
  <si>
    <t>Essex</t>
  </si>
  <si>
    <t>Gloucestershire</t>
  </si>
  <si>
    <t>Hampshire</t>
  </si>
  <si>
    <t xml:space="preserve">Herefordshire </t>
  </si>
  <si>
    <t>Hertfordshire</t>
  </si>
  <si>
    <t>Huntingdonshire</t>
  </si>
  <si>
    <t>Isle of Ely</t>
  </si>
  <si>
    <t>Isle of Wight</t>
  </si>
  <si>
    <t>Kent</t>
  </si>
  <si>
    <t>Lancaster</t>
  </si>
  <si>
    <t>Leicester</t>
  </si>
  <si>
    <t>Lincoln, parts of Holland</t>
  </si>
  <si>
    <t>Lincoln, parts of Kesteven</t>
  </si>
  <si>
    <t>Lincoln, parts of Lindsey</t>
  </si>
  <si>
    <t>London</t>
  </si>
  <si>
    <t>Middlesex</t>
  </si>
  <si>
    <t>Norfolk</t>
  </si>
  <si>
    <t>Northamptonshire</t>
  </si>
  <si>
    <t>Northumberland</t>
  </si>
  <si>
    <t>Nottinghamshire</t>
  </si>
  <si>
    <t>Oxford</t>
  </si>
  <si>
    <t>Rutland</t>
  </si>
  <si>
    <t>Salop</t>
  </si>
  <si>
    <t>Soke of Peterborough</t>
  </si>
  <si>
    <t>Somerset</t>
  </si>
  <si>
    <t>Staffordshire</t>
  </si>
  <si>
    <t>East Suffolk</t>
  </si>
  <si>
    <t>West Suffolk</t>
  </si>
  <si>
    <t>Surrey</t>
  </si>
  <si>
    <t>East Sussex</t>
  </si>
  <si>
    <t>West Sussex</t>
  </si>
  <si>
    <t>Warwickshire</t>
  </si>
  <si>
    <t>Westmoreland</t>
  </si>
  <si>
    <t>Wiltshire</t>
  </si>
  <si>
    <t>Worcestershire</t>
  </si>
  <si>
    <t>Yorkshire, East Riding</t>
  </si>
  <si>
    <t xml:space="preserve">Yorkshire,North Riding </t>
  </si>
  <si>
    <t xml:space="preserve">Yorkshire, West Riding </t>
  </si>
  <si>
    <t xml:space="preserve">City of London </t>
  </si>
  <si>
    <t>Battersea</t>
  </si>
  <si>
    <t>Bermondsey</t>
  </si>
  <si>
    <t>Bethnal Green</t>
  </si>
  <si>
    <t>Camberwell</t>
  </si>
  <si>
    <t>Chelsea</t>
  </si>
  <si>
    <t>Deptford</t>
  </si>
  <si>
    <t>Finsbury</t>
  </si>
  <si>
    <t xml:space="preserve">Fulham </t>
  </si>
  <si>
    <t>Greenwich</t>
  </si>
  <si>
    <t>Hackney</t>
  </si>
  <si>
    <t>Hammersmith</t>
  </si>
  <si>
    <t>Hampstead</t>
  </si>
  <si>
    <t>Holborn</t>
  </si>
  <si>
    <t>Islington</t>
  </si>
  <si>
    <t>Kensington</t>
  </si>
  <si>
    <t>Lambeth</t>
  </si>
  <si>
    <t>Lewisham</t>
  </si>
  <si>
    <t>Paddington</t>
  </si>
  <si>
    <t>Poplar</t>
  </si>
  <si>
    <t>St.Marylebone</t>
  </si>
  <si>
    <t>St.Pancras</t>
  </si>
  <si>
    <t>Shoreditch</t>
  </si>
  <si>
    <t>Southwark</t>
  </si>
  <si>
    <t>Stepney</t>
  </si>
  <si>
    <t>Stoke Newington</t>
  </si>
  <si>
    <t>Wandsworth</t>
  </si>
  <si>
    <t>Westminster, City of</t>
  </si>
  <si>
    <t>Woolwich</t>
  </si>
  <si>
    <t>ENGLAND</t>
  </si>
  <si>
    <t>County Boroughs--</t>
  </si>
  <si>
    <t>Barnsley</t>
  </si>
  <si>
    <t>Barrow-in-Furness</t>
  </si>
  <si>
    <t>Bath</t>
  </si>
  <si>
    <t>Birkenhead</t>
  </si>
  <si>
    <t>Birmingham</t>
  </si>
  <si>
    <t>Blackburn</t>
  </si>
  <si>
    <t>Blackpool</t>
  </si>
  <si>
    <t>Bolton</t>
  </si>
  <si>
    <t>Bootle</t>
  </si>
  <si>
    <t>Bournemouth</t>
  </si>
  <si>
    <t>Bradford</t>
  </si>
  <si>
    <t>Brighton</t>
  </si>
  <si>
    <t>Bristol</t>
  </si>
  <si>
    <t>Burnley</t>
  </si>
  <si>
    <t>Burton-upon-Trent</t>
  </si>
  <si>
    <t>Bury</t>
  </si>
  <si>
    <t>Canterbury</t>
  </si>
  <si>
    <t>Carlisle</t>
  </si>
  <si>
    <t>Coventry</t>
  </si>
  <si>
    <t>Croydon</t>
  </si>
  <si>
    <t>Darlington</t>
  </si>
  <si>
    <t>Derby</t>
  </si>
  <si>
    <t>Dewsburry</t>
  </si>
  <si>
    <t>Doncaster</t>
  </si>
  <si>
    <t>Dudley</t>
  </si>
  <si>
    <t>Eastbourne</t>
  </si>
  <si>
    <t>East Ham</t>
  </si>
  <si>
    <t>Exeter</t>
  </si>
  <si>
    <t>Gateshead</t>
  </si>
  <si>
    <t>County Boroughs--contd.</t>
  </si>
  <si>
    <t xml:space="preserve">Gloucester </t>
  </si>
  <si>
    <t xml:space="preserve">Great Yarmouth </t>
  </si>
  <si>
    <t>Grimsby</t>
  </si>
  <si>
    <t>Halifax</t>
  </si>
  <si>
    <t>Hastings</t>
  </si>
  <si>
    <t xml:space="preserve">Huddersfield </t>
  </si>
  <si>
    <t xml:space="preserve">Ipswich </t>
  </si>
  <si>
    <t>Kingston upon Hull</t>
  </si>
  <si>
    <t>Leeds</t>
  </si>
  <si>
    <t>Lincoln</t>
  </si>
  <si>
    <t>Liverpool</t>
  </si>
  <si>
    <t>Manchester</t>
  </si>
  <si>
    <t>Middlesbrough</t>
  </si>
  <si>
    <t>Newcastle-upon-Tyne</t>
  </si>
  <si>
    <t>Northampton</t>
  </si>
  <si>
    <t>Norwich</t>
  </si>
  <si>
    <t>Nottingham</t>
  </si>
  <si>
    <t>Oldam</t>
  </si>
  <si>
    <t>Plymouth</t>
  </si>
  <si>
    <t>Portsmouth</t>
  </si>
  <si>
    <t>Preston</t>
  </si>
  <si>
    <t xml:space="preserve">Reading </t>
  </si>
  <si>
    <t>Rochdale</t>
  </si>
  <si>
    <t xml:space="preserve">Rotherham </t>
  </si>
  <si>
    <t>St.Helens</t>
  </si>
  <si>
    <t>Salford</t>
  </si>
  <si>
    <t>Sheffield</t>
  </si>
  <si>
    <t>Smethwick</t>
  </si>
  <si>
    <t>Southampton</t>
  </si>
  <si>
    <t>Southend-on-Sea</t>
  </si>
  <si>
    <t>Southport</t>
  </si>
  <si>
    <t>South Shields</t>
  </si>
  <si>
    <t>Stockport</t>
  </si>
  <si>
    <t>Stoke-on-Trent</t>
  </si>
  <si>
    <t>Sunderland</t>
  </si>
  <si>
    <t>Tynemouth</t>
  </si>
  <si>
    <t>Wakefield</t>
  </si>
  <si>
    <t>Wallasey</t>
  </si>
  <si>
    <t>Walsall</t>
  </si>
  <si>
    <t>Warrington</t>
  </si>
  <si>
    <t>West Bromwich</t>
  </si>
  <si>
    <t>West Ham</t>
  </si>
  <si>
    <t>West Hartlepool</t>
  </si>
  <si>
    <t>Wigan</t>
  </si>
  <si>
    <t>Wolverhampton</t>
  </si>
  <si>
    <t>Worcester</t>
  </si>
  <si>
    <t xml:space="preserve">York </t>
  </si>
  <si>
    <t>_</t>
  </si>
  <si>
    <t>BEDFORD</t>
  </si>
  <si>
    <t>Non-County Boroughs--</t>
  </si>
  <si>
    <t>Dunstable</t>
  </si>
  <si>
    <t>Luton</t>
  </si>
  <si>
    <t>BEDFORD-contd..</t>
  </si>
  <si>
    <t>Urban Districts--</t>
  </si>
  <si>
    <t>Ampthill</t>
  </si>
  <si>
    <t>Biggleswade</t>
  </si>
  <si>
    <t>Kempston</t>
  </si>
  <si>
    <t>Leighton Buzzard</t>
  </si>
  <si>
    <t>Sandy</t>
  </si>
  <si>
    <t>Rural District</t>
  </si>
  <si>
    <t>BERKSHIRE:</t>
  </si>
  <si>
    <t>Abingdon</t>
  </si>
  <si>
    <t>Maidenhead</t>
  </si>
  <si>
    <t>Newbury</t>
  </si>
  <si>
    <t xml:space="preserve">New Windsor </t>
  </si>
  <si>
    <t>Wallingford</t>
  </si>
  <si>
    <t>Wokingham</t>
  </si>
  <si>
    <t>Wantage</t>
  </si>
  <si>
    <t xml:space="preserve">Bradfield </t>
  </si>
  <si>
    <t xml:space="preserve">Cookham </t>
  </si>
  <si>
    <t>Easthampstead</t>
  </si>
  <si>
    <t>Farringdon</t>
  </si>
  <si>
    <t>Hungerford</t>
  </si>
  <si>
    <t>Windsor</t>
  </si>
  <si>
    <t>BUCKINGHAM:</t>
  </si>
  <si>
    <t>Aylesbury</t>
  </si>
  <si>
    <t>High Wycomeb</t>
  </si>
  <si>
    <t>Slough</t>
  </si>
  <si>
    <t>Beaconsfield</t>
  </si>
  <si>
    <t>Bletchley</t>
  </si>
  <si>
    <t>Clesham</t>
  </si>
  <si>
    <t>Eton</t>
  </si>
  <si>
    <t>Linslade</t>
  </si>
  <si>
    <t>Marlow</t>
  </si>
  <si>
    <t>Newport Pagnell</t>
  </si>
  <si>
    <t>Wolverton</t>
  </si>
  <si>
    <t>Rural Districts--</t>
  </si>
  <si>
    <t>Amersham</t>
  </si>
  <si>
    <t>Buckingham</t>
  </si>
  <si>
    <t>Newport Pangnell</t>
  </si>
  <si>
    <t>Wing</t>
  </si>
  <si>
    <t>Winslow</t>
  </si>
  <si>
    <t>Wycombe</t>
  </si>
  <si>
    <t>CAMBRIDGE</t>
  </si>
  <si>
    <t>Chesterton</t>
  </si>
  <si>
    <t>Newmarket</t>
  </si>
  <si>
    <t>South Cambridgeshire</t>
  </si>
  <si>
    <t>CHESTER</t>
  </si>
  <si>
    <t>Altrincham</t>
  </si>
  <si>
    <t xml:space="preserve">Bebington </t>
  </si>
  <si>
    <t>Congleton</t>
  </si>
  <si>
    <t>Crewe</t>
  </si>
  <si>
    <t>Dukinfield</t>
  </si>
  <si>
    <t>Ellesmere Port</t>
  </si>
  <si>
    <t>Hyde</t>
  </si>
  <si>
    <t>Macclesfield</t>
  </si>
  <si>
    <t>Sale</t>
  </si>
  <si>
    <t>Stalybridge</t>
  </si>
  <si>
    <t>Alderley Bridge</t>
  </si>
  <si>
    <t>Alsager</t>
  </si>
  <si>
    <t>Bollington</t>
  </si>
  <si>
    <t>Bowden</t>
  </si>
  <si>
    <t>Bredbury&amp;Romiley</t>
  </si>
  <si>
    <t>Cheadle&amp;Gatley</t>
  </si>
  <si>
    <t>Hale</t>
  </si>
  <si>
    <t>Hazel Grove &amp; Bramhall</t>
  </si>
  <si>
    <t>Hoylake</t>
  </si>
  <si>
    <t>Knutsford</t>
  </si>
  <si>
    <t>Longdendale</t>
  </si>
  <si>
    <t>Lymm</t>
  </si>
  <si>
    <t>Marple</t>
  </si>
  <si>
    <t>Middlewich</t>
  </si>
  <si>
    <t>Nantwich</t>
  </si>
  <si>
    <t>Neston</t>
  </si>
  <si>
    <t>Northwich</t>
  </si>
  <si>
    <t>Runcorn</t>
  </si>
  <si>
    <t>Sandbach</t>
  </si>
  <si>
    <t>Wilmslow</t>
  </si>
  <si>
    <t>Winsford</t>
  </si>
  <si>
    <t>Wirral</t>
  </si>
  <si>
    <t>Bucklow</t>
  </si>
  <si>
    <t>Disley</t>
  </si>
  <si>
    <t>Tarvin</t>
  </si>
  <si>
    <t>Tintwistle</t>
  </si>
  <si>
    <t>CORNWALL</t>
  </si>
  <si>
    <t xml:space="preserve">Bodmin </t>
  </si>
  <si>
    <t xml:space="preserve">Falmouth </t>
  </si>
  <si>
    <t>Fowey</t>
  </si>
  <si>
    <t>Helston</t>
  </si>
  <si>
    <t>CORNWALL-contd:</t>
  </si>
  <si>
    <t>Non-County Boroughs-contd:</t>
  </si>
  <si>
    <t>Launceston(Dunheved)</t>
  </si>
  <si>
    <t>Liskeard</t>
  </si>
  <si>
    <t>Postwithiel</t>
  </si>
  <si>
    <t>Penryn</t>
  </si>
  <si>
    <t>Penzance</t>
  </si>
  <si>
    <t>St.Ives</t>
  </si>
  <si>
    <t>Saltash</t>
  </si>
  <si>
    <t>Truro</t>
  </si>
  <si>
    <t>Bude-Stratton</t>
  </si>
  <si>
    <t>Camborne-Redruth</t>
  </si>
  <si>
    <t>Looe</t>
  </si>
  <si>
    <t>Newquay</t>
  </si>
  <si>
    <t>Padstow</t>
  </si>
  <si>
    <t>St.Austell</t>
  </si>
  <si>
    <t>St.Just</t>
  </si>
  <si>
    <t>Torpoint</t>
  </si>
  <si>
    <t>Camelford</t>
  </si>
  <si>
    <t>Kerrier</t>
  </si>
  <si>
    <t>Launceston</t>
  </si>
  <si>
    <t>St.Germans</t>
  </si>
  <si>
    <t>Stratton</t>
  </si>
  <si>
    <t>Wadebridge</t>
  </si>
  <si>
    <t>West Penwith</t>
  </si>
  <si>
    <t>..</t>
  </si>
  <si>
    <t>ISLES OF SCILLY</t>
  </si>
  <si>
    <t>CUMBERLAND</t>
  </si>
  <si>
    <t>Whitehaven</t>
  </si>
  <si>
    <t>Workington</t>
  </si>
  <si>
    <t>Cockermouth</t>
  </si>
  <si>
    <t>Keswick</t>
  </si>
  <si>
    <t>Marypot</t>
  </si>
  <si>
    <t>Penrith</t>
  </si>
  <si>
    <t>Alston with Carrigill</t>
  </si>
  <si>
    <t>Border</t>
  </si>
  <si>
    <t>Ennerdale</t>
  </si>
  <si>
    <t>Millom</t>
  </si>
  <si>
    <t>Wigton</t>
  </si>
  <si>
    <t>DERBYSHIRE:</t>
  </si>
  <si>
    <t>Buxton</t>
  </si>
  <si>
    <t>Chesterfield</t>
  </si>
  <si>
    <t>Glassop</t>
  </si>
  <si>
    <t>Ilkeston</t>
  </si>
  <si>
    <t>DERBYSHIRE-contd</t>
  </si>
  <si>
    <t>Alfreton</t>
  </si>
  <si>
    <t>Ashbourne</t>
  </si>
  <si>
    <t>Bakewell</t>
  </si>
  <si>
    <t>Belper</t>
  </si>
  <si>
    <t>Bolsover</t>
  </si>
  <si>
    <t>Clay Cross</t>
  </si>
  <si>
    <t>Dronfield</t>
  </si>
  <si>
    <t>Heanor</t>
  </si>
  <si>
    <t>Long Eaton</t>
  </si>
  <si>
    <t>Matlock</t>
  </si>
  <si>
    <t>New Mills</t>
  </si>
  <si>
    <t>Ripley</t>
  </si>
  <si>
    <t>Staveley</t>
  </si>
  <si>
    <t>Swadlincote</t>
  </si>
  <si>
    <t>Whaley Bridge</t>
  </si>
  <si>
    <t>Wirksworth</t>
  </si>
  <si>
    <t>Blackwell</t>
  </si>
  <si>
    <t>Chapel-en-le-Frith</t>
  </si>
  <si>
    <t>Clowne</t>
  </si>
  <si>
    <t>Repton</t>
  </si>
  <si>
    <t>South-East Derbyshire</t>
  </si>
  <si>
    <t>DEVON:-</t>
  </si>
  <si>
    <t>Non-County Boroughs:-</t>
  </si>
  <si>
    <t>Barnstaple</t>
  </si>
  <si>
    <t>Bideford</t>
  </si>
  <si>
    <t xml:space="preserve">Dartmouth </t>
  </si>
  <si>
    <t>Gt.Torrington</t>
  </si>
  <si>
    <t>Honiton</t>
  </si>
  <si>
    <t>Okehampton</t>
  </si>
  <si>
    <t>South Molton</t>
  </si>
  <si>
    <t xml:space="preserve">Tiverton </t>
  </si>
  <si>
    <t>Torquay</t>
  </si>
  <si>
    <t>Totnes</t>
  </si>
  <si>
    <t>Ashburton</t>
  </si>
  <si>
    <t>Brixham</t>
  </si>
  <si>
    <t>Buckfastleigh</t>
  </si>
  <si>
    <t>Budleigh Salterton</t>
  </si>
  <si>
    <t>Crediton</t>
  </si>
  <si>
    <t>Dawlish</t>
  </si>
  <si>
    <t>Exmouth</t>
  </si>
  <si>
    <t>Holsworthy</t>
  </si>
  <si>
    <t>Ilfracombe</t>
  </si>
  <si>
    <t>Kingsbridge</t>
  </si>
  <si>
    <t>Lynton</t>
  </si>
  <si>
    <t>Newton Abbot</t>
  </si>
  <si>
    <t>Northam</t>
  </si>
  <si>
    <t>Ottery St.Mary</t>
  </si>
  <si>
    <t>Paignton</t>
  </si>
  <si>
    <t>Salcombe</t>
  </si>
  <si>
    <t>Seaton</t>
  </si>
  <si>
    <t>Sidmouth</t>
  </si>
  <si>
    <t>Tavistock</t>
  </si>
  <si>
    <t>Teignmouth</t>
  </si>
  <si>
    <t>DEVON:-contd</t>
  </si>
  <si>
    <t>Axminster</t>
  </si>
  <si>
    <t>Broadwoodwidger</t>
  </si>
  <si>
    <t>Plympton St.Mary</t>
  </si>
  <si>
    <t>St.Thomas</t>
  </si>
  <si>
    <t>Torrington</t>
  </si>
  <si>
    <t>DORSET</t>
  </si>
  <si>
    <t>Non-County Boroughs</t>
  </si>
  <si>
    <t>Non-County Boroughs-</t>
  </si>
  <si>
    <t>Blandford Forum</t>
  </si>
  <si>
    <t>Bridport</t>
  </si>
  <si>
    <t>Dorchester</t>
  </si>
  <si>
    <t>Lyme Regis</t>
  </si>
  <si>
    <t>Poole</t>
  </si>
  <si>
    <t>Shaftesbury</t>
  </si>
  <si>
    <t>Wareham</t>
  </si>
  <si>
    <t>Weymouth and Melcombe Regis</t>
  </si>
  <si>
    <t>Portland</t>
  </si>
  <si>
    <t>Sherborne</t>
  </si>
  <si>
    <t>Swanage</t>
  </si>
  <si>
    <t>Wimborne Minster</t>
  </si>
  <si>
    <t>Beaminster</t>
  </si>
  <si>
    <t xml:space="preserve">Blandford   </t>
  </si>
  <si>
    <t>Sturminster</t>
  </si>
  <si>
    <t>Wareham and Purbeck</t>
  </si>
  <si>
    <t>Wimborne and Cranborne</t>
  </si>
  <si>
    <t>DURHAM:-</t>
  </si>
  <si>
    <t>Hartlepool</t>
  </si>
  <si>
    <t>Jarrow</t>
  </si>
  <si>
    <t>Stockton-on-Tees</t>
  </si>
  <si>
    <t>Barnard Castle</t>
  </si>
  <si>
    <t>Billingham</t>
  </si>
  <si>
    <t>Bishop Auckland</t>
  </si>
  <si>
    <t>Blaydon</t>
  </si>
  <si>
    <t>Boldon</t>
  </si>
  <si>
    <t>Brandon &amp; Byshottles</t>
  </si>
  <si>
    <t>Chester-le-Street</t>
  </si>
  <si>
    <t>Consett</t>
  </si>
  <si>
    <t>DURHAM-contd:</t>
  </si>
  <si>
    <t>Urban Districts--contd:</t>
  </si>
  <si>
    <t>Crook &amp; Willington</t>
  </si>
  <si>
    <t>Felling</t>
  </si>
  <si>
    <t>Hebburn</t>
  </si>
  <si>
    <t>Hetton</t>
  </si>
  <si>
    <t>Houghton-le-Spring</t>
  </si>
  <si>
    <t>Ryton</t>
  </si>
  <si>
    <t>Seaham</t>
  </si>
  <si>
    <t>Shildon</t>
  </si>
  <si>
    <t>Spennymoor</t>
  </si>
  <si>
    <t>Stanley</t>
  </si>
  <si>
    <t>Tow Law</t>
  </si>
  <si>
    <t>Washington</t>
  </si>
  <si>
    <t>Whickham</t>
  </si>
  <si>
    <t>Easington</t>
  </si>
  <si>
    <t>Lanchester</t>
  </si>
  <si>
    <t>Sedgefield</t>
  </si>
  <si>
    <t>Stockton</t>
  </si>
  <si>
    <t>Weardale</t>
  </si>
  <si>
    <t>ESSEX:</t>
  </si>
  <si>
    <t>Barking</t>
  </si>
  <si>
    <t>Chelmsford</t>
  </si>
  <si>
    <t>Chingford</t>
  </si>
  <si>
    <t>Colchester</t>
  </si>
  <si>
    <t>Dagenham</t>
  </si>
  <si>
    <t>Harwich</t>
  </si>
  <si>
    <t>lIford</t>
  </si>
  <si>
    <t>Leyton</t>
  </si>
  <si>
    <t>Maldon</t>
  </si>
  <si>
    <t>Romford</t>
  </si>
  <si>
    <t>Saffron Walden</t>
  </si>
  <si>
    <t>Walthamstow</t>
  </si>
  <si>
    <t>Wanstead &amp; Woodford</t>
  </si>
  <si>
    <t>Basildon</t>
  </si>
  <si>
    <t>Benfleet</t>
  </si>
  <si>
    <t>Braintree &amp; Bocking</t>
  </si>
  <si>
    <t>Brentwood</t>
  </si>
  <si>
    <t>Brightlingsea</t>
  </si>
  <si>
    <t>Burnham-on-Crouch</t>
  </si>
  <si>
    <t>Canvey Island</t>
  </si>
  <si>
    <t>Chigwell</t>
  </si>
  <si>
    <t>Clacton</t>
  </si>
  <si>
    <t>Epping</t>
  </si>
  <si>
    <t>Frinton &amp; Walton</t>
  </si>
  <si>
    <t>Halstead</t>
  </si>
  <si>
    <t>Harlow</t>
  </si>
  <si>
    <t>Hornchurch</t>
  </si>
  <si>
    <t>Rayleigh</t>
  </si>
  <si>
    <t>Thurrock</t>
  </si>
  <si>
    <t>Waltham Holy Cross</t>
  </si>
  <si>
    <t xml:space="preserve">West Mersea </t>
  </si>
  <si>
    <t>Witham</t>
  </si>
  <si>
    <t>Wivenhoe</t>
  </si>
  <si>
    <t>ESSEX--contd:</t>
  </si>
  <si>
    <t>Braintree</t>
  </si>
  <si>
    <t>Dunmow</t>
  </si>
  <si>
    <t>Epping &amp; Ongar</t>
  </si>
  <si>
    <t>Lexden &amp; Winstree</t>
  </si>
  <si>
    <t>Rochford</t>
  </si>
  <si>
    <t xml:space="preserve">Tendring </t>
  </si>
  <si>
    <t>GLOUCESTERSHIRE:</t>
  </si>
  <si>
    <t>Cheltenham</t>
  </si>
  <si>
    <t>Tewkesbury</t>
  </si>
  <si>
    <t>Charlton Kings</t>
  </si>
  <si>
    <t>Cirencester</t>
  </si>
  <si>
    <t>Kingswood</t>
  </si>
  <si>
    <t xml:space="preserve">Mangotsfield </t>
  </si>
  <si>
    <t xml:space="preserve">Nailsworth </t>
  </si>
  <si>
    <t>Stroud</t>
  </si>
  <si>
    <t>Dursley</t>
  </si>
  <si>
    <t>East Dean</t>
  </si>
  <si>
    <t>Gloucester</t>
  </si>
  <si>
    <t>Lydney</t>
  </si>
  <si>
    <t>Newent</t>
  </si>
  <si>
    <t>North Cotswold</t>
  </si>
  <si>
    <t>Northleach</t>
  </si>
  <si>
    <t>Sodbury</t>
  </si>
  <si>
    <t xml:space="preserve">Stroud </t>
  </si>
  <si>
    <t>Tetbury</t>
  </si>
  <si>
    <t>Thornbury</t>
  </si>
  <si>
    <t>Warmley</t>
  </si>
  <si>
    <t>West Dean</t>
  </si>
  <si>
    <t>HAMPSHIRE</t>
  </si>
  <si>
    <t>Aldershot</t>
  </si>
  <si>
    <t>Andover</t>
  </si>
  <si>
    <t>Baringstoke</t>
  </si>
  <si>
    <t>Christchurch</t>
  </si>
  <si>
    <t>Eastleigh</t>
  </si>
  <si>
    <t>Gosport</t>
  </si>
  <si>
    <t>Lymington</t>
  </si>
  <si>
    <t>Romsey</t>
  </si>
  <si>
    <t>Winchester</t>
  </si>
  <si>
    <t>Alton</t>
  </si>
  <si>
    <t>Fareham</t>
  </si>
  <si>
    <t>Farnborough</t>
  </si>
  <si>
    <t>Fleet</t>
  </si>
  <si>
    <t>Havant &amp; Waterloo</t>
  </si>
  <si>
    <t>Petersfield</t>
  </si>
  <si>
    <t>HAMPSHIRE-contd.</t>
  </si>
  <si>
    <t>Basingstoke</t>
  </si>
  <si>
    <t>Droxford</t>
  </si>
  <si>
    <t>Hartley Wintney</t>
  </si>
  <si>
    <t>Kingsclere &amp; Whitchurch</t>
  </si>
  <si>
    <t>New Forest</t>
  </si>
  <si>
    <t>Ringwood and Fordingbridge</t>
  </si>
  <si>
    <t>Romsey and Stockbridge</t>
  </si>
  <si>
    <t>HEREFORDSHIRE:-</t>
  </si>
  <si>
    <t>Hereford</t>
  </si>
  <si>
    <t>Leominster</t>
  </si>
  <si>
    <t>Bromyard</t>
  </si>
  <si>
    <t>Kington</t>
  </si>
  <si>
    <t>Ledbury</t>
  </si>
  <si>
    <t>Ross-on-Wye</t>
  </si>
  <si>
    <t>Dore and Bredwardine</t>
  </si>
  <si>
    <t>Leominster and Wigmore</t>
  </si>
  <si>
    <t>Ross and Whitchurch</t>
  </si>
  <si>
    <t>Weobley</t>
  </si>
  <si>
    <t>HERTFORDSHIRE:</t>
  </si>
  <si>
    <t xml:space="preserve">Hemel Hempstead </t>
  </si>
  <si>
    <t>Hertford</t>
  </si>
  <si>
    <t>St.Albans</t>
  </si>
  <si>
    <t>Watford</t>
  </si>
  <si>
    <t>Baldock</t>
  </si>
  <si>
    <t>Barnet</t>
  </si>
  <si>
    <t>Berkhamsted</t>
  </si>
  <si>
    <t>Bishop's Stortford</t>
  </si>
  <si>
    <t>Bushey</t>
  </si>
  <si>
    <t>Cheshunt</t>
  </si>
  <si>
    <t>Chorleywood</t>
  </si>
  <si>
    <t>East Barnet</t>
  </si>
  <si>
    <t>Harpenden</t>
  </si>
  <si>
    <t>Hitchin</t>
  </si>
  <si>
    <t>Hoddesdon</t>
  </si>
  <si>
    <t>Letchworth</t>
  </si>
  <si>
    <t>Rickmansworth</t>
  </si>
  <si>
    <t>Royston</t>
  </si>
  <si>
    <t>Sawbridgeworth</t>
  </si>
  <si>
    <t>Stevenage</t>
  </si>
  <si>
    <t>Tring</t>
  </si>
  <si>
    <t>Ware</t>
  </si>
  <si>
    <t>Welwyn Garden City</t>
  </si>
  <si>
    <t>HERTFORDSHIRE-contd.</t>
  </si>
  <si>
    <t>Braughing</t>
  </si>
  <si>
    <t>Elstree</t>
  </si>
  <si>
    <t>Hatfield</t>
  </si>
  <si>
    <t>Welwyn</t>
  </si>
  <si>
    <t>HUNTINGDONSHIRE:</t>
  </si>
  <si>
    <t>Huntingdon &amp; Godmanchester</t>
  </si>
  <si>
    <t>St. Ives</t>
  </si>
  <si>
    <t>Old Fletton</t>
  </si>
  <si>
    <t>Ramsey</t>
  </si>
  <si>
    <t>St.Neots</t>
  </si>
  <si>
    <t>Huntingdon</t>
  </si>
  <si>
    <t>Norman Cross</t>
  </si>
  <si>
    <t>ISLE OF ELY:</t>
  </si>
  <si>
    <t>Non-County Borough--</t>
  </si>
  <si>
    <t>Wisbech</t>
  </si>
  <si>
    <t>Chatteris</t>
  </si>
  <si>
    <t>Ely</t>
  </si>
  <si>
    <t>March</t>
  </si>
  <si>
    <t>Whittlesey</t>
  </si>
  <si>
    <t>North Witchford</t>
  </si>
  <si>
    <t>Thorney</t>
  </si>
  <si>
    <t>ISLE OF WIGHT:</t>
  </si>
  <si>
    <t>Newport</t>
  </si>
  <si>
    <t>Ryde</t>
  </si>
  <si>
    <t>Cowes</t>
  </si>
  <si>
    <t>Sandown-Shanklin</t>
  </si>
  <si>
    <t>Ventnor</t>
  </si>
  <si>
    <t>Rural District--</t>
  </si>
  <si>
    <t>The Isle of Wight</t>
  </si>
  <si>
    <t>KENT:</t>
  </si>
  <si>
    <t>Beckenham</t>
  </si>
  <si>
    <t>Bexley</t>
  </si>
  <si>
    <t>Bromley</t>
  </si>
  <si>
    <t>Chatham</t>
  </si>
  <si>
    <t>Dartford</t>
  </si>
  <si>
    <t>Deal</t>
  </si>
  <si>
    <t>Dover</t>
  </si>
  <si>
    <t>Erith</t>
  </si>
  <si>
    <t>Faversham</t>
  </si>
  <si>
    <t>Folkestone</t>
  </si>
  <si>
    <t>Gillingham</t>
  </si>
  <si>
    <t>Gravesend</t>
  </si>
  <si>
    <t>Hythe</t>
  </si>
  <si>
    <t>Lydd</t>
  </si>
  <si>
    <t>Maidstone</t>
  </si>
  <si>
    <t>Margate</t>
  </si>
  <si>
    <t>New Romney</t>
  </si>
  <si>
    <t>Queenborough</t>
  </si>
  <si>
    <t>Ramsgate</t>
  </si>
  <si>
    <t>Rochester</t>
  </si>
  <si>
    <t>Sandwich</t>
  </si>
  <si>
    <t>Tenterden</t>
  </si>
  <si>
    <t>Tunbridge Wells(Royal)</t>
  </si>
  <si>
    <t>Ashford</t>
  </si>
  <si>
    <t>Broadstairs &amp; St.Peter's</t>
  </si>
  <si>
    <t>Chislehurst &amp; Sidcup</t>
  </si>
  <si>
    <t>Crayford</t>
  </si>
  <si>
    <t>Herne Bay</t>
  </si>
  <si>
    <t>Northfleet</t>
  </si>
  <si>
    <t>Orpington</t>
  </si>
  <si>
    <t>Penge</t>
  </si>
  <si>
    <t>Sevenoaks</t>
  </si>
  <si>
    <t>Sheerness</t>
  </si>
  <si>
    <t>Sittingbourne &amp; Milton</t>
  </si>
  <si>
    <t>Southborough</t>
  </si>
  <si>
    <t>Swanscombe</t>
  </si>
  <si>
    <t>Tonbridge</t>
  </si>
  <si>
    <t>Whitstable</t>
  </si>
  <si>
    <t>Bridge-Blean</t>
  </si>
  <si>
    <t>Cranbrook</t>
  </si>
  <si>
    <t>East Ashford</t>
  </si>
  <si>
    <t>Eastry</t>
  </si>
  <si>
    <t>Elham</t>
  </si>
  <si>
    <t>Hollingbourn</t>
  </si>
  <si>
    <t>Malling</t>
  </si>
  <si>
    <t>Romney Marsh</t>
  </si>
  <si>
    <t>Sheppey</t>
  </si>
  <si>
    <t>Strood</t>
  </si>
  <si>
    <t>Swale</t>
  </si>
  <si>
    <t>West Ashford</t>
  </si>
  <si>
    <t>LANCASTER:</t>
  </si>
  <si>
    <t>Accrington</t>
  </si>
  <si>
    <t>Ashton-under-Lyne</t>
  </si>
  <si>
    <t>Bacup</t>
  </si>
  <si>
    <t>Chorley</t>
  </si>
  <si>
    <t>Clitheroe</t>
  </si>
  <si>
    <t>Colne</t>
  </si>
  <si>
    <t>Crosby</t>
  </si>
  <si>
    <t>Darwen</t>
  </si>
  <si>
    <t>Eccles</t>
  </si>
  <si>
    <t>Farnworth</t>
  </si>
  <si>
    <t>Fleetwood</t>
  </si>
  <si>
    <t>Haslingden</t>
  </si>
  <si>
    <t>Heywood</t>
  </si>
  <si>
    <t>Leigh</t>
  </si>
  <si>
    <t>Lytham St.Anne's</t>
  </si>
  <si>
    <t>Middleton</t>
  </si>
  <si>
    <t>Morecambe &amp; Heysham</t>
  </si>
  <si>
    <t>Mossley</t>
  </si>
  <si>
    <t>Nelson</t>
  </si>
  <si>
    <t>Prestwich</t>
  </si>
  <si>
    <t>Radcliffe</t>
  </si>
  <si>
    <t>Rawtenstall</t>
  </si>
  <si>
    <t>Stretford</t>
  </si>
  <si>
    <t>Swinton &amp; Pendlebury</t>
  </si>
  <si>
    <t>Widnes</t>
  </si>
  <si>
    <t>Abram</t>
  </si>
  <si>
    <t xml:space="preserve">Adlington </t>
  </si>
  <si>
    <t>Ashton-in-Makerfield</t>
  </si>
  <si>
    <t>Aspull</t>
  </si>
  <si>
    <t>Atherton</t>
  </si>
  <si>
    <t>Audenshaw</t>
  </si>
  <si>
    <t>Barrowford</t>
  </si>
  <si>
    <t>Billinge &amp; Winstanley</t>
  </si>
  <si>
    <t>Blackrod</t>
  </si>
  <si>
    <t>Brierfield</t>
  </si>
  <si>
    <t>Carnforth</t>
  </si>
  <si>
    <t>Chadderton</t>
  </si>
  <si>
    <t>Church</t>
  </si>
  <si>
    <t>Clayton-le-Moors</t>
  </si>
  <si>
    <t>Crompton</t>
  </si>
  <si>
    <t>Dalton-in-Furness</t>
  </si>
  <si>
    <t>Denton</t>
  </si>
  <si>
    <t>Droylsden</t>
  </si>
  <si>
    <t>Failsworth</t>
  </si>
  <si>
    <t xml:space="preserve">Formby </t>
  </si>
  <si>
    <t>Fulwood</t>
  </si>
  <si>
    <t>Golborne</t>
  </si>
  <si>
    <t>Grange</t>
  </si>
  <si>
    <t>Great Harwood</t>
  </si>
  <si>
    <t>Haydock</t>
  </si>
  <si>
    <t>Hindley</t>
  </si>
  <si>
    <t>Horwich</t>
  </si>
  <si>
    <t>Huyton-with-Roby</t>
  </si>
  <si>
    <t>Ince-in-Makerfield</t>
  </si>
  <si>
    <t>Irlam</t>
  </si>
  <si>
    <t>Kearsley</t>
  </si>
  <si>
    <t>Kirkby</t>
  </si>
  <si>
    <t>kirkham</t>
  </si>
  <si>
    <t>Lees</t>
  </si>
  <si>
    <t>Leyland</t>
  </si>
  <si>
    <t>Litherland</t>
  </si>
  <si>
    <t>Littleborough</t>
  </si>
  <si>
    <t>LANCASTER-contd.</t>
  </si>
  <si>
    <t>Urban Districts-contd.</t>
  </si>
  <si>
    <t>Little Lever</t>
  </si>
  <si>
    <t>Longridge</t>
  </si>
  <si>
    <t>Milnrow</t>
  </si>
  <si>
    <t>Newton-le-Willows</t>
  </si>
  <si>
    <t>Ormskirk</t>
  </si>
  <si>
    <t>Orrell</t>
  </si>
  <si>
    <t>Oswaldtwistle</t>
  </si>
  <si>
    <t>Padiham</t>
  </si>
  <si>
    <t>Poulton-le-Fylde</t>
  </si>
  <si>
    <t>Preesall</t>
  </si>
  <si>
    <t>Prescot</t>
  </si>
  <si>
    <t>Rainford</t>
  </si>
  <si>
    <t>Ramsbottom</t>
  </si>
  <si>
    <t>Rishton</t>
  </si>
  <si>
    <t>Royton</t>
  </si>
  <si>
    <t>Skelmersdale</t>
  </si>
  <si>
    <t>Standish-with-Langtree</t>
  </si>
  <si>
    <t>Thornton Cleveleys</t>
  </si>
  <si>
    <t>Tottington</t>
  </si>
  <si>
    <t>Trawden</t>
  </si>
  <si>
    <t>Turton</t>
  </si>
  <si>
    <t>Tyldesley</t>
  </si>
  <si>
    <t>Ulverston</t>
  </si>
  <si>
    <t>Upholland</t>
  </si>
  <si>
    <t>Urmston</t>
  </si>
  <si>
    <t>Walton-le-Dale</t>
  </si>
  <si>
    <t>Wardle</t>
  </si>
  <si>
    <t>Westhoughton</t>
  </si>
  <si>
    <t>Whitefield</t>
  </si>
  <si>
    <t>Whitworth</t>
  </si>
  <si>
    <t>Withnell</t>
  </si>
  <si>
    <t>Worsley</t>
  </si>
  <si>
    <t>Fylde</t>
  </si>
  <si>
    <t>Garstang</t>
  </si>
  <si>
    <t>Lunesdale</t>
  </si>
  <si>
    <t>North Lonsdale</t>
  </si>
  <si>
    <t>West Lancashire</t>
  </si>
  <si>
    <t>Whiston</t>
  </si>
  <si>
    <t>LEICESTER:</t>
  </si>
  <si>
    <t>Loughborough</t>
  </si>
  <si>
    <t>Ashby-de-la-Zouch</t>
  </si>
  <si>
    <t>Ashby Woulds</t>
  </si>
  <si>
    <t>Coalville</t>
  </si>
  <si>
    <t>Hinckley</t>
  </si>
  <si>
    <t>Market Harborough</t>
  </si>
  <si>
    <t>Melton Mowbray</t>
  </si>
  <si>
    <t>Oadby</t>
  </si>
  <si>
    <t>Shepshed</t>
  </si>
  <si>
    <t>Wigston</t>
  </si>
  <si>
    <t>LEICESTER-contd</t>
  </si>
  <si>
    <t>Barrow-upon-Soar</t>
  </si>
  <si>
    <t>Billesdon</t>
  </si>
  <si>
    <t>Blaby</t>
  </si>
  <si>
    <t>Castle Donnington</t>
  </si>
  <si>
    <t>Lutterworth</t>
  </si>
  <si>
    <t>Market Bosworth</t>
  </si>
  <si>
    <t>Melton &amp; Belvoir</t>
  </si>
  <si>
    <t>LINCOLN, PARTS OF HOLLAND:</t>
  </si>
  <si>
    <t>Boston</t>
  </si>
  <si>
    <t>Spalding</t>
  </si>
  <si>
    <t xml:space="preserve">Boston </t>
  </si>
  <si>
    <t>East Elloe</t>
  </si>
  <si>
    <t>LINCOLN, PARTS OF KESTEVEN:</t>
  </si>
  <si>
    <t>Grantham</t>
  </si>
  <si>
    <t>Stamford</t>
  </si>
  <si>
    <t>Bourne</t>
  </si>
  <si>
    <t>Sleaford</t>
  </si>
  <si>
    <t>Rural Distrcts--</t>
  </si>
  <si>
    <t>East Kesteven</t>
  </si>
  <si>
    <t>North Kesteven</t>
  </si>
  <si>
    <t>South Kesteven</t>
  </si>
  <si>
    <t>West kesteven</t>
  </si>
  <si>
    <t>LINCOLN, PARTS OF LINDSEY:</t>
  </si>
  <si>
    <t>Cleethorpes</t>
  </si>
  <si>
    <t>Louth</t>
  </si>
  <si>
    <t>Scunthorpe</t>
  </si>
  <si>
    <t>Alford</t>
  </si>
  <si>
    <t>Barton-upon-Humber</t>
  </si>
  <si>
    <t>Brigg</t>
  </si>
  <si>
    <t>Gainsborough</t>
  </si>
  <si>
    <t>Horncastle</t>
  </si>
  <si>
    <t>Mablethorpe &amp; Sutton</t>
  </si>
  <si>
    <t>Market Rasen</t>
  </si>
  <si>
    <t>Skegness</t>
  </si>
  <si>
    <t>Woodhall Spa</t>
  </si>
  <si>
    <t>Caistor</t>
  </si>
  <si>
    <t>Glanford Brigg</t>
  </si>
  <si>
    <t>Isle of Axholme</t>
  </si>
  <si>
    <t xml:space="preserve">Louth </t>
  </si>
  <si>
    <t>Spilsby</t>
  </si>
  <si>
    <t>Welton</t>
  </si>
  <si>
    <t>MIDDLESEX:</t>
  </si>
  <si>
    <t>Non-county Boroughs</t>
  </si>
  <si>
    <t>Acton</t>
  </si>
  <si>
    <t>Brentford and Chiswick</t>
  </si>
  <si>
    <t>Ealing</t>
  </si>
  <si>
    <t>Edmonton</t>
  </si>
  <si>
    <t>Enfield</t>
  </si>
  <si>
    <t>Finchley</t>
  </si>
  <si>
    <t>Harrow</t>
  </si>
  <si>
    <t>Hendon</t>
  </si>
  <si>
    <t>Heston &amp; lsleworth</t>
  </si>
  <si>
    <t>Hornsey</t>
  </si>
  <si>
    <t>Southall</t>
  </si>
  <si>
    <t>Southgate</t>
  </si>
  <si>
    <t>Tottenham</t>
  </si>
  <si>
    <t>Twickenham</t>
  </si>
  <si>
    <t>Uxbridge</t>
  </si>
  <si>
    <t>Wembley</t>
  </si>
  <si>
    <t>Willesden</t>
  </si>
  <si>
    <t>Wood Green</t>
  </si>
  <si>
    <t>Feltham</t>
  </si>
  <si>
    <t>Friern Barnet</t>
  </si>
  <si>
    <t>Hayes &amp; Harlington</t>
  </si>
  <si>
    <t>Potters Bar</t>
  </si>
  <si>
    <t>Ruislip-Northwood</t>
  </si>
  <si>
    <t>Staines</t>
  </si>
  <si>
    <t>Sunbury-on-Thames</t>
  </si>
  <si>
    <t>Yiewsley and West Drayton</t>
  </si>
  <si>
    <t>NORFOLK:</t>
  </si>
  <si>
    <t>King's Lynn</t>
  </si>
  <si>
    <t>Thetford</t>
  </si>
  <si>
    <t xml:space="preserve">Cromer </t>
  </si>
  <si>
    <t>Diss</t>
  </si>
  <si>
    <t>Downham Market</t>
  </si>
  <si>
    <t>East Dereham</t>
  </si>
  <si>
    <t>Hunstanton</t>
  </si>
  <si>
    <t>North Walsham</t>
  </si>
  <si>
    <t>Sheringham</t>
  </si>
  <si>
    <t>Swaffham</t>
  </si>
  <si>
    <t>Wells-Next-the-Sea</t>
  </si>
  <si>
    <t>Wymondham</t>
  </si>
  <si>
    <t>Blofield &amp; Flegg</t>
  </si>
  <si>
    <t>Depwade</t>
  </si>
  <si>
    <t>Docking</t>
  </si>
  <si>
    <t>Downham</t>
  </si>
  <si>
    <t>Erpingham</t>
  </si>
  <si>
    <t>Forehoe &amp; Henstead</t>
  </si>
  <si>
    <t>Freebridge Lynn</t>
  </si>
  <si>
    <t>Loddon</t>
  </si>
  <si>
    <t>Marshland</t>
  </si>
  <si>
    <t>Mitford &amp; Launditch</t>
  </si>
  <si>
    <t>St. Faith's and Aylsham</t>
  </si>
  <si>
    <t>Smallburgh</t>
  </si>
  <si>
    <t>Walsingham</t>
  </si>
  <si>
    <t>Wayland</t>
  </si>
  <si>
    <t>NORTHAMPTON</t>
  </si>
  <si>
    <t>Brackley</t>
  </si>
  <si>
    <t>Daventry</t>
  </si>
  <si>
    <t>Higham Ferrers</t>
  </si>
  <si>
    <t>Kettering</t>
  </si>
  <si>
    <t>Burton Latimer</t>
  </si>
  <si>
    <t>Corby</t>
  </si>
  <si>
    <t>Desborough</t>
  </si>
  <si>
    <t>Irthlingborough</t>
  </si>
  <si>
    <t>Oundle</t>
  </si>
  <si>
    <t>Raunds</t>
  </si>
  <si>
    <t>Rothwell</t>
  </si>
  <si>
    <t>Rushden</t>
  </si>
  <si>
    <t>Wellingborough</t>
  </si>
  <si>
    <t>Brixworth</t>
  </si>
  <si>
    <t>kettering</t>
  </si>
  <si>
    <t>Oundle &amp; Thrapston</t>
  </si>
  <si>
    <t>Towcester</t>
  </si>
  <si>
    <t>NORTHUMBERLAND:</t>
  </si>
  <si>
    <t>Berwick-upon-Tweed</t>
  </si>
  <si>
    <t>Blyth</t>
  </si>
  <si>
    <t>Morpeth</t>
  </si>
  <si>
    <t>Wallsend</t>
  </si>
  <si>
    <t>Whitley Bay</t>
  </si>
  <si>
    <t>Alnwick</t>
  </si>
  <si>
    <t>Amble</t>
  </si>
  <si>
    <t>Ashington</t>
  </si>
  <si>
    <t>Bedlingtonshire</t>
  </si>
  <si>
    <t>Gosforth</t>
  </si>
  <si>
    <t>Hexham</t>
  </si>
  <si>
    <t>Longbenton</t>
  </si>
  <si>
    <t>Newbiggin-by-the-Sea</t>
  </si>
  <si>
    <t>Newburn</t>
  </si>
  <si>
    <t>Prudhoe</t>
  </si>
  <si>
    <t>Seaton Valley</t>
  </si>
  <si>
    <t>Belford</t>
  </si>
  <si>
    <t>Bellingham</t>
  </si>
  <si>
    <t>CastleWard</t>
  </si>
  <si>
    <t>Glendale</t>
  </si>
  <si>
    <t>Haltwhistle</t>
  </si>
  <si>
    <t>Norham and Islandshires</t>
  </si>
  <si>
    <t>Rothbury</t>
  </si>
  <si>
    <t>NOTTINGHAMSHIRE:</t>
  </si>
  <si>
    <t>East Retford</t>
  </si>
  <si>
    <t>Mansfield</t>
  </si>
  <si>
    <t>Newark</t>
  </si>
  <si>
    <t>Workshop</t>
  </si>
  <si>
    <t>Worksop</t>
  </si>
  <si>
    <t>Arnold</t>
  </si>
  <si>
    <t>Beeston &amp; Stapleford</t>
  </si>
  <si>
    <t>Carlton</t>
  </si>
  <si>
    <t>Eastwood</t>
  </si>
  <si>
    <t>Hucknall</t>
  </si>
  <si>
    <t>Kirkby-in-Ashfield</t>
  </si>
  <si>
    <t>Mansield Woodhouse</t>
  </si>
  <si>
    <t>Sutton-in-Ashfield</t>
  </si>
  <si>
    <t>Warsop</t>
  </si>
  <si>
    <t>West Bridgford</t>
  </si>
  <si>
    <t>Basford</t>
  </si>
  <si>
    <t>Bingham</t>
  </si>
  <si>
    <t>Southwell</t>
  </si>
  <si>
    <t>OXFORD</t>
  </si>
  <si>
    <t>Banbury</t>
  </si>
  <si>
    <t>Chipping Norton</t>
  </si>
  <si>
    <t>Henley-upon-Thames</t>
  </si>
  <si>
    <t>Woodstock</t>
  </si>
  <si>
    <t>Bicester</t>
  </si>
  <si>
    <t>Thame</t>
  </si>
  <si>
    <t>Witney</t>
  </si>
  <si>
    <t>Bullingdon</t>
  </si>
  <si>
    <t>henley</t>
  </si>
  <si>
    <t>Ploughley</t>
  </si>
  <si>
    <t>RUTLAND:-</t>
  </si>
  <si>
    <t>Urban Districts:--</t>
  </si>
  <si>
    <t>Oakham</t>
  </si>
  <si>
    <t>Ketton</t>
  </si>
  <si>
    <t>Uppingham</t>
  </si>
  <si>
    <t>SALOP:--</t>
  </si>
  <si>
    <t>Non-County boroughs</t>
  </si>
  <si>
    <t>Bishop's Castle</t>
  </si>
  <si>
    <t>Bridgnorth</t>
  </si>
  <si>
    <t>Ludlow</t>
  </si>
  <si>
    <t>SALOP--contd</t>
  </si>
  <si>
    <t>Non-County Boroughs--contd</t>
  </si>
  <si>
    <t>Oswestry</t>
  </si>
  <si>
    <t>Shrewsbury</t>
  </si>
  <si>
    <t>Wenlock</t>
  </si>
  <si>
    <t>Church Stretton</t>
  </si>
  <si>
    <t>Dawley</t>
  </si>
  <si>
    <t>Ellesmere</t>
  </si>
  <si>
    <t>Market Drayton</t>
  </si>
  <si>
    <t>Oakengates</t>
  </si>
  <si>
    <t>Wellington</t>
  </si>
  <si>
    <t>Wem</t>
  </si>
  <si>
    <t>SOKE OF PETERBOROUGH:</t>
  </si>
  <si>
    <t>Peterborough</t>
  </si>
  <si>
    <t>Bernack</t>
  </si>
  <si>
    <t>SOMERSET:</t>
  </si>
  <si>
    <t>Bridgwater</t>
  </si>
  <si>
    <t>Chard</t>
  </si>
  <si>
    <t>Glastonbury</t>
  </si>
  <si>
    <t>Taunton</t>
  </si>
  <si>
    <t>Wells</t>
  </si>
  <si>
    <t>Weston-Super-Mare</t>
  </si>
  <si>
    <t>Yeovil</t>
  </si>
  <si>
    <t>Burnham-on-Sea</t>
  </si>
  <si>
    <t>Clevedon</t>
  </si>
  <si>
    <t>Crewkerne</t>
  </si>
  <si>
    <t>Frome</t>
  </si>
  <si>
    <t>lIminster</t>
  </si>
  <si>
    <t>Keynsham</t>
  </si>
  <si>
    <t>Minehead</t>
  </si>
  <si>
    <t>Norton-Radstock</t>
  </si>
  <si>
    <t>Portishead</t>
  </si>
  <si>
    <t>Shepton Mallet</t>
  </si>
  <si>
    <t>Street</t>
  </si>
  <si>
    <t>Watchet</t>
  </si>
  <si>
    <t>Axbridge</t>
  </si>
  <si>
    <t>Bathavon</t>
  </si>
  <si>
    <t>SOMERSET-contd.</t>
  </si>
  <si>
    <t>Rural Districts--contd.</t>
  </si>
  <si>
    <t>Clutton</t>
  </si>
  <si>
    <t>Dulverton</t>
  </si>
  <si>
    <t>Long Ashton</t>
  </si>
  <si>
    <t>Williton</t>
  </si>
  <si>
    <t>Wincanton</t>
  </si>
  <si>
    <t>STAFFORDSHIRE:</t>
  </si>
  <si>
    <t>Bilston</t>
  </si>
  <si>
    <t>Lichfield</t>
  </si>
  <si>
    <t>Newcastle-upon-Lyme</t>
  </si>
  <si>
    <t>Rowley Regis</t>
  </si>
  <si>
    <t>Stafford</t>
  </si>
  <si>
    <t>Tamworth</t>
  </si>
  <si>
    <t>Tipton</t>
  </si>
  <si>
    <t>Wednesbury</t>
  </si>
  <si>
    <t>Aldridge</t>
  </si>
  <si>
    <t>Amblecote</t>
  </si>
  <si>
    <t>Biddulph</t>
  </si>
  <si>
    <t>Brierley Hill</t>
  </si>
  <si>
    <t>Brownhills</t>
  </si>
  <si>
    <t>Cannock</t>
  </si>
  <si>
    <t>Coseley</t>
  </si>
  <si>
    <t>Darlaston</t>
  </si>
  <si>
    <t>Kidsgrove</t>
  </si>
  <si>
    <t>Leek</t>
  </si>
  <si>
    <t>Rugeley</t>
  </si>
  <si>
    <t>Sedgley</t>
  </si>
  <si>
    <t>Stone</t>
  </si>
  <si>
    <t>Tettenhall</t>
  </si>
  <si>
    <t>Uttoxeter</t>
  </si>
  <si>
    <t>Wednesfield</t>
  </si>
  <si>
    <t>Willenhall</t>
  </si>
  <si>
    <t>Cheadle</t>
  </si>
  <si>
    <t>Newcastle-under-Lyme</t>
  </si>
  <si>
    <t>Selsdon</t>
  </si>
  <si>
    <t xml:space="preserve">Stone </t>
  </si>
  <si>
    <t>Tutbury</t>
  </si>
  <si>
    <t>EAST SUFFOLK:</t>
  </si>
  <si>
    <t>Aldeburgh</t>
  </si>
  <si>
    <t>Beccles</t>
  </si>
  <si>
    <t>Eye</t>
  </si>
  <si>
    <t>EAST SUFFOLK-contd.</t>
  </si>
  <si>
    <t>Non-County Boroughs-contd.</t>
  </si>
  <si>
    <t>Lowestoft</t>
  </si>
  <si>
    <t>Southwold</t>
  </si>
  <si>
    <t>Urban Districts-</t>
  </si>
  <si>
    <t>Bungay</t>
  </si>
  <si>
    <t>Felixstowe</t>
  </si>
  <si>
    <t>Halesworth</t>
  </si>
  <si>
    <t>Leiston-cum-Sizewell</t>
  </si>
  <si>
    <t>Saxmundham</t>
  </si>
  <si>
    <t>Stowmarket</t>
  </si>
  <si>
    <t>Woodbridge</t>
  </si>
  <si>
    <t xml:space="preserve">Deben </t>
  </si>
  <si>
    <t>Gipping</t>
  </si>
  <si>
    <t>Hartsimere</t>
  </si>
  <si>
    <t>Lothingland</t>
  </si>
  <si>
    <t>Samford</t>
  </si>
  <si>
    <t>Wainford</t>
  </si>
  <si>
    <t>WEST SUFFOLK:</t>
  </si>
  <si>
    <t>Bury St.Edmunds</t>
  </si>
  <si>
    <t>Sudbury</t>
  </si>
  <si>
    <t>Clare</t>
  </si>
  <si>
    <t>Cosford</t>
  </si>
  <si>
    <t>Melford</t>
  </si>
  <si>
    <t>Mildenhall</t>
  </si>
  <si>
    <t>Thedwastre</t>
  </si>
  <si>
    <t>Thingoe</t>
  </si>
  <si>
    <t>SURREY:</t>
  </si>
  <si>
    <t>Barnes</t>
  </si>
  <si>
    <t>Beddington &amp; Wallington</t>
  </si>
  <si>
    <t>Epsom &amp; Ewell</t>
  </si>
  <si>
    <t>Godalming</t>
  </si>
  <si>
    <t>Guildford</t>
  </si>
  <si>
    <t>Kingston-on-Thames</t>
  </si>
  <si>
    <t>Malden &amp; Coombe</t>
  </si>
  <si>
    <t xml:space="preserve">Mitcham </t>
  </si>
  <si>
    <t>Reigate</t>
  </si>
  <si>
    <t>Richmond</t>
  </si>
  <si>
    <t>Surbiton</t>
  </si>
  <si>
    <t>Sutton &amp; Cheam</t>
  </si>
  <si>
    <t>Wimbledon</t>
  </si>
  <si>
    <t>Urban Distircts--</t>
  </si>
  <si>
    <t>Banstead</t>
  </si>
  <si>
    <t>Carshalton</t>
  </si>
  <si>
    <t>Caterham and Warlingham</t>
  </si>
  <si>
    <t>Chertsey</t>
  </si>
  <si>
    <t>Coulsdon &amp; Purley</t>
  </si>
  <si>
    <t>SURREY-contd.</t>
  </si>
  <si>
    <t>Urban Districts-Contd.</t>
  </si>
  <si>
    <t xml:space="preserve">Dorking </t>
  </si>
  <si>
    <t>Egham</t>
  </si>
  <si>
    <t>Esher</t>
  </si>
  <si>
    <t>Farnham</t>
  </si>
  <si>
    <t>Frimley &amp; Camberley</t>
  </si>
  <si>
    <t>Haslemere</t>
  </si>
  <si>
    <t>Leatherhead</t>
  </si>
  <si>
    <t>Merton and Morden</t>
  </si>
  <si>
    <t>Walton &amp; Weybridge</t>
  </si>
  <si>
    <t xml:space="preserve">Bagshot </t>
  </si>
  <si>
    <t>Dorking &amp; Horley</t>
  </si>
  <si>
    <t>Godstone</t>
  </si>
  <si>
    <t>Hambledon</t>
  </si>
  <si>
    <t>EAST SUSSEX:</t>
  </si>
  <si>
    <t>Bexhill</t>
  </si>
  <si>
    <t>Hove</t>
  </si>
  <si>
    <t>Lewes</t>
  </si>
  <si>
    <t>Rye</t>
  </si>
  <si>
    <t>Burgess Hill</t>
  </si>
  <si>
    <t xml:space="preserve">Cuckfield </t>
  </si>
  <si>
    <t xml:space="preserve">East Grinstead </t>
  </si>
  <si>
    <t>Newhaven</t>
  </si>
  <si>
    <t>Portslade-by-Sea</t>
  </si>
  <si>
    <t>Seaford</t>
  </si>
  <si>
    <t>Battle</t>
  </si>
  <si>
    <t>Chailey</t>
  </si>
  <si>
    <t>Hailsham</t>
  </si>
  <si>
    <t>Uckfield</t>
  </si>
  <si>
    <t>WEST SUSSEX:</t>
  </si>
  <si>
    <t>Arundel</t>
  </si>
  <si>
    <t>Chichester</t>
  </si>
  <si>
    <t>Worthing</t>
  </si>
  <si>
    <t>Bognor Regis</t>
  </si>
  <si>
    <t>Crawley</t>
  </si>
  <si>
    <t>Horsham</t>
  </si>
  <si>
    <t>Littlehampton</t>
  </si>
  <si>
    <t>Shoreham-by-Sea</t>
  </si>
  <si>
    <t>Southwick</t>
  </si>
  <si>
    <t>Rural Distircts--</t>
  </si>
  <si>
    <t>Chanctonbury</t>
  </si>
  <si>
    <t>Midhurst</t>
  </si>
  <si>
    <t>Petworth</t>
  </si>
  <si>
    <t>WARWICKSHIRE:</t>
  </si>
  <si>
    <t>Leamington(Royal Leamington Spa)</t>
  </si>
  <si>
    <t>Nuneaton</t>
  </si>
  <si>
    <t>Rugby</t>
  </si>
  <si>
    <t>Solihull</t>
  </si>
  <si>
    <t>Stratford-upon-Avon</t>
  </si>
  <si>
    <t>Sutton Coldfield</t>
  </si>
  <si>
    <t>Warwick</t>
  </si>
  <si>
    <t>Bedworth</t>
  </si>
  <si>
    <t>Kenilworth</t>
  </si>
  <si>
    <t>Alcester</t>
  </si>
  <si>
    <t>Atherstone</t>
  </si>
  <si>
    <t>Meriden</t>
  </si>
  <si>
    <t>Shipston-on-Stour</t>
  </si>
  <si>
    <t>Southam</t>
  </si>
  <si>
    <t>Stratford-on-Avon</t>
  </si>
  <si>
    <t>WESTMORLAND:</t>
  </si>
  <si>
    <t>Appleby</t>
  </si>
  <si>
    <t>Kendal</t>
  </si>
  <si>
    <t>Lakes</t>
  </si>
  <si>
    <t>Windermere</t>
  </si>
  <si>
    <t>North Westmorland</t>
  </si>
  <si>
    <t>South Westmorland</t>
  </si>
  <si>
    <t>WILTSHIRE:</t>
  </si>
  <si>
    <t>Calne</t>
  </si>
  <si>
    <t>Chippenham</t>
  </si>
  <si>
    <t>Devizes</t>
  </si>
  <si>
    <t>Malmesbury</t>
  </si>
  <si>
    <t>Marlborough</t>
  </si>
  <si>
    <t>Salisbury (New Sarum)</t>
  </si>
  <si>
    <t>Swindon</t>
  </si>
  <si>
    <t>Wilton</t>
  </si>
  <si>
    <t>Bradford-on-Avon</t>
  </si>
  <si>
    <t>Melksham</t>
  </si>
  <si>
    <t>Trowbridge</t>
  </si>
  <si>
    <t>Warminster</t>
  </si>
  <si>
    <t>Westbury</t>
  </si>
  <si>
    <t>Amesbury</t>
  </si>
  <si>
    <t>Bradford and Melksham</t>
  </si>
  <si>
    <t>Calne and Chippenham</t>
  </si>
  <si>
    <t>Cricklade and Wootton Bassett</t>
  </si>
  <si>
    <t>WILTSHIRE-contd.</t>
  </si>
  <si>
    <t>Highworth</t>
  </si>
  <si>
    <t>Marlborough &amp; Ramsbury</t>
  </si>
  <si>
    <t>Mere and Tisbury</t>
  </si>
  <si>
    <t>Pewsey</t>
  </si>
  <si>
    <t>Salisbury and Wilton</t>
  </si>
  <si>
    <t>Warminster &amp; Westbury</t>
  </si>
  <si>
    <t>WORCESTERSHIRE:</t>
  </si>
  <si>
    <t>Bewdley</t>
  </si>
  <si>
    <t>Droitwich</t>
  </si>
  <si>
    <t>Evesham</t>
  </si>
  <si>
    <t>Halesowen</t>
  </si>
  <si>
    <t>Kidderminster</t>
  </si>
  <si>
    <t>Oldbury</t>
  </si>
  <si>
    <t>Stourbridge</t>
  </si>
  <si>
    <t>Bromsgrove</t>
  </si>
  <si>
    <t>Malvern</t>
  </si>
  <si>
    <t>Redditch</t>
  </si>
  <si>
    <t>Stourport-on-Severn</t>
  </si>
  <si>
    <t>Martley</t>
  </si>
  <si>
    <t>Pershore</t>
  </si>
  <si>
    <t>Tenbury</t>
  </si>
  <si>
    <t>Upton-upon-Severn</t>
  </si>
  <si>
    <t xml:space="preserve">YORKSHIRE,EAST RIDING </t>
  </si>
  <si>
    <t>Beverley</t>
  </si>
  <si>
    <t>Bridlington</t>
  </si>
  <si>
    <t>Hedon</t>
  </si>
  <si>
    <t>Driffield</t>
  </si>
  <si>
    <t>Holderness</t>
  </si>
  <si>
    <t>Howden</t>
  </si>
  <si>
    <t>Norton</t>
  </si>
  <si>
    <t>YORKSHIRE,NORTH RIDING:</t>
  </si>
  <si>
    <t>Redcar</t>
  </si>
  <si>
    <t>Scarborough</t>
  </si>
  <si>
    <t>Thornaby-on-Tees</t>
  </si>
  <si>
    <t>Eston</t>
  </si>
  <si>
    <t>Guisborough</t>
  </si>
  <si>
    <t>Loftus</t>
  </si>
  <si>
    <t>Malton</t>
  </si>
  <si>
    <t>Northallerton</t>
  </si>
  <si>
    <t>Pickering</t>
  </si>
  <si>
    <t>Saltburn &amp; Marske-by-the-Sea</t>
  </si>
  <si>
    <t>Scalby</t>
  </si>
  <si>
    <t>Skelton &amp; Brotton</t>
  </si>
  <si>
    <t>Whitby</t>
  </si>
  <si>
    <t>Aysgarth</t>
  </si>
  <si>
    <t>Bedale</t>
  </si>
  <si>
    <t>Croft</t>
  </si>
  <si>
    <t>Easingwold</t>
  </si>
  <si>
    <t>Flaxton</t>
  </si>
  <si>
    <t>Helmsley</t>
  </si>
  <si>
    <t>Kirkbymoorside</t>
  </si>
  <si>
    <t>Leyburn</t>
  </si>
  <si>
    <t>Masham</t>
  </si>
  <si>
    <t>Reeth</t>
  </si>
  <si>
    <t>Startforth</t>
  </si>
  <si>
    <t>Stokesley</t>
  </si>
  <si>
    <t>Thirsk</t>
  </si>
  <si>
    <t>Wath</t>
  </si>
  <si>
    <t>YORKSHIRE,WEST RIDING:</t>
  </si>
  <si>
    <t>Non-County Borougs--</t>
  </si>
  <si>
    <t>Batley</t>
  </si>
  <si>
    <t>Brighouse</t>
  </si>
  <si>
    <t>Castleford</t>
  </si>
  <si>
    <t>Goole</t>
  </si>
  <si>
    <t>Harrogate</t>
  </si>
  <si>
    <t>Keighley</t>
  </si>
  <si>
    <t>Morley</t>
  </si>
  <si>
    <t>Ossett</t>
  </si>
  <si>
    <t>Pontefract</t>
  </si>
  <si>
    <t>Pudsey</t>
  </si>
  <si>
    <t>Ripon</t>
  </si>
  <si>
    <t>Spenborough</t>
  </si>
  <si>
    <t>Todmorden</t>
  </si>
  <si>
    <t>URBAN DISTRICTS--</t>
  </si>
  <si>
    <t>Aldwick-le-Street</t>
  </si>
  <si>
    <t>Aireborough</t>
  </si>
  <si>
    <t>YORKSHIRE,WEST RIDING--contd</t>
  </si>
  <si>
    <t>Baildon</t>
  </si>
  <si>
    <t>Barnoldswick</t>
  </si>
  <si>
    <t>Bentley-with-Arksey</t>
  </si>
  <si>
    <t>Bingley</t>
  </si>
  <si>
    <t>Colne Valley</t>
  </si>
  <si>
    <t>Conisbrough</t>
  </si>
  <si>
    <t>Cudworth</t>
  </si>
  <si>
    <t>Darfield</t>
  </si>
  <si>
    <t>Darton</t>
  </si>
  <si>
    <t>Dearne</t>
  </si>
  <si>
    <t>Denby Dale</t>
  </si>
  <si>
    <t>Denholme</t>
  </si>
  <si>
    <t>Dodworth</t>
  </si>
  <si>
    <t>Earby</t>
  </si>
  <si>
    <t>Elland</t>
  </si>
  <si>
    <t>Featherstone</t>
  </si>
  <si>
    <t>Garforth</t>
  </si>
  <si>
    <t>Hebden Royd</t>
  </si>
  <si>
    <t>Heckmondwike</t>
  </si>
  <si>
    <t>Hemsworth</t>
  </si>
  <si>
    <t>Holmfirth</t>
  </si>
  <si>
    <t>Horbury</t>
  </si>
  <si>
    <t>Horsforth</t>
  </si>
  <si>
    <t>Hoyland Nether</t>
  </si>
  <si>
    <t>Ilkley</t>
  </si>
  <si>
    <t>Kirkburton</t>
  </si>
  <si>
    <t>Knaresborough</t>
  </si>
  <si>
    <t>Knottingley</t>
  </si>
  <si>
    <t>Maltby</t>
  </si>
  <si>
    <t>Meltham</t>
  </si>
  <si>
    <t>Mexborough</t>
  </si>
  <si>
    <t>Mirfield</t>
  </si>
  <si>
    <t>Normanton</t>
  </si>
  <si>
    <t>Otley</t>
  </si>
  <si>
    <t>Penistone</t>
  </si>
  <si>
    <t>Queensbury and Shelf</t>
  </si>
  <si>
    <t>Rawmarsh</t>
  </si>
  <si>
    <t>Ripponden</t>
  </si>
  <si>
    <t>Saddleworth</t>
  </si>
  <si>
    <t>Selby</t>
  </si>
  <si>
    <t>Shipley</t>
  </si>
  <si>
    <t>Silsden</t>
  </si>
  <si>
    <t>Skipton</t>
  </si>
  <si>
    <t>Sowerby Bridge</t>
  </si>
  <si>
    <t>Stocksbridge</t>
  </si>
  <si>
    <t>Swinton</t>
  </si>
  <si>
    <t>Tickhill</t>
  </si>
  <si>
    <t>Wath-upon-Dearne</t>
  </si>
  <si>
    <t>Wombwell</t>
  </si>
  <si>
    <t>Worsbrough</t>
  </si>
  <si>
    <t>Bowland</t>
  </si>
  <si>
    <t>Hepton</t>
  </si>
  <si>
    <t>Kiveton Park</t>
  </si>
  <si>
    <t>Nidderdale</t>
  </si>
  <si>
    <t>Osgoldcross</t>
  </si>
  <si>
    <t>Rural Districts--Contd.</t>
  </si>
  <si>
    <t>Ripon and Pateley Bridge</t>
  </si>
  <si>
    <t>Sedbergh</t>
  </si>
  <si>
    <t>Settle</t>
  </si>
  <si>
    <t>Tadcaster</t>
  </si>
  <si>
    <t>Thorne</t>
  </si>
  <si>
    <t>Wetherby</t>
  </si>
  <si>
    <t>Wharfedale</t>
  </si>
  <si>
    <t>Wortley</t>
  </si>
  <si>
    <t>Whitchurch</t>
  </si>
  <si>
    <t xml:space="preserve">Atcham </t>
  </si>
  <si>
    <t>Clun</t>
  </si>
  <si>
    <t>Drayton</t>
  </si>
  <si>
    <t>Shifnal</t>
  </si>
  <si>
    <t>Hadleigh</t>
  </si>
  <si>
    <t>Haverhill</t>
  </si>
  <si>
    <t>Filey</t>
  </si>
  <si>
    <t>Haltemprice</t>
  </si>
  <si>
    <t>Hornsea</t>
  </si>
  <si>
    <t xml:space="preserve">Norton </t>
  </si>
  <si>
    <t>Withernsea</t>
  </si>
  <si>
    <t>Rural Districts:--</t>
  </si>
  <si>
    <t>Derwent</t>
  </si>
  <si>
    <t xml:space="preserve">Pocklington </t>
  </si>
  <si>
    <t>LA61CD</t>
  </si>
  <si>
    <t>LA61NM</t>
  </si>
  <si>
    <t>cty_1981</t>
  </si>
  <si>
    <t>rgn</t>
  </si>
  <si>
    <t>srgn</t>
  </si>
  <si>
    <t>equiv_1971_cd</t>
  </si>
  <si>
    <t>equiv_1971_nm</t>
  </si>
  <si>
    <t>equiv_2001_nm</t>
  </si>
  <si>
    <t>notes</t>
  </si>
  <si>
    <t>J04000063</t>
  </si>
  <si>
    <t>Axbridge RD</t>
  </si>
  <si>
    <t>Avon</t>
  </si>
  <si>
    <t>South West</t>
  </si>
  <si>
    <t>Rest of England</t>
  </si>
  <si>
    <t>e320923</t>
  </si>
  <si>
    <t>J04000099</t>
  </si>
  <si>
    <t>Bath, City of CB</t>
  </si>
  <si>
    <t>e320902</t>
  </si>
  <si>
    <t>J04000100</t>
  </si>
  <si>
    <t>Bathavon RD</t>
  </si>
  <si>
    <t>e320925</t>
  </si>
  <si>
    <t>J04000213</t>
  </si>
  <si>
    <t>Bristol, City and County of CB</t>
  </si>
  <si>
    <t>e130345</t>
  </si>
  <si>
    <t>J04000327</t>
  </si>
  <si>
    <t>Clevedon UD</t>
  </si>
  <si>
    <t>e320906</t>
  </si>
  <si>
    <t>J04000332</t>
  </si>
  <si>
    <t>Clutton RD</t>
  </si>
  <si>
    <t>e320928</t>
  </si>
  <si>
    <t>J04000690</t>
  </si>
  <si>
    <t>Keynsham UD</t>
  </si>
  <si>
    <t>e320911</t>
  </si>
  <si>
    <t>J04000701</t>
  </si>
  <si>
    <t>Kingswood UD</t>
  </si>
  <si>
    <t>e130350</t>
  </si>
  <si>
    <t>J04000775</t>
  </si>
  <si>
    <t>Long Ashton RD</t>
  </si>
  <si>
    <t>e320932</t>
  </si>
  <si>
    <t>J04000822</t>
  </si>
  <si>
    <t>Mangotsfield UD</t>
  </si>
  <si>
    <t>e130351</t>
  </si>
  <si>
    <t>J04000938</t>
  </si>
  <si>
    <t>Norton Radstock UD</t>
  </si>
  <si>
    <t>e320913</t>
  </si>
  <si>
    <t>J04001008</t>
  </si>
  <si>
    <t>Portishead UD</t>
  </si>
  <si>
    <t>e320914</t>
  </si>
  <si>
    <t>J04001153</t>
  </si>
  <si>
    <t>Sodbury RD</t>
  </si>
  <si>
    <t>e130364</t>
  </si>
  <si>
    <t>J04001271</t>
  </si>
  <si>
    <t>Thornbury RD</t>
  </si>
  <si>
    <t>e130367</t>
  </si>
  <si>
    <t>J04001345</t>
  </si>
  <si>
    <t>Warmley RD</t>
  </si>
  <si>
    <t>e130368</t>
  </si>
  <si>
    <t>J04001392</t>
  </si>
  <si>
    <t>Weston-super-Mare MB</t>
  </si>
  <si>
    <t>e320921</t>
  </si>
  <si>
    <t>J04000041</t>
  </si>
  <si>
    <t>Ampthill RD</t>
  </si>
  <si>
    <t>Bedfordshire</t>
  </si>
  <si>
    <t>East of England</t>
  </si>
  <si>
    <t>Greater South East</t>
  </si>
  <si>
    <t>e010008</t>
  </si>
  <si>
    <t>J04000042</t>
  </si>
  <si>
    <t>Ampthill UD</t>
  </si>
  <si>
    <t>e010001</t>
  </si>
  <si>
    <t>J04000112</t>
  </si>
  <si>
    <t>Bedford MB</t>
  </si>
  <si>
    <t>e010002</t>
  </si>
  <si>
    <t>J04000113</t>
  </si>
  <si>
    <t>Bedford RD</t>
  </si>
  <si>
    <t>e010009</t>
  </si>
  <si>
    <t>J04000141</t>
  </si>
  <si>
    <t>Biggleswade RD</t>
  </si>
  <si>
    <t>e010010</t>
  </si>
  <si>
    <t>J04000142</t>
  </si>
  <si>
    <t>Biggleswade UD</t>
  </si>
  <si>
    <t>e010003</t>
  </si>
  <si>
    <t>J04000437</t>
  </si>
  <si>
    <t>Dunstable MB</t>
  </si>
  <si>
    <t>J04000681</t>
  </si>
  <si>
    <t>Kempston UD</t>
  </si>
  <si>
    <t>e010005</t>
  </si>
  <si>
    <t>J04000733</t>
  </si>
  <si>
    <t>Leighton Buzzard UD</t>
  </si>
  <si>
    <t>e010006</t>
  </si>
  <si>
    <t>Merged into Leighton-Linslade in 1965</t>
  </si>
  <si>
    <t>J04000747</t>
  </si>
  <si>
    <t>Linslade UD</t>
  </si>
  <si>
    <t>J04000790</t>
  </si>
  <si>
    <t>Luton MB</t>
  </si>
  <si>
    <t>e010000</t>
  </si>
  <si>
    <t>J04000791</t>
  </si>
  <si>
    <t>Luton RD</t>
  </si>
  <si>
    <t>J04001103</t>
  </si>
  <si>
    <t>Sandy UD</t>
  </si>
  <si>
    <t>e010007</t>
  </si>
  <si>
    <t>J04000184</t>
  </si>
  <si>
    <t>Bradfield RD</t>
  </si>
  <si>
    <t>Berkshire</t>
  </si>
  <si>
    <t>South East</t>
  </si>
  <si>
    <t>e020021</t>
  </si>
  <si>
    <t>J04000347</t>
  </si>
  <si>
    <t>Cookham RD</t>
  </si>
  <si>
    <t>e020022</t>
  </si>
  <si>
    <t>Windsor and Maidenhead UA</t>
  </si>
  <si>
    <t>J04000456</t>
  </si>
  <si>
    <t>Easthampstead RD</t>
  </si>
  <si>
    <t>e020023</t>
  </si>
  <si>
    <t>Bracknell Forest UA</t>
  </si>
  <si>
    <t>J04000483</t>
  </si>
  <si>
    <t>Eton UD</t>
  </si>
  <si>
    <t>e030038</t>
  </si>
  <si>
    <t>J04000658</t>
  </si>
  <si>
    <t>Hungerford RD</t>
  </si>
  <si>
    <t>e020026</t>
  </si>
  <si>
    <t>J04000808</t>
  </si>
  <si>
    <t>Maidenhead MB</t>
  </si>
  <si>
    <t>e020014</t>
  </si>
  <si>
    <t>J04000891</t>
  </si>
  <si>
    <t>New Windsor MB</t>
  </si>
  <si>
    <t>e020016</t>
  </si>
  <si>
    <t>J04000896</t>
  </si>
  <si>
    <t>Newbury MB</t>
  </si>
  <si>
    <t>e020015</t>
  </si>
  <si>
    <t>J04000897</t>
  </si>
  <si>
    <t>Newbury RD</t>
  </si>
  <si>
    <t>e020027</t>
  </si>
  <si>
    <t>J04001036</t>
  </si>
  <si>
    <t>Reading CB</t>
  </si>
  <si>
    <t>e020012</t>
  </si>
  <si>
    <t>Reading UA</t>
  </si>
  <si>
    <t>J04001150</t>
  </si>
  <si>
    <t>Slough MB</t>
  </si>
  <si>
    <t>e030043</t>
  </si>
  <si>
    <t>Slough UA</t>
  </si>
  <si>
    <t>J04001425</t>
  </si>
  <si>
    <t>Windsor RD</t>
  </si>
  <si>
    <t>e020031</t>
  </si>
  <si>
    <t>J04001440</t>
  </si>
  <si>
    <t>Wokingham MB</t>
  </si>
  <si>
    <t>e020019</t>
  </si>
  <si>
    <t>J04001441</t>
  </si>
  <si>
    <t>Wokingham RD</t>
  </si>
  <si>
    <t>e020032</t>
  </si>
  <si>
    <t>J04000037</t>
  </si>
  <si>
    <t>Amersham RD</t>
  </si>
  <si>
    <t>Buckinghamshire</t>
  </si>
  <si>
    <t>e030046</t>
  </si>
  <si>
    <t>Chiltern</t>
  </si>
  <si>
    <t>J04000065</t>
  </si>
  <si>
    <t>Aylesbury MB</t>
  </si>
  <si>
    <t>e030033</t>
  </si>
  <si>
    <t>J04000066</t>
  </si>
  <si>
    <t>Aylesbury RD</t>
  </si>
  <si>
    <t>e030047</t>
  </si>
  <si>
    <t>J04000104</t>
  </si>
  <si>
    <t>Beaconsfield UD</t>
  </si>
  <si>
    <t>e030034</t>
  </si>
  <si>
    <t>South Bucks</t>
  </si>
  <si>
    <t>J04000164</t>
  </si>
  <si>
    <t>Bletchley UD</t>
  </si>
  <si>
    <t>e030035</t>
  </si>
  <si>
    <t>J04000226</t>
  </si>
  <si>
    <t>Buckingham MB</t>
  </si>
  <si>
    <t>e030036</t>
  </si>
  <si>
    <t>J04000227</t>
  </si>
  <si>
    <t>Buckingham RD</t>
  </si>
  <si>
    <t>e030048</t>
  </si>
  <si>
    <t>J04000296</t>
  </si>
  <si>
    <t>Chesham UD</t>
  </si>
  <si>
    <t>e030037</t>
  </si>
  <si>
    <t>J04000482</t>
  </si>
  <si>
    <t>Eton RD</t>
  </si>
  <si>
    <t>e030049</t>
  </si>
  <si>
    <t>J04000621</t>
  </si>
  <si>
    <t>High Wycombe MB</t>
  </si>
  <si>
    <t>e030039</t>
  </si>
  <si>
    <t>J04000834</t>
  </si>
  <si>
    <t>Marlow UD</t>
  </si>
  <si>
    <t>e030040</t>
  </si>
  <si>
    <t>J04000909</t>
  </si>
  <si>
    <t>Newport Pagnell RD</t>
  </si>
  <si>
    <t>e030050</t>
  </si>
  <si>
    <t>J04000910</t>
  </si>
  <si>
    <t>Newport Pagnell UD</t>
  </si>
  <si>
    <t>e030041</t>
  </si>
  <si>
    <t>J04001426</t>
  </si>
  <si>
    <t>Wing RD</t>
  </si>
  <si>
    <t>e030052</t>
  </si>
  <si>
    <t>J04001428</t>
  </si>
  <si>
    <t>Winslow RD</t>
  </si>
  <si>
    <t>e030053</t>
  </si>
  <si>
    <t>J04001443</t>
  </si>
  <si>
    <t>Wolverton UD</t>
  </si>
  <si>
    <t>e030044</t>
  </si>
  <si>
    <t>J04001461</t>
  </si>
  <si>
    <t>Wycombe RD</t>
  </si>
  <si>
    <t>e030055</t>
  </si>
  <si>
    <t>J04000081</t>
  </si>
  <si>
    <t>Barnack RD</t>
  </si>
  <si>
    <t>Cambridgeshire</t>
  </si>
  <si>
    <t>e180503</t>
  </si>
  <si>
    <t>J04000256</t>
  </si>
  <si>
    <t>Cambridge, City of MB</t>
  </si>
  <si>
    <t>e040056</t>
  </si>
  <si>
    <t>J04000285</t>
  </si>
  <si>
    <t>Chatteris UD</t>
  </si>
  <si>
    <t>e040057</t>
  </si>
  <si>
    <t>J04000304</t>
  </si>
  <si>
    <t>Chesterton RD</t>
  </si>
  <si>
    <t>e040062</t>
  </si>
  <si>
    <t>J04000471</t>
  </si>
  <si>
    <t>Ely RD</t>
  </si>
  <si>
    <t>e040063</t>
  </si>
  <si>
    <t>East Cambridgeshire</t>
  </si>
  <si>
    <t>J04000472</t>
  </si>
  <si>
    <t>Ely UD</t>
  </si>
  <si>
    <t>e040058</t>
  </si>
  <si>
    <t>J04000660</t>
  </si>
  <si>
    <t>Huntingdon and Godmanchester MB</t>
  </si>
  <si>
    <t>e180495</t>
  </si>
  <si>
    <t>J04000661</t>
  </si>
  <si>
    <t>Huntingdon RD</t>
  </si>
  <si>
    <t>e180504</t>
  </si>
  <si>
    <t>J04000825</t>
  </si>
  <si>
    <t>March UD</t>
  </si>
  <si>
    <t>e040059</t>
  </si>
  <si>
    <t>J04000905</t>
  </si>
  <si>
    <t>Newmarket RD</t>
  </si>
  <si>
    <t>e040064</t>
  </si>
  <si>
    <t>J04000921</t>
  </si>
  <si>
    <t>Norman Cross RD</t>
  </si>
  <si>
    <t>e180505</t>
  </si>
  <si>
    <t>J04000928</t>
  </si>
  <si>
    <t>North Witchford RD</t>
  </si>
  <si>
    <t>e040065</t>
  </si>
  <si>
    <t>J04000952</t>
  </si>
  <si>
    <t>Old Fletton UD</t>
  </si>
  <si>
    <t>e180496</t>
  </si>
  <si>
    <t>J04000987</t>
  </si>
  <si>
    <t>Peterborough RD</t>
  </si>
  <si>
    <t>e180507</t>
  </si>
  <si>
    <t>J04000988</t>
  </si>
  <si>
    <t>Peterborough, City of MB</t>
  </si>
  <si>
    <t>e180498</t>
  </si>
  <si>
    <t>J04001030</t>
  </si>
  <si>
    <t>Ramsey UD</t>
  </si>
  <si>
    <t>e180500</t>
  </si>
  <si>
    <t>J04001155</t>
  </si>
  <si>
    <t>South Cambridgeshire RD</t>
  </si>
  <si>
    <t>e040066</t>
  </si>
  <si>
    <t>J04001188</t>
  </si>
  <si>
    <t>St. Ives MB</t>
  </si>
  <si>
    <t>e180501</t>
  </si>
  <si>
    <t>J04001189</t>
  </si>
  <si>
    <t>St. Ives RD</t>
  </si>
  <si>
    <t>e180509</t>
  </si>
  <si>
    <t>J04001192</t>
  </si>
  <si>
    <t>St. Neots RD</t>
  </si>
  <si>
    <t>e180510</t>
  </si>
  <si>
    <t>J04001193</t>
  </si>
  <si>
    <t>St. Neots UD</t>
  </si>
  <si>
    <t>e180502</t>
  </si>
  <si>
    <t>J04001273</t>
  </si>
  <si>
    <t>Thorney RD</t>
  </si>
  <si>
    <t>e180511</t>
  </si>
  <si>
    <t>J04001406</t>
  </si>
  <si>
    <t>Whittlesey UD</t>
  </si>
  <si>
    <t>e040060</t>
  </si>
  <si>
    <t>J04001431</t>
  </si>
  <si>
    <t>Wisbech MB</t>
  </si>
  <si>
    <t>e040061</t>
  </si>
  <si>
    <t>J04001432</t>
  </si>
  <si>
    <t>Wisbech RD</t>
  </si>
  <si>
    <t>e040067</t>
  </si>
  <si>
    <t>J04000022</t>
  </si>
  <si>
    <t>Alderley Edge UD</t>
  </si>
  <si>
    <t>Cheshire</t>
  </si>
  <si>
    <t>North West</t>
  </si>
  <si>
    <t>e050072</t>
  </si>
  <si>
    <t>J04000030</t>
  </si>
  <si>
    <t>Alsager UD</t>
  </si>
  <si>
    <t>e050073</t>
  </si>
  <si>
    <t>J04000171</t>
  </si>
  <si>
    <t>Bollington UD</t>
  </si>
  <si>
    <t>e050076</t>
  </si>
  <si>
    <t>J04000229</t>
  </si>
  <si>
    <t>Bucklow RD</t>
  </si>
  <si>
    <t>e050106</t>
  </si>
  <si>
    <t>J04000300</t>
  </si>
  <si>
    <t>Chester RD</t>
  </si>
  <si>
    <t>e050109</t>
  </si>
  <si>
    <t>J04000301</t>
  </si>
  <si>
    <t>Chester, City and County of CB</t>
  </si>
  <si>
    <t>e050069</t>
  </si>
  <si>
    <t>J04000341</t>
  </si>
  <si>
    <t>Congleton MB</t>
  </si>
  <si>
    <t>e050080</t>
  </si>
  <si>
    <t>J04000342</t>
  </si>
  <si>
    <t>Congleton RD</t>
  </si>
  <si>
    <t>e050111</t>
  </si>
  <si>
    <t>J04000361</t>
  </si>
  <si>
    <t>Crewe MB</t>
  </si>
  <si>
    <t>e050081</t>
  </si>
  <si>
    <t>Crewe and Nantwich</t>
  </si>
  <si>
    <t>J04000408</t>
  </si>
  <si>
    <t>Disley RD</t>
  </si>
  <si>
    <t>e050112</t>
  </si>
  <si>
    <t>J04000467</t>
  </si>
  <si>
    <t>Ellesmere Port MB</t>
  </si>
  <si>
    <t>e050083</t>
  </si>
  <si>
    <t>Ellesmere Port &amp; Neston</t>
  </si>
  <si>
    <t>J04000714</t>
  </si>
  <si>
    <t>Knutsford UD</t>
  </si>
  <si>
    <t>e050088</t>
  </si>
  <si>
    <t>J04000797</t>
  </si>
  <si>
    <t>Lymm UD</t>
  </si>
  <si>
    <t>e050090</t>
  </si>
  <si>
    <t>J04000801</t>
  </si>
  <si>
    <t>Macclesfield MB</t>
  </si>
  <si>
    <t>e050091</t>
  </si>
  <si>
    <t>J04000802</t>
  </si>
  <si>
    <t>Macclesfield RD</t>
  </si>
  <si>
    <t>e050113</t>
  </si>
  <si>
    <t>J04000854</t>
  </si>
  <si>
    <t>Middlewich UD</t>
  </si>
  <si>
    <t>e050093</t>
  </si>
  <si>
    <t>J04000877</t>
  </si>
  <si>
    <t>Nantwich RD</t>
  </si>
  <si>
    <t>e050115</t>
  </si>
  <si>
    <t>J04000878</t>
  </si>
  <si>
    <t>Nantwich UD</t>
  </si>
  <si>
    <t>e050094</t>
  </si>
  <si>
    <t>J04000885</t>
  </si>
  <si>
    <t>Neston UD</t>
  </si>
  <si>
    <t>e050095</t>
  </si>
  <si>
    <t>J04000936</t>
  </si>
  <si>
    <t>Northwich RD</t>
  </si>
  <si>
    <t>e050116</t>
  </si>
  <si>
    <t>J04000937</t>
  </si>
  <si>
    <t>Northwich UD</t>
  </si>
  <si>
    <t>e050096</t>
  </si>
  <si>
    <t>J04001081</t>
  </si>
  <si>
    <t>Runcorn RD</t>
  </si>
  <si>
    <t>e050117</t>
  </si>
  <si>
    <t>J04001082</t>
  </si>
  <si>
    <t>Runcorn UD</t>
  </si>
  <si>
    <t>e050097</t>
  </si>
  <si>
    <t>J04001100</t>
  </si>
  <si>
    <t>Sandbach UD</t>
  </si>
  <si>
    <t>e050101</t>
  </si>
  <si>
    <t>J04001250</t>
  </si>
  <si>
    <t>Tarvin RD</t>
  </si>
  <si>
    <t>e050119</t>
  </si>
  <si>
    <t>J04001346</t>
  </si>
  <si>
    <t>Warrington CB</t>
  </si>
  <si>
    <t>e200577</t>
  </si>
  <si>
    <t>J04001347</t>
  </si>
  <si>
    <t>Warrington RD</t>
  </si>
  <si>
    <t>e200693</t>
  </si>
  <si>
    <t>J04001408</t>
  </si>
  <si>
    <t>Widnes MB</t>
  </si>
  <si>
    <t>e200678</t>
  </si>
  <si>
    <t>J04001416</t>
  </si>
  <si>
    <t>Wilmslow UD</t>
  </si>
  <si>
    <t>e050103</t>
  </si>
  <si>
    <t>J04001427</t>
  </si>
  <si>
    <t>Winsford UD</t>
  </si>
  <si>
    <t>e050104</t>
  </si>
  <si>
    <t>J04000145</t>
  </si>
  <si>
    <t>Billingham UD</t>
  </si>
  <si>
    <t>Cleveland</t>
  </si>
  <si>
    <t>North East</t>
  </si>
  <si>
    <t>e451167</t>
  </si>
  <si>
    <t>Merged into Teeside CB in 1968</t>
  </si>
  <si>
    <t>J04000481</t>
  </si>
  <si>
    <t>Eston UD</t>
  </si>
  <si>
    <t>J04000558</t>
  </si>
  <si>
    <t>Guisborough UD</t>
  </si>
  <si>
    <t>e451168</t>
  </si>
  <si>
    <t>J04000579</t>
  </si>
  <si>
    <t>Hartlepool MB</t>
  </si>
  <si>
    <t>e110262</t>
  </si>
  <si>
    <t>Merged into Hartlepool</t>
  </si>
  <si>
    <t>J04000774</t>
  </si>
  <si>
    <t>Loftus UD</t>
  </si>
  <si>
    <t>e451169</t>
  </si>
  <si>
    <t>J04000852</t>
  </si>
  <si>
    <t>Middlesbrough CB</t>
  </si>
  <si>
    <t>J04001037</t>
  </si>
  <si>
    <t>Redcar MB</t>
  </si>
  <si>
    <t>J04001098</t>
  </si>
  <si>
    <t>Saltburn and Marske-by-the-Sea UD</t>
  </si>
  <si>
    <t>e451174</t>
  </si>
  <si>
    <t>J04001146</t>
  </si>
  <si>
    <t>Skelton and Brotton UD</t>
  </si>
  <si>
    <t>e451177</t>
  </si>
  <si>
    <t>J04001210</t>
  </si>
  <si>
    <t>Stockton on Tees MB</t>
  </si>
  <si>
    <t>J04001211</t>
  </si>
  <si>
    <t>Stockton RD</t>
  </si>
  <si>
    <t>e110305</t>
  </si>
  <si>
    <t>Alignment is a bit rough 1961-1971</t>
  </si>
  <si>
    <t>J04001214</t>
  </si>
  <si>
    <t>Stokesley RD</t>
  </si>
  <si>
    <t>e451195</t>
  </si>
  <si>
    <t>North Yorkshire</t>
  </si>
  <si>
    <t>Cross-border in 1961, Cleveland areas merged into Teeside CB in 1968, Stokesley (e451195) then in North Yorkshire</t>
  </si>
  <si>
    <t>J04001270</t>
  </si>
  <si>
    <t>Thornaby on Tees MB</t>
  </si>
  <si>
    <t>J04001384</t>
  </si>
  <si>
    <t>West Hartlepool CB</t>
  </si>
  <si>
    <t>J04000168</t>
  </si>
  <si>
    <t>Bodmin MB</t>
  </si>
  <si>
    <t>Cornwall And Isles Of Scilly</t>
  </si>
  <si>
    <t>e060121</t>
  </si>
  <si>
    <t>North Cornwall</t>
  </si>
  <si>
    <t>J04000230</t>
  </si>
  <si>
    <t>Bude-Stratton UD</t>
  </si>
  <si>
    <t>e060122</t>
  </si>
  <si>
    <t>J04000255</t>
  </si>
  <si>
    <t>Camborne-Redruth UD</t>
  </si>
  <si>
    <t>e060123</t>
  </si>
  <si>
    <t>J04000257</t>
  </si>
  <si>
    <t>Camelford RD</t>
  </si>
  <si>
    <t>e060138</t>
  </si>
  <si>
    <t>J04000490</t>
  </si>
  <si>
    <t>Falmouth MB</t>
  </si>
  <si>
    <t>e060124</t>
  </si>
  <si>
    <t>Carrick</t>
  </si>
  <si>
    <t>J04000514</t>
  </si>
  <si>
    <t>Fowey MB</t>
  </si>
  <si>
    <t>e060132</t>
  </si>
  <si>
    <t>Restormel</t>
  </si>
  <si>
    <t>Merged with St Austell in 1968 UD</t>
  </si>
  <si>
    <t>J04000602</t>
  </si>
  <si>
    <t>Helston MB</t>
  </si>
  <si>
    <t>e060125</t>
  </si>
  <si>
    <t>J04000676</t>
  </si>
  <si>
    <t>Isles of Scilly RD</t>
  </si>
  <si>
    <t>e060148</t>
  </si>
  <si>
    <t>J04000685</t>
  </si>
  <si>
    <t>Kerrier RD</t>
  </si>
  <si>
    <t>e060139</t>
  </si>
  <si>
    <t>J04000722</t>
  </si>
  <si>
    <t>Launceston MB</t>
  </si>
  <si>
    <t>e060126</t>
  </si>
  <si>
    <t>J04000723</t>
  </si>
  <si>
    <t>Launceston RD</t>
  </si>
  <si>
    <t>e060140</t>
  </si>
  <si>
    <t>J04000748</t>
  </si>
  <si>
    <t>Liskeard MB</t>
  </si>
  <si>
    <t>e060127</t>
  </si>
  <si>
    <t>Caradon</t>
  </si>
  <si>
    <t>J04000749</t>
  </si>
  <si>
    <t>Liskeard RD</t>
  </si>
  <si>
    <t>e060141</t>
  </si>
  <si>
    <t>J04000780</t>
  </si>
  <si>
    <t>Looe UD</t>
  </si>
  <si>
    <t>e060128</t>
  </si>
  <si>
    <t>J04000781</t>
  </si>
  <si>
    <t>Lostwithiel MB</t>
  </si>
  <si>
    <t>e060142</t>
  </si>
  <si>
    <t>Merged into St Austell RD</t>
  </si>
  <si>
    <t>J04000912</t>
  </si>
  <si>
    <t>Newquay UD</t>
  </si>
  <si>
    <t>e060129</t>
  </si>
  <si>
    <t>J04000970</t>
  </si>
  <si>
    <t>Padstow UD</t>
  </si>
  <si>
    <t>e060146</t>
  </si>
  <si>
    <t>Merged into Wadebridge and Padstow in 1968</t>
  </si>
  <si>
    <t>J04000983</t>
  </si>
  <si>
    <t>Penryn MB</t>
  </si>
  <si>
    <t>e060130</t>
  </si>
  <si>
    <t>J04000985</t>
  </si>
  <si>
    <t>Penzance MB</t>
  </si>
  <si>
    <t>e060131</t>
  </si>
  <si>
    <t>Penwith</t>
  </si>
  <si>
    <t>J04001097</t>
  </si>
  <si>
    <t>Saltash MB</t>
  </si>
  <si>
    <t>e060135</t>
  </si>
  <si>
    <t>J04001182</t>
  </si>
  <si>
    <t>St. Austell RD</t>
  </si>
  <si>
    <t>J04001183</t>
  </si>
  <si>
    <t>St. Austell UD</t>
  </si>
  <si>
    <t>J04001185</t>
  </si>
  <si>
    <t>St. Germans RD</t>
  </si>
  <si>
    <t>e060143</t>
  </si>
  <si>
    <t>J04001187</t>
  </si>
  <si>
    <t>J04001190</t>
  </si>
  <si>
    <t>St. Just UD</t>
  </si>
  <si>
    <t>e060134</t>
  </si>
  <si>
    <t>J04001222</t>
  </si>
  <si>
    <t>Stratton RD</t>
  </si>
  <si>
    <t>e060144</t>
  </si>
  <si>
    <t>J04001284</t>
  </si>
  <si>
    <t>Torpoint UD</t>
  </si>
  <si>
    <t>e060136</t>
  </si>
  <si>
    <t>J04001299</t>
  </si>
  <si>
    <t>Truro RD</t>
  </si>
  <si>
    <t>e060145</t>
  </si>
  <si>
    <t>J04001300</t>
  </si>
  <si>
    <t>Truro, City of MB</t>
  </si>
  <si>
    <t>e060137</t>
  </si>
  <si>
    <t>J04001320</t>
  </si>
  <si>
    <t>Wadebridge RD</t>
  </si>
  <si>
    <t>J04001388</t>
  </si>
  <si>
    <t>West Penwith RD</t>
  </si>
  <si>
    <t>e060147</t>
  </si>
  <si>
    <t>J04000031</t>
  </si>
  <si>
    <t>Alston with Garrigill RD</t>
  </si>
  <si>
    <t>Cumbria</t>
  </si>
  <si>
    <t>e070156</t>
  </si>
  <si>
    <t>Eden</t>
  </si>
  <si>
    <t>J04000045</t>
  </si>
  <si>
    <t>Appleby MB</t>
  </si>
  <si>
    <t>e401090</t>
  </si>
  <si>
    <t>J04000092</t>
  </si>
  <si>
    <t>Barrow-in-Furness CB</t>
  </si>
  <si>
    <t>e200560</t>
  </si>
  <si>
    <t>J04000175</t>
  </si>
  <si>
    <t>Border RD</t>
  </si>
  <si>
    <t>e070157</t>
  </si>
  <si>
    <t>J04000265</t>
  </si>
  <si>
    <t>Carlisle, City of CB</t>
  </si>
  <si>
    <t>e070149</t>
  </si>
  <si>
    <t>J04000334</t>
  </si>
  <si>
    <t>Cockermouth RD</t>
  </si>
  <si>
    <t>e070158</t>
  </si>
  <si>
    <t>Allerdale</t>
  </si>
  <si>
    <t>J04000335</t>
  </si>
  <si>
    <t>Cockermouth UD</t>
  </si>
  <si>
    <t>e070150</t>
  </si>
  <si>
    <t>J04000378</t>
  </si>
  <si>
    <t>Dalton in Furness UD</t>
  </si>
  <si>
    <t>e200604</t>
  </si>
  <si>
    <t>J04000474</t>
  </si>
  <si>
    <t>Ennerdale RD</t>
  </si>
  <si>
    <t>e070159</t>
  </si>
  <si>
    <t>Copeland</t>
  </si>
  <si>
    <t>J04000547</t>
  </si>
  <si>
    <t>Grange UD</t>
  </si>
  <si>
    <t>e200617</t>
  </si>
  <si>
    <t>South Lakeland</t>
  </si>
  <si>
    <t>J04000682</t>
  </si>
  <si>
    <t>Kendal MB</t>
  </si>
  <si>
    <t>e401091</t>
  </si>
  <si>
    <t>J04000686</t>
  </si>
  <si>
    <t>Keswick UD</t>
  </si>
  <si>
    <t>e070151</t>
  </si>
  <si>
    <t>J04000715</t>
  </si>
  <si>
    <t>Lakes UD</t>
  </si>
  <si>
    <t>e401092</t>
  </si>
  <si>
    <t>J04000838</t>
  </si>
  <si>
    <t>Maryport UD</t>
  </si>
  <si>
    <t>e070152</t>
  </si>
  <si>
    <t>J04000858</t>
  </si>
  <si>
    <t>Millom RD</t>
  </si>
  <si>
    <t>e070160</t>
  </si>
  <si>
    <t>J04000925</t>
  </si>
  <si>
    <t>North Lonsdale RD</t>
  </si>
  <si>
    <t>e200690</t>
  </si>
  <si>
    <t>J04000927</t>
  </si>
  <si>
    <t>North Westmorland RD</t>
  </si>
  <si>
    <t>e401094</t>
  </si>
  <si>
    <t>J04000981</t>
  </si>
  <si>
    <t>Penrith RD</t>
  </si>
  <si>
    <t>e070161</t>
  </si>
  <si>
    <t>J04000982</t>
  </si>
  <si>
    <t>Penrith UD</t>
  </si>
  <si>
    <t>e070153</t>
  </si>
  <si>
    <t>J04001114</t>
  </si>
  <si>
    <t>Sedbergh RD</t>
  </si>
  <si>
    <t>e461291</t>
  </si>
  <si>
    <t>J04001161</t>
  </si>
  <si>
    <t>South Westmorland RD</t>
  </si>
  <si>
    <t>e401095</t>
  </si>
  <si>
    <t>J04001308</t>
  </si>
  <si>
    <t>Ulverston UD</t>
  </si>
  <si>
    <t>e200670</t>
  </si>
  <si>
    <t>J04001403</t>
  </si>
  <si>
    <t>Whitehaven MB</t>
  </si>
  <si>
    <t>e070154</t>
  </si>
  <si>
    <t>J04001412</t>
  </si>
  <si>
    <t>Wigton RD</t>
  </si>
  <si>
    <t>e070162</t>
  </si>
  <si>
    <t>J04001424</t>
  </si>
  <si>
    <t>Windermere UD</t>
  </si>
  <si>
    <t>e401093</t>
  </si>
  <si>
    <t>J04001451</t>
  </si>
  <si>
    <t>Workington MB</t>
  </si>
  <si>
    <t>e070155</t>
  </si>
  <si>
    <t>J04000027</t>
  </si>
  <si>
    <t>Alfreton UD</t>
  </si>
  <si>
    <t>East Midlands</t>
  </si>
  <si>
    <t>e080164</t>
  </si>
  <si>
    <t>J04000048</t>
  </si>
  <si>
    <t>Ashbourne RD</t>
  </si>
  <si>
    <t>e080184</t>
  </si>
  <si>
    <t>Derbyshire Dales</t>
  </si>
  <si>
    <t>J04000049</t>
  </si>
  <si>
    <t>Ashbourne UD</t>
  </si>
  <si>
    <t>e080165</t>
  </si>
  <si>
    <t>J04000071</t>
  </si>
  <si>
    <t>Bakewell RD</t>
  </si>
  <si>
    <t>e080185</t>
  </si>
  <si>
    <t>J04000072</t>
  </si>
  <si>
    <t>Bakewell UD</t>
  </si>
  <si>
    <t>e080166</t>
  </si>
  <si>
    <t>J04000121</t>
  </si>
  <si>
    <t>Belper RD</t>
  </si>
  <si>
    <t>J04000122</t>
  </si>
  <si>
    <t>Belper UD</t>
  </si>
  <si>
    <t>e080167</t>
  </si>
  <si>
    <t>J04000159</t>
  </si>
  <si>
    <t>Blackwell RD</t>
  </si>
  <si>
    <t>e080187</t>
  </si>
  <si>
    <t>J04000172</t>
  </si>
  <si>
    <t>Bolsover UD</t>
  </si>
  <si>
    <t>e080168</t>
  </si>
  <si>
    <t>J04000247</t>
  </si>
  <si>
    <t>Buxton MB</t>
  </si>
  <si>
    <t>e080169</t>
  </si>
  <si>
    <t>High Peak</t>
  </si>
  <si>
    <t>J04000280</t>
  </si>
  <si>
    <t>Chapel en le Frith RD</t>
  </si>
  <si>
    <t>e080188</t>
  </si>
  <si>
    <t>J04000302</t>
  </si>
  <si>
    <t>Chesterfield MB</t>
  </si>
  <si>
    <t>e080170</t>
  </si>
  <si>
    <t>J04000303</t>
  </si>
  <si>
    <t>Chesterfield RD</t>
  </si>
  <si>
    <t>e080190</t>
  </si>
  <si>
    <t>J04000324</t>
  </si>
  <si>
    <t>Clay Cross UD</t>
  </si>
  <si>
    <t>e080171</t>
  </si>
  <si>
    <t>J04000330</t>
  </si>
  <si>
    <t>Clowne RD</t>
  </si>
  <si>
    <t>e080192</t>
  </si>
  <si>
    <t>J04000401</t>
  </si>
  <si>
    <t>Derby CB</t>
  </si>
  <si>
    <t>e080163</t>
  </si>
  <si>
    <t>J04000430</t>
  </si>
  <si>
    <t>Dronfield UD</t>
  </si>
  <si>
    <t>e080172</t>
  </si>
  <si>
    <t>J04000535</t>
  </si>
  <si>
    <t>Glossop MB</t>
  </si>
  <si>
    <t>e080173</t>
  </si>
  <si>
    <t>J04000596</t>
  </si>
  <si>
    <t>Heanor UD</t>
  </si>
  <si>
    <t>e080174</t>
  </si>
  <si>
    <t>J04000667</t>
  </si>
  <si>
    <t>Ilkeston MB</t>
  </si>
  <si>
    <t>e080175</t>
  </si>
  <si>
    <t>J04000776</t>
  </si>
  <si>
    <t>Long Eaton UD</t>
  </si>
  <si>
    <t>e080176</t>
  </si>
  <si>
    <t>J04000840</t>
  </si>
  <si>
    <t>Matlock UD</t>
  </si>
  <si>
    <t>e080177</t>
  </si>
  <si>
    <t>J04000887</t>
  </si>
  <si>
    <t>New Mills UD</t>
  </si>
  <si>
    <t>e080178</t>
  </si>
  <si>
    <t>J04001041</t>
  </si>
  <si>
    <t>Repton RD</t>
  </si>
  <si>
    <t>J04001051</t>
  </si>
  <si>
    <t>Ripley UD</t>
  </si>
  <si>
    <t>e080179</t>
  </si>
  <si>
    <t>J04001156</t>
  </si>
  <si>
    <t>South East Derbyshire RD</t>
  </si>
  <si>
    <t>J04001205</t>
  </si>
  <si>
    <t>Staveley UD</t>
  </si>
  <si>
    <t>e080180</t>
  </si>
  <si>
    <t>J04001237</t>
  </si>
  <si>
    <t>Swadlincote UD</t>
  </si>
  <si>
    <t>e080181</t>
  </si>
  <si>
    <t>J04001277</t>
  </si>
  <si>
    <t>Tintwistle RD</t>
  </si>
  <si>
    <t>e050120</t>
  </si>
  <si>
    <t>J04001395</t>
  </si>
  <si>
    <t>Whaley Bridge UD</t>
  </si>
  <si>
    <t>e080182</t>
  </si>
  <si>
    <t>J04001429</t>
  </si>
  <si>
    <t>Wirksworth UD</t>
  </si>
  <si>
    <t>e080183</t>
  </si>
  <si>
    <t>J04000050</t>
  </si>
  <si>
    <t>Ashburton UD</t>
  </si>
  <si>
    <t>e090199</t>
  </si>
  <si>
    <t>J04000064</t>
  </si>
  <si>
    <t>Axminster RD</t>
  </si>
  <si>
    <t>e090223</t>
  </si>
  <si>
    <t>J04000088</t>
  </si>
  <si>
    <t>Barnstaple MB</t>
  </si>
  <si>
    <t>e090200</t>
  </si>
  <si>
    <t>North Devon</t>
  </si>
  <si>
    <t>J04000089</t>
  </si>
  <si>
    <t>Barnstaple RD</t>
  </si>
  <si>
    <t>e090224</t>
  </si>
  <si>
    <t>J04000139</t>
  </si>
  <si>
    <t>Bideford MB</t>
  </si>
  <si>
    <t>e090201</t>
  </si>
  <si>
    <t>Torridge</t>
  </si>
  <si>
    <t>J04000140</t>
  </si>
  <si>
    <t>Bideford RD</t>
  </si>
  <si>
    <t>e090225</t>
  </si>
  <si>
    <t>J04000214</t>
  </si>
  <si>
    <t>Brixham UD</t>
  </si>
  <si>
    <t>e090198</t>
  </si>
  <si>
    <t>Merged into Torbay CB in 1968</t>
  </si>
  <si>
    <t>J04000217</t>
  </si>
  <si>
    <t>Broadwoodwidger RD</t>
  </si>
  <si>
    <t>e090227</t>
  </si>
  <si>
    <t>County boundary was moved in 1966; mostly into Holsworthy RD</t>
  </si>
  <si>
    <t>J04000225</t>
  </si>
  <si>
    <t>Buckfastleigh UD</t>
  </si>
  <si>
    <t>e090202</t>
  </si>
  <si>
    <t>J04000231</t>
  </si>
  <si>
    <t>Budleigh Salterton UD</t>
  </si>
  <si>
    <t>e090203</t>
  </si>
  <si>
    <t>J04000359</t>
  </si>
  <si>
    <t>Crediton RD</t>
  </si>
  <si>
    <t>e090226</t>
  </si>
  <si>
    <t>Mid Devon</t>
  </si>
  <si>
    <t>J04000360</t>
  </si>
  <si>
    <t>Crediton UD</t>
  </si>
  <si>
    <t>e090204</t>
  </si>
  <si>
    <t>J04000385</t>
  </si>
  <si>
    <t>Dartmouth MB</t>
  </si>
  <si>
    <t>e090205</t>
  </si>
  <si>
    <t>J04000391</t>
  </si>
  <si>
    <t>Dawlish UD</t>
  </si>
  <si>
    <t>e090206</t>
  </si>
  <si>
    <t>J04000486</t>
  </si>
  <si>
    <t>Exeter, City and County of CB</t>
  </si>
  <si>
    <t>e090196</t>
  </si>
  <si>
    <t>J04000487</t>
  </si>
  <si>
    <t>Exmouth UD</t>
  </si>
  <si>
    <t>e090207</t>
  </si>
  <si>
    <t>J04000551</t>
  </si>
  <si>
    <t>Great Torrington MB</t>
  </si>
  <si>
    <t>e090208</t>
  </si>
  <si>
    <t>J04000634</t>
  </si>
  <si>
    <t>Holsworthy RD</t>
  </si>
  <si>
    <t>J04000635</t>
  </si>
  <si>
    <t>Holsworthy UD</t>
  </si>
  <si>
    <t>Merged into Holsworthy RD</t>
  </si>
  <si>
    <t>J04000639</t>
  </si>
  <si>
    <t>Honiton MB</t>
  </si>
  <si>
    <t>e090209</t>
  </si>
  <si>
    <t>J04000640</t>
  </si>
  <si>
    <t>Honiton RD</t>
  </si>
  <si>
    <t>e090228</t>
  </si>
  <si>
    <t>J04000666</t>
  </si>
  <si>
    <t>Ilfracombe UD</t>
  </si>
  <si>
    <t>e090210</t>
  </si>
  <si>
    <t>J04000696</t>
  </si>
  <si>
    <t>Kingsbridge RD</t>
  </si>
  <si>
    <t>e090229</t>
  </si>
  <si>
    <t>J04000697</t>
  </si>
  <si>
    <t>Kingsbridge UD</t>
  </si>
  <si>
    <t>e090211</t>
  </si>
  <si>
    <t>J04000798</t>
  </si>
  <si>
    <t>Lynton UD</t>
  </si>
  <si>
    <t>e090212</t>
  </si>
  <si>
    <t>J04000913</t>
  </si>
  <si>
    <t>Newton Abbot RD</t>
  </si>
  <si>
    <t>e090230</t>
  </si>
  <si>
    <t>J04000914</t>
  </si>
  <si>
    <t>Newton Abbot UD</t>
  </si>
  <si>
    <t>e090213</t>
  </si>
  <si>
    <t>J04000931</t>
  </si>
  <si>
    <t>Northam UD</t>
  </si>
  <si>
    <t>e090214</t>
  </si>
  <si>
    <t>J04000950</t>
  </si>
  <si>
    <t>Okehampton MB</t>
  </si>
  <si>
    <t>e090215</t>
  </si>
  <si>
    <t>West Devon</t>
  </si>
  <si>
    <t>J04000951</t>
  </si>
  <si>
    <t>Okehampton RD</t>
  </si>
  <si>
    <t>e090231</t>
  </si>
  <si>
    <t>J04000964</t>
  </si>
  <si>
    <t>Ottery St. Mary UD</t>
  </si>
  <si>
    <t>e090216</t>
  </si>
  <si>
    <t>J04000971</t>
  </si>
  <si>
    <t>Paignton UD</t>
  </si>
  <si>
    <t>J04000996</t>
  </si>
  <si>
    <t>Plymouth, City of CB</t>
  </si>
  <si>
    <t>e090197</t>
  </si>
  <si>
    <t>J04000997</t>
  </si>
  <si>
    <t>Plympton St. Mary RD</t>
  </si>
  <si>
    <t>J04001092</t>
  </si>
  <si>
    <t>Salcombe UD</t>
  </si>
  <si>
    <t>e090217</t>
  </si>
  <si>
    <t>J04001112</t>
  </si>
  <si>
    <t>Seaton UD</t>
  </si>
  <si>
    <t>e090218</t>
  </si>
  <si>
    <t>J04001141</t>
  </si>
  <si>
    <t>Sidmouth UD</t>
  </si>
  <si>
    <t>e090219</t>
  </si>
  <si>
    <t>J04001158</t>
  </si>
  <si>
    <t>South Molton MB</t>
  </si>
  <si>
    <t>e090234</t>
  </si>
  <si>
    <t>Merged into South Molton RD in 1967</t>
  </si>
  <si>
    <t>J04001159</t>
  </si>
  <si>
    <t>South Molton RD</t>
  </si>
  <si>
    <t>J04001195</t>
  </si>
  <si>
    <t>St. Thomas RD</t>
  </si>
  <si>
    <t>e090233</t>
  </si>
  <si>
    <t>J04001253</t>
  </si>
  <si>
    <t>Tavistock RD</t>
  </si>
  <si>
    <t>e090235</t>
  </si>
  <si>
    <t>J04001254</t>
  </si>
  <si>
    <t>Tavistock UD</t>
  </si>
  <si>
    <t>Merged into Tavistock RD in 1966</t>
  </si>
  <si>
    <t>J04001256</t>
  </si>
  <si>
    <t>Teignmouth UD</t>
  </si>
  <si>
    <t>e090220</t>
  </si>
  <si>
    <t>J04001279</t>
  </si>
  <si>
    <t>Tiverton MB</t>
  </si>
  <si>
    <t>e090221</t>
  </si>
  <si>
    <t>J04001280</t>
  </si>
  <si>
    <t>Tiverton RD</t>
  </si>
  <si>
    <t>e090236</t>
  </si>
  <si>
    <t>J04001285</t>
  </si>
  <si>
    <t>Torquay MB</t>
  </si>
  <si>
    <t>J04001286</t>
  </si>
  <si>
    <t>Torrington RD</t>
  </si>
  <si>
    <t>e090237</t>
  </si>
  <si>
    <t>J04001287</t>
  </si>
  <si>
    <t>Totnes MB</t>
  </si>
  <si>
    <t>e090222</t>
  </si>
  <si>
    <t>J04001288</t>
  </si>
  <si>
    <t>Totnes RD</t>
  </si>
  <si>
    <t>e090238</t>
  </si>
  <si>
    <t>J04000105</t>
  </si>
  <si>
    <t>Beaminster RD</t>
  </si>
  <si>
    <t>e100251</t>
  </si>
  <si>
    <t>West Dorset</t>
  </si>
  <si>
    <t>J04000161</t>
  </si>
  <si>
    <t>Blandford Forum MB</t>
  </si>
  <si>
    <t>e100239</t>
  </si>
  <si>
    <t>North Dorset</t>
  </si>
  <si>
    <t>J04000162</t>
  </si>
  <si>
    <t>Blandford RD</t>
  </si>
  <si>
    <t>e100252</t>
  </si>
  <si>
    <t>J04000179</t>
  </si>
  <si>
    <t>Bournemouth CB</t>
  </si>
  <si>
    <t>e150411</t>
  </si>
  <si>
    <t>J04000205</t>
  </si>
  <si>
    <t>Bridport MB</t>
  </si>
  <si>
    <t>e100240</t>
  </si>
  <si>
    <t>J04000206</t>
  </si>
  <si>
    <t>Bridport RD</t>
  </si>
  <si>
    <t>e100253</t>
  </si>
  <si>
    <t>J04000316</t>
  </si>
  <si>
    <t>Christchurch MB</t>
  </si>
  <si>
    <t>e150418</t>
  </si>
  <si>
    <t>J04000416</t>
  </si>
  <si>
    <t>Dorchester MB</t>
  </si>
  <si>
    <t>e100241</t>
  </si>
  <si>
    <t>J04000417</t>
  </si>
  <si>
    <t>Dorchester RD</t>
  </si>
  <si>
    <t>e100254</t>
  </si>
  <si>
    <t>J04000795</t>
  </si>
  <si>
    <t>Lyme Regis MB</t>
  </si>
  <si>
    <t>e100242</t>
  </si>
  <si>
    <t>J04001004</t>
  </si>
  <si>
    <t>Poole, County of a Town MB</t>
  </si>
  <si>
    <t>e100243</t>
  </si>
  <si>
    <t>J04001009</t>
  </si>
  <si>
    <t>Portland UD</t>
  </si>
  <si>
    <t>e100244</t>
  </si>
  <si>
    <t>Weymouth and Portland</t>
  </si>
  <si>
    <t>J04001123</t>
  </si>
  <si>
    <t>Shaftesbury MB</t>
  </si>
  <si>
    <t>e100245</t>
  </si>
  <si>
    <t>J04001124</t>
  </si>
  <si>
    <t>Shaftesbury RD</t>
  </si>
  <si>
    <t>e100255</t>
  </si>
  <si>
    <t>J04001131</t>
  </si>
  <si>
    <t>Sherborne RD</t>
  </si>
  <si>
    <t>e100256</t>
  </si>
  <si>
    <t>J04001132</t>
  </si>
  <si>
    <t>Sherborne UD</t>
  </si>
  <si>
    <t>e100246</t>
  </si>
  <si>
    <t>J04001228</t>
  </si>
  <si>
    <t>Sturminster RD</t>
  </si>
  <si>
    <t>e100257</t>
  </si>
  <si>
    <t>J04001241</t>
  </si>
  <si>
    <t>Swanage UD</t>
  </si>
  <si>
    <t>e100247</t>
  </si>
  <si>
    <t>Purbeck</t>
  </si>
  <si>
    <t>J04001341</t>
  </si>
  <si>
    <t>Wareham and Purbeck RD</t>
  </si>
  <si>
    <t>e100258</t>
  </si>
  <si>
    <t>J04001342</t>
  </si>
  <si>
    <t>Wareham MB</t>
  </si>
  <si>
    <t>e100248</t>
  </si>
  <si>
    <t>J04001394</t>
  </si>
  <si>
    <t>Weymouth and Melcombe Regis MB</t>
  </si>
  <si>
    <t>e100249</t>
  </si>
  <si>
    <t>J04001419</t>
  </si>
  <si>
    <t>Wimborne and Cranborne RD</t>
  </si>
  <si>
    <t>e100259</t>
  </si>
  <si>
    <t>J04001420</t>
  </si>
  <si>
    <t>Wimborne Minster UD</t>
  </si>
  <si>
    <t>e100250</t>
  </si>
  <si>
    <t>J04000082</t>
  </si>
  <si>
    <t>Barnard Castle RD</t>
  </si>
  <si>
    <t>e110290</t>
  </si>
  <si>
    <t>Teesdale</t>
  </si>
  <si>
    <t>J04000083</t>
  </si>
  <si>
    <t>Barnard Castle UD</t>
  </si>
  <si>
    <t>e110265</t>
  </si>
  <si>
    <t>J04000151</t>
  </si>
  <si>
    <t>Bishop Auckland UD</t>
  </si>
  <si>
    <t>e110266</t>
  </si>
  <si>
    <t>Wear Valley</t>
  </si>
  <si>
    <t>J04000190</t>
  </si>
  <si>
    <t>Brandon and Byshottles UD</t>
  </si>
  <si>
    <t>e110269</t>
  </si>
  <si>
    <t>J04000298</t>
  </si>
  <si>
    <t>Chester le Street RD</t>
  </si>
  <si>
    <t>e110291</t>
  </si>
  <si>
    <t>J04000299</t>
  </si>
  <si>
    <t>Chester le Street UD</t>
  </si>
  <si>
    <t>e110270</t>
  </si>
  <si>
    <t>J04000345</t>
  </si>
  <si>
    <t>Consett UD</t>
  </si>
  <si>
    <t>e110271</t>
  </si>
  <si>
    <t>Derwentside</t>
  </si>
  <si>
    <t>J04000369</t>
  </si>
  <si>
    <t>Crook and Willington UD</t>
  </si>
  <si>
    <t>e110272</t>
  </si>
  <si>
    <t>J04000381</t>
  </si>
  <si>
    <t>Darlington CB</t>
  </si>
  <si>
    <t>e110260</t>
  </si>
  <si>
    <t>J04000382</t>
  </si>
  <si>
    <t>Darlington RD</t>
  </si>
  <si>
    <t>e110296</t>
  </si>
  <si>
    <t>J04000438</t>
  </si>
  <si>
    <t>Durham RD</t>
  </si>
  <si>
    <t>e110298</t>
  </si>
  <si>
    <t>J04000439</t>
  </si>
  <si>
    <t>Durham, City of MB</t>
  </si>
  <si>
    <t>e110273</t>
  </si>
  <si>
    <t>J04000443</t>
  </si>
  <si>
    <t>Easington RD</t>
  </si>
  <si>
    <t>e110299</t>
  </si>
  <si>
    <t>J04000720</t>
  </si>
  <si>
    <t>Lanchester RD</t>
  </si>
  <si>
    <t>e110302</t>
  </si>
  <si>
    <t>J04001111</t>
  </si>
  <si>
    <t>Seaham UD</t>
  </si>
  <si>
    <t>e110281</t>
  </si>
  <si>
    <t>J04001115</t>
  </si>
  <si>
    <t>Sedgefield RD</t>
  </si>
  <si>
    <t>e110303</t>
  </si>
  <si>
    <t>J04001135</t>
  </si>
  <si>
    <t>Shildon UD</t>
  </si>
  <si>
    <t>e110282</t>
  </si>
  <si>
    <t>J04001177</t>
  </si>
  <si>
    <t>Spennymoor UD</t>
  </si>
  <si>
    <t>e110284</t>
  </si>
  <si>
    <t>J04001202</t>
  </si>
  <si>
    <t>Stanley UD</t>
  </si>
  <si>
    <t>e110285</t>
  </si>
  <si>
    <t>J04001204</t>
  </si>
  <si>
    <t>Startforth RD</t>
  </si>
  <si>
    <t>e451194</t>
  </si>
  <si>
    <t>J04001291</t>
  </si>
  <si>
    <t>Tow Law UD</t>
  </si>
  <si>
    <t>e110286</t>
  </si>
  <si>
    <t>J04001358</t>
  </si>
  <si>
    <t>Weardale RD</t>
  </si>
  <si>
    <t>e110306</t>
  </si>
  <si>
    <t>J04000103</t>
  </si>
  <si>
    <t>Battle RD</t>
  </si>
  <si>
    <t>e371042</t>
  </si>
  <si>
    <t>Rother</t>
  </si>
  <si>
    <t>J04000135</t>
  </si>
  <si>
    <t>Bexhill MB</t>
  </si>
  <si>
    <t>e371032</t>
  </si>
  <si>
    <t>J04000212</t>
  </si>
  <si>
    <t>Brighton CB</t>
  </si>
  <si>
    <t>e371029</t>
  </si>
  <si>
    <t>Brighton and Hove</t>
  </si>
  <si>
    <t>J04000278</t>
  </si>
  <si>
    <t>Chailey RD</t>
  </si>
  <si>
    <t>e371043</t>
  </si>
  <si>
    <t>J04000455</t>
  </si>
  <si>
    <t>Eastbourne CB</t>
  </si>
  <si>
    <t>e371030</t>
  </si>
  <si>
    <t>J04000562</t>
  </si>
  <si>
    <t>Hailsham RD</t>
  </si>
  <si>
    <t>e371047</t>
  </si>
  <si>
    <t>Wealden</t>
  </si>
  <si>
    <t>J04000584</t>
  </si>
  <si>
    <t>Hastings CB</t>
  </si>
  <si>
    <t>e371031</t>
  </si>
  <si>
    <t>J04000652</t>
  </si>
  <si>
    <t>Hove MB</t>
  </si>
  <si>
    <t>e371036</t>
  </si>
  <si>
    <t>J04000738</t>
  </si>
  <si>
    <t>Lewes MB</t>
  </si>
  <si>
    <t>e371037</t>
  </si>
  <si>
    <t>J04000904</t>
  </si>
  <si>
    <t>Newhaven UD</t>
  </si>
  <si>
    <t>e371038</t>
  </si>
  <si>
    <t>J04001011</t>
  </si>
  <si>
    <t>Portslade-by-Sea UD</t>
  </si>
  <si>
    <t>e371039</t>
  </si>
  <si>
    <t>J04001087</t>
  </si>
  <si>
    <t>Rye MB</t>
  </si>
  <si>
    <t>e371040</t>
  </si>
  <si>
    <t>J04001110</t>
  </si>
  <si>
    <t>Seaford UD</t>
  </si>
  <si>
    <t>e371041</t>
  </si>
  <si>
    <t>J04001307</t>
  </si>
  <si>
    <t>Uckfield RD</t>
  </si>
  <si>
    <t>e371048</t>
  </si>
  <si>
    <t>J04000096</t>
  </si>
  <si>
    <t>Basildon UD</t>
  </si>
  <si>
    <t>e120308</t>
  </si>
  <si>
    <t>J04000123</t>
  </si>
  <si>
    <t>Benfleet UD</t>
  </si>
  <si>
    <t>e120310</t>
  </si>
  <si>
    <t>Castle Point</t>
  </si>
  <si>
    <t>J04000188</t>
  </si>
  <si>
    <t>Braintree and Bocking UD</t>
  </si>
  <si>
    <t>e120311</t>
  </si>
  <si>
    <t>J04000189</t>
  </si>
  <si>
    <t>Braintree RD</t>
  </si>
  <si>
    <t>e120335</t>
  </si>
  <si>
    <t>J04000196</t>
  </si>
  <si>
    <t>Brentwood UD</t>
  </si>
  <si>
    <t>e120312</t>
  </si>
  <si>
    <t>J04000211</t>
  </si>
  <si>
    <t>Brightlingsea UD</t>
  </si>
  <si>
    <t>e120313</t>
  </si>
  <si>
    <t>Tendring</t>
  </si>
  <si>
    <t>J04000237</t>
  </si>
  <si>
    <t>Burnham on Crouch UD</t>
  </si>
  <si>
    <t>e120314</t>
  </si>
  <si>
    <t>J04000261</t>
  </si>
  <si>
    <t>Canvey Island UD</t>
  </si>
  <si>
    <t>e120315</t>
  </si>
  <si>
    <t>Thurrock UA</t>
  </si>
  <si>
    <t>J04000288</t>
  </si>
  <si>
    <t>Chelmsford MB</t>
  </si>
  <si>
    <t>e120316</t>
  </si>
  <si>
    <t>J04000289</t>
  </si>
  <si>
    <t>Chelmsford RD</t>
  </si>
  <si>
    <t>e120336</t>
  </si>
  <si>
    <t>J04000307</t>
  </si>
  <si>
    <t>Chigwell UD</t>
  </si>
  <si>
    <t>e120317</t>
  </si>
  <si>
    <t>J04000322</t>
  </si>
  <si>
    <t>Clacton UD</t>
  </si>
  <si>
    <t>e120318</t>
  </si>
  <si>
    <t>J04000336</t>
  </si>
  <si>
    <t>Colchester MB</t>
  </si>
  <si>
    <t>e120319</t>
  </si>
  <si>
    <t>J04000436</t>
  </si>
  <si>
    <t>Dunmow RD</t>
  </si>
  <si>
    <t>e120337</t>
  </si>
  <si>
    <t>Uttlesford</t>
  </si>
  <si>
    <t>J04000475</t>
  </si>
  <si>
    <t>Epping and Ongar RD</t>
  </si>
  <si>
    <t>This needs to be merged with Harlow UD for consistency</t>
  </si>
  <si>
    <t>J04000476</t>
  </si>
  <si>
    <t>Epping UD</t>
  </si>
  <si>
    <t>e120320</t>
  </si>
  <si>
    <t>J04000518</t>
  </si>
  <si>
    <t>Frinton and Walton UD</t>
  </si>
  <si>
    <t>e120321</t>
  </si>
  <si>
    <t>J04000567</t>
  </si>
  <si>
    <t>Halstead RD</t>
  </si>
  <si>
    <t>e120339</t>
  </si>
  <si>
    <t>J04000568</t>
  </si>
  <si>
    <t>Halstead UD</t>
  </si>
  <si>
    <t>e120322</t>
  </si>
  <si>
    <t>J04000574</t>
  </si>
  <si>
    <t>Harlow UD</t>
  </si>
  <si>
    <t>e120323</t>
  </si>
  <si>
    <t>This needs to be merged with Epping and Ongar RD for consistency</t>
  </si>
  <si>
    <t>J04000581</t>
  </si>
  <si>
    <t>Harwich MB</t>
  </si>
  <si>
    <t>e120325</t>
  </si>
  <si>
    <t>J04000740</t>
  </si>
  <si>
    <t>Lexden and Winstree RD</t>
  </si>
  <si>
    <t>e120340</t>
  </si>
  <si>
    <t>J04000812</t>
  </si>
  <si>
    <t>Maldon MB</t>
  </si>
  <si>
    <t>e120326</t>
  </si>
  <si>
    <t>J04000813</t>
  </si>
  <si>
    <t>Maldon RD</t>
  </si>
  <si>
    <t>e120341</t>
  </si>
  <si>
    <t>J04001035</t>
  </si>
  <si>
    <t>Rayleigh UD</t>
  </si>
  <si>
    <t>e120327</t>
  </si>
  <si>
    <t>J04001059</t>
  </si>
  <si>
    <t>Rochford RD</t>
  </si>
  <si>
    <t>e120342</t>
  </si>
  <si>
    <t>J04001090</t>
  </si>
  <si>
    <t>Saffron Walden MB</t>
  </si>
  <si>
    <t>e120328</t>
  </si>
  <si>
    <t>J04001091</t>
  </si>
  <si>
    <t>Saffron Walden RD</t>
  </si>
  <si>
    <t>e120343</t>
  </si>
  <si>
    <t>J04001166</t>
  </si>
  <si>
    <t>Southend-on-Sea CB</t>
  </si>
  <si>
    <t>e120307</t>
  </si>
  <si>
    <t>Southend-on-Sea UA</t>
  </si>
  <si>
    <t>J04001259</t>
  </si>
  <si>
    <t>Tendring RD</t>
  </si>
  <si>
    <t>e120344</t>
  </si>
  <si>
    <t>J04001275</t>
  </si>
  <si>
    <t>Thurrock UD</t>
  </si>
  <si>
    <t>e120329</t>
  </si>
  <si>
    <t>J04001330</t>
  </si>
  <si>
    <t>Waltham Holy Cross UD</t>
  </si>
  <si>
    <t>e120331</t>
  </si>
  <si>
    <t>J04001387</t>
  </si>
  <si>
    <t>West Mersea UD</t>
  </si>
  <si>
    <t>e120332</t>
  </si>
  <si>
    <t>J04001433</t>
  </si>
  <si>
    <t>Witham UD</t>
  </si>
  <si>
    <t>e120333</t>
  </si>
  <si>
    <t>J04001438</t>
  </si>
  <si>
    <t>Wivenhoe UD</t>
  </si>
  <si>
    <t>e120334</t>
  </si>
  <si>
    <t>J04000283</t>
  </si>
  <si>
    <t>Charlton Kings UD</t>
  </si>
  <si>
    <t>e130347</t>
  </si>
  <si>
    <t>J04000291</t>
  </si>
  <si>
    <t>Cheltenham MB</t>
  </si>
  <si>
    <t>e130348</t>
  </si>
  <si>
    <t>J04000292</t>
  </si>
  <si>
    <t>Cheltenham RD</t>
  </si>
  <si>
    <t>e130355</t>
  </si>
  <si>
    <t>J04000319</t>
  </si>
  <si>
    <t>Cirencester RD</t>
  </si>
  <si>
    <t>e130356</t>
  </si>
  <si>
    <t>J04000320</t>
  </si>
  <si>
    <t>Cirencester UD</t>
  </si>
  <si>
    <t>e130349</t>
  </si>
  <si>
    <t>J04000440</t>
  </si>
  <si>
    <t>Dursley RD</t>
  </si>
  <si>
    <t>e130357</t>
  </si>
  <si>
    <t>J04000447</t>
  </si>
  <si>
    <t>East Dean RD</t>
  </si>
  <si>
    <t>e130358</t>
  </si>
  <si>
    <t>J04000536</t>
  </si>
  <si>
    <t>Gloucester RD</t>
  </si>
  <si>
    <t>J04000537</t>
  </si>
  <si>
    <t>Gloucester, City and County of CB</t>
  </si>
  <si>
    <t>e130346</t>
  </si>
  <si>
    <t>J04000794</t>
  </si>
  <si>
    <t>Lydney RD</t>
  </si>
  <si>
    <t>e130360</t>
  </si>
  <si>
    <t>J04000875</t>
  </si>
  <si>
    <t>Nailsworth UD</t>
  </si>
  <si>
    <t>e130352</t>
  </si>
  <si>
    <t>J04000903</t>
  </si>
  <si>
    <t>Newent RD</t>
  </si>
  <si>
    <t>e130361</t>
  </si>
  <si>
    <t>J04000923</t>
  </si>
  <si>
    <t>North Cotswold RD</t>
  </si>
  <si>
    <t>e130362</t>
  </si>
  <si>
    <t>J04000935</t>
  </si>
  <si>
    <t>Northleach RD</t>
  </si>
  <si>
    <t>e130363</t>
  </si>
  <si>
    <t>J04001226</t>
  </si>
  <si>
    <t>Stroud RD</t>
  </si>
  <si>
    <t>e130365</t>
  </si>
  <si>
    <t>J04001227</t>
  </si>
  <si>
    <t>Stroud UD</t>
  </si>
  <si>
    <t>e130353</t>
  </si>
  <si>
    <t>J04001262</t>
  </si>
  <si>
    <t>Tetbury RD</t>
  </si>
  <si>
    <t>e130366</t>
  </si>
  <si>
    <t>J04001264</t>
  </si>
  <si>
    <t>Tewkesbury MB</t>
  </si>
  <si>
    <t>e130354</t>
  </si>
  <si>
    <t>J04001382</t>
  </si>
  <si>
    <t>West Dean RD</t>
  </si>
  <si>
    <t>e130369</t>
  </si>
  <si>
    <t>J04000013</t>
  </si>
  <si>
    <t>Abram UD</t>
  </si>
  <si>
    <t>Greater Manchester</t>
  </si>
  <si>
    <t>e200579</t>
  </si>
  <si>
    <t>J04000034</t>
  </si>
  <si>
    <t>Altrincham MB</t>
  </si>
  <si>
    <t>e050074</t>
  </si>
  <si>
    <t>J04000056</t>
  </si>
  <si>
    <t>Ashton in Makerfield UD</t>
  </si>
  <si>
    <t>e200582</t>
  </si>
  <si>
    <t>J04000057</t>
  </si>
  <si>
    <t>Ashton under Lyne MB</t>
  </si>
  <si>
    <t>e200584</t>
  </si>
  <si>
    <t>Tameside</t>
  </si>
  <si>
    <t>J04000058</t>
  </si>
  <si>
    <t>Aspull UD</t>
  </si>
  <si>
    <t>e200585</t>
  </si>
  <si>
    <t>J04000061</t>
  </si>
  <si>
    <t>Atherton UD</t>
  </si>
  <si>
    <t>e200586</t>
  </si>
  <si>
    <t>J04000062</t>
  </si>
  <si>
    <t>Audenshaw UD</t>
  </si>
  <si>
    <t>e200587</t>
  </si>
  <si>
    <t>J04000144</t>
  </si>
  <si>
    <t>Billinge and Winstanley UD</t>
  </si>
  <si>
    <t>e200590</t>
  </si>
  <si>
    <t>J04000158</t>
  </si>
  <si>
    <t>Blackrod UD</t>
  </si>
  <si>
    <t>e200592</t>
  </si>
  <si>
    <t>J04000173</t>
  </si>
  <si>
    <t>Bolton CB</t>
  </si>
  <si>
    <t>e200563</t>
  </si>
  <si>
    <t>J04000180</t>
  </si>
  <si>
    <t>Bowdon UD</t>
  </si>
  <si>
    <t>e050077</t>
  </si>
  <si>
    <t>J04000194</t>
  </si>
  <si>
    <t>Bredbury and Romiley UD</t>
  </si>
  <si>
    <t>e050078</t>
  </si>
  <si>
    <t>J04000244</t>
  </si>
  <si>
    <t>Bury CB</t>
  </si>
  <si>
    <t>e200566</t>
  </si>
  <si>
    <t>J04000277</t>
  </si>
  <si>
    <t>Chadderton UD</t>
  </si>
  <si>
    <t>e200595</t>
  </si>
  <si>
    <t>Oldham</t>
  </si>
  <si>
    <t>J04000286</t>
  </si>
  <si>
    <t>Cheadle and Gatley UD</t>
  </si>
  <si>
    <t>e050079</t>
  </si>
  <si>
    <t>J04000368</t>
  </si>
  <si>
    <t>Crompton UD</t>
  </si>
  <si>
    <t>e200602</t>
  </si>
  <si>
    <t>J04000398</t>
  </si>
  <si>
    <t>Denton UD</t>
  </si>
  <si>
    <t>e200606</t>
  </si>
  <si>
    <t>J04000432</t>
  </si>
  <si>
    <t>Droylsden UD</t>
  </si>
  <si>
    <t>e200607</t>
  </si>
  <si>
    <t>J04000434</t>
  </si>
  <si>
    <t>Dukinfield MB</t>
  </si>
  <si>
    <t>e050082</t>
  </si>
  <si>
    <t>J04000461</t>
  </si>
  <si>
    <t>Eccles MB</t>
  </si>
  <si>
    <t>e200608</t>
  </si>
  <si>
    <t>J04000489</t>
  </si>
  <si>
    <t>Failsworth UD</t>
  </si>
  <si>
    <t>e200609</t>
  </si>
  <si>
    <t>J04000495</t>
  </si>
  <si>
    <t>Farnworth MB</t>
  </si>
  <si>
    <t>e200610</t>
  </si>
  <si>
    <t>J04000541</t>
  </si>
  <si>
    <t>Golborne UD</t>
  </si>
  <si>
    <t>e200615</t>
  </si>
  <si>
    <t>J04000563</t>
  </si>
  <si>
    <t>Hale UD</t>
  </si>
  <si>
    <t>e050084</t>
  </si>
  <si>
    <t>J04000595</t>
  </si>
  <si>
    <t>Hazel Grove and Bramhall UD</t>
  </si>
  <si>
    <t>e050085</t>
  </si>
  <si>
    <t>J04000620</t>
  </si>
  <si>
    <t>Heywood MB</t>
  </si>
  <si>
    <t>e200621</t>
  </si>
  <si>
    <t>J04000625</t>
  </si>
  <si>
    <t>Hindley UD</t>
  </si>
  <si>
    <t>e200622</t>
  </si>
  <si>
    <t>J04000650</t>
  </si>
  <si>
    <t>Horwich UD</t>
  </si>
  <si>
    <t>e200623</t>
  </si>
  <si>
    <t>J04000663</t>
  </si>
  <si>
    <t>Hyde MB</t>
  </si>
  <si>
    <t>e050087</t>
  </si>
  <si>
    <t>J04000670</t>
  </si>
  <si>
    <t>Ince in Makerfield UD</t>
  </si>
  <si>
    <t>e200625</t>
  </si>
  <si>
    <t>J04000672</t>
  </si>
  <si>
    <t>Irlam UD</t>
  </si>
  <si>
    <t>e200626</t>
  </si>
  <si>
    <t>J04000679</t>
  </si>
  <si>
    <t>Kearsley UD</t>
  </si>
  <si>
    <t>e200627</t>
  </si>
  <si>
    <t>J04000730</t>
  </si>
  <si>
    <t>Lees UD</t>
  </si>
  <si>
    <t>e200631</t>
  </si>
  <si>
    <t>J04000732</t>
  </si>
  <si>
    <t>Leigh MB</t>
  </si>
  <si>
    <t>e200632</t>
  </si>
  <si>
    <t>J04000751</t>
  </si>
  <si>
    <t>Little Lever UD</t>
  </si>
  <si>
    <t>e200637</t>
  </si>
  <si>
    <t>J04000752</t>
  </si>
  <si>
    <t>Littleborough UD</t>
  </si>
  <si>
    <t>e200636</t>
  </si>
  <si>
    <t>J04000778</t>
  </si>
  <si>
    <t>Longdendale UD</t>
  </si>
  <si>
    <t>e050089</t>
  </si>
  <si>
    <t>J04000821</t>
  </si>
  <si>
    <t>Manchester, City of CB</t>
  </si>
  <si>
    <t>e200569</t>
  </si>
  <si>
    <t>J04000835</t>
  </si>
  <si>
    <t>Marple UD</t>
  </si>
  <si>
    <t>e050092</t>
  </si>
  <si>
    <t>J04000853</t>
  </si>
  <si>
    <t>Middleton MB</t>
  </si>
  <si>
    <t>e200640</t>
  </si>
  <si>
    <t>J04000859</t>
  </si>
  <si>
    <t>Milnrow UD</t>
  </si>
  <si>
    <t>e200641</t>
  </si>
  <si>
    <t>J04000872</t>
  </si>
  <si>
    <t>Mossley MB</t>
  </si>
  <si>
    <t>e200643</t>
  </si>
  <si>
    <t>J04000954</t>
  </si>
  <si>
    <t>Oldham CB</t>
  </si>
  <si>
    <t>e200571</t>
  </si>
  <si>
    <t>J04000957</t>
  </si>
  <si>
    <t>Orrell UD</t>
  </si>
  <si>
    <t>e200647</t>
  </si>
  <si>
    <t>J04001021</t>
  </si>
  <si>
    <t>Prestwich MB</t>
  </si>
  <si>
    <t>e200653</t>
  </si>
  <si>
    <t>J04001027</t>
  </si>
  <si>
    <t>Radcliffe MB</t>
  </si>
  <si>
    <t>e200654</t>
  </si>
  <si>
    <t>J04001029</t>
  </si>
  <si>
    <t>Ramsbottom UD</t>
  </si>
  <si>
    <t>e200656</t>
  </si>
  <si>
    <t>J04001057</t>
  </si>
  <si>
    <t>Rochdale CB</t>
  </si>
  <si>
    <t>e200573</t>
  </si>
  <si>
    <t>J04001076</t>
  </si>
  <si>
    <t>Royton UD</t>
  </si>
  <si>
    <t>e200659</t>
  </si>
  <si>
    <t>J04001089</t>
  </si>
  <si>
    <t>Saddleworth UD</t>
  </si>
  <si>
    <t>e461263</t>
  </si>
  <si>
    <t>J04001093</t>
  </si>
  <si>
    <t>Sale MB</t>
  </si>
  <si>
    <t>e050100</t>
  </si>
  <si>
    <t>J04001094</t>
  </si>
  <si>
    <t>Salford, City of CB</t>
  </si>
  <si>
    <t>e200575</t>
  </si>
  <si>
    <t>J04001199</t>
  </si>
  <si>
    <t>Stalybridge MB</t>
  </si>
  <si>
    <t>e050102</t>
  </si>
  <si>
    <t>J04001201</t>
  </si>
  <si>
    <t>Standish with Langtree UD</t>
  </si>
  <si>
    <t>e200662</t>
  </si>
  <si>
    <t>J04001208</t>
  </si>
  <si>
    <t>Stockport CB</t>
  </si>
  <si>
    <t>e050070</t>
  </si>
  <si>
    <t>J04001224</t>
  </si>
  <si>
    <t>Stretford MB</t>
  </si>
  <si>
    <t>e200663</t>
  </si>
  <si>
    <t>J04001245</t>
  </si>
  <si>
    <t>Swinton and Pendlebury MB</t>
  </si>
  <si>
    <t>e200664</t>
  </si>
  <si>
    <t>J04001290</t>
  </si>
  <si>
    <t>Tottington UD</t>
  </si>
  <si>
    <t>e200666</t>
  </si>
  <si>
    <t>J04001301</t>
  </si>
  <si>
    <t>Turton UD</t>
  </si>
  <si>
    <t>e200668</t>
  </si>
  <si>
    <t>J04001305</t>
  </si>
  <si>
    <t>Tyldesley UD</t>
  </si>
  <si>
    <t>e200669</t>
  </si>
  <si>
    <t>J04001312</t>
  </si>
  <si>
    <t>Urmston UD</t>
  </si>
  <si>
    <t>e200671</t>
  </si>
  <si>
    <t>J04001338</t>
  </si>
  <si>
    <t>Wardle UD</t>
  </si>
  <si>
    <t>e200674</t>
  </si>
  <si>
    <t>J04001390</t>
  </si>
  <si>
    <t>Westhoughton UD</t>
  </si>
  <si>
    <t>e200675</t>
  </si>
  <si>
    <t>J04001402</t>
  </si>
  <si>
    <t>Whitefield UD</t>
  </si>
  <si>
    <t>e200676</t>
  </si>
  <si>
    <t>J04001409</t>
  </si>
  <si>
    <t>Wigan CB</t>
  </si>
  <si>
    <t>e200578</t>
  </si>
  <si>
    <t>J04001455</t>
  </si>
  <si>
    <t>Worsley UD</t>
  </si>
  <si>
    <t>e200680</t>
  </si>
  <si>
    <t>J04000023</t>
  </si>
  <si>
    <t>Aldershot MB</t>
  </si>
  <si>
    <t>e150414</t>
  </si>
  <si>
    <t>J04000032</t>
  </si>
  <si>
    <t>Alton RD</t>
  </si>
  <si>
    <t>e150429</t>
  </si>
  <si>
    <t>East Hampshire</t>
  </si>
  <si>
    <t>J04000033</t>
  </si>
  <si>
    <t>Alton UD</t>
  </si>
  <si>
    <t>e150415</t>
  </si>
  <si>
    <t>J04000043</t>
  </si>
  <si>
    <t>Andover MB</t>
  </si>
  <si>
    <t>e150416</t>
  </si>
  <si>
    <t>J04000044</t>
  </si>
  <si>
    <t>Andover RD</t>
  </si>
  <si>
    <t>e150430</t>
  </si>
  <si>
    <t>J04000097</t>
  </si>
  <si>
    <t>Basingstoke MB</t>
  </si>
  <si>
    <t>e150417</t>
  </si>
  <si>
    <t>Basingstoke and Dean</t>
  </si>
  <si>
    <t>J04000098</t>
  </si>
  <si>
    <t>Basingstoke RD</t>
  </si>
  <si>
    <t>e150431</t>
  </si>
  <si>
    <t>J04000431</t>
  </si>
  <si>
    <t>Droxford RD</t>
  </si>
  <si>
    <t>e150432</t>
  </si>
  <si>
    <t>J04000457</t>
  </si>
  <si>
    <t>Eastleigh MB</t>
  </si>
  <si>
    <t>e150419</t>
  </si>
  <si>
    <t>J04000491</t>
  </si>
  <si>
    <t>Fareham UD</t>
  </si>
  <si>
    <t>e150420</t>
  </si>
  <si>
    <t>J04000493</t>
  </si>
  <si>
    <t>Farnborough UD</t>
  </si>
  <si>
    <t>e150421</t>
  </si>
  <si>
    <t>J04000507</t>
  </si>
  <si>
    <t>Fleet UD</t>
  </si>
  <si>
    <t>e150422</t>
  </si>
  <si>
    <t>J04000545</t>
  </si>
  <si>
    <t>Gosport MB</t>
  </si>
  <si>
    <t>e150423</t>
  </si>
  <si>
    <t>J04000580</t>
  </si>
  <si>
    <t>Hartley Wintney RD</t>
  </si>
  <si>
    <t>e150433</t>
  </si>
  <si>
    <t>J04000586</t>
  </si>
  <si>
    <t>Havant and Waterloo UD</t>
  </si>
  <si>
    <t>e150424</t>
  </si>
  <si>
    <t>Havant</t>
  </si>
  <si>
    <t>J04000698</t>
  </si>
  <si>
    <t>Kingsclere and Whitchurch RD</t>
  </si>
  <si>
    <t>e150435</t>
  </si>
  <si>
    <t>J04000796</t>
  </si>
  <si>
    <t>Lymington MB</t>
  </si>
  <si>
    <t>e150425</t>
  </si>
  <si>
    <t>J04000886</t>
  </si>
  <si>
    <t>New Forest RD</t>
  </si>
  <si>
    <t>e150436</t>
  </si>
  <si>
    <t>J04000989</t>
  </si>
  <si>
    <t>Petersfield RD</t>
  </si>
  <si>
    <t>e150437</t>
  </si>
  <si>
    <t>J04000990</t>
  </si>
  <si>
    <t>Petersfield UD</t>
  </si>
  <si>
    <t>e150426</t>
  </si>
  <si>
    <t>J04001012</t>
  </si>
  <si>
    <t>Portsmouth, City of CB</t>
  </si>
  <si>
    <t>e150412</t>
  </si>
  <si>
    <t>Portsmouth UA</t>
  </si>
  <si>
    <t>J04001050</t>
  </si>
  <si>
    <t>Ringwood and Fordingbridge RD</t>
  </si>
  <si>
    <t>e150438</t>
  </si>
  <si>
    <t>J04001062</t>
  </si>
  <si>
    <t>Romsey and Stockbridge RD</t>
  </si>
  <si>
    <t>e150440</t>
  </si>
  <si>
    <t>J04001063</t>
  </si>
  <si>
    <t>Romsey MB</t>
  </si>
  <si>
    <t>e150427</t>
  </si>
  <si>
    <t>J04001164</t>
  </si>
  <si>
    <t>Southampton, City of CB</t>
  </si>
  <si>
    <t>e150413</t>
  </si>
  <si>
    <t>J04001422</t>
  </si>
  <si>
    <t>Winchester RD</t>
  </si>
  <si>
    <t>e150441</t>
  </si>
  <si>
    <t>J04001423</t>
  </si>
  <si>
    <t>Winchester, City of MB</t>
  </si>
  <si>
    <t>e150428</t>
  </si>
  <si>
    <t>J04000134</t>
  </si>
  <si>
    <t>Bewdley MB</t>
  </si>
  <si>
    <t>Hereford And Worcs</t>
  </si>
  <si>
    <t>West Midlands</t>
  </si>
  <si>
    <t>e431129</t>
  </si>
  <si>
    <t>Wyre Forest</t>
  </si>
  <si>
    <t>J04000219</t>
  </si>
  <si>
    <t>Bromsgrove RD</t>
  </si>
  <si>
    <t>e431140</t>
  </si>
  <si>
    <t>J04000220</t>
  </si>
  <si>
    <t>Bromsgrove UD</t>
  </si>
  <si>
    <t>e431130</t>
  </si>
  <si>
    <t>J04000221</t>
  </si>
  <si>
    <t>Bromyard RD</t>
  </si>
  <si>
    <t>e160446</t>
  </si>
  <si>
    <t>County of Herefordshire</t>
  </si>
  <si>
    <t>J04000222</t>
  </si>
  <si>
    <t>Bromyard UD</t>
  </si>
  <si>
    <t>Merged into Bromyard RD</t>
  </si>
  <si>
    <t>J04000418</t>
  </si>
  <si>
    <t>Dore and Bredwardine RD</t>
  </si>
  <si>
    <t>e160447</t>
  </si>
  <si>
    <t>J04000428</t>
  </si>
  <si>
    <t>Droitwich MB</t>
  </si>
  <si>
    <t>e431131</t>
  </si>
  <si>
    <t>J04000429</t>
  </si>
  <si>
    <t>Droitwich RD</t>
  </si>
  <si>
    <t>e431141</t>
  </si>
  <si>
    <t>J04000484</t>
  </si>
  <si>
    <t>Evesham MB</t>
  </si>
  <si>
    <t>e431132</t>
  </si>
  <si>
    <t>J04000485</t>
  </si>
  <si>
    <t>Evesham RD</t>
  </si>
  <si>
    <t>e431142</t>
  </si>
  <si>
    <t>J04000611</t>
  </si>
  <si>
    <t>Hereford RD</t>
  </si>
  <si>
    <t>e160448</t>
  </si>
  <si>
    <t>J04000612</t>
  </si>
  <si>
    <t>Hereford, City of MB</t>
  </si>
  <si>
    <t>e160442</t>
  </si>
  <si>
    <t>J04000691</t>
  </si>
  <si>
    <t>Kidderminster MB</t>
  </si>
  <si>
    <t>e431134</t>
  </si>
  <si>
    <t>J04000692</t>
  </si>
  <si>
    <t>Kidderminster RD</t>
  </si>
  <si>
    <t>e431143</t>
  </si>
  <si>
    <t>J04000702</t>
  </si>
  <si>
    <t>Kington RD</t>
  </si>
  <si>
    <t>e160449</t>
  </si>
  <si>
    <t>J04000703</t>
  </si>
  <si>
    <t>Kington UD</t>
  </si>
  <si>
    <t>e160443</t>
  </si>
  <si>
    <t>J04000725</t>
  </si>
  <si>
    <t>Ledbury RD</t>
  </si>
  <si>
    <t>e160450</t>
  </si>
  <si>
    <t>J04000726</t>
  </si>
  <si>
    <t>Ledbury UD</t>
  </si>
  <si>
    <t>Merged into Ledbury RD</t>
  </si>
  <si>
    <t>J04000735</t>
  </si>
  <si>
    <t>Leominster and Wigmore RD</t>
  </si>
  <si>
    <t>e160451</t>
  </si>
  <si>
    <t>J04000736</t>
  </si>
  <si>
    <t>Leominster MB</t>
  </si>
  <si>
    <t>e160444</t>
  </si>
  <si>
    <t>J04000820</t>
  </si>
  <si>
    <t>Malvern UD</t>
  </si>
  <si>
    <t>e431135</t>
  </si>
  <si>
    <t>Malvern Hills</t>
  </si>
  <si>
    <t>J04000837</t>
  </si>
  <si>
    <t>Martley RD</t>
  </si>
  <si>
    <t>e431144</t>
  </si>
  <si>
    <t>J04000986</t>
  </si>
  <si>
    <t>Pershore RD</t>
  </si>
  <si>
    <t>e431145</t>
  </si>
  <si>
    <t>J04001038</t>
  </si>
  <si>
    <t>Redditch UD</t>
  </si>
  <si>
    <t>e431136</t>
  </si>
  <si>
    <t>J04001064</t>
  </si>
  <si>
    <t>Ross and Whitchurch RD</t>
  </si>
  <si>
    <t>e160452</t>
  </si>
  <si>
    <t>J04001065</t>
  </si>
  <si>
    <t>Ross on Wye UD</t>
  </si>
  <si>
    <t>e160445</t>
  </si>
  <si>
    <t>J04001218</t>
  </si>
  <si>
    <t>Stourport-on-Severn UD</t>
  </si>
  <si>
    <t>e431139</t>
  </si>
  <si>
    <t>J04001257</t>
  </si>
  <si>
    <t>Tenbury RD</t>
  </si>
  <si>
    <t>e431146</t>
  </si>
  <si>
    <t>J04001311</t>
  </si>
  <si>
    <t>Upton upon Severn RD</t>
  </si>
  <si>
    <t>e431147</t>
  </si>
  <si>
    <t>J04001378</t>
  </si>
  <si>
    <t>Weobley RD</t>
  </si>
  <si>
    <t>e160453</t>
  </si>
  <si>
    <t>J04001450</t>
  </si>
  <si>
    <t>Worcester, City and County of CB</t>
  </si>
  <si>
    <t>e431128</t>
  </si>
  <si>
    <t>J04000074</t>
  </si>
  <si>
    <t>Baldock UD</t>
  </si>
  <si>
    <t>e170454</t>
  </si>
  <si>
    <t>J04000125</t>
  </si>
  <si>
    <t>Berkhamsted RD</t>
  </si>
  <si>
    <t>e170478</t>
  </si>
  <si>
    <t>Dacorum</t>
  </si>
  <si>
    <t>J04000126</t>
  </si>
  <si>
    <t>Berkhamsted UD</t>
  </si>
  <si>
    <t>e170455</t>
  </si>
  <si>
    <t>J04000153</t>
  </si>
  <si>
    <t>Bishops Stortford UD</t>
  </si>
  <si>
    <t>e170456</t>
  </si>
  <si>
    <t>J04000191</t>
  </si>
  <si>
    <t>Braughing RD</t>
  </si>
  <si>
    <t>e170479</t>
  </si>
  <si>
    <t>J04000246</t>
  </si>
  <si>
    <t>Bushey UD</t>
  </si>
  <si>
    <t>e170457</t>
  </si>
  <si>
    <t>J04000297</t>
  </si>
  <si>
    <t>Cheshunt UD</t>
  </si>
  <si>
    <t>e170458</t>
  </si>
  <si>
    <t>Broxbourne</t>
  </si>
  <si>
    <t>J04000315</t>
  </si>
  <si>
    <t>Chorleywood UD</t>
  </si>
  <si>
    <t>e170459</t>
  </si>
  <si>
    <t>J04000470</t>
  </si>
  <si>
    <t>Elstree RD</t>
  </si>
  <si>
    <t>e170480</t>
  </si>
  <si>
    <t>J04000575</t>
  </si>
  <si>
    <t>Harpenden UD</t>
  </si>
  <si>
    <t>e170460</t>
  </si>
  <si>
    <t>St. Albans</t>
  </si>
  <si>
    <t>J04000585</t>
  </si>
  <si>
    <t>Hatfield RD</t>
  </si>
  <si>
    <t>e170481</t>
  </si>
  <si>
    <t>Welwyn Hatfield</t>
  </si>
  <si>
    <t>J04000603</t>
  </si>
  <si>
    <t>Hemel Hempstead MB</t>
  </si>
  <si>
    <t>e170461</t>
  </si>
  <si>
    <t>J04000604</t>
  </si>
  <si>
    <t>Hemel Hempstead RD</t>
  </si>
  <si>
    <t>e170483</t>
  </si>
  <si>
    <t>J04000614</t>
  </si>
  <si>
    <t>Hertford MB</t>
  </si>
  <si>
    <t>e170463</t>
  </si>
  <si>
    <t>J04000615</t>
  </si>
  <si>
    <t>Hertford RD</t>
  </si>
  <si>
    <t>e170485</t>
  </si>
  <si>
    <t>J04000627</t>
  </si>
  <si>
    <t>Hitchin RD</t>
  </si>
  <si>
    <t>e170487</t>
  </si>
  <si>
    <t>J04000628</t>
  </si>
  <si>
    <t>Hitchin UD</t>
  </si>
  <si>
    <t>e170464</t>
  </si>
  <si>
    <t>J04000629</t>
  </si>
  <si>
    <t>Hoddesdon UD</t>
  </si>
  <si>
    <t>e170465</t>
  </si>
  <si>
    <t>J04000737</t>
  </si>
  <si>
    <t>Letchworth UD</t>
  </si>
  <si>
    <t>e170466</t>
  </si>
  <si>
    <t>J04001013</t>
  </si>
  <si>
    <t>Potters Bar UD</t>
  </si>
  <si>
    <t>e170467</t>
  </si>
  <si>
    <t>J04001049</t>
  </si>
  <si>
    <t>Rickmansworth UD</t>
  </si>
  <si>
    <t>e170468</t>
  </si>
  <si>
    <t>J04001074</t>
  </si>
  <si>
    <t>Royston UD</t>
  </si>
  <si>
    <t>e170469</t>
  </si>
  <si>
    <t>J04001104</t>
  </si>
  <si>
    <t>Sawbridgeworth UD</t>
  </si>
  <si>
    <t>e170471</t>
  </si>
  <si>
    <t>J04001179</t>
  </si>
  <si>
    <t>St. Albans MB</t>
  </si>
  <si>
    <t>e170470</t>
  </si>
  <si>
    <t>J04001180</t>
  </si>
  <si>
    <t>St. Albans RD</t>
  </si>
  <si>
    <t>e170488</t>
  </si>
  <si>
    <t>J04001207</t>
  </si>
  <si>
    <t>Stevenage UD</t>
  </si>
  <si>
    <t>e170472</t>
  </si>
  <si>
    <t>J04001297</t>
  </si>
  <si>
    <t>Tring UD</t>
  </si>
  <si>
    <t>e170474</t>
  </si>
  <si>
    <t>J04001339</t>
  </si>
  <si>
    <t>Ware RD</t>
  </si>
  <si>
    <t>e170490</t>
  </si>
  <si>
    <t>J04001340</t>
  </si>
  <si>
    <t>Ware UD</t>
  </si>
  <si>
    <t>e170475</t>
  </si>
  <si>
    <t>J04001353</t>
  </si>
  <si>
    <t>Watford MB</t>
  </si>
  <si>
    <t>e170476</t>
  </si>
  <si>
    <t>J04001354</t>
  </si>
  <si>
    <t>Watford RD</t>
  </si>
  <si>
    <t>e170492</t>
  </si>
  <si>
    <t>J04001372</t>
  </si>
  <si>
    <t>Welwyn Garden City UD</t>
  </si>
  <si>
    <t>e170477</t>
  </si>
  <si>
    <t>J04001373</t>
  </si>
  <si>
    <t>Welwyn RD</t>
  </si>
  <si>
    <t>e170494</t>
  </si>
  <si>
    <t>J04000094</t>
  </si>
  <si>
    <t>Barton upon Humber UD</t>
  </si>
  <si>
    <t>Humberside</t>
  </si>
  <si>
    <t>Yorkshire and The Humber</t>
  </si>
  <si>
    <t>e240738</t>
  </si>
  <si>
    <t>North Lincolnshire UA</t>
  </si>
  <si>
    <t>J04000132</t>
  </si>
  <si>
    <t>Beverley MB</t>
  </si>
  <si>
    <t>e441149</t>
  </si>
  <si>
    <t>J04000133</t>
  </si>
  <si>
    <t>Beverley RD</t>
  </si>
  <si>
    <t>e441158</t>
  </si>
  <si>
    <t>J04000203</t>
  </si>
  <si>
    <t>Bridlington MB</t>
  </si>
  <si>
    <t>e441150</t>
  </si>
  <si>
    <t>J04000204</t>
  </si>
  <si>
    <t>Bridlington RD</t>
  </si>
  <si>
    <t>e441159</t>
  </si>
  <si>
    <t>J04000209</t>
  </si>
  <si>
    <t>Brigg UD</t>
  </si>
  <si>
    <t>e240739</t>
  </si>
  <si>
    <t>J04000326</t>
  </si>
  <si>
    <t>Cleethorpes MB</t>
  </si>
  <si>
    <t>e240740</t>
  </si>
  <si>
    <t>North East Lincolnshire</t>
  </si>
  <si>
    <t>J04000426</t>
  </si>
  <si>
    <t>Driffield RD</t>
  </si>
  <si>
    <t>e441161</t>
  </si>
  <si>
    <t>J04000427</t>
  </si>
  <si>
    <t>Driffield UD</t>
  </si>
  <si>
    <t>e441151</t>
  </si>
  <si>
    <t>J04000532</t>
  </si>
  <si>
    <t>Glanford Brigg RD</t>
  </si>
  <si>
    <t>e240751</t>
  </si>
  <si>
    <t>J04000542</t>
  </si>
  <si>
    <t>Goole MB</t>
  </si>
  <si>
    <t>e461232</t>
  </si>
  <si>
    <t>J04000543</t>
  </si>
  <si>
    <t>Goole RD</t>
  </si>
  <si>
    <t>e461280</t>
  </si>
  <si>
    <t>J04000554</t>
  </si>
  <si>
    <t>Grimsby CB</t>
  </si>
  <si>
    <t>e240736</t>
  </si>
  <si>
    <t>J04000555</t>
  </si>
  <si>
    <t>Grimsby RD</t>
  </si>
  <si>
    <t>e240752</t>
  </si>
  <si>
    <t>J04000569</t>
  </si>
  <si>
    <t>Haltemprice UD</t>
  </si>
  <si>
    <t>e441153</t>
  </si>
  <si>
    <t>J04000600</t>
  </si>
  <si>
    <t>Hedon MB</t>
  </si>
  <si>
    <t>e441154</t>
  </si>
  <si>
    <t>J04000631</t>
  </si>
  <si>
    <t>Holderness RD</t>
  </si>
  <si>
    <t>e441162</t>
  </si>
  <si>
    <t>J04000645</t>
  </si>
  <si>
    <t>Hornsea UD</t>
  </si>
  <si>
    <t>e441155</t>
  </si>
  <si>
    <t>J04000653</t>
  </si>
  <si>
    <t>Howden RD</t>
  </si>
  <si>
    <t>e441163</t>
  </si>
  <si>
    <t>J04000674</t>
  </si>
  <si>
    <t>Isle of Axholme RD</t>
  </si>
  <si>
    <t>e240754</t>
  </si>
  <si>
    <t>J04000699</t>
  </si>
  <si>
    <t>Kingston upon Hull, City and County of CB</t>
  </si>
  <si>
    <t>e441148</t>
  </si>
  <si>
    <t>J04000998</t>
  </si>
  <si>
    <t>Pocklington RD</t>
  </si>
  <si>
    <t>e441165</t>
  </si>
  <si>
    <t>J04001109</t>
  </si>
  <si>
    <t>Scunthorpe MB</t>
  </si>
  <si>
    <t>e240746</t>
  </si>
  <si>
    <t>J04001434</t>
  </si>
  <si>
    <t>Withernsea UD</t>
  </si>
  <si>
    <t>e441157</t>
  </si>
  <si>
    <t>J04000102</t>
  </si>
  <si>
    <t>Battersea MB</t>
  </si>
  <si>
    <t>Inner London</t>
  </si>
  <si>
    <t>e140408</t>
  </si>
  <si>
    <t>Wandsworth-Lambeth merger needed</t>
  </si>
  <si>
    <t>J04000127</t>
  </si>
  <si>
    <t>Bermondsey MB</t>
  </si>
  <si>
    <t>e140402</t>
  </si>
  <si>
    <t>J04000130</t>
  </si>
  <si>
    <t>Bethnal Green MB</t>
  </si>
  <si>
    <t>e140405</t>
  </si>
  <si>
    <t>Tower Hamlets</t>
  </si>
  <si>
    <t>J04000254</t>
  </si>
  <si>
    <t>Camberwell MB</t>
  </si>
  <si>
    <t>J04000290</t>
  </si>
  <si>
    <t>Chelsea MB</t>
  </si>
  <si>
    <t>e140392</t>
  </si>
  <si>
    <t>Kensington and Chelsea</t>
  </si>
  <si>
    <t>J04000321</t>
  </si>
  <si>
    <t>City of London (County Corporate) LCC</t>
  </si>
  <si>
    <t>e140370</t>
  </si>
  <si>
    <t>City of London</t>
  </si>
  <si>
    <t>J04000399</t>
  </si>
  <si>
    <t>Deptford MB</t>
  </si>
  <si>
    <t>e140397</t>
  </si>
  <si>
    <t>J04000451</t>
  </si>
  <si>
    <t>East Ham CB</t>
  </si>
  <si>
    <t>Outer London</t>
  </si>
  <si>
    <t>e140399</t>
  </si>
  <si>
    <t>Barking-Newham merger? It would make a mess of inner-outer london</t>
  </si>
  <si>
    <t>J04000504</t>
  </si>
  <si>
    <t>Finsbury MB</t>
  </si>
  <si>
    <t>e140390</t>
  </si>
  <si>
    <t>J04000521</t>
  </si>
  <si>
    <t>Fulham MB</t>
  </si>
  <si>
    <t>e140384</t>
  </si>
  <si>
    <t>Hammersmith and Fulham</t>
  </si>
  <si>
    <t>J04000560</t>
  </si>
  <si>
    <t>Hackney MB</t>
  </si>
  <si>
    <t>e140382</t>
  </si>
  <si>
    <t>J04000572</t>
  </si>
  <si>
    <t>Hammersmith MB</t>
  </si>
  <si>
    <t>J04000573</t>
  </si>
  <si>
    <t>Hampstead MB</t>
  </si>
  <si>
    <t>e140376</t>
  </si>
  <si>
    <t>Camden</t>
  </si>
  <si>
    <t>J04000630</t>
  </si>
  <si>
    <t>Holborn MB</t>
  </si>
  <si>
    <t>J04000646</t>
  </si>
  <si>
    <t>Hornsey MB</t>
  </si>
  <si>
    <t>e140385</t>
  </si>
  <si>
    <t>Haringey</t>
  </si>
  <si>
    <t>J04000677</t>
  </si>
  <si>
    <t>Islington MB</t>
  </si>
  <si>
    <t>J04000684</t>
  </si>
  <si>
    <t>Kensington MB</t>
  </si>
  <si>
    <t>J04000716</t>
  </si>
  <si>
    <t>Lambeth MB</t>
  </si>
  <si>
    <t>e140395</t>
  </si>
  <si>
    <t>J04000739</t>
  </si>
  <si>
    <t>Lewisham MB</t>
  </si>
  <si>
    <t>J04000968</t>
  </si>
  <si>
    <t>Paddington MB</t>
  </si>
  <si>
    <t>e140409</t>
  </si>
  <si>
    <t>Westminster</t>
  </si>
  <si>
    <t>J04001005</t>
  </si>
  <si>
    <t>Poplar MB</t>
  </si>
  <si>
    <t>J04001138</t>
  </si>
  <si>
    <t>Shoreditch MB</t>
  </si>
  <si>
    <t>J04001169</t>
  </si>
  <si>
    <t>Southwark MB</t>
  </si>
  <si>
    <t>J04001191</t>
  </si>
  <si>
    <t>St. Marylebone MB</t>
  </si>
  <si>
    <t>J04001194</t>
  </si>
  <si>
    <t>St. Pancras MB</t>
  </si>
  <si>
    <t>J04001206</t>
  </si>
  <si>
    <t>Stepney MB</t>
  </si>
  <si>
    <t>J04001212</t>
  </si>
  <si>
    <t>Stoke Newington MB</t>
  </si>
  <si>
    <t>J04001289</t>
  </si>
  <si>
    <t>Tottenham MB</t>
  </si>
  <si>
    <t>J04001334</t>
  </si>
  <si>
    <t>Wandsworth MB</t>
  </si>
  <si>
    <t>J04001383</t>
  </si>
  <si>
    <t>West Ham CB</t>
  </si>
  <si>
    <t>J04001391</t>
  </si>
  <si>
    <t>Westminster MB</t>
  </si>
  <si>
    <t>J04001445</t>
  </si>
  <si>
    <t>Wood Green MB</t>
  </si>
  <si>
    <t>J04000355</t>
  </si>
  <si>
    <t>Cowes UD</t>
  </si>
  <si>
    <t>Isle Of Wight</t>
  </si>
  <si>
    <t>e411096</t>
  </si>
  <si>
    <t>Isle of Wight UA</t>
  </si>
  <si>
    <t>J04000675</t>
  </si>
  <si>
    <t>Isle of Wight RD</t>
  </si>
  <si>
    <t>e411101</t>
  </si>
  <si>
    <t>J04000908</t>
  </si>
  <si>
    <t>Newport MB</t>
  </si>
  <si>
    <t>e411097</t>
  </si>
  <si>
    <t>J04001086</t>
  </si>
  <si>
    <t>Ryde MB</t>
  </si>
  <si>
    <t>e411098</t>
  </si>
  <si>
    <t>J04001101</t>
  </si>
  <si>
    <t>Sandown Shanklin UD</t>
  </si>
  <si>
    <t>e411099</t>
  </si>
  <si>
    <t>J04001319</t>
  </si>
  <si>
    <t>Ventnor UD</t>
  </si>
  <si>
    <t>e411100</t>
  </si>
  <si>
    <t>J04000054</t>
  </si>
  <si>
    <t>Ashford UD</t>
  </si>
  <si>
    <t>e190514</t>
  </si>
  <si>
    <t>J04000197</t>
  </si>
  <si>
    <t>Bridge-Blean RD</t>
  </si>
  <si>
    <t>e190543</t>
  </si>
  <si>
    <t>J04000216</t>
  </si>
  <si>
    <t>Broadstairs and St. Peters UD</t>
  </si>
  <si>
    <t>e190515</t>
  </si>
  <si>
    <t>J04000260</t>
  </si>
  <si>
    <t>Canterbury, City and County of CB</t>
  </si>
  <si>
    <t>e190513</t>
  </si>
  <si>
    <t>J04000284</t>
  </si>
  <si>
    <t>Chatham MB</t>
  </si>
  <si>
    <t>e190516</t>
  </si>
  <si>
    <t>J04000356</t>
  </si>
  <si>
    <t>Cranbrook RD</t>
  </si>
  <si>
    <t>e190544</t>
  </si>
  <si>
    <t>J04000383</t>
  </si>
  <si>
    <t>Dartford MB</t>
  </si>
  <si>
    <t>e190517</t>
  </si>
  <si>
    <t>J04000384</t>
  </si>
  <si>
    <t>Dartford RD</t>
  </si>
  <si>
    <t>e190545</t>
  </si>
  <si>
    <t>J04000392</t>
  </si>
  <si>
    <t>Deal MB</t>
  </si>
  <si>
    <t>e190518</t>
  </si>
  <si>
    <t>J04000421</t>
  </si>
  <si>
    <t>Dover MB</t>
  </si>
  <si>
    <t>e190519</t>
  </si>
  <si>
    <t>J04000422</t>
  </si>
  <si>
    <t>Dover RD</t>
  </si>
  <si>
    <t>e190546</t>
  </si>
  <si>
    <t>J04000445</t>
  </si>
  <si>
    <t>East Ashford RD</t>
  </si>
  <si>
    <t>e190547</t>
  </si>
  <si>
    <t>J04000458</t>
  </si>
  <si>
    <t>Eastry RD</t>
  </si>
  <si>
    <t>e190548</t>
  </si>
  <si>
    <t>J04000465</t>
  </si>
  <si>
    <t>Elham RD</t>
  </si>
  <si>
    <t>e190549</t>
  </si>
  <si>
    <t>Shepway</t>
  </si>
  <si>
    <t>J04000496</t>
  </si>
  <si>
    <t>Faversham MB</t>
  </si>
  <si>
    <t>e190520</t>
  </si>
  <si>
    <t>J04000510</t>
  </si>
  <si>
    <t>Folkestone MB</t>
  </si>
  <si>
    <t>e190521</t>
  </si>
  <si>
    <t>J04000530</t>
  </si>
  <si>
    <t>Gillingham MB</t>
  </si>
  <si>
    <t>e190522</t>
  </si>
  <si>
    <t>J04000549</t>
  </si>
  <si>
    <t>Gravesend MB</t>
  </si>
  <si>
    <t>e190523</t>
  </si>
  <si>
    <t>J04000613</t>
  </si>
  <si>
    <t>Herne Bay UD</t>
  </si>
  <si>
    <t>e190524</t>
  </si>
  <si>
    <t>J04000632</t>
  </si>
  <si>
    <t>Hollingbourn RD</t>
  </si>
  <si>
    <t>e190550</t>
  </si>
  <si>
    <t>J04000664</t>
  </si>
  <si>
    <t>Hythe MB</t>
  </si>
  <si>
    <t>e190525</t>
  </si>
  <si>
    <t>J04000793</t>
  </si>
  <si>
    <t>Lydd MB</t>
  </si>
  <si>
    <t>e190526</t>
  </si>
  <si>
    <t>J04000809</t>
  </si>
  <si>
    <t>Maidstone MB</t>
  </si>
  <si>
    <t>e190527</t>
  </si>
  <si>
    <t>J04000810</t>
  </si>
  <si>
    <t>Maidstone RD</t>
  </si>
  <si>
    <t>e190551</t>
  </si>
  <si>
    <t>J04000814</t>
  </si>
  <si>
    <t>Malling RD</t>
  </si>
  <si>
    <t>e190552</t>
  </si>
  <si>
    <t>J04000826</t>
  </si>
  <si>
    <t>Margate MB</t>
  </si>
  <si>
    <t>e190528</t>
  </si>
  <si>
    <t>J04000890</t>
  </si>
  <si>
    <t>New Romney MB</t>
  </si>
  <si>
    <t>e190529</t>
  </si>
  <si>
    <t>J04000934</t>
  </si>
  <si>
    <t>Northfleet UD</t>
  </si>
  <si>
    <t>e190530</t>
  </si>
  <si>
    <t>J04001025</t>
  </si>
  <si>
    <t>Queenborough MB</t>
  </si>
  <si>
    <t>e190531</t>
  </si>
  <si>
    <t>Merged with Sheerness and Sheppey</t>
  </si>
  <si>
    <t>J04001031</t>
  </si>
  <si>
    <t>Ramsgate MB</t>
  </si>
  <si>
    <t>e190532</t>
  </si>
  <si>
    <t>J04001058</t>
  </si>
  <si>
    <t>Rochester, City of MB</t>
  </si>
  <si>
    <t>e190533</t>
  </si>
  <si>
    <t>J04001061</t>
  </si>
  <si>
    <t>Romney Marsh RD</t>
  </si>
  <si>
    <t>e190553</t>
  </si>
  <si>
    <t>J04001073</t>
  </si>
  <si>
    <t>Royal Tunbridge Wells MB</t>
  </si>
  <si>
    <t>e190534</t>
  </si>
  <si>
    <t>J04001102</t>
  </si>
  <si>
    <t>Sandwich MB</t>
  </si>
  <si>
    <t>e190535</t>
  </si>
  <si>
    <t>J04001121</t>
  </si>
  <si>
    <t>Sevenoaks RD</t>
  </si>
  <si>
    <t>e190554</t>
  </si>
  <si>
    <t>J04001122</t>
  </si>
  <si>
    <t>Sevenoaks UD</t>
  </si>
  <si>
    <t>e190536</t>
  </si>
  <si>
    <t>J04001125</t>
  </si>
  <si>
    <t>Sheerness UD</t>
  </si>
  <si>
    <t>J04001127</t>
  </si>
  <si>
    <t>Sheppey RD</t>
  </si>
  <si>
    <t>J04001143</t>
  </si>
  <si>
    <t>Sittingbourne and Milton UD</t>
  </si>
  <si>
    <t>e190537</t>
  </si>
  <si>
    <t>J04001165</t>
  </si>
  <si>
    <t>Southborough UD</t>
  </si>
  <si>
    <t>e190538</t>
  </si>
  <si>
    <t>J04001225</t>
  </si>
  <si>
    <t>Strood RD</t>
  </si>
  <si>
    <t>e190555</t>
  </si>
  <si>
    <t>J04001240</t>
  </si>
  <si>
    <t>Swale RD</t>
  </si>
  <si>
    <t>e190556</t>
  </si>
  <si>
    <t>J04001242</t>
  </si>
  <si>
    <t>Swanscombe UD</t>
  </si>
  <si>
    <t>e190539</t>
  </si>
  <si>
    <t>J04001260</t>
  </si>
  <si>
    <t>Tenterden MB</t>
  </si>
  <si>
    <t>e190540</t>
  </si>
  <si>
    <t>J04001261</t>
  </si>
  <si>
    <t>Tenterden RD</t>
  </si>
  <si>
    <t>e190557</t>
  </si>
  <si>
    <t>J04001282</t>
  </si>
  <si>
    <t>Tonbridge RD</t>
  </si>
  <si>
    <t>e190558</t>
  </si>
  <si>
    <t>J04001283</t>
  </si>
  <si>
    <t>Tonbridge UD</t>
  </si>
  <si>
    <t>e190541</t>
  </si>
  <si>
    <t>J04001379</t>
  </si>
  <si>
    <t>West Ashford RD</t>
  </si>
  <si>
    <t>e190559</t>
  </si>
  <si>
    <t>J04001405</t>
  </si>
  <si>
    <t>Whitstable UD</t>
  </si>
  <si>
    <t>e190542</t>
  </si>
  <si>
    <t>J04000014</t>
  </si>
  <si>
    <t>Accrington MB</t>
  </si>
  <si>
    <t>Lancashire</t>
  </si>
  <si>
    <t>e200580</t>
  </si>
  <si>
    <t>J04000016</t>
  </si>
  <si>
    <t>Adlington UD</t>
  </si>
  <si>
    <t>e200581</t>
  </si>
  <si>
    <t>J04000068</t>
  </si>
  <si>
    <t>Bacup MB</t>
  </si>
  <si>
    <t>e200588</t>
  </si>
  <si>
    <t>J04000086</t>
  </si>
  <si>
    <t>Barnoldswick UD</t>
  </si>
  <si>
    <t>e461213</t>
  </si>
  <si>
    <t>J04000091</t>
  </si>
  <si>
    <t>Barrowford UD</t>
  </si>
  <si>
    <t>e200589</t>
  </si>
  <si>
    <t>J04000155</t>
  </si>
  <si>
    <t>Blackburn CB</t>
  </si>
  <si>
    <t>e200561</t>
  </si>
  <si>
    <t>J04000156</t>
  </si>
  <si>
    <t>Blackburn RD</t>
  </si>
  <si>
    <t>e200681</t>
  </si>
  <si>
    <t>J04000157</t>
  </si>
  <si>
    <t>Blackpool CB</t>
  </si>
  <si>
    <t>e200562</t>
  </si>
  <si>
    <t>J04000181</t>
  </si>
  <si>
    <t>Bowland RD</t>
  </si>
  <si>
    <t>e461278</t>
  </si>
  <si>
    <t>J04000207</t>
  </si>
  <si>
    <t>Brierfield UD</t>
  </si>
  <si>
    <t>e200593</t>
  </si>
  <si>
    <t>J04000239</t>
  </si>
  <si>
    <t>Burnley CB</t>
  </si>
  <si>
    <t>e200565</t>
  </si>
  <si>
    <t>J04000240</t>
  </si>
  <si>
    <t>Burnley RD</t>
  </si>
  <si>
    <t>e200682</t>
  </si>
  <si>
    <t>J04000269</t>
  </si>
  <si>
    <t>Carnforth UD</t>
  </si>
  <si>
    <t>e200594</t>
  </si>
  <si>
    <t>J04000313</t>
  </si>
  <si>
    <t>Chorley MB</t>
  </si>
  <si>
    <t>e200596</t>
  </si>
  <si>
    <t>J04000314</t>
  </si>
  <si>
    <t>Chorley RD</t>
  </si>
  <si>
    <t>e200683</t>
  </si>
  <si>
    <t>J04000318</t>
  </si>
  <si>
    <t>Church UD</t>
  </si>
  <si>
    <t>e200598</t>
  </si>
  <si>
    <t>J04000325</t>
  </si>
  <si>
    <t>Clayton le Moors UD</t>
  </si>
  <si>
    <t>e200599</t>
  </si>
  <si>
    <t>J04000328</t>
  </si>
  <si>
    <t>Clitheroe MB</t>
  </si>
  <si>
    <t>e200600</t>
  </si>
  <si>
    <t>J04000329</t>
  </si>
  <si>
    <t>Clitheroe RD</t>
  </si>
  <si>
    <t>e200685</t>
  </si>
  <si>
    <t>J04000337</t>
  </si>
  <si>
    <t>Colne MB</t>
  </si>
  <si>
    <t>e200601</t>
  </si>
  <si>
    <t>J04000387</t>
  </si>
  <si>
    <t>Darwen MB</t>
  </si>
  <si>
    <t>e200605</t>
  </si>
  <si>
    <t>J04000442</t>
  </si>
  <si>
    <t>Earby UD</t>
  </si>
  <si>
    <t>e461228</t>
  </si>
  <si>
    <t>J04000508</t>
  </si>
  <si>
    <t>Fleetwood MB</t>
  </si>
  <si>
    <t>e200611</t>
  </si>
  <si>
    <t>Wyre</t>
  </si>
  <si>
    <t>J04000522</t>
  </si>
  <si>
    <t>Fulwood UD</t>
  </si>
  <si>
    <t>e200613</t>
  </si>
  <si>
    <t>J04000523</t>
  </si>
  <si>
    <t>Fylde RD</t>
  </si>
  <si>
    <t>e200686</t>
  </si>
  <si>
    <t>J04000527</t>
  </si>
  <si>
    <t>Garstang RD</t>
  </si>
  <si>
    <t>e200687</t>
  </si>
  <si>
    <t>J04000550</t>
  </si>
  <si>
    <t>Great Harwood UD</t>
  </si>
  <si>
    <t>e200618</t>
  </si>
  <si>
    <t>J04000583</t>
  </si>
  <si>
    <t>Haslingden MB</t>
  </si>
  <si>
    <t>e200619</t>
  </si>
  <si>
    <t>J04000708</t>
  </si>
  <si>
    <t>Kirkham UD</t>
  </si>
  <si>
    <t>e200629</t>
  </si>
  <si>
    <t>J04000718</t>
  </si>
  <si>
    <t>Lancaster RD</t>
  </si>
  <si>
    <t>e200688</t>
  </si>
  <si>
    <t>J04000719</t>
  </si>
  <si>
    <t>Lancaster, City of MB</t>
  </si>
  <si>
    <t>e200630</t>
  </si>
  <si>
    <t>J04000742</t>
  </si>
  <si>
    <t>Leyland UD</t>
  </si>
  <si>
    <t>e200633</t>
  </si>
  <si>
    <t>J04000779</t>
  </si>
  <si>
    <t>Longridge UD</t>
  </si>
  <si>
    <t>e200638</t>
  </si>
  <si>
    <t>J04000789</t>
  </si>
  <si>
    <t>Lunesdale RD</t>
  </si>
  <si>
    <t>e200689</t>
  </si>
  <si>
    <t>J04000799</t>
  </si>
  <si>
    <t>Lytham St. Annes MB</t>
  </si>
  <si>
    <t>e200639</t>
  </si>
  <si>
    <t>J04000868</t>
  </si>
  <si>
    <t>Morecambe and Heysham MB</t>
  </si>
  <si>
    <t>e200642</t>
  </si>
  <si>
    <t>J04000884</t>
  </si>
  <si>
    <t>Nelson MB</t>
  </si>
  <si>
    <t>e200644</t>
  </si>
  <si>
    <t>J04000955</t>
  </si>
  <si>
    <t>Ormskirk UD</t>
  </si>
  <si>
    <t>e200646</t>
  </si>
  <si>
    <t>Overlap problem with Upholland and Skelmersdale</t>
  </si>
  <si>
    <t>J04000960</t>
  </si>
  <si>
    <t>Oswaldtwistle UD</t>
  </si>
  <si>
    <t>e200648</t>
  </si>
  <si>
    <t>J04000969</t>
  </si>
  <si>
    <t>Padiham UD</t>
  </si>
  <si>
    <t>e200649</t>
  </si>
  <si>
    <t>J04001014</t>
  </si>
  <si>
    <t>Poulton le Fylde UD</t>
  </si>
  <si>
    <t>e200650</t>
  </si>
  <si>
    <t>J04001015</t>
  </si>
  <si>
    <t>Preesall UD</t>
  </si>
  <si>
    <t>e200651</t>
  </si>
  <si>
    <t>J04001019</t>
  </si>
  <si>
    <t>Preston CB</t>
  </si>
  <si>
    <t>e200572</t>
  </si>
  <si>
    <t>J04001020</t>
  </si>
  <si>
    <t>Preston RD</t>
  </si>
  <si>
    <t>e200691</t>
  </si>
  <si>
    <t>J04001034</t>
  </si>
  <si>
    <t>Rawtenstall MB</t>
  </si>
  <si>
    <t>e200657</t>
  </si>
  <si>
    <t>J04001056</t>
  </si>
  <si>
    <t>Rishton UD</t>
  </si>
  <si>
    <t>e200658</t>
  </si>
  <si>
    <t>J04001145</t>
  </si>
  <si>
    <t>Skelmersdale UD</t>
  </si>
  <si>
    <t>e200660</t>
  </si>
  <si>
    <t>Overlap problem with Ormskirk and Wigan RD</t>
  </si>
  <si>
    <t>J04001274</t>
  </si>
  <si>
    <t>Thornton Cleveleys UD</t>
  </si>
  <si>
    <t>e200665</t>
  </si>
  <si>
    <t>J04001294</t>
  </si>
  <si>
    <t>Trawden UD</t>
  </si>
  <si>
    <t>e200667</t>
  </si>
  <si>
    <t>J04001309</t>
  </si>
  <si>
    <t>Upholland UD</t>
  </si>
  <si>
    <t>Merged into Skelmersdale and Upholland; parts overlap with Ormskirk and Wigan RD too. Possible merge</t>
  </si>
  <si>
    <t>J04001333</t>
  </si>
  <si>
    <t>Walton le Dale UD</t>
  </si>
  <si>
    <t>e200672</t>
  </si>
  <si>
    <t>J04001386</t>
  </si>
  <si>
    <t>West Lancashire RD</t>
  </si>
  <si>
    <t>e200695</t>
  </si>
  <si>
    <t>J04001407</t>
  </si>
  <si>
    <t>Whitworth UD</t>
  </si>
  <si>
    <t>e200677</t>
  </si>
  <si>
    <t>J04001410</t>
  </si>
  <si>
    <t>Wigan RD</t>
  </si>
  <si>
    <t>e200701</t>
  </si>
  <si>
    <t>J04001435</t>
  </si>
  <si>
    <t>Withnell UD</t>
  </si>
  <si>
    <t>e200679</t>
  </si>
  <si>
    <t>J04000051</t>
  </si>
  <si>
    <t>Ashby de la Zouch RD</t>
  </si>
  <si>
    <t>Leicestershire</t>
  </si>
  <si>
    <t>e210713</t>
  </si>
  <si>
    <t>J04000052</t>
  </si>
  <si>
    <t>Ashby de la Zouch UD</t>
  </si>
  <si>
    <t>e210703</t>
  </si>
  <si>
    <t>J04000053</t>
  </si>
  <si>
    <t>Ashby Woulds UD</t>
  </si>
  <si>
    <t>e210704</t>
  </si>
  <si>
    <t>J04000090</t>
  </si>
  <si>
    <t>Barrow upon Soar RD</t>
  </si>
  <si>
    <t>e210714</t>
  </si>
  <si>
    <t>J04000143</t>
  </si>
  <si>
    <t>Billesdon RD</t>
  </si>
  <si>
    <t>Harborough</t>
  </si>
  <si>
    <t>J04000154</t>
  </si>
  <si>
    <t>Blaby RD</t>
  </si>
  <si>
    <t>e210716</t>
  </si>
  <si>
    <t>J04000271</t>
  </si>
  <si>
    <t>Castle Donington RD</t>
  </si>
  <si>
    <t>e210717</t>
  </si>
  <si>
    <t>J04000333</t>
  </si>
  <si>
    <t>Coalville UD</t>
  </si>
  <si>
    <t>e210705</t>
  </si>
  <si>
    <t>J04000624</t>
  </si>
  <si>
    <t>Hinckley UD</t>
  </si>
  <si>
    <t>e210706</t>
  </si>
  <si>
    <t>J04000689</t>
  </si>
  <si>
    <t>Ketton RD</t>
  </si>
  <si>
    <t>e300880</t>
  </si>
  <si>
    <t>Rutland UA</t>
  </si>
  <si>
    <t>J04000731</t>
  </si>
  <si>
    <t>Leicester, City of CB</t>
  </si>
  <si>
    <t>e210702</t>
  </si>
  <si>
    <t>J04000783</t>
  </si>
  <si>
    <t>Loughborough MB</t>
  </si>
  <si>
    <t>e210707</t>
  </si>
  <si>
    <t>J04000792</t>
  </si>
  <si>
    <t>Lutterworth RD</t>
  </si>
  <si>
    <t>e210718</t>
  </si>
  <si>
    <t>J04000827</t>
  </si>
  <si>
    <t>Market Bosworth RD</t>
  </si>
  <si>
    <t>e210719</t>
  </si>
  <si>
    <t>J04000829</t>
  </si>
  <si>
    <t>Market Harborough RD</t>
  </si>
  <si>
    <t>e210720</t>
  </si>
  <si>
    <t>J04000830</t>
  </si>
  <si>
    <t>Market Harborough UD</t>
  </si>
  <si>
    <t>e210708</t>
  </si>
  <si>
    <t>J04000844</t>
  </si>
  <si>
    <t>Melton and Belvoir RD</t>
  </si>
  <si>
    <t>e210721</t>
  </si>
  <si>
    <t>Melton</t>
  </si>
  <si>
    <t>J04000845</t>
  </si>
  <si>
    <t>Melton Mowbray UD</t>
  </si>
  <si>
    <t>e210709</t>
  </si>
  <si>
    <t>J04000944</t>
  </si>
  <si>
    <t>Oadby UD</t>
  </si>
  <si>
    <t>e210710</t>
  </si>
  <si>
    <t>Oadby and Wigston</t>
  </si>
  <si>
    <t>J04000946</t>
  </si>
  <si>
    <t>Oakham RD</t>
  </si>
  <si>
    <t>e300881</t>
  </si>
  <si>
    <t>J04000947</t>
  </si>
  <si>
    <t>Oakham UD</t>
  </si>
  <si>
    <t>e300879</t>
  </si>
  <si>
    <t>J04001128</t>
  </si>
  <si>
    <t>Shepshed UD</t>
  </si>
  <si>
    <t>e210711</t>
  </si>
  <si>
    <t>J04001310</t>
  </si>
  <si>
    <t>Uppingham RD</t>
  </si>
  <si>
    <t>e300882</t>
  </si>
  <si>
    <t>J04001411</t>
  </si>
  <si>
    <t>Wigston UD</t>
  </si>
  <si>
    <t>e210712</t>
  </si>
  <si>
    <t>J04000026</t>
  </si>
  <si>
    <t>Alford UD</t>
  </si>
  <si>
    <t>Lincolnshire</t>
  </si>
  <si>
    <t>e240737</t>
  </si>
  <si>
    <t>East Lindsey</t>
  </si>
  <si>
    <t>J04000176</t>
  </si>
  <si>
    <t>Boston MB</t>
  </si>
  <si>
    <t>e220722</t>
  </si>
  <si>
    <t>J04000177</t>
  </si>
  <si>
    <t>Boston RD</t>
  </si>
  <si>
    <t>e220724</t>
  </si>
  <si>
    <t>J04000178</t>
  </si>
  <si>
    <t>Bourne UD</t>
  </si>
  <si>
    <t>e230728</t>
  </si>
  <si>
    <t>J04000251</t>
  </si>
  <si>
    <t>Caistor RD</t>
  </si>
  <si>
    <t>e240749</t>
  </si>
  <si>
    <t>West Lindsey</t>
  </si>
  <si>
    <t>J04000449</t>
  </si>
  <si>
    <t>East Elloe RD</t>
  </si>
  <si>
    <t>e220725</t>
  </si>
  <si>
    <t>South Holland</t>
  </si>
  <si>
    <t>J04000452</t>
  </si>
  <si>
    <t>East Kesteven RD</t>
  </si>
  <si>
    <t>e230732</t>
  </si>
  <si>
    <t>J04000524</t>
  </si>
  <si>
    <t>Gainsborough RD</t>
  </si>
  <si>
    <t>e240750</t>
  </si>
  <si>
    <t>J04000525</t>
  </si>
  <si>
    <t>Gainsborough UD</t>
  </si>
  <si>
    <t>e240741</t>
  </si>
  <si>
    <t>J04000548</t>
  </si>
  <si>
    <t>Grantham MB</t>
  </si>
  <si>
    <t>e230729</t>
  </si>
  <si>
    <t>J04000642</t>
  </si>
  <si>
    <t>Horncastle RD</t>
  </si>
  <si>
    <t>e240753</t>
  </si>
  <si>
    <t>J04000643</t>
  </si>
  <si>
    <t>Horncastle UD</t>
  </si>
  <si>
    <t>e240742</t>
  </si>
  <si>
    <t>J04000746</t>
  </si>
  <si>
    <t>Lincoln, City and County of CB</t>
  </si>
  <si>
    <t>e230727</t>
  </si>
  <si>
    <t>J04000784</t>
  </si>
  <si>
    <t>Louth MB</t>
  </si>
  <si>
    <t>e240743</t>
  </si>
  <si>
    <t>J04000785</t>
  </si>
  <si>
    <t>Louth RD</t>
  </si>
  <si>
    <t>e240755</t>
  </si>
  <si>
    <t>J04000800</t>
  </si>
  <si>
    <t>Mablethorpe and Sutton UD</t>
  </si>
  <si>
    <t>e240744</t>
  </si>
  <si>
    <t>J04000831</t>
  </si>
  <si>
    <t>Market Rasen UD</t>
  </si>
  <si>
    <t>e240745</t>
  </si>
  <si>
    <t>J04000924</t>
  </si>
  <si>
    <t>North Kesteven RD</t>
  </si>
  <si>
    <t>e230733</t>
  </si>
  <si>
    <t>J04001144</t>
  </si>
  <si>
    <t>Skegness UD</t>
  </si>
  <si>
    <t>e240747</t>
  </si>
  <si>
    <t>J04001149</t>
  </si>
  <si>
    <t>Sleaford UD</t>
  </si>
  <si>
    <t>e230730</t>
  </si>
  <si>
    <t>J04001157</t>
  </si>
  <si>
    <t>South Kesteven RD</t>
  </si>
  <si>
    <t>e230734</t>
  </si>
  <si>
    <t>J04001174</t>
  </si>
  <si>
    <t>Spalding RD</t>
  </si>
  <si>
    <t>e220726</t>
  </si>
  <si>
    <t>J04001175</t>
  </si>
  <si>
    <t>Spalding UD</t>
  </si>
  <si>
    <t>e220723</t>
  </si>
  <si>
    <t>J04001178</t>
  </si>
  <si>
    <t>Spilsby RD</t>
  </si>
  <si>
    <t>e240756</t>
  </si>
  <si>
    <t>J04001200</t>
  </si>
  <si>
    <t>Stamford MB</t>
  </si>
  <si>
    <t>e230731</t>
  </si>
  <si>
    <t>J04001371</t>
  </si>
  <si>
    <t>Welton RD</t>
  </si>
  <si>
    <t>e240757</t>
  </si>
  <si>
    <t>J04001385</t>
  </si>
  <si>
    <t>West Kesteven RD</t>
  </si>
  <si>
    <t>e230735</t>
  </si>
  <si>
    <t>J04001447</t>
  </si>
  <si>
    <t>Woodhall Spa UD</t>
  </si>
  <si>
    <t>e240748</t>
  </si>
  <si>
    <t>J04000107</t>
  </si>
  <si>
    <t>Bebington MB</t>
  </si>
  <si>
    <t>Merseyside</t>
  </si>
  <si>
    <t>e050075</t>
  </si>
  <si>
    <t>J04000149</t>
  </si>
  <si>
    <t>Birkenhead CB</t>
  </si>
  <si>
    <t>e050068</t>
  </si>
  <si>
    <t>J04000174</t>
  </si>
  <si>
    <t>Bootle CB</t>
  </si>
  <si>
    <t>e200564</t>
  </si>
  <si>
    <t>J04000370</t>
  </si>
  <si>
    <t>Crosby MB</t>
  </si>
  <si>
    <t>e200603</t>
  </si>
  <si>
    <t>J04000513</t>
  </si>
  <si>
    <t>Formby UD</t>
  </si>
  <si>
    <t>e200612</t>
  </si>
  <si>
    <t>J04000593</t>
  </si>
  <si>
    <t>Haydock UD</t>
  </si>
  <si>
    <t>e200620</t>
  </si>
  <si>
    <t>J04000654</t>
  </si>
  <si>
    <t>Hoylake UD</t>
  </si>
  <si>
    <t>e050086</t>
  </si>
  <si>
    <t>J04000662</t>
  </si>
  <si>
    <t>Huyton with Roby UD</t>
  </si>
  <si>
    <t>e200624</t>
  </si>
  <si>
    <t>J04000707</t>
  </si>
  <si>
    <t>Kirkby UD</t>
  </si>
  <si>
    <t>e200698</t>
  </si>
  <si>
    <t>Created in 1958. Merged with Whiston for continuity</t>
  </si>
  <si>
    <t>J04000750</t>
  </si>
  <si>
    <t>Litherland UD</t>
  </si>
  <si>
    <t>e200635</t>
  </si>
  <si>
    <t>J04000754</t>
  </si>
  <si>
    <t>Liverpool, City of CB</t>
  </si>
  <si>
    <t>e200567</t>
  </si>
  <si>
    <t>J04000915</t>
  </si>
  <si>
    <t>Newton-le-Willows UD</t>
  </si>
  <si>
    <t>e200645</t>
  </si>
  <si>
    <t>J04001016</t>
  </si>
  <si>
    <t>Prescot UD</t>
  </si>
  <si>
    <t>e200652</t>
  </si>
  <si>
    <t>J04001028</t>
  </si>
  <si>
    <t>Rainford UD</t>
  </si>
  <si>
    <t>e200655</t>
  </si>
  <si>
    <t>J04001168</t>
  </si>
  <si>
    <t>Southport CB</t>
  </si>
  <si>
    <t>e200576</t>
  </si>
  <si>
    <t>J04001186</t>
  </si>
  <si>
    <t>St. Helens CB</t>
  </si>
  <si>
    <t>e200574</t>
  </si>
  <si>
    <t>J04001324</t>
  </si>
  <si>
    <t>Wallasey CB</t>
  </si>
  <si>
    <t>e050071</t>
  </si>
  <si>
    <t>J04001398</t>
  </si>
  <si>
    <t>Whiston RD</t>
  </si>
  <si>
    <t>J04001430</t>
  </si>
  <si>
    <t>Wirral UD</t>
  </si>
  <si>
    <t>e050105</t>
  </si>
  <si>
    <t>J04000165</t>
  </si>
  <si>
    <t>Blofield and Flegg RD</t>
  </si>
  <si>
    <t>e250772</t>
  </si>
  <si>
    <t>J04000367</t>
  </si>
  <si>
    <t>Cromer UD</t>
  </si>
  <si>
    <t>e250760</t>
  </si>
  <si>
    <t>North Norfolk</t>
  </si>
  <si>
    <t>J04000400</t>
  </si>
  <si>
    <t>Depwade RD</t>
  </si>
  <si>
    <t>e250773</t>
  </si>
  <si>
    <t>South Norfolk</t>
  </si>
  <si>
    <t>J04000409</t>
  </si>
  <si>
    <t>Diss UD</t>
  </si>
  <si>
    <t>e250761</t>
  </si>
  <si>
    <t>J04000410</t>
  </si>
  <si>
    <t>Docking RD</t>
  </si>
  <si>
    <t>e250774</t>
  </si>
  <si>
    <t>King's Lynn and West</t>
  </si>
  <si>
    <t>J04000423</t>
  </si>
  <si>
    <t>Downham Market UD</t>
  </si>
  <si>
    <t>e250762</t>
  </si>
  <si>
    <t>J04000424</t>
  </si>
  <si>
    <t>Downham RD</t>
  </si>
  <si>
    <t>e250775</t>
  </si>
  <si>
    <t>J04000448</t>
  </si>
  <si>
    <t>East Dereham UD</t>
  </si>
  <si>
    <t>e250763</t>
  </si>
  <si>
    <t>Breckland</t>
  </si>
  <si>
    <t>J04000479</t>
  </si>
  <si>
    <t>Erpingham RD</t>
  </si>
  <si>
    <t>e250776</t>
  </si>
  <si>
    <t>J04000512</t>
  </si>
  <si>
    <t>Forehoe and Henstead RD</t>
  </si>
  <si>
    <t>e250777</t>
  </si>
  <si>
    <t>J04000515</t>
  </si>
  <si>
    <t>Freebridge Lynn RD</t>
  </si>
  <si>
    <t>e250778</t>
  </si>
  <si>
    <t>J04000552</t>
  </si>
  <si>
    <t>Great Yarmouth CB</t>
  </si>
  <si>
    <t>e250758</t>
  </si>
  <si>
    <t>J04000659</t>
  </si>
  <si>
    <t>Hunstanton UD</t>
  </si>
  <si>
    <t>e250764</t>
  </si>
  <si>
    <t>J04000695</t>
  </si>
  <si>
    <t>Kings Lynn MB</t>
  </si>
  <si>
    <t>e250765</t>
  </si>
  <si>
    <t>J04000773</t>
  </si>
  <si>
    <t>Loddon RD</t>
  </si>
  <si>
    <t>e250779</t>
  </si>
  <si>
    <t>J04000836</t>
  </si>
  <si>
    <t>Marshland RD</t>
  </si>
  <si>
    <t>e250780</t>
  </si>
  <si>
    <t>J04000863</t>
  </si>
  <si>
    <t>Mitford and Launditch RD</t>
  </si>
  <si>
    <t>e250781</t>
  </si>
  <si>
    <t>J04000926</t>
  </si>
  <si>
    <t>North Walsham UD</t>
  </si>
  <si>
    <t>e250766</t>
  </si>
  <si>
    <t>J04000941</t>
  </si>
  <si>
    <t>Norwich, City and County of CB</t>
  </si>
  <si>
    <t>e250759</t>
  </si>
  <si>
    <t>J04001133</t>
  </si>
  <si>
    <t>Sheringham UD</t>
  </si>
  <si>
    <t>e250767</t>
  </si>
  <si>
    <t>J04001151</t>
  </si>
  <si>
    <t>Smallburgh RD</t>
  </si>
  <si>
    <t>e250783</t>
  </si>
  <si>
    <t>J04001184</t>
  </si>
  <si>
    <t>St. Faiths and Aylsham RD</t>
  </si>
  <si>
    <t>e250782</t>
  </si>
  <si>
    <t>J04001238</t>
  </si>
  <si>
    <t>Swaffham RD</t>
  </si>
  <si>
    <t>e250784</t>
  </si>
  <si>
    <t>J04001239</t>
  </si>
  <si>
    <t>Swaffham UD</t>
  </si>
  <si>
    <t>e250768</t>
  </si>
  <si>
    <t>J04001267</t>
  </si>
  <si>
    <t>Thetford MB</t>
  </si>
  <si>
    <t>e250769</t>
  </si>
  <si>
    <t>J04001329</t>
  </si>
  <si>
    <t>Walsingham RD</t>
  </si>
  <si>
    <t>e250785</t>
  </si>
  <si>
    <t>J04001357</t>
  </si>
  <si>
    <t>Wayland RD</t>
  </si>
  <si>
    <t>e250786</t>
  </si>
  <si>
    <t>J04001367</t>
  </si>
  <si>
    <t>Wells next the Sea UD</t>
  </si>
  <si>
    <t>e250770</t>
  </si>
  <si>
    <t>J04001462</t>
  </si>
  <si>
    <t>Wymondham UD</t>
  </si>
  <si>
    <t>e250771</t>
  </si>
  <si>
    <t>J04000067</t>
  </si>
  <si>
    <t>Aysgarth RD</t>
  </si>
  <si>
    <t>e451179</t>
  </si>
  <si>
    <t>Richmondshire</t>
  </si>
  <si>
    <t>J04000110</t>
  </si>
  <si>
    <t>Bedale RD</t>
  </si>
  <si>
    <t>e451180</t>
  </si>
  <si>
    <t>J04000366</t>
  </si>
  <si>
    <t>Croft RD</t>
  </si>
  <si>
    <t>e451181</t>
  </si>
  <si>
    <t>J04000402</t>
  </si>
  <si>
    <t>Derwent RD</t>
  </si>
  <si>
    <t>e441160</t>
  </si>
  <si>
    <t>J04000444</t>
  </si>
  <si>
    <t>Easingwold RD</t>
  </si>
  <si>
    <t>e451182</t>
  </si>
  <si>
    <t>J04000502</t>
  </si>
  <si>
    <t>Filey UD</t>
  </si>
  <si>
    <t>e441152</t>
  </si>
  <si>
    <t>J04000506</t>
  </si>
  <si>
    <t>Flaxton RD</t>
  </si>
  <si>
    <t>e451183</t>
  </si>
  <si>
    <t>J04000576</t>
  </si>
  <si>
    <t>Harrogate MB</t>
  </si>
  <si>
    <t>e461233</t>
  </si>
  <si>
    <t>J04000601</t>
  </si>
  <si>
    <t>Helmsley RD</t>
  </si>
  <si>
    <t>e451184</t>
  </si>
  <si>
    <t>J04000706</t>
  </si>
  <si>
    <t>Kirkby Moorside RD</t>
  </si>
  <si>
    <t>e451185</t>
  </si>
  <si>
    <t>J04000710</t>
  </si>
  <si>
    <t>Knaresborough UD</t>
  </si>
  <si>
    <t>e461244</t>
  </si>
  <si>
    <t>J04000741</t>
  </si>
  <si>
    <t>Leyburn RD</t>
  </si>
  <si>
    <t>e451186</t>
  </si>
  <si>
    <t>J04000818</t>
  </si>
  <si>
    <t>Malton RD</t>
  </si>
  <si>
    <t>e451187</t>
  </si>
  <si>
    <t>J04000819</t>
  </si>
  <si>
    <t>Malton UD</t>
  </si>
  <si>
    <t>e451170</t>
  </si>
  <si>
    <t>J04000839</t>
  </si>
  <si>
    <t>Masham RD</t>
  </si>
  <si>
    <t>e451188</t>
  </si>
  <si>
    <t>J04000919</t>
  </si>
  <si>
    <t>Nidderdale RD</t>
  </si>
  <si>
    <t>e461285</t>
  </si>
  <si>
    <t>J04000929</t>
  </si>
  <si>
    <t>Northallerton RD</t>
  </si>
  <si>
    <t>e451189</t>
  </si>
  <si>
    <t>J04000930</t>
  </si>
  <si>
    <t>Northallerton UD</t>
  </si>
  <si>
    <t>e451171</t>
  </si>
  <si>
    <t>J04000939</t>
  </si>
  <si>
    <t>Norton RD</t>
  </si>
  <si>
    <t>e441164</t>
  </si>
  <si>
    <t>J04000940</t>
  </si>
  <si>
    <t>Norton UD</t>
  </si>
  <si>
    <t>e441156</t>
  </si>
  <si>
    <t>J04000958</t>
  </si>
  <si>
    <t>Osgoldcross RD</t>
  </si>
  <si>
    <t>e461287</t>
  </si>
  <si>
    <t>J04000993</t>
  </si>
  <si>
    <t>Pickering RD</t>
  </si>
  <si>
    <t>e451190</t>
  </si>
  <si>
    <t>J04000994</t>
  </si>
  <si>
    <t>Pickering UD</t>
  </si>
  <si>
    <t>e451172</t>
  </si>
  <si>
    <t>J04001039</t>
  </si>
  <si>
    <t>Reeth RD</t>
  </si>
  <si>
    <t>e451191</t>
  </si>
  <si>
    <t>J04001047</t>
  </si>
  <si>
    <t>Richmond MB</t>
  </si>
  <si>
    <t>e451173</t>
  </si>
  <si>
    <t>J04001048</t>
  </si>
  <si>
    <t>Richmond RD</t>
  </si>
  <si>
    <t>e451192</t>
  </si>
  <si>
    <t>J04001052</t>
  </si>
  <si>
    <t>Ripon and Pateley Bridge RD</t>
  </si>
  <si>
    <t>e461289</t>
  </si>
  <si>
    <t>J04001053</t>
  </si>
  <si>
    <t>Ripon, City of MB</t>
  </si>
  <si>
    <t>e461259</t>
  </si>
  <si>
    <t>J04001106</t>
  </si>
  <si>
    <t>Scalby UD</t>
  </si>
  <si>
    <t>e451175</t>
  </si>
  <si>
    <t>J04001107</t>
  </si>
  <si>
    <t>Scarborough MB</t>
  </si>
  <si>
    <t>e451176</t>
  </si>
  <si>
    <t>J04001108</t>
  </si>
  <si>
    <t>Scarborough RD</t>
  </si>
  <si>
    <t>e451193</t>
  </si>
  <si>
    <t>J04001118</t>
  </si>
  <si>
    <t>Selby RD</t>
  </si>
  <si>
    <t>e461292</t>
  </si>
  <si>
    <t>J04001119</t>
  </si>
  <si>
    <t>Selby UD</t>
  </si>
  <si>
    <t>e461264</t>
  </si>
  <si>
    <t>J04001120</t>
  </si>
  <si>
    <t>Settle RD</t>
  </si>
  <si>
    <t>e461293</t>
  </si>
  <si>
    <t>J04001147</t>
  </si>
  <si>
    <t>Skipton RD</t>
  </si>
  <si>
    <t>e461295</t>
  </si>
  <si>
    <t>J04001148</t>
  </si>
  <si>
    <t>Skipton UD</t>
  </si>
  <si>
    <t>e461267</t>
  </si>
  <si>
    <t>J04001247</t>
  </si>
  <si>
    <t>Tadcaster RD</t>
  </si>
  <si>
    <t>e461298</t>
  </si>
  <si>
    <t>J04001269</t>
  </si>
  <si>
    <t>Thirsk RD</t>
  </si>
  <si>
    <t>e451196</t>
  </si>
  <si>
    <t>J04001355</t>
  </si>
  <si>
    <t>Wath RD</t>
  </si>
  <si>
    <t>e451197</t>
  </si>
  <si>
    <t>J04001396</t>
  </si>
  <si>
    <t>Wharfedale RD</t>
  </si>
  <si>
    <t>e461304</t>
  </si>
  <si>
    <t>J04001399</t>
  </si>
  <si>
    <t>Whitby RD</t>
  </si>
  <si>
    <t>e451198</t>
  </si>
  <si>
    <t>J04001400</t>
  </si>
  <si>
    <t>Whitby UD</t>
  </si>
  <si>
    <t>e451178</t>
  </si>
  <si>
    <t>J04001466</t>
  </si>
  <si>
    <t>York, City and County of CB</t>
  </si>
  <si>
    <t>e461209</t>
  </si>
  <si>
    <t>J04000182</t>
  </si>
  <si>
    <t>Brackley MB</t>
  </si>
  <si>
    <t>e260789</t>
  </si>
  <si>
    <t>J04000183</t>
  </si>
  <si>
    <t>Brackley RD</t>
  </si>
  <si>
    <t>e260803</t>
  </si>
  <si>
    <t>J04000215</t>
  </si>
  <si>
    <t>Brixworth RD</t>
  </si>
  <si>
    <t>e260804</t>
  </si>
  <si>
    <t>J04000242</t>
  </si>
  <si>
    <t>Burton Latimer UD</t>
  </si>
  <si>
    <t>e260790</t>
  </si>
  <si>
    <t>J04000348</t>
  </si>
  <si>
    <t>Corby UD</t>
  </si>
  <si>
    <t>e260791</t>
  </si>
  <si>
    <t>J04000388</t>
  </si>
  <si>
    <t>Daventry MB</t>
  </si>
  <si>
    <t>e260793</t>
  </si>
  <si>
    <t>J04000389</t>
  </si>
  <si>
    <t>Daventry RD</t>
  </si>
  <si>
    <t>e260805</t>
  </si>
  <si>
    <t>J04000403</t>
  </si>
  <si>
    <t>Desborough UD</t>
  </si>
  <si>
    <t>e260794</t>
  </si>
  <si>
    <t>J04000622</t>
  </si>
  <si>
    <t>Higham Ferrers MB</t>
  </si>
  <si>
    <t>e260795</t>
  </si>
  <si>
    <t>East Northamptonshire</t>
  </si>
  <si>
    <t>J04000673</t>
  </si>
  <si>
    <t>Irthlingborough UD</t>
  </si>
  <si>
    <t>e260796</t>
  </si>
  <si>
    <t>J04000687</t>
  </si>
  <si>
    <t>Kettering MB</t>
  </si>
  <si>
    <t>e260797</t>
  </si>
  <si>
    <t>J04000688</t>
  </si>
  <si>
    <t>Kettering RD</t>
  </si>
  <si>
    <t>e260807</t>
  </si>
  <si>
    <t>J04000932</t>
  </si>
  <si>
    <t>Northampton CB</t>
  </si>
  <si>
    <t>e260787</t>
  </si>
  <si>
    <t>J04000933</t>
  </si>
  <si>
    <t>Northampton RD</t>
  </si>
  <si>
    <t>J04000965</t>
  </si>
  <si>
    <t>Oundle and Thrapston RD</t>
  </si>
  <si>
    <t>e260810</t>
  </si>
  <si>
    <t>J04000966</t>
  </si>
  <si>
    <t>Oundle UD</t>
  </si>
  <si>
    <t>e260798</t>
  </si>
  <si>
    <t>J04001032</t>
  </si>
  <si>
    <t>Raunds UD</t>
  </si>
  <si>
    <t>e260799</t>
  </si>
  <si>
    <t>J04001069</t>
  </si>
  <si>
    <t>Rothwell UD</t>
  </si>
  <si>
    <t>e260800</t>
  </si>
  <si>
    <t>J04001083</t>
  </si>
  <si>
    <t>Rushden UD</t>
  </si>
  <si>
    <t>e260801</t>
  </si>
  <si>
    <t>J04001292</t>
  </si>
  <si>
    <t>Towcester RD</t>
  </si>
  <si>
    <t>e260811</t>
  </si>
  <si>
    <t>J04001361</t>
  </si>
  <si>
    <t>Wellingborough RD</t>
  </si>
  <si>
    <t>e260812</t>
  </si>
  <si>
    <t>J04001362</t>
  </si>
  <si>
    <t>Wellingborough UD</t>
  </si>
  <si>
    <t>e260802</t>
  </si>
  <si>
    <t>J04000028</t>
  </si>
  <si>
    <t>Alnwick RD</t>
  </si>
  <si>
    <t>e270832</t>
  </si>
  <si>
    <t>J04000029</t>
  </si>
  <si>
    <t>Alnwick UD</t>
  </si>
  <si>
    <t>e270816</t>
  </si>
  <si>
    <t>J04000035</t>
  </si>
  <si>
    <t>Amble UD</t>
  </si>
  <si>
    <t>e270817</t>
  </si>
  <si>
    <t>J04000055</t>
  </si>
  <si>
    <t>Ashington UD</t>
  </si>
  <si>
    <t>e270818</t>
  </si>
  <si>
    <t>Wansbeck</t>
  </si>
  <si>
    <t>J04000114</t>
  </si>
  <si>
    <t>Bedlingtonshire UD</t>
  </si>
  <si>
    <t>e270819</t>
  </si>
  <si>
    <t>J04000119</t>
  </si>
  <si>
    <t>Belford RD</t>
  </si>
  <si>
    <t>e270833</t>
  </si>
  <si>
    <t>Berwick upon Tweed</t>
  </si>
  <si>
    <t>J04000120</t>
  </si>
  <si>
    <t>Bellingham RD</t>
  </si>
  <si>
    <t>e270834</t>
  </si>
  <si>
    <t>Tynedale</t>
  </si>
  <si>
    <t>J04000128</t>
  </si>
  <si>
    <t>Berwick upon Tweed MB</t>
  </si>
  <si>
    <t>e270820</t>
  </si>
  <si>
    <t>J04000166</t>
  </si>
  <si>
    <t>Blyth MB</t>
  </si>
  <si>
    <t>e270821</t>
  </si>
  <si>
    <t>J04000272</t>
  </si>
  <si>
    <t>Castle Ward RD</t>
  </si>
  <si>
    <t>e270835</t>
  </si>
  <si>
    <t>J04000534</t>
  </si>
  <si>
    <t>Glendale RD</t>
  </si>
  <si>
    <t>e270837</t>
  </si>
  <si>
    <t>J04000570</t>
  </si>
  <si>
    <t>Haltwhistle RD</t>
  </si>
  <si>
    <t>e270838</t>
  </si>
  <si>
    <t>J04000618</t>
  </si>
  <si>
    <t>Hexham RD</t>
  </si>
  <si>
    <t>e270839</t>
  </si>
  <si>
    <t>J04000619</t>
  </si>
  <si>
    <t>Hexham UD</t>
  </si>
  <si>
    <t>e270823</t>
  </si>
  <si>
    <t>J04000870</t>
  </si>
  <si>
    <t>Morpeth MB</t>
  </si>
  <si>
    <t>e270825</t>
  </si>
  <si>
    <t>J04000871</t>
  </si>
  <si>
    <t>Morpeth RD</t>
  </si>
  <si>
    <t>e270840</t>
  </si>
  <si>
    <t>J04000894</t>
  </si>
  <si>
    <t>Newbiggin by the Sea UD</t>
  </si>
  <si>
    <t>e270826</t>
  </si>
  <si>
    <t>J04000920</t>
  </si>
  <si>
    <t>Norham and Islandshires RD</t>
  </si>
  <si>
    <t>e270841</t>
  </si>
  <si>
    <t>J04001022</t>
  </si>
  <si>
    <t>Prudhoe UD</t>
  </si>
  <si>
    <t>e270828</t>
  </si>
  <si>
    <t>J04001066</t>
  </si>
  <si>
    <t>Rothbury RD</t>
  </si>
  <si>
    <t>e270842</t>
  </si>
  <si>
    <t>J04001113</t>
  </si>
  <si>
    <t>Seaton Valley UD</t>
  </si>
  <si>
    <t>e270829</t>
  </si>
  <si>
    <t>J04000046</t>
  </si>
  <si>
    <t>Arnold UD</t>
  </si>
  <si>
    <t>e280844</t>
  </si>
  <si>
    <t>J04000095</t>
  </si>
  <si>
    <t>Basford RD</t>
  </si>
  <si>
    <t>e280858</t>
  </si>
  <si>
    <t>J04000118</t>
  </si>
  <si>
    <t>Beeston and Stapleford UD</t>
  </si>
  <si>
    <t>e280845</t>
  </si>
  <si>
    <t>J04000147</t>
  </si>
  <si>
    <t>Bingham RD</t>
  </si>
  <si>
    <t>e280859</t>
  </si>
  <si>
    <t>J04000266</t>
  </si>
  <si>
    <t>Carlton UD</t>
  </si>
  <si>
    <t>e280846</t>
  </si>
  <si>
    <t>J04000453</t>
  </si>
  <si>
    <t>East Retford MB</t>
  </si>
  <si>
    <t>e280847</t>
  </si>
  <si>
    <t>Bassetlaw</t>
  </si>
  <si>
    <t>J04000454</t>
  </si>
  <si>
    <t>East Retford RD</t>
  </si>
  <si>
    <t>e280860</t>
  </si>
  <si>
    <t>J04000459</t>
  </si>
  <si>
    <t>Eastwood UD</t>
  </si>
  <si>
    <t>e280848</t>
  </si>
  <si>
    <t>J04000656</t>
  </si>
  <si>
    <t>Hucknall UD</t>
  </si>
  <si>
    <t>e280849</t>
  </si>
  <si>
    <t>J04000705</t>
  </si>
  <si>
    <t>Kirkby in Ashfield UD</t>
  </si>
  <si>
    <t>e280850</t>
  </si>
  <si>
    <t>J04000823</t>
  </si>
  <si>
    <t>Mansfield MB</t>
  </si>
  <si>
    <t>e280851</t>
  </si>
  <si>
    <t>J04000824</t>
  </si>
  <si>
    <t>Mansfield Woodhouse UD</t>
  </si>
  <si>
    <t>e280852</t>
  </si>
  <si>
    <t>J04000892</t>
  </si>
  <si>
    <t>Newark MB</t>
  </si>
  <si>
    <t>e280853</t>
  </si>
  <si>
    <t>J04000893</t>
  </si>
  <si>
    <t>Newark RD</t>
  </si>
  <si>
    <t>e280861</t>
  </si>
  <si>
    <t>J04000942</t>
  </si>
  <si>
    <t>Nottingham, City and County of CB</t>
  </si>
  <si>
    <t>e280843</t>
  </si>
  <si>
    <t>Nottingham UA</t>
  </si>
  <si>
    <t>J04001170</t>
  </si>
  <si>
    <t>Southwell RD</t>
  </si>
  <si>
    <t>e280863</t>
  </si>
  <si>
    <t>J04001236</t>
  </si>
  <si>
    <t>Sutton in Ashfield UD</t>
  </si>
  <si>
    <t>e280854</t>
  </si>
  <si>
    <t>J04001348</t>
  </si>
  <si>
    <t>Warsop UD</t>
  </si>
  <si>
    <t>e280855</t>
  </si>
  <si>
    <t>J04001380</t>
  </si>
  <si>
    <t>West Bridgford UD</t>
  </si>
  <si>
    <t>e280856</t>
  </si>
  <si>
    <t>J04001452</t>
  </si>
  <si>
    <t>Worksop MB</t>
  </si>
  <si>
    <t>e280857</t>
  </si>
  <si>
    <t>J04001453</t>
  </si>
  <si>
    <t>Worksop RD</t>
  </si>
  <si>
    <t>e280864</t>
  </si>
  <si>
    <t>J04000015</t>
  </si>
  <si>
    <t>Acton MB</t>
  </si>
  <si>
    <t>e140379</t>
  </si>
  <si>
    <t>J04000079</t>
  </si>
  <si>
    <t>Barking MB</t>
  </si>
  <si>
    <t>e140371</t>
  </si>
  <si>
    <t>Problem with Newham border</t>
  </si>
  <si>
    <t>J04000084</t>
  </si>
  <si>
    <t>Barnes MB</t>
  </si>
  <si>
    <t>e140401</t>
  </si>
  <si>
    <t>Richmond upon Thames</t>
  </si>
  <si>
    <t>J04000085</t>
  </si>
  <si>
    <t>Barnet UD</t>
  </si>
  <si>
    <t>e140372</t>
  </si>
  <si>
    <t>J04000109</t>
  </si>
  <si>
    <t>Beckenham MB</t>
  </si>
  <si>
    <t>e140375</t>
  </si>
  <si>
    <t>Messy with Bexley</t>
  </si>
  <si>
    <t>J04000111</t>
  </si>
  <si>
    <t>Beddington and Wallington MB</t>
  </si>
  <si>
    <t>e140404</t>
  </si>
  <si>
    <t>Sutton</t>
  </si>
  <si>
    <t>J04000136</t>
  </si>
  <si>
    <t>Bexley MB</t>
  </si>
  <si>
    <t>e140373</t>
  </si>
  <si>
    <t>Messy with Bromley</t>
  </si>
  <si>
    <t>J04000195</t>
  </si>
  <si>
    <t>Brentford and Chiswick MB</t>
  </si>
  <si>
    <t>e140389</t>
  </si>
  <si>
    <t>Hounslow</t>
  </si>
  <si>
    <t>J04000218</t>
  </si>
  <si>
    <t>Bromley MB</t>
  </si>
  <si>
    <t>J04000270</t>
  </si>
  <si>
    <t>Carshalton UD</t>
  </si>
  <si>
    <t>J04000308</t>
  </si>
  <si>
    <t>Chingford MB</t>
  </si>
  <si>
    <t>e140407</t>
  </si>
  <si>
    <t>Waltham Forest</t>
  </si>
  <si>
    <t>J04000312</t>
  </si>
  <si>
    <t>Chislehurst and Sidcup UD</t>
  </si>
  <si>
    <t>Messy with Bexley and Bromley</t>
  </si>
  <si>
    <t>J04000351</t>
  </si>
  <si>
    <t>Coulsdon and Purley UD</t>
  </si>
  <si>
    <t>e140378</t>
  </si>
  <si>
    <t>J04000358</t>
  </si>
  <si>
    <t>Crayford UD</t>
  </si>
  <si>
    <t>J04000371</t>
  </si>
  <si>
    <t>Croydon CB</t>
  </si>
  <si>
    <t>J04000377</t>
  </si>
  <si>
    <t>Dagenham MB</t>
  </si>
  <si>
    <t>J04000441</t>
  </si>
  <si>
    <t>Ealing MB</t>
  </si>
  <si>
    <t>J04000446</t>
  </si>
  <si>
    <t>East Barnet UD</t>
  </si>
  <si>
    <t>J04000463</t>
  </si>
  <si>
    <t>Edmonton MB</t>
  </si>
  <si>
    <t>e140380</t>
  </si>
  <si>
    <t>J04000473</t>
  </si>
  <si>
    <t>Enfield MB</t>
  </si>
  <si>
    <t>J04000478</t>
  </si>
  <si>
    <t>Erith MB</t>
  </si>
  <si>
    <t>J04000500</t>
  </si>
  <si>
    <t>Feltham UD</t>
  </si>
  <si>
    <t>J04000503</t>
  </si>
  <si>
    <t>Finchley MB</t>
  </si>
  <si>
    <t>J04000516</t>
  </si>
  <si>
    <t>Friern Barnet UD</t>
  </si>
  <si>
    <t>J04000553</t>
  </si>
  <si>
    <t>Greenwich MB</t>
  </si>
  <si>
    <t>e140381</t>
  </si>
  <si>
    <t>J04000577</t>
  </si>
  <si>
    <t>Harrow MB</t>
  </si>
  <si>
    <t>e140386</t>
  </si>
  <si>
    <t>J04000594</t>
  </si>
  <si>
    <t>Hayes and Harlington UD</t>
  </si>
  <si>
    <t>e140388</t>
  </si>
  <si>
    <t>Hillingdon</t>
  </si>
  <si>
    <t>J04000607</t>
  </si>
  <si>
    <t>Hendon MB</t>
  </si>
  <si>
    <t>J04000616</t>
  </si>
  <si>
    <t>Heston and Isleworth MB</t>
  </si>
  <si>
    <t>J04000644</t>
  </si>
  <si>
    <t>Hornchurch UD</t>
  </si>
  <si>
    <t>e140387</t>
  </si>
  <si>
    <t>J04000665</t>
  </si>
  <si>
    <t>Ilford MB</t>
  </si>
  <si>
    <t>e140400</t>
  </si>
  <si>
    <t>J04000700</t>
  </si>
  <si>
    <t>Kingston upon Thames (Royal Borough) MB</t>
  </si>
  <si>
    <t>e140394</t>
  </si>
  <si>
    <t>Kingston upon Thames</t>
  </si>
  <si>
    <t>J04000743</t>
  </si>
  <si>
    <t>Leyton MB</t>
  </si>
  <si>
    <t>J04000811</t>
  </si>
  <si>
    <t>Malden and Coombe MB</t>
  </si>
  <si>
    <t>J04000850</t>
  </si>
  <si>
    <t>Merton and Morden UD</t>
  </si>
  <si>
    <t>e140398</t>
  </si>
  <si>
    <t>Merton</t>
  </si>
  <si>
    <t>J04000862</t>
  </si>
  <si>
    <t>Mitcham MB</t>
  </si>
  <si>
    <t>J04000956</t>
  </si>
  <si>
    <t>Orpington UD</t>
  </si>
  <si>
    <t>J04000976</t>
  </si>
  <si>
    <t>Penge UD</t>
  </si>
  <si>
    <t>J04001046</t>
  </si>
  <si>
    <t>J04001060</t>
  </si>
  <si>
    <t>Romford MB</t>
  </si>
  <si>
    <t>J04001080</t>
  </si>
  <si>
    <t>Ruislip Northwood UD</t>
  </si>
  <si>
    <t>J04001162</t>
  </si>
  <si>
    <t>Southall MB</t>
  </si>
  <si>
    <t>J04001167</t>
  </si>
  <si>
    <t>Southgate MB</t>
  </si>
  <si>
    <t>J04001233</t>
  </si>
  <si>
    <t>Surbiton MB</t>
  </si>
  <si>
    <t>J04001234</t>
  </si>
  <si>
    <t>Sutton and Cheam MB</t>
  </si>
  <si>
    <t>J04001303</t>
  </si>
  <si>
    <t>Twickenham MB</t>
  </si>
  <si>
    <t>J04001316</t>
  </si>
  <si>
    <t>Uxbridge MB</t>
  </si>
  <si>
    <t>J04001331</t>
  </si>
  <si>
    <t>Walthamstow MB</t>
  </si>
  <si>
    <t>J04001335</t>
  </si>
  <si>
    <t>Wanstead and Woodford MB</t>
  </si>
  <si>
    <t>J04001376</t>
  </si>
  <si>
    <t>Wembley MB</t>
  </si>
  <si>
    <t>e140374</t>
  </si>
  <si>
    <t>Brent</t>
  </si>
  <si>
    <t>J04001414</t>
  </si>
  <si>
    <t>Willesden MB</t>
  </si>
  <si>
    <t>J04001418</t>
  </si>
  <si>
    <t>Wimbledon MB</t>
  </si>
  <si>
    <t>J04001449</t>
  </si>
  <si>
    <t>Woolwich MB</t>
  </si>
  <si>
    <t>J04001465</t>
  </si>
  <si>
    <t>Yiewsley and West Drayton UD</t>
  </si>
  <si>
    <t>J04000011</t>
  </si>
  <si>
    <t>Abingdon MB</t>
  </si>
  <si>
    <t>Oxfordshire</t>
  </si>
  <si>
    <t>e020013</t>
  </si>
  <si>
    <t>J04000012</t>
  </si>
  <si>
    <t>Abingdon RD</t>
  </si>
  <si>
    <t>e020020</t>
  </si>
  <si>
    <t>J04000075</t>
  </si>
  <si>
    <t>Banbury MB</t>
  </si>
  <si>
    <t>e290866</t>
  </si>
  <si>
    <t>Cherwell</t>
  </si>
  <si>
    <t>J04000076</t>
  </si>
  <si>
    <t>Banbury RD</t>
  </si>
  <si>
    <t>e290873</t>
  </si>
  <si>
    <t>J04000137</t>
  </si>
  <si>
    <t>Bicester UD</t>
  </si>
  <si>
    <t>e290867</t>
  </si>
  <si>
    <t>J04000234</t>
  </si>
  <si>
    <t>Bullingdon RD</t>
  </si>
  <si>
    <t>e290874</t>
  </si>
  <si>
    <t>J04000310</t>
  </si>
  <si>
    <t>Chipping Norton MB</t>
  </si>
  <si>
    <t>e290868</t>
  </si>
  <si>
    <t>West Oxfordshire</t>
  </si>
  <si>
    <t>J04000311</t>
  </si>
  <si>
    <t>Chipping Norton RD</t>
  </si>
  <si>
    <t>e290875</t>
  </si>
  <si>
    <t>J04000492</t>
  </si>
  <si>
    <t>Faringdon RD</t>
  </si>
  <si>
    <t>e020025</t>
  </si>
  <si>
    <t>J04000608</t>
  </si>
  <si>
    <t>Henley on Thames MB</t>
  </si>
  <si>
    <t>e290869</t>
  </si>
  <si>
    <t>J04000609</t>
  </si>
  <si>
    <t>Henley RD</t>
  </si>
  <si>
    <t>e290876</t>
  </si>
  <si>
    <t>J04000967</t>
  </si>
  <si>
    <t>Oxford, City of CB</t>
  </si>
  <si>
    <t>e290865</t>
  </si>
  <si>
    <t>J04000995</t>
  </si>
  <si>
    <t>Ploughley RD</t>
  </si>
  <si>
    <t>e290877</t>
  </si>
  <si>
    <t>J04001265</t>
  </si>
  <si>
    <t>Thame UD</t>
  </si>
  <si>
    <t>e290870</t>
  </si>
  <si>
    <t>J04001325</t>
  </si>
  <si>
    <t>WallingFord MB</t>
  </si>
  <si>
    <t>e020017</t>
  </si>
  <si>
    <t>J04001326</t>
  </si>
  <si>
    <t>Wallingford RD</t>
  </si>
  <si>
    <t>e020028</t>
  </si>
  <si>
    <t>J04001336</t>
  </si>
  <si>
    <t>Wantage RD</t>
  </si>
  <si>
    <t>e020029</t>
  </si>
  <si>
    <t>J04001337</t>
  </si>
  <si>
    <t>Wantage UD</t>
  </si>
  <si>
    <t>e020018</t>
  </si>
  <si>
    <t>J04001436</t>
  </si>
  <si>
    <t>Witney RD</t>
  </si>
  <si>
    <t>e290878</t>
  </si>
  <si>
    <t>J04001437</t>
  </si>
  <si>
    <t>Witney UD</t>
  </si>
  <si>
    <t>e290871</t>
  </si>
  <si>
    <t>J04001448</t>
  </si>
  <si>
    <t>Woodstock MB</t>
  </si>
  <si>
    <t>e290872</t>
  </si>
  <si>
    <t>J04000059</t>
  </si>
  <si>
    <t>Atcham RD</t>
  </si>
  <si>
    <t>Shropshire</t>
  </si>
  <si>
    <t>e310890</t>
  </si>
  <si>
    <t>Shrewsbury and Atcha</t>
  </si>
  <si>
    <t>J04000152</t>
  </si>
  <si>
    <t>Bishops Castle MB</t>
  </si>
  <si>
    <t>e310893</t>
  </si>
  <si>
    <t>South Shropshire</t>
  </si>
  <si>
    <t>Merged into Clun and Bishop's castle in 1967</t>
  </si>
  <si>
    <t>J04000199</t>
  </si>
  <si>
    <t>Bridgnorth MB</t>
  </si>
  <si>
    <t>e310891</t>
  </si>
  <si>
    <t>Merged into Bridgnorth</t>
  </si>
  <si>
    <t>J04000200</t>
  </si>
  <si>
    <t>Bridgnorth RD</t>
  </si>
  <si>
    <t>J04000317</t>
  </si>
  <si>
    <t>Church Stretton UD</t>
  </si>
  <si>
    <t>e310894</t>
  </si>
  <si>
    <t>Merged into Ludlow</t>
  </si>
  <si>
    <t>J04000331</t>
  </si>
  <si>
    <t>Clun RD</t>
  </si>
  <si>
    <t>J04000390</t>
  </si>
  <si>
    <t>Dawley UD</t>
  </si>
  <si>
    <t>e310883</t>
  </si>
  <si>
    <t>J04000425</t>
  </si>
  <si>
    <t>Drayton RD</t>
  </si>
  <si>
    <t>e310895</t>
  </si>
  <si>
    <t>North Shropshire</t>
  </si>
  <si>
    <t>Merged into Market Drayton RD 1966</t>
  </si>
  <si>
    <t>J04000468</t>
  </si>
  <si>
    <t>Ellesmere RD</t>
  </si>
  <si>
    <t>e310896</t>
  </si>
  <si>
    <t>Merged into North Shropshire RD in 1967</t>
  </si>
  <si>
    <t>J04000469</t>
  </si>
  <si>
    <t>Ellesmere UD</t>
  </si>
  <si>
    <t>J04000787</t>
  </si>
  <si>
    <t>Ludlow MB</t>
  </si>
  <si>
    <t>J04000788</t>
  </si>
  <si>
    <t>Ludlow RD</t>
  </si>
  <si>
    <t>J04000828</t>
  </si>
  <si>
    <t>Market Drayton UD</t>
  </si>
  <si>
    <t>J04000911</t>
  </si>
  <si>
    <t>Newport UD</t>
  </si>
  <si>
    <t>e310885</t>
  </si>
  <si>
    <t>J04000945</t>
  </si>
  <si>
    <t>Oakengates UD</t>
  </si>
  <si>
    <t>e310886</t>
  </si>
  <si>
    <t>J04000961</t>
  </si>
  <si>
    <t>Oswestry MB</t>
  </si>
  <si>
    <t>e310897</t>
  </si>
  <si>
    <t>Merged into Oswestry</t>
  </si>
  <si>
    <t>J04000962</t>
  </si>
  <si>
    <t>Oswestry RD</t>
  </si>
  <si>
    <t>J04001134</t>
  </si>
  <si>
    <t>Shifnal RD</t>
  </si>
  <si>
    <t>e310898</t>
  </si>
  <si>
    <t>J04001140</t>
  </si>
  <si>
    <t>Shrewsbury MB</t>
  </si>
  <si>
    <t>e310887</t>
  </si>
  <si>
    <t>J04001363</t>
  </si>
  <si>
    <t>Wellington RD</t>
  </si>
  <si>
    <t>e310900</t>
  </si>
  <si>
    <t>J04001365</t>
  </si>
  <si>
    <t>Wellington UD</t>
  </si>
  <si>
    <t>e310888</t>
  </si>
  <si>
    <t>J04001374</t>
  </si>
  <si>
    <t>Wem RD</t>
  </si>
  <si>
    <t>J04001375</t>
  </si>
  <si>
    <t>Wem UD</t>
  </si>
  <si>
    <t>J04001377</t>
  </si>
  <si>
    <t>Wenlock MB</t>
  </si>
  <si>
    <t>J04001401</t>
  </si>
  <si>
    <t>Whitchurch UD</t>
  </si>
  <si>
    <t>J04000201</t>
  </si>
  <si>
    <t>Bridgwater MB</t>
  </si>
  <si>
    <t>e320903</t>
  </si>
  <si>
    <t>J04000202</t>
  </si>
  <si>
    <t>Bridgwater RD</t>
  </si>
  <si>
    <t>e320926</t>
  </si>
  <si>
    <t>J04000238</t>
  </si>
  <si>
    <t>Burnham-on-Sea UD</t>
  </si>
  <si>
    <t>e320904</t>
  </si>
  <si>
    <t>J04000281</t>
  </si>
  <si>
    <t>Chard MB</t>
  </si>
  <si>
    <t>e320905</t>
  </si>
  <si>
    <t>South Somerset</t>
  </si>
  <si>
    <t>J04000282</t>
  </si>
  <si>
    <t>Chard RD</t>
  </si>
  <si>
    <t>e320927</t>
  </si>
  <si>
    <t>J04000362</t>
  </si>
  <si>
    <t>Crewkerne UD</t>
  </si>
  <si>
    <t>e320907</t>
  </si>
  <si>
    <t>J04000435</t>
  </si>
  <si>
    <t>Dulverton RD</t>
  </si>
  <si>
    <t>e320929</t>
  </si>
  <si>
    <t>West Somerset</t>
  </si>
  <si>
    <t>J04000519</t>
  </si>
  <si>
    <t>Frome RD</t>
  </si>
  <si>
    <t>e320930</t>
  </si>
  <si>
    <t>Mendip</t>
  </si>
  <si>
    <t>J04000520</t>
  </si>
  <si>
    <t>Frome UD</t>
  </si>
  <si>
    <t>e320908</t>
  </si>
  <si>
    <t>J04000533</t>
  </si>
  <si>
    <t>Glastonbury MB</t>
  </si>
  <si>
    <t>e320909</t>
  </si>
  <si>
    <t>J04000669</t>
  </si>
  <si>
    <t>Ilminster UD</t>
  </si>
  <si>
    <t>e320910</t>
  </si>
  <si>
    <t>J04000721</t>
  </si>
  <si>
    <t>Langport RD</t>
  </si>
  <si>
    <t>e320931</t>
  </si>
  <si>
    <t>J04000860</t>
  </si>
  <si>
    <t>Minehead UD</t>
  </si>
  <si>
    <t>e320912</t>
  </si>
  <si>
    <t>J04001129</t>
  </si>
  <si>
    <t>Shepton Mallet RD</t>
  </si>
  <si>
    <t>e320933</t>
  </si>
  <si>
    <t>J04001130</t>
  </si>
  <si>
    <t>Shepton Mallet UD</t>
  </si>
  <si>
    <t>e320915</t>
  </si>
  <si>
    <t>J04001223</t>
  </si>
  <si>
    <t>Street UD</t>
  </si>
  <si>
    <t>e320916</t>
  </si>
  <si>
    <t>J04001251</t>
  </si>
  <si>
    <t>Taunton MB</t>
  </si>
  <si>
    <t>e320917</t>
  </si>
  <si>
    <t>Taunton Deane</t>
  </si>
  <si>
    <t>J04001252</t>
  </si>
  <si>
    <t>Taunton RD</t>
  </si>
  <si>
    <t>e320934</t>
  </si>
  <si>
    <t>J04001352</t>
  </si>
  <si>
    <t>Watchet UD</t>
  </si>
  <si>
    <t>e320918</t>
  </si>
  <si>
    <t>J04001364</t>
  </si>
  <si>
    <t>e320935</t>
  </si>
  <si>
    <t>J04001366</t>
  </si>
  <si>
    <t>e320919</t>
  </si>
  <si>
    <t>J04001368</t>
  </si>
  <si>
    <t>Wells RD</t>
  </si>
  <si>
    <t>e320936</t>
  </si>
  <si>
    <t>J04001369</t>
  </si>
  <si>
    <t>Wells, City of MB</t>
  </si>
  <si>
    <t>e320920</t>
  </si>
  <si>
    <t>J04001415</t>
  </si>
  <si>
    <t>Williton RD</t>
  </si>
  <si>
    <t>e320937</t>
  </si>
  <si>
    <t>J04001421</t>
  </si>
  <si>
    <t>Wincanton RD</t>
  </si>
  <si>
    <t>e320938</t>
  </si>
  <si>
    <t>J04001463</t>
  </si>
  <si>
    <t>Yeovil MB</t>
  </si>
  <si>
    <t>e320922</t>
  </si>
  <si>
    <t>J04001464</t>
  </si>
  <si>
    <t>Yeovil RD</t>
  </si>
  <si>
    <t>e320939</t>
  </si>
  <si>
    <t>J04000017</t>
  </si>
  <si>
    <t>Adwick le Street UD</t>
  </si>
  <si>
    <t>South Yorkshire</t>
  </si>
  <si>
    <t>e461210</t>
  </si>
  <si>
    <t>J04000087</t>
  </si>
  <si>
    <t>Barnsley CB</t>
  </si>
  <si>
    <t>e461199</t>
  </si>
  <si>
    <t>J04000124</t>
  </si>
  <si>
    <t>Bentley with Arksey UD</t>
  </si>
  <si>
    <t>e461215</t>
  </si>
  <si>
    <t>J04000343</t>
  </si>
  <si>
    <t>Conisbrough UD</t>
  </si>
  <si>
    <t>e461220</t>
  </si>
  <si>
    <t>J04000374</t>
  </si>
  <si>
    <t>Cudworth UD</t>
  </si>
  <si>
    <t>e461221</t>
  </si>
  <si>
    <t>J04000379</t>
  </si>
  <si>
    <t>Darfield UD</t>
  </si>
  <si>
    <t>e461222</t>
  </si>
  <si>
    <t>J04000386</t>
  </si>
  <si>
    <t>Darton UD</t>
  </si>
  <si>
    <t>e461223</t>
  </si>
  <si>
    <t>J04000393</t>
  </si>
  <si>
    <t>Dearne UD</t>
  </si>
  <si>
    <t>e461224</t>
  </si>
  <si>
    <t>J04000411</t>
  </si>
  <si>
    <t>Dodworth UD</t>
  </si>
  <si>
    <t>e461227</t>
  </si>
  <si>
    <t>J04000414</t>
  </si>
  <si>
    <t>Doncaster CB</t>
  </si>
  <si>
    <t>e461202</t>
  </si>
  <si>
    <t>J04000415</t>
  </si>
  <si>
    <t>Doncaster RD</t>
  </si>
  <si>
    <t>e461279</t>
  </si>
  <si>
    <t>J04000655</t>
  </si>
  <si>
    <t>Hoyland Nether UD</t>
  </si>
  <si>
    <t>e461240</t>
  </si>
  <si>
    <t>J04000709</t>
  </si>
  <si>
    <t>Kiveton Park RD</t>
  </si>
  <si>
    <t>e461284</t>
  </si>
  <si>
    <t>Rotherham</t>
  </si>
  <si>
    <t>J04000817</t>
  </si>
  <si>
    <t>Maltby UD</t>
  </si>
  <si>
    <t>e461246</t>
  </si>
  <si>
    <t>J04000851</t>
  </si>
  <si>
    <t>Mexborough UD</t>
  </si>
  <si>
    <t>e461248</t>
  </si>
  <si>
    <t>J04000977</t>
  </si>
  <si>
    <t>Penistone RD</t>
  </si>
  <si>
    <t>e461288</t>
  </si>
  <si>
    <t>J04000978</t>
  </si>
  <si>
    <t>Penistone UD</t>
  </si>
  <si>
    <t>e461254</t>
  </si>
  <si>
    <t>J04001033</t>
  </si>
  <si>
    <t>Rawmarsh UD</t>
  </si>
  <si>
    <t>e461258</t>
  </si>
  <si>
    <t>J04001067</t>
  </si>
  <si>
    <t>Rotherham CB</t>
  </si>
  <si>
    <t>e461206</t>
  </si>
  <si>
    <t>J04001068</t>
  </si>
  <si>
    <t>Rotherham RD</t>
  </si>
  <si>
    <t>e461290</t>
  </si>
  <si>
    <t>J04001075</t>
  </si>
  <si>
    <t>e461262</t>
  </si>
  <si>
    <t>J04001126</t>
  </si>
  <si>
    <t>Sheffield, City of CB</t>
  </si>
  <si>
    <t>e461207</t>
  </si>
  <si>
    <t>J04001209</t>
  </si>
  <si>
    <t>Stocksbridge UD</t>
  </si>
  <si>
    <t>e461271</t>
  </si>
  <si>
    <t>J04001246</t>
  </si>
  <si>
    <t>Swinton UD</t>
  </si>
  <si>
    <t>e461272</t>
  </si>
  <si>
    <t>J04001272</t>
  </si>
  <si>
    <t>Thorne RD</t>
  </si>
  <si>
    <t>e461300</t>
  </si>
  <si>
    <t>J04001276</t>
  </si>
  <si>
    <t>Tickhill UD</t>
  </si>
  <si>
    <t>e461273</t>
  </si>
  <si>
    <t>J04001356</t>
  </si>
  <si>
    <t>Wath upon Dearne UD</t>
  </si>
  <si>
    <t>e461275</t>
  </si>
  <si>
    <t>J04001444</t>
  </si>
  <si>
    <t>Wombwell UD</t>
  </si>
  <si>
    <t>e461276</t>
  </si>
  <si>
    <t>J04001454</t>
  </si>
  <si>
    <t>Worsbrough UD</t>
  </si>
  <si>
    <t>e461277</t>
  </si>
  <si>
    <t>J04001458</t>
  </si>
  <si>
    <t>Wortley RD</t>
  </si>
  <si>
    <t>e461305</t>
  </si>
  <si>
    <t>J04000138</t>
  </si>
  <si>
    <t>Biddulph UD</t>
  </si>
  <si>
    <t>e330947</t>
  </si>
  <si>
    <t>J04000243</t>
  </si>
  <si>
    <t>Burton upon Trent CB</t>
  </si>
  <si>
    <t>e330940</t>
  </si>
  <si>
    <t>J04000258</t>
  </si>
  <si>
    <t>Cannock RD</t>
  </si>
  <si>
    <t>e330958</t>
  </si>
  <si>
    <t>J04000259</t>
  </si>
  <si>
    <t>Cannock UD</t>
  </si>
  <si>
    <t>e330948</t>
  </si>
  <si>
    <t>J04000287</t>
  </si>
  <si>
    <t>Cheadle RD</t>
  </si>
  <si>
    <t>e330959</t>
  </si>
  <si>
    <t>J04000693</t>
  </si>
  <si>
    <t>Kidsgrove UD</t>
  </si>
  <si>
    <t>e330949</t>
  </si>
  <si>
    <t>J04000728</t>
  </si>
  <si>
    <t>Leek RD</t>
  </si>
  <si>
    <t>e330960</t>
  </si>
  <si>
    <t>J04000729</t>
  </si>
  <si>
    <t>Leek UD</t>
  </si>
  <si>
    <t>e330950</t>
  </si>
  <si>
    <t>J04000744</t>
  </si>
  <si>
    <t>Lichfield RD</t>
  </si>
  <si>
    <t>e330961</t>
  </si>
  <si>
    <t>J04000745</t>
  </si>
  <si>
    <t>Lichfield, City and County of MB</t>
  </si>
  <si>
    <t>e330951</t>
  </si>
  <si>
    <t>J04000900</t>
  </si>
  <si>
    <t>Newcastle under Lyme MB</t>
  </si>
  <si>
    <t>e330952</t>
  </si>
  <si>
    <t>J04000901</t>
  </si>
  <si>
    <t>Newcastle under Lyme RD</t>
  </si>
  <si>
    <t>e330962</t>
  </si>
  <si>
    <t>J04001079</t>
  </si>
  <si>
    <t>Rugeley UD</t>
  </si>
  <si>
    <t>e330953</t>
  </si>
  <si>
    <t>J04001117</t>
  </si>
  <si>
    <t>Seisdon RD</t>
  </si>
  <si>
    <t>e330963</t>
  </si>
  <si>
    <t>J04001196</t>
  </si>
  <si>
    <t>Stafford MB</t>
  </si>
  <si>
    <t>e330954</t>
  </si>
  <si>
    <t>J04001197</t>
  </si>
  <si>
    <t>Stafford RD</t>
  </si>
  <si>
    <t>e330967</t>
  </si>
  <si>
    <t>J04001213</t>
  </si>
  <si>
    <t>Stoke on Trent, City of CB</t>
  </si>
  <si>
    <t>e330942</t>
  </si>
  <si>
    <t>J04001215</t>
  </si>
  <si>
    <t>Stone RD</t>
  </si>
  <si>
    <t>e330968</t>
  </si>
  <si>
    <t>J04001216</t>
  </si>
  <si>
    <t>Stone UD</t>
  </si>
  <si>
    <t>e330955</t>
  </si>
  <si>
    <t>J04001248</t>
  </si>
  <si>
    <t>Tamworth MB</t>
  </si>
  <si>
    <t>e330956</t>
  </si>
  <si>
    <t>Merged into Tamworth</t>
  </si>
  <si>
    <t>J04001249</t>
  </si>
  <si>
    <t>Tamworth RD</t>
  </si>
  <si>
    <t>J04001302</t>
  </si>
  <si>
    <t>Tutbury RD</t>
  </si>
  <si>
    <t>e330969</t>
  </si>
  <si>
    <t>J04001314</t>
  </si>
  <si>
    <t>Uttoxeter RD</t>
  </si>
  <si>
    <t>e330970</t>
  </si>
  <si>
    <t>J04001315</t>
  </si>
  <si>
    <t>Uttoxeter UD</t>
  </si>
  <si>
    <t>e330957</t>
  </si>
  <si>
    <t>J04000021</t>
  </si>
  <si>
    <t>Aldeburgh MB</t>
  </si>
  <si>
    <t>Suffolk</t>
  </si>
  <si>
    <t>e340972</t>
  </si>
  <si>
    <t>J04000108</t>
  </si>
  <si>
    <t>Beccles MB</t>
  </si>
  <si>
    <t>e340973</t>
  </si>
  <si>
    <t>J04000167</t>
  </si>
  <si>
    <t>Blyth RD</t>
  </si>
  <si>
    <t>e340984</t>
  </si>
  <si>
    <t>J04000235</t>
  </si>
  <si>
    <t>Bungay UD</t>
  </si>
  <si>
    <t>e340974</t>
  </si>
  <si>
    <t>J04000245</t>
  </si>
  <si>
    <t>Bury St. Edmunds MB</t>
  </si>
  <si>
    <t>e350991</t>
  </si>
  <si>
    <t>St. Edmundsbury</t>
  </si>
  <si>
    <t>J04000323</t>
  </si>
  <si>
    <t>Clare RD</t>
  </si>
  <si>
    <t>e350996</t>
  </si>
  <si>
    <t>J04000350</t>
  </si>
  <si>
    <t>Cosford RD</t>
  </si>
  <si>
    <t>e350998</t>
  </si>
  <si>
    <t>Babergh</t>
  </si>
  <si>
    <t>J04000394</t>
  </si>
  <si>
    <t>Deben RD</t>
  </si>
  <si>
    <t>e340985</t>
  </si>
  <si>
    <t>J04000488</t>
  </si>
  <si>
    <t>Eye MB</t>
  </si>
  <si>
    <t>e340975</t>
  </si>
  <si>
    <t>Mid Suffolk</t>
  </si>
  <si>
    <t>J04000498</t>
  </si>
  <si>
    <t>Felixstowe UD</t>
  </si>
  <si>
    <t>e340976</t>
  </si>
  <si>
    <t>J04000531</t>
  </si>
  <si>
    <t>Gipping RD</t>
  </si>
  <si>
    <t>e340986</t>
  </si>
  <si>
    <t>J04000561</t>
  </si>
  <si>
    <t>Hadleigh UD</t>
  </si>
  <si>
    <t>e350992</t>
  </si>
  <si>
    <t>J04000565</t>
  </si>
  <si>
    <t>Halesworth UD</t>
  </si>
  <si>
    <t>e340977</t>
  </si>
  <si>
    <t>J04000578</t>
  </si>
  <si>
    <t>Hartismere RD</t>
  </si>
  <si>
    <t>e340987</t>
  </si>
  <si>
    <t>J04000589</t>
  </si>
  <si>
    <t>Haverhill UD</t>
  </si>
  <si>
    <t>e350993</t>
  </si>
  <si>
    <t>J04000671</t>
  </si>
  <si>
    <t>Ipswich CB</t>
  </si>
  <si>
    <t>e340971</t>
  </si>
  <si>
    <t>J04000734</t>
  </si>
  <si>
    <t>Leiston cum Sizewell UD</t>
  </si>
  <si>
    <t>e340978</t>
  </si>
  <si>
    <t>J04000782</t>
  </si>
  <si>
    <t>Lothingland RD</t>
  </si>
  <si>
    <t>e340988</t>
  </si>
  <si>
    <t>J04000786</t>
  </si>
  <si>
    <t>Lowestoft MB</t>
  </si>
  <si>
    <t>e340979</t>
  </si>
  <si>
    <t>J04000841</t>
  </si>
  <si>
    <t>Melford RD</t>
  </si>
  <si>
    <t>e350999</t>
  </si>
  <si>
    <t>J04000856</t>
  </si>
  <si>
    <t>Mildenhall RD</t>
  </si>
  <si>
    <t>e351000</t>
  </si>
  <si>
    <t>Forest Heath</t>
  </si>
  <si>
    <t>J04000906</t>
  </si>
  <si>
    <t>Newmarket UD</t>
  </si>
  <si>
    <t>e350994</t>
  </si>
  <si>
    <t>J04001099</t>
  </si>
  <si>
    <t>Samford RD</t>
  </si>
  <si>
    <t>e340989</t>
  </si>
  <si>
    <t>J04001105</t>
  </si>
  <si>
    <t>Saxmundham UD</t>
  </si>
  <si>
    <t>e340980</t>
  </si>
  <si>
    <t>J04001172</t>
  </si>
  <si>
    <t>Southwold MB</t>
  </si>
  <si>
    <t>e340981</t>
  </si>
  <si>
    <t>J04001219</t>
  </si>
  <si>
    <t>Stowmarket UD</t>
  </si>
  <si>
    <t>e340982</t>
  </si>
  <si>
    <t>J04001229</t>
  </si>
  <si>
    <t>Sudbury MB</t>
  </si>
  <si>
    <t>e350995</t>
  </si>
  <si>
    <t>J04001266</t>
  </si>
  <si>
    <t>Thedwastre RD</t>
  </si>
  <si>
    <t>e351002</t>
  </si>
  <si>
    <t>J04001268</t>
  </si>
  <si>
    <t>Thingoe RD</t>
  </si>
  <si>
    <t>e351003</t>
  </si>
  <si>
    <t>J04001321</t>
  </si>
  <si>
    <t>Wainford RD</t>
  </si>
  <si>
    <t>e340990</t>
  </si>
  <si>
    <t>J04001446</t>
  </si>
  <si>
    <t>Woodbridge UD</t>
  </si>
  <si>
    <t>e340983</t>
  </si>
  <si>
    <t>J04000069</t>
  </si>
  <si>
    <t>Bagshot RD</t>
  </si>
  <si>
    <t>e361022</t>
  </si>
  <si>
    <t>J04000078</t>
  </si>
  <si>
    <t>Banstead UD</t>
  </si>
  <si>
    <t>e361004</t>
  </si>
  <si>
    <t>J04000274</t>
  </si>
  <si>
    <t>Caterham and Warlingham UD</t>
  </si>
  <si>
    <t>e361005</t>
  </si>
  <si>
    <t>Tandridge</t>
  </si>
  <si>
    <t>J04000295</t>
  </si>
  <si>
    <t>Chertsey UD</t>
  </si>
  <si>
    <t>e361006</t>
  </si>
  <si>
    <t>Runnymede</t>
  </si>
  <si>
    <t>J04000419</t>
  </si>
  <si>
    <t>Dorking and Horley RD</t>
  </si>
  <si>
    <t>e361023</t>
  </si>
  <si>
    <t>J04000420</t>
  </si>
  <si>
    <t>Dorking UD</t>
  </si>
  <si>
    <t>e361007</t>
  </si>
  <si>
    <t>J04000464</t>
  </si>
  <si>
    <t>Egham UD</t>
  </si>
  <si>
    <t>e361008</t>
  </si>
  <si>
    <t>Surrey Heath</t>
  </si>
  <si>
    <t>J04000477</t>
  </si>
  <si>
    <t>Epsom and Ewell MB</t>
  </si>
  <si>
    <t>e361009</t>
  </si>
  <si>
    <t>Epsom and Ewell</t>
  </si>
  <si>
    <t>J04000480</t>
  </si>
  <si>
    <t>Esher UD</t>
  </si>
  <si>
    <t>e361010</t>
  </si>
  <si>
    <t>Elmbridge</t>
  </si>
  <si>
    <t>J04000494</t>
  </si>
  <si>
    <t>Farnham UD</t>
  </si>
  <si>
    <t>e361011</t>
  </si>
  <si>
    <t>Waverley</t>
  </si>
  <si>
    <t>J04000517</t>
  </si>
  <si>
    <t>Frimley and Camberley UD</t>
  </si>
  <si>
    <t>e361012</t>
  </si>
  <si>
    <t>J04000539</t>
  </si>
  <si>
    <t>Godalming MB</t>
  </si>
  <si>
    <t>e361013</t>
  </si>
  <si>
    <t>J04000540</t>
  </si>
  <si>
    <t>Godstone RD</t>
  </si>
  <si>
    <t>e361026</t>
  </si>
  <si>
    <t>J04000556</t>
  </si>
  <si>
    <t>Guildford MB</t>
  </si>
  <si>
    <t>e361014</t>
  </si>
  <si>
    <t>J04000557</t>
  </si>
  <si>
    <t>Guildford RD</t>
  </si>
  <si>
    <t>e361027</t>
  </si>
  <si>
    <t>J04000571</t>
  </si>
  <si>
    <t>Hambledon RD</t>
  </si>
  <si>
    <t>e361028</t>
  </si>
  <si>
    <t>J04000582</t>
  </si>
  <si>
    <t>Haslemere UD</t>
  </si>
  <si>
    <t>e361015</t>
  </si>
  <si>
    <t>J04000724</t>
  </si>
  <si>
    <t>Leatherhead UD</t>
  </si>
  <si>
    <t>e361016</t>
  </si>
  <si>
    <t>J04001040</t>
  </si>
  <si>
    <t>Reigate MB</t>
  </si>
  <si>
    <t>e361017</t>
  </si>
  <si>
    <t>J04001198</t>
  </si>
  <si>
    <t>Staines UD</t>
  </si>
  <si>
    <t>e361018</t>
  </si>
  <si>
    <t>Spelthorne</t>
  </si>
  <si>
    <t>J04001230</t>
  </si>
  <si>
    <t>Sunbury on Thames UD</t>
  </si>
  <si>
    <t>e361019</t>
  </si>
  <si>
    <t>J04001332</t>
  </si>
  <si>
    <t>Walton and Weybridge UD</t>
  </si>
  <si>
    <t>e361020</t>
  </si>
  <si>
    <t>J04001439</t>
  </si>
  <si>
    <t>Woking UD</t>
  </si>
  <si>
    <t>e361021</t>
  </si>
  <si>
    <t>Woking</t>
  </si>
  <si>
    <t>J04000163</t>
  </si>
  <si>
    <t>Blaydon UD</t>
  </si>
  <si>
    <t>Tyne And Wear</t>
  </si>
  <si>
    <t>e110267</t>
  </si>
  <si>
    <t>J04000170</t>
  </si>
  <si>
    <t>Boldon UD</t>
  </si>
  <si>
    <t>e110268</t>
  </si>
  <si>
    <t>South Tyneside</t>
  </si>
  <si>
    <t>J04000499</t>
  </si>
  <si>
    <t>Felling UD</t>
  </si>
  <si>
    <t>e110274</t>
  </si>
  <si>
    <t>J04000528</t>
  </si>
  <si>
    <t>Gateshead CB</t>
  </si>
  <si>
    <t>e110261</t>
  </si>
  <si>
    <t>J04000544</t>
  </si>
  <si>
    <t>Gosforth UD</t>
  </si>
  <si>
    <t>e270822</t>
  </si>
  <si>
    <t>J04000597</t>
  </si>
  <si>
    <t>Hebburn UD</t>
  </si>
  <si>
    <t>e110275</t>
  </si>
  <si>
    <t>J04000617</t>
  </si>
  <si>
    <t>Hetton UD</t>
  </si>
  <si>
    <t>e110276</t>
  </si>
  <si>
    <t>J04000651</t>
  </si>
  <si>
    <t>Houghton le Spring UD</t>
  </si>
  <si>
    <t>e110277</t>
  </si>
  <si>
    <t>J04000678</t>
  </si>
  <si>
    <t>Jarrow MB</t>
  </si>
  <si>
    <t>e110279</t>
  </si>
  <si>
    <t>J04000777</t>
  </si>
  <si>
    <t>Longbenton UD</t>
  </si>
  <si>
    <t>e270824</t>
  </si>
  <si>
    <t>J04000895</t>
  </si>
  <si>
    <t>Newburn UD</t>
  </si>
  <si>
    <t>e270827</t>
  </si>
  <si>
    <t>J04000902</t>
  </si>
  <si>
    <t>Newcastle upon Tyne, City and County of CB</t>
  </si>
  <si>
    <t>e270813</t>
  </si>
  <si>
    <t>J04001088</t>
  </si>
  <si>
    <t>Ryton UD</t>
  </si>
  <si>
    <t>e110280</t>
  </si>
  <si>
    <t>J04001160</t>
  </si>
  <si>
    <t>South Shields CB</t>
  </si>
  <si>
    <t>e110263</t>
  </si>
  <si>
    <t>J04001231</t>
  </si>
  <si>
    <t>Sunderland CB</t>
  </si>
  <si>
    <t>e110264</t>
  </si>
  <si>
    <t>J04001232</t>
  </si>
  <si>
    <t>Sunderland RD</t>
  </si>
  <si>
    <t>Annexed into Sunderland CB</t>
  </si>
  <si>
    <t>J04001306</t>
  </si>
  <si>
    <t>Tynemouth CB</t>
  </si>
  <si>
    <t>e270815</t>
  </si>
  <si>
    <t>J04001327</t>
  </si>
  <si>
    <t>Wallsend MB</t>
  </si>
  <si>
    <t>e270830</t>
  </si>
  <si>
    <t>J04001351</t>
  </si>
  <si>
    <t>Washington UD</t>
  </si>
  <si>
    <t>e110287</t>
  </si>
  <si>
    <t>J04001397</t>
  </si>
  <si>
    <t>Whickham UD</t>
  </si>
  <si>
    <t>e110289</t>
  </si>
  <si>
    <t>J04001404</t>
  </si>
  <si>
    <t>Whitley Bay MB</t>
  </si>
  <si>
    <t>e270831</t>
  </si>
  <si>
    <t>J04000020</t>
  </si>
  <si>
    <t>Alcester RD</t>
  </si>
  <si>
    <t>e391077</t>
  </si>
  <si>
    <t>Stratford on Avon</t>
  </si>
  <si>
    <t>J04000060</t>
  </si>
  <si>
    <t>Atherstone RD</t>
  </si>
  <si>
    <t>e391079</t>
  </si>
  <si>
    <t>J04000117</t>
  </si>
  <si>
    <t>Bedworth UD</t>
  </si>
  <si>
    <t>e391069</t>
  </si>
  <si>
    <t>Nuneaton and Bedwort</t>
  </si>
  <si>
    <t>J04000683</t>
  </si>
  <si>
    <t>Kenilworth UD</t>
  </si>
  <si>
    <t>e391070</t>
  </si>
  <si>
    <t>J04000943</t>
  </si>
  <si>
    <t>Nuneaton MB</t>
  </si>
  <si>
    <t>e391071</t>
  </si>
  <si>
    <t>J04001072</t>
  </si>
  <si>
    <t>Royal Leamington Spa MB</t>
  </si>
  <si>
    <t>e391072</t>
  </si>
  <si>
    <t>J04001077</t>
  </si>
  <si>
    <t>Rugby MB</t>
  </si>
  <si>
    <t>e391073</t>
  </si>
  <si>
    <t>J04001078</t>
  </si>
  <si>
    <t>Rugby RD</t>
  </si>
  <si>
    <t>e391084</t>
  </si>
  <si>
    <t>J04001137</t>
  </si>
  <si>
    <t>Shipston on Stour RD</t>
  </si>
  <si>
    <t>e391085</t>
  </si>
  <si>
    <t>J04001163</t>
  </si>
  <si>
    <t>Southam RD</t>
  </si>
  <si>
    <t>e391086</t>
  </si>
  <si>
    <t>J04001220</t>
  </si>
  <si>
    <t>Stratford upon Avon MB</t>
  </si>
  <si>
    <t>e391087</t>
  </si>
  <si>
    <t>J04001221</t>
  </si>
  <si>
    <t>Stratford-on-Avon RD</t>
  </si>
  <si>
    <t>e391074</t>
  </si>
  <si>
    <t>J04001349</t>
  </si>
  <si>
    <t>Warwick MB</t>
  </si>
  <si>
    <t>e391076</t>
  </si>
  <si>
    <t>J04001350</t>
  </si>
  <si>
    <t>Warwick RD</t>
  </si>
  <si>
    <t>e391089</t>
  </si>
  <si>
    <t>J04000024</t>
  </si>
  <si>
    <t>Aldridge UD</t>
  </si>
  <si>
    <t>e330946</t>
  </si>
  <si>
    <t>Merged into Aldridge-Brownhills in 1966</t>
  </si>
  <si>
    <t>J04000036</t>
  </si>
  <si>
    <t>Amblecote UD</t>
  </si>
  <si>
    <t>e330941</t>
  </si>
  <si>
    <t>Split between Dudley and Stourbridge 1966</t>
  </si>
  <si>
    <t>J04000146</t>
  </si>
  <si>
    <t>Bilston MB</t>
  </si>
  <si>
    <t>e330945</t>
  </si>
  <si>
    <t>Split between Wolverhampton and Walsall 1966</t>
  </si>
  <si>
    <t>J04000150</t>
  </si>
  <si>
    <t>Birmingham, City of CB</t>
  </si>
  <si>
    <t>e391064</t>
  </si>
  <si>
    <t>J04000208</t>
  </si>
  <si>
    <t>Brierley Hill UD</t>
  </si>
  <si>
    <t>Merged into Dudley 1966</t>
  </si>
  <si>
    <t>J04000223</t>
  </si>
  <si>
    <t>Brownhills UD</t>
  </si>
  <si>
    <t>J04000349</t>
  </si>
  <si>
    <t>Coseley UD</t>
  </si>
  <si>
    <t>Split between Wolverhampton and Dudley 1966</t>
  </si>
  <si>
    <t>J04000352</t>
  </si>
  <si>
    <t>Coventry, City of CB</t>
  </si>
  <si>
    <t>e391067</t>
  </si>
  <si>
    <t>J04000380</t>
  </si>
  <si>
    <t>Darlaston UD</t>
  </si>
  <si>
    <t>e330943</t>
  </si>
  <si>
    <t>J04000433</t>
  </si>
  <si>
    <t>Dudley CB</t>
  </si>
  <si>
    <t>J04000564</t>
  </si>
  <si>
    <t>Halesowen MB</t>
  </si>
  <si>
    <t>e431133</t>
  </si>
  <si>
    <t>J04000848</t>
  </si>
  <si>
    <t>Meriden RD</t>
  </si>
  <si>
    <t>e391080</t>
  </si>
  <si>
    <t>J04000953</t>
  </si>
  <si>
    <t>Oldbury MB</t>
  </si>
  <si>
    <t>e431127</t>
  </si>
  <si>
    <t>J04001071</t>
  </si>
  <si>
    <t>Rowley Regis MB</t>
  </si>
  <si>
    <t>J04001116</t>
  </si>
  <si>
    <t>Sedgley UD</t>
  </si>
  <si>
    <t>J04001152</t>
  </si>
  <si>
    <t>Smethwick CB</t>
  </si>
  <si>
    <t>J04001154</t>
  </si>
  <si>
    <t>Solihull MB</t>
  </si>
  <si>
    <t>e391068</t>
  </si>
  <si>
    <t>Some potential losses to Stratford on Avon RD</t>
  </si>
  <si>
    <t>J04001217</t>
  </si>
  <si>
    <t>Stourbridge MB</t>
  </si>
  <si>
    <t>e431138</t>
  </si>
  <si>
    <t>J04001235</t>
  </si>
  <si>
    <t>Sutton Coldfield MB</t>
  </si>
  <si>
    <t>e391075</t>
  </si>
  <si>
    <t>J04001263</t>
  </si>
  <si>
    <t>Tettenhall UD</t>
  </si>
  <si>
    <t>J04001278</t>
  </si>
  <si>
    <t>Tipton MB</t>
  </si>
  <si>
    <t>e330944</t>
  </si>
  <si>
    <t>J04001328</t>
  </si>
  <si>
    <t>Walsall CB</t>
  </si>
  <si>
    <t>J04001359</t>
  </si>
  <si>
    <t>Wednesbury MB</t>
  </si>
  <si>
    <t>Split between West Bromwich and Walsall 1966</t>
  </si>
  <si>
    <t>J04001360</t>
  </si>
  <si>
    <t>Wednesfield UD</t>
  </si>
  <si>
    <t>J04001381</t>
  </si>
  <si>
    <t>West Bromwich CB</t>
  </si>
  <si>
    <t>J04001413</t>
  </si>
  <si>
    <t>Willenhall UD</t>
  </si>
  <si>
    <t>J04001442</t>
  </si>
  <si>
    <t>Wolverhampton CB</t>
  </si>
  <si>
    <t>J04000047</t>
  </si>
  <si>
    <t>Arundel MB</t>
  </si>
  <si>
    <t>e381049</t>
  </si>
  <si>
    <t>J04000169</t>
  </si>
  <si>
    <t>Bognor Regis UD</t>
  </si>
  <si>
    <t>e381050</t>
  </si>
  <si>
    <t>J04000236</t>
  </si>
  <si>
    <t>Burgess hill UD</t>
  </si>
  <si>
    <t>e371033</t>
  </si>
  <si>
    <t>J04000279</t>
  </si>
  <si>
    <t>Chanctonbury RD</t>
  </si>
  <si>
    <t>e381058</t>
  </si>
  <si>
    <t>J04000305</t>
  </si>
  <si>
    <t>Chichester City MB</t>
  </si>
  <si>
    <t>e381051</t>
  </si>
  <si>
    <t>J04000306</t>
  </si>
  <si>
    <t>Chichester RD</t>
  </si>
  <si>
    <t>e381059</t>
  </si>
  <si>
    <t>J04000357</t>
  </si>
  <si>
    <t>Crawley UD</t>
  </si>
  <si>
    <t>e381052</t>
  </si>
  <si>
    <t>J04000372</t>
  </si>
  <si>
    <t>Cuckfield RD</t>
  </si>
  <si>
    <t>e371044</t>
  </si>
  <si>
    <t>J04000373</t>
  </si>
  <si>
    <t>Cuckfield UD</t>
  </si>
  <si>
    <t>e371034</t>
  </si>
  <si>
    <t>J04000450</t>
  </si>
  <si>
    <t>East Grinstead UD</t>
  </si>
  <si>
    <t>e371035</t>
  </si>
  <si>
    <t>J04000648</t>
  </si>
  <si>
    <t>Horsham RD</t>
  </si>
  <si>
    <t>e381060</t>
  </si>
  <si>
    <t>J04000649</t>
  </si>
  <si>
    <t>Horsham UD</t>
  </si>
  <si>
    <t>e381053</t>
  </si>
  <si>
    <t>J04000753</t>
  </si>
  <si>
    <t>Littlehampton UD</t>
  </si>
  <si>
    <t>e381054</t>
  </si>
  <si>
    <t>J04000855</t>
  </si>
  <si>
    <t>Midhurst RD</t>
  </si>
  <si>
    <t>e381061</t>
  </si>
  <si>
    <t>J04000991</t>
  </si>
  <si>
    <t>Petworth RD</t>
  </si>
  <si>
    <t>e381062</t>
  </si>
  <si>
    <t>J04001139</t>
  </si>
  <si>
    <t>Shoreham-by-Sea UD</t>
  </si>
  <si>
    <t>e381055</t>
  </si>
  <si>
    <t>J04001171</t>
  </si>
  <si>
    <t>Southwick UD</t>
  </si>
  <si>
    <t>e381056</t>
  </si>
  <si>
    <t>J04001456</t>
  </si>
  <si>
    <t>Worthing MB</t>
  </si>
  <si>
    <t>e381057</t>
  </si>
  <si>
    <t>J04001457</t>
  </si>
  <si>
    <t>Worthing RD</t>
  </si>
  <si>
    <t>e381063</t>
  </si>
  <si>
    <t>J04000019</t>
  </si>
  <si>
    <t>Aireborough UD</t>
  </si>
  <si>
    <t>West Yorkshire</t>
  </si>
  <si>
    <t>e461211</t>
  </si>
  <si>
    <t>J04000070</t>
  </si>
  <si>
    <t>Baildon UD</t>
  </si>
  <si>
    <t>e461212</t>
  </si>
  <si>
    <t>J04000101</t>
  </si>
  <si>
    <t>Batley MB</t>
  </si>
  <si>
    <t>e461214</t>
  </si>
  <si>
    <t>Kirklees</t>
  </si>
  <si>
    <t>J04000148</t>
  </si>
  <si>
    <t>Bingley UD</t>
  </si>
  <si>
    <t>e461216</t>
  </si>
  <si>
    <t>J04000187</t>
  </si>
  <si>
    <t>Bradford, City of CB</t>
  </si>
  <si>
    <t>e461200</t>
  </si>
  <si>
    <t>J04000210</t>
  </si>
  <si>
    <t>Brighouse MB</t>
  </si>
  <si>
    <t>e461217</t>
  </si>
  <si>
    <t>J04000273</t>
  </si>
  <si>
    <t>Castleford MB</t>
  </si>
  <si>
    <t>e461218</t>
  </si>
  <si>
    <t>J04000338</t>
  </si>
  <si>
    <t>Colne Valley UD</t>
  </si>
  <si>
    <t>e461219</t>
  </si>
  <si>
    <t>J04000396</t>
  </si>
  <si>
    <t>Denby Dale UD</t>
  </si>
  <si>
    <t>e461225</t>
  </si>
  <si>
    <t>J04000397</t>
  </si>
  <si>
    <t>Denholme UD</t>
  </si>
  <si>
    <t>e461226</t>
  </si>
  <si>
    <t>J04000407</t>
  </si>
  <si>
    <t>Dewsbury CB</t>
  </si>
  <si>
    <t>e461201</t>
  </si>
  <si>
    <t>J04000466</t>
  </si>
  <si>
    <t>Elland UD</t>
  </si>
  <si>
    <t>e461229</t>
  </si>
  <si>
    <t>J04000497</t>
  </si>
  <si>
    <t>Featherstone UD</t>
  </si>
  <si>
    <t>e461230</t>
  </si>
  <si>
    <t>J04000526</t>
  </si>
  <si>
    <t>Garforth UD</t>
  </si>
  <si>
    <t>e461231</t>
  </si>
  <si>
    <t>J04000566</t>
  </si>
  <si>
    <t>Halifax CB</t>
  </si>
  <si>
    <t>e461203</t>
  </si>
  <si>
    <t>J04000598</t>
  </si>
  <si>
    <t>Hebden Royd UD</t>
  </si>
  <si>
    <t>e461234</t>
  </si>
  <si>
    <t>J04000599</t>
  </si>
  <si>
    <t>Heckmondwike UD</t>
  </si>
  <si>
    <t>e461235</t>
  </si>
  <si>
    <t>J04000605</t>
  </si>
  <si>
    <t>Hemsworth RD</t>
  </si>
  <si>
    <t>e461281</t>
  </si>
  <si>
    <t>J04000606</t>
  </si>
  <si>
    <t>Hemsworth UD</t>
  </si>
  <si>
    <t>e461236</t>
  </si>
  <si>
    <t>J04000610</t>
  </si>
  <si>
    <t>Hepton RD</t>
  </si>
  <si>
    <t>e461283</t>
  </si>
  <si>
    <t>J04000633</t>
  </si>
  <si>
    <t>Holmfirth UD</t>
  </si>
  <si>
    <t>e461237</t>
  </si>
  <si>
    <t>J04000641</t>
  </si>
  <si>
    <t>Horbury UD</t>
  </si>
  <si>
    <t>e461238</t>
  </si>
  <si>
    <t>J04000647</t>
  </si>
  <si>
    <t>Horsforth UD</t>
  </si>
  <si>
    <t>e461239</t>
  </si>
  <si>
    <t>J04000657</t>
  </si>
  <si>
    <t>Huddersfield CB</t>
  </si>
  <si>
    <t>e461204</t>
  </si>
  <si>
    <t>J04000668</t>
  </si>
  <si>
    <t>Ilkley UD</t>
  </si>
  <si>
    <t>e461241</t>
  </si>
  <si>
    <t>J04000680</t>
  </si>
  <si>
    <t>Keighley MB</t>
  </si>
  <si>
    <t>e461242</t>
  </si>
  <si>
    <t>J04000704</t>
  </si>
  <si>
    <t>Kirkburton UD</t>
  </si>
  <si>
    <t>e461243</t>
  </si>
  <si>
    <t>J04000713</t>
  </si>
  <si>
    <t>Knottingley UD</t>
  </si>
  <si>
    <t>e461245</t>
  </si>
  <si>
    <t>J04000727</t>
  </si>
  <si>
    <t>Leeds, City of CB</t>
  </si>
  <si>
    <t>e461205</t>
  </si>
  <si>
    <t>J04000843</t>
  </si>
  <si>
    <t>Meltham UD</t>
  </si>
  <si>
    <t>e461247</t>
  </si>
  <si>
    <t>J04000861</t>
  </si>
  <si>
    <t>Mirfield UD</t>
  </si>
  <si>
    <t>e461249</t>
  </si>
  <si>
    <t>J04000869</t>
  </si>
  <si>
    <t>Morley MB</t>
  </si>
  <si>
    <t>e461250</t>
  </si>
  <si>
    <t>J04000922</t>
  </si>
  <si>
    <t>Normanton UD</t>
  </si>
  <si>
    <t>e461251</t>
  </si>
  <si>
    <t>J04000959</t>
  </si>
  <si>
    <t>Ossett MB</t>
  </si>
  <si>
    <t>e461252</t>
  </si>
  <si>
    <t>J04000963</t>
  </si>
  <si>
    <t>Otley UD</t>
  </si>
  <si>
    <t>e461253</t>
  </si>
  <si>
    <t>J04001000</t>
  </si>
  <si>
    <t>Pontefract MB</t>
  </si>
  <si>
    <t>e461255</t>
  </si>
  <si>
    <t>J04001023</t>
  </si>
  <si>
    <t>Pudsey MB</t>
  </si>
  <si>
    <t>e461256</t>
  </si>
  <si>
    <t>J04001026</t>
  </si>
  <si>
    <t>Queensbury and Shelf UD</t>
  </si>
  <si>
    <t>e461257</t>
  </si>
  <si>
    <t>J04001054</t>
  </si>
  <si>
    <t>Ripponden UD</t>
  </si>
  <si>
    <t>e461260</t>
  </si>
  <si>
    <t>J04001070</t>
  </si>
  <si>
    <t>e461261</t>
  </si>
  <si>
    <t>J04001136</t>
  </si>
  <si>
    <t>Shipley UD</t>
  </si>
  <si>
    <t>e461265</t>
  </si>
  <si>
    <t>J04001142</t>
  </si>
  <si>
    <t>Silsden UD</t>
  </si>
  <si>
    <t>e461266</t>
  </si>
  <si>
    <t>J04001173</t>
  </si>
  <si>
    <t>Sowerby Bridge UD</t>
  </si>
  <si>
    <t>e461268</t>
  </si>
  <si>
    <t>J04001176</t>
  </si>
  <si>
    <t>Spenborough MB</t>
  </si>
  <si>
    <t>e461269</t>
  </si>
  <si>
    <t>J04001203</t>
  </si>
  <si>
    <t>e461270</t>
  </si>
  <si>
    <t>J04001281</t>
  </si>
  <si>
    <t>Todmorden MB</t>
  </si>
  <si>
    <t>e461274</t>
  </si>
  <si>
    <t>J04001322</t>
  </si>
  <si>
    <t>Wakefield RD</t>
  </si>
  <si>
    <t>e461301</t>
  </si>
  <si>
    <t>J04001323</t>
  </si>
  <si>
    <t>Wakefield, City of CB</t>
  </si>
  <si>
    <t>e461208</t>
  </si>
  <si>
    <t>J04001393</t>
  </si>
  <si>
    <t>Wetherby RD</t>
  </si>
  <si>
    <t>e461302</t>
  </si>
  <si>
    <t>J04000038</t>
  </si>
  <si>
    <t>Amesbury RD</t>
  </si>
  <si>
    <t>e421115</t>
  </si>
  <si>
    <t>Salisbury</t>
  </si>
  <si>
    <t>J04000185</t>
  </si>
  <si>
    <t>Bradford and Melksham RD</t>
  </si>
  <si>
    <t>e421116</t>
  </si>
  <si>
    <t>West Wiltshire</t>
  </si>
  <si>
    <t>J04000186</t>
  </si>
  <si>
    <t>Bradford on Avon UD</t>
  </si>
  <si>
    <t>e421102</t>
  </si>
  <si>
    <t>J04000252</t>
  </si>
  <si>
    <t>Calne and Chippenham RD</t>
  </si>
  <si>
    <t>e421117</t>
  </si>
  <si>
    <t>J04000253</t>
  </si>
  <si>
    <t>Calne MB</t>
  </si>
  <si>
    <t>e421103</t>
  </si>
  <si>
    <t>J04000309</t>
  </si>
  <si>
    <t>Chippenham MB</t>
  </si>
  <si>
    <t>e421104</t>
  </si>
  <si>
    <t>J04000365</t>
  </si>
  <si>
    <t>Cricklade and Wootton Bassett RD</t>
  </si>
  <si>
    <t>e421118</t>
  </si>
  <si>
    <t>J04000405</t>
  </si>
  <si>
    <t>Devizes MB</t>
  </si>
  <si>
    <t>e421105</t>
  </si>
  <si>
    <t>J04000406</t>
  </si>
  <si>
    <t>Devizes RD</t>
  </si>
  <si>
    <t>e421119</t>
  </si>
  <si>
    <t>J04000623</t>
  </si>
  <si>
    <t>Highworth RD</t>
  </si>
  <si>
    <t>e421120</t>
  </si>
  <si>
    <t>J04000815</t>
  </si>
  <si>
    <t>Malmesbury MB</t>
  </si>
  <si>
    <t>e421106</t>
  </si>
  <si>
    <t>J04000816</t>
  </si>
  <si>
    <t>Malmesbury RD</t>
  </si>
  <si>
    <t>e421121</t>
  </si>
  <si>
    <t>J04000832</t>
  </si>
  <si>
    <t>Marlborough and Ramsbury RD</t>
  </si>
  <si>
    <t>e421122</t>
  </si>
  <si>
    <t>J04000833</t>
  </si>
  <si>
    <t>Marlborough MB</t>
  </si>
  <si>
    <t>e421107</t>
  </si>
  <si>
    <t>J04000842</t>
  </si>
  <si>
    <t>Melksham UD</t>
  </si>
  <si>
    <t>e421108</t>
  </si>
  <si>
    <t>J04000847</t>
  </si>
  <si>
    <t>Mere and Tisbury RD</t>
  </si>
  <si>
    <t>e421123</t>
  </si>
  <si>
    <t>J04000992</t>
  </si>
  <si>
    <t>Pewsey RD</t>
  </si>
  <si>
    <t>e421124</t>
  </si>
  <si>
    <t>J04001095</t>
  </si>
  <si>
    <t>Salisbury (or New Sarum), City of MB</t>
  </si>
  <si>
    <t>e421109</t>
  </si>
  <si>
    <t>J04001096</t>
  </si>
  <si>
    <t>Salisbury and Wilton RD</t>
  </si>
  <si>
    <t>e421125</t>
  </si>
  <si>
    <t>J04001244</t>
  </si>
  <si>
    <t>Swindon MB</t>
  </si>
  <si>
    <t>e421110</t>
  </si>
  <si>
    <t>J04001298</t>
  </si>
  <si>
    <t>Trowbridge UD</t>
  </si>
  <si>
    <t>e421111</t>
  </si>
  <si>
    <t>J04001343</t>
  </si>
  <si>
    <t>Warminster and Westbury RD</t>
  </si>
  <si>
    <t>e421126</t>
  </si>
  <si>
    <t>J04001344</t>
  </si>
  <si>
    <t>Warminster UD</t>
  </si>
  <si>
    <t>e421112</t>
  </si>
  <si>
    <t>J04001389</t>
  </si>
  <si>
    <t>Westbury UD</t>
  </si>
  <si>
    <t>e421113</t>
  </si>
  <si>
    <t>J04001417</t>
  </si>
  <si>
    <t>Wilton MB</t>
  </si>
  <si>
    <t>e421114</t>
  </si>
  <si>
    <t>MB</t>
  </si>
  <si>
    <t>CB</t>
  </si>
  <si>
    <t>UD</t>
  </si>
  <si>
    <t>RD</t>
  </si>
  <si>
    <t>Fulham</t>
  </si>
  <si>
    <t>St. Marylebone</t>
  </si>
  <si>
    <t>St. Pancras</t>
  </si>
  <si>
    <t>Bath, CITY OF</t>
  </si>
  <si>
    <t>Birmingham, city of</t>
  </si>
  <si>
    <t>Bradford, city of</t>
  </si>
  <si>
    <t>Bristol, city and county of</t>
  </si>
  <si>
    <t>Burton upon Trent</t>
  </si>
  <si>
    <t>Canterbury, city and county of</t>
  </si>
  <si>
    <t>Carlisle, city of</t>
  </si>
  <si>
    <t>Chester, city and county of</t>
  </si>
  <si>
    <t>Coventry, city of</t>
  </si>
  <si>
    <t>Dewsbury</t>
  </si>
  <si>
    <t>Exeter, city and county of</t>
  </si>
  <si>
    <t>Gloucester, city and county of</t>
  </si>
  <si>
    <t>Great Yarmouth</t>
  </si>
  <si>
    <t>Huddersfield</t>
  </si>
  <si>
    <t>Ipswich</t>
  </si>
  <si>
    <t>Kingston upon Hull, city and county of</t>
  </si>
  <si>
    <t>Leeds, city of</t>
  </si>
  <si>
    <t>Leicester, city of</t>
  </si>
  <si>
    <t>Lincoln, city and county of</t>
  </si>
  <si>
    <t>Liverpool, city of</t>
  </si>
  <si>
    <t>Manchester, city of</t>
  </si>
  <si>
    <t>Newcastle upon Tyne, city and county of</t>
  </si>
  <si>
    <t>Norwich, city and county of</t>
  </si>
  <si>
    <t>Nottingham, city and county of</t>
  </si>
  <si>
    <t>Oxford, city of</t>
  </si>
  <si>
    <t>Plymouth, city of</t>
  </si>
  <si>
    <t>Portsmouth, city of</t>
  </si>
  <si>
    <t>Reading</t>
  </si>
  <si>
    <t>St. Helens</t>
  </si>
  <si>
    <t>Salford, city of</t>
  </si>
  <si>
    <t>Sheffield, city of</t>
  </si>
  <si>
    <t>Southampton, city of</t>
  </si>
  <si>
    <t>Stoke on Trent, city of</t>
  </si>
  <si>
    <t>Wakefield, city of</t>
  </si>
  <si>
    <t>York, city and county of</t>
  </si>
  <si>
    <t>Worcester, city and county of</t>
  </si>
  <si>
    <t>New Windsor</t>
  </si>
  <si>
    <t>Bradfield</t>
  </si>
  <si>
    <t>Cookham</t>
  </si>
  <si>
    <t>Faringdon</t>
  </si>
  <si>
    <t>Bebington</t>
  </si>
  <si>
    <t>Bodmin</t>
  </si>
  <si>
    <t>Falmouth</t>
  </si>
  <si>
    <t>Dartmouth</t>
  </si>
  <si>
    <t>Tiverton</t>
  </si>
  <si>
    <t>Blandford</t>
  </si>
  <si>
    <t>West Mersea</t>
  </si>
  <si>
    <t>Mangotsfield</t>
  </si>
  <si>
    <t>Nailsworth</t>
  </si>
  <si>
    <t>Hemel Hempstead</t>
  </si>
  <si>
    <t>Adlington</t>
  </si>
  <si>
    <t>Formby</t>
  </si>
  <si>
    <t>Cromer</t>
  </si>
  <si>
    <t>Atcham</t>
  </si>
  <si>
    <t>Deben</t>
  </si>
  <si>
    <t>Mitcham</t>
  </si>
  <si>
    <t>Dorking</t>
  </si>
  <si>
    <t>Bagshot</t>
  </si>
  <si>
    <t>Cuckfield</t>
  </si>
  <si>
    <t>East Grinstead</t>
  </si>
  <si>
    <t>YORKSHIRE,EAST RIDING</t>
  </si>
  <si>
    <t>Pocklington</t>
  </si>
  <si>
    <t>High Wycombe</t>
  </si>
  <si>
    <t>Bredbury and Romiley</t>
  </si>
  <si>
    <t>Cheadle and Gatley</t>
  </si>
  <si>
    <t>Hazel Grove and Bramhall</t>
  </si>
  <si>
    <t>Chesham</t>
  </si>
  <si>
    <t>Cambridge, city of</t>
  </si>
  <si>
    <t>Alderley Edge</t>
  </si>
  <si>
    <t>Bowdon</t>
  </si>
  <si>
    <t>Lostwithiel</t>
  </si>
  <si>
    <t>Truro, city of</t>
  </si>
  <si>
    <t>St. Austell</t>
  </si>
  <si>
    <t>St. Just</t>
  </si>
  <si>
    <t>St. Germans</t>
  </si>
  <si>
    <t>Ottery St. Mary</t>
  </si>
  <si>
    <t>Plympton St. Mary</t>
  </si>
  <si>
    <t>St. Thomas</t>
  </si>
  <si>
    <t>St. Neots</t>
  </si>
  <si>
    <t>Bury St. Edmunds</t>
  </si>
  <si>
    <t>BEDFORD-contd. .</t>
  </si>
  <si>
    <t>Maryport</t>
  </si>
  <si>
    <t>Alston with Garrigill</t>
  </si>
  <si>
    <t>Glossop</t>
  </si>
  <si>
    <t>Chapel en le Frith</t>
  </si>
  <si>
    <t>Great Torrington</t>
  </si>
  <si>
    <t>Poole, county of a town</t>
  </si>
  <si>
    <t>Durham, city of</t>
  </si>
  <si>
    <t>Stockton on Tees</t>
  </si>
  <si>
    <t>Brandon and Byshottles</t>
  </si>
  <si>
    <t>Crook and Willington</t>
  </si>
  <si>
    <t>Wanstead and Woodford</t>
  </si>
  <si>
    <t>Braintree and Bocking</t>
  </si>
  <si>
    <t>Frinton and Walton</t>
  </si>
  <si>
    <t>Epping and Ongar</t>
  </si>
  <si>
    <t>Lexden and Winstree</t>
  </si>
  <si>
    <t>Havant and Waterloo</t>
  </si>
  <si>
    <t>Kingsclere and Whitchurch</t>
  </si>
  <si>
    <t>Huntingdon and Godmanchester</t>
  </si>
  <si>
    <t>Chislehurst and Sidcup</t>
  </si>
  <si>
    <t>Sittingbourne and Milton</t>
  </si>
  <si>
    <t>Morecambe and Heysham</t>
  </si>
  <si>
    <t>Swinton and Pendlebury</t>
  </si>
  <si>
    <t>Billinge and Winstanley</t>
  </si>
  <si>
    <t>Melton and Belvoir</t>
  </si>
  <si>
    <t>Mablethorpe and Sutton</t>
  </si>
  <si>
    <t>Hayes and Harlington</t>
  </si>
  <si>
    <t>Blofield and Flegg</t>
  </si>
  <si>
    <t>Forehoe and Henstead</t>
  </si>
  <si>
    <t>Mitford and Launditch</t>
  </si>
  <si>
    <t>Oundle and Thrapston</t>
  </si>
  <si>
    <t>Beeston and Stapleford</t>
  </si>
  <si>
    <t>Beddington and Wallington</t>
  </si>
  <si>
    <t>Malden and Coombe</t>
  </si>
  <si>
    <t>Sutton and Cheam</t>
  </si>
  <si>
    <t>Coulsdon and Purley</t>
  </si>
  <si>
    <t>Frimley and Camberley</t>
  </si>
  <si>
    <t>Walton and Weybridge</t>
  </si>
  <si>
    <t>Dorking and Horley</t>
  </si>
  <si>
    <t>Marlborough and Ramsbury</t>
  </si>
  <si>
    <t>Warminster and Westbury</t>
  </si>
  <si>
    <t>Saltburn and Marske-by-the-Sea</t>
  </si>
  <si>
    <t>Skelton and Brotton</t>
  </si>
  <si>
    <t>Chester le Street</t>
  </si>
  <si>
    <t>Houghton le Spring</t>
  </si>
  <si>
    <t>Ilford</t>
  </si>
  <si>
    <t>Burnham on Crouch</t>
  </si>
  <si>
    <t>Winchester, city of</t>
  </si>
  <si>
    <t>Hereford, city of</t>
  </si>
  <si>
    <t>Ross on Wye</t>
  </si>
  <si>
    <t>Bishops Stortford</t>
  </si>
  <si>
    <t>Sandown Shanklin</t>
  </si>
  <si>
    <t>Rochester, city of</t>
  </si>
  <si>
    <t>Broadstairs and St. Peters</t>
  </si>
  <si>
    <t>Lytham St. Annes</t>
  </si>
  <si>
    <t>Kings Lynn</t>
  </si>
  <si>
    <t>St. Faiths and Aylsham</t>
  </si>
  <si>
    <t>Bishops Castle</t>
  </si>
  <si>
    <t>Lancaster, city of</t>
  </si>
  <si>
    <t>Ashton in Makerfield</t>
  </si>
  <si>
    <t>Clayton le Moors</t>
  </si>
  <si>
    <t>Dalton in Furness</t>
  </si>
  <si>
    <t>Huyton with Roby</t>
  </si>
  <si>
    <t>Ince in Makerfield</t>
  </si>
  <si>
    <t>Poulton le Fylde</t>
  </si>
  <si>
    <t>Standish with Langtree</t>
  </si>
  <si>
    <t>Walton le Dale</t>
  </si>
  <si>
    <t>Ashby de la Zouch</t>
  </si>
  <si>
    <t>Barrow upon Soar</t>
  </si>
  <si>
    <t>Castle Donington</t>
  </si>
  <si>
    <t>Barton upon Humber</t>
  </si>
  <si>
    <t>Heston and Isleworth</t>
  </si>
  <si>
    <t>Ruislip Northwood</t>
  </si>
  <si>
    <t>Sunbury on Thames</t>
  </si>
  <si>
    <t>Wells Next the Sea</t>
  </si>
  <si>
    <t>Newbiggin by the Sea</t>
  </si>
  <si>
    <t>Castle Ward</t>
  </si>
  <si>
    <t>Mansfield Woodhouse</t>
  </si>
  <si>
    <t>Kirkby in Ashfield</t>
  </si>
  <si>
    <t>Sutton in Ashfield</t>
  </si>
  <si>
    <t>Henley on Thames</t>
  </si>
  <si>
    <t>Peterborough, city of</t>
  </si>
  <si>
    <t>Barnack</t>
  </si>
  <si>
    <t>Wells, city of</t>
  </si>
  <si>
    <t>Norton Radstock</t>
  </si>
  <si>
    <t>Ilminster</t>
  </si>
  <si>
    <t>Lichfield, city and county of</t>
  </si>
  <si>
    <t>Newcastle under Lyme</t>
  </si>
  <si>
    <t>Seisdon</t>
  </si>
  <si>
    <t>Leiston cum Sizewell</t>
  </si>
  <si>
    <t>Hartismere</t>
  </si>
  <si>
    <t>Kingston upon Thames (Royal Borough)</t>
  </si>
  <si>
    <t>Chichester city</t>
  </si>
  <si>
    <t>Royal Leamington Spa</t>
  </si>
  <si>
    <t>Stratford upon Avon</t>
  </si>
  <si>
    <t>Shipston on Stour</t>
  </si>
  <si>
    <t>Salisbury (or New Sarum), city of</t>
  </si>
  <si>
    <t>Bradford on Avon</t>
  </si>
  <si>
    <t>Upton upon Severn</t>
  </si>
  <si>
    <t>Thornaby on Tees</t>
  </si>
  <si>
    <t>Kirkby moorside</t>
  </si>
  <si>
    <t>Ripon, city of</t>
  </si>
  <si>
    <t>Adwick le Street</t>
  </si>
  <si>
    <t>Bentley with Arksey</t>
  </si>
  <si>
    <t>Wath upon Dearne</t>
  </si>
  <si>
    <t>1961 Lookup</t>
  </si>
  <si>
    <t>1971 Lookup</t>
  </si>
  <si>
    <t>u</t>
  </si>
  <si>
    <t>Type of authority</t>
  </si>
  <si>
    <t>Concat Name</t>
  </si>
  <si>
    <t>Domestic heriditaments ratio</t>
  </si>
  <si>
    <t>Domestic heriditaments total</t>
  </si>
  <si>
    <t>.</t>
  </si>
  <si>
    <t>Nos. Shops (4)</t>
  </si>
  <si>
    <t>Value£ Shops (4)</t>
  </si>
  <si>
    <t>Value(£) Shops (4)</t>
  </si>
  <si>
    <t>Nos. Other Commerical(6)</t>
  </si>
  <si>
    <t>Value(£) Other Commerical(6)</t>
  </si>
  <si>
    <t>Nos. Industrial(7)</t>
  </si>
  <si>
    <t>Value(£) Industrial(7)</t>
  </si>
  <si>
    <t>Value(£) Crown(8)</t>
  </si>
  <si>
    <t>Value(£)Other(9)</t>
  </si>
  <si>
    <t>Value(£) Total(10)</t>
  </si>
  <si>
    <t>Local Authority</t>
  </si>
  <si>
    <t>Domestic Nos. £1-£100(1)</t>
  </si>
  <si>
    <t>Domestic Value(£) £1-£100(1)</t>
  </si>
  <si>
    <t>Domestic Nos. £101-£200(2)</t>
  </si>
  <si>
    <t>Domestic Nos. Over £200(3)</t>
  </si>
  <si>
    <t>Domestic Value(£) Over £200(3)</t>
  </si>
  <si>
    <t>Domestic Value(£) £101-£200(2)</t>
  </si>
  <si>
    <t>Isles of Scilly</t>
  </si>
  <si>
    <t>South East Derbyshire</t>
  </si>
  <si>
    <t>Royal Tunbridge Wells</t>
  </si>
  <si>
    <t>Ashton under Lyne</t>
  </si>
  <si>
    <t>Langport</t>
  </si>
  <si>
    <t>e060133</t>
  </si>
  <si>
    <t>AXBRIDGE R.D.</t>
  </si>
  <si>
    <t>BATH C.B.</t>
  </si>
  <si>
    <t>BATHAVON R.D.</t>
  </si>
  <si>
    <t>BRISTOL C.B.</t>
  </si>
  <si>
    <t>CLEVEDON U.D.</t>
  </si>
  <si>
    <t>CLUTTON R.D.</t>
  </si>
  <si>
    <t>KEYNSHAM U.D.</t>
  </si>
  <si>
    <t>KINGSWOOD U.D.</t>
  </si>
  <si>
    <t>LONG ASHTON R.D.</t>
  </si>
  <si>
    <t>MANGOTSFIELD U.D.</t>
  </si>
  <si>
    <t>NORTON-RADSTOCK U.D.</t>
  </si>
  <si>
    <t>PORTISHEAD U.D.</t>
  </si>
  <si>
    <t>SODBURY R.D.</t>
  </si>
  <si>
    <t>THORNBURY R.D.</t>
  </si>
  <si>
    <t>WARMLEY R.D.</t>
  </si>
  <si>
    <t>WESTON-SUPER-MARE M.B.</t>
  </si>
  <si>
    <t>AMPTHILL R.D.</t>
  </si>
  <si>
    <t>AMPTHILL U.D.</t>
  </si>
  <si>
    <t>BEDFORD M.B.</t>
  </si>
  <si>
    <t>BEDFORD R.D.</t>
  </si>
  <si>
    <t>BIGGLESWADE R.D.</t>
  </si>
  <si>
    <t>BIGGLESWADE U.D.</t>
  </si>
  <si>
    <t>LUTON C.B.</t>
  </si>
  <si>
    <t>KEMPSTON U.D.</t>
  </si>
  <si>
    <t>LEIGHTON-LINSLADE U.D.</t>
  </si>
  <si>
    <t>SANDY U.D.</t>
  </si>
  <si>
    <t>BRADFIELD R.D.</t>
  </si>
  <si>
    <t>COOKHAM R.D.</t>
  </si>
  <si>
    <t>EASTHAMPSTEAD R.D.</t>
  </si>
  <si>
    <t>ETON U.D.</t>
  </si>
  <si>
    <t>HUNGERFORD R.D.</t>
  </si>
  <si>
    <t>MAIDENHEAD M.B.</t>
  </si>
  <si>
    <t>NEW WINDSOR M.B.</t>
  </si>
  <si>
    <t>NEWBURY M.B.</t>
  </si>
  <si>
    <t>NEWBURY R.D.</t>
  </si>
  <si>
    <t>READING C.B.</t>
  </si>
  <si>
    <t>SLOUGH M.B.</t>
  </si>
  <si>
    <t>WINDSOR R.D.</t>
  </si>
  <si>
    <t>WOKINGHAM M.B.</t>
  </si>
  <si>
    <t>WOKINGHAM R.D.</t>
  </si>
  <si>
    <t>AMERSHAM R.D.</t>
  </si>
  <si>
    <t>AYLESBURY M.B.</t>
  </si>
  <si>
    <t>AYLESBURY R.D.</t>
  </si>
  <si>
    <t>BEACONSFIELD U.D.</t>
  </si>
  <si>
    <t>BLETCHLEY U.D.</t>
  </si>
  <si>
    <t>BUCKINGHAM M.B.</t>
  </si>
  <si>
    <t>BUCKINGHAM R.D.</t>
  </si>
  <si>
    <t>CHESHAM U.D.</t>
  </si>
  <si>
    <t>ETON R.D.</t>
  </si>
  <si>
    <t>HIGH WYCOMBE M.B.</t>
  </si>
  <si>
    <t>MARLOW U.D.</t>
  </si>
  <si>
    <t>NEWPORT PAGNELL R.D.</t>
  </si>
  <si>
    <t>NEWPORT PAGNELL U.D.</t>
  </si>
  <si>
    <t>WING R.D.</t>
  </si>
  <si>
    <t>WINSLOW R.D.</t>
  </si>
  <si>
    <t>WOLVERTON U.D.</t>
  </si>
  <si>
    <t>WYCOMBE R.D.</t>
  </si>
  <si>
    <t>BARNACK R.D.</t>
  </si>
  <si>
    <t>CAMBRIDGE M.B.</t>
  </si>
  <si>
    <t>CHATTERIS U.D.</t>
  </si>
  <si>
    <t>CHESTERTON R.D.</t>
  </si>
  <si>
    <t>ELY R.D.</t>
  </si>
  <si>
    <t>ELY U.D.</t>
  </si>
  <si>
    <t>HUNTINGDON AND GODMANCHESTER M.B.</t>
  </si>
  <si>
    <t>HUNTINGDON R.D.</t>
  </si>
  <si>
    <t>MARCH U.D.</t>
  </si>
  <si>
    <t>NEWMARKET R.D.</t>
  </si>
  <si>
    <t>NORMAN CROSS R.D.</t>
  </si>
  <si>
    <t>NORTH WITCHFORD R.D.</t>
  </si>
  <si>
    <t>OLD FLETTON U.D.</t>
  </si>
  <si>
    <t>PETERBOROUGH R.D.</t>
  </si>
  <si>
    <t>PETERBOROUGH M.B.</t>
  </si>
  <si>
    <t>RAMSEY U.D.</t>
  </si>
  <si>
    <t>SOUTH CAMBRIDGESHIRE R.D.</t>
  </si>
  <si>
    <t>ST. IVES M.B.</t>
  </si>
  <si>
    <t>ST. IVES R.D.</t>
  </si>
  <si>
    <t>ST. NEOTS R.D.</t>
  </si>
  <si>
    <t>ST. NEOTS U.D.</t>
  </si>
  <si>
    <t>THORNEY R.D.</t>
  </si>
  <si>
    <t>WHITTLESEY U.D.</t>
  </si>
  <si>
    <t>WISBECH M.B.</t>
  </si>
  <si>
    <t>WISBECH R.D.</t>
  </si>
  <si>
    <t>ALDERLEY EDGE U.D.</t>
  </si>
  <si>
    <t>ALSAGER U.D.</t>
  </si>
  <si>
    <t>BOLLINGTON U.D.</t>
  </si>
  <si>
    <t>BUCKLOW R.D.</t>
  </si>
  <si>
    <t>CHESTER R.D.</t>
  </si>
  <si>
    <t>CHESTER C.B.</t>
  </si>
  <si>
    <t>CONGLETON M.B.</t>
  </si>
  <si>
    <t>CONGLETON R.D.</t>
  </si>
  <si>
    <t>CREWE M.B.</t>
  </si>
  <si>
    <t>DISLEY R.D.</t>
  </si>
  <si>
    <t>ELLESMERE PORT M.B.</t>
  </si>
  <si>
    <t>KNUTSFORD U.D.</t>
  </si>
  <si>
    <t>LYMM U.D.</t>
  </si>
  <si>
    <t>MACCLESFIELD M.B.</t>
  </si>
  <si>
    <t>MACCLESFIELD R.D.</t>
  </si>
  <si>
    <t>MIDDLEWICH U.D.</t>
  </si>
  <si>
    <t>NANTWICH R.D.</t>
  </si>
  <si>
    <t>NANTWICH U.D.</t>
  </si>
  <si>
    <t>NESTON U.D.</t>
  </si>
  <si>
    <t>NORTHWICH R.D.</t>
  </si>
  <si>
    <t>NORTHWICH U.D.</t>
  </si>
  <si>
    <t>RUNCORN R.D.</t>
  </si>
  <si>
    <t>RUNCORN U.D.</t>
  </si>
  <si>
    <t>SANDBACH U.D.</t>
  </si>
  <si>
    <t>TARVIN R.D.</t>
  </si>
  <si>
    <t>WARRINGTON C.B.</t>
  </si>
  <si>
    <t>WARRINGTON R.D.</t>
  </si>
  <si>
    <t>WIDNES M.B.</t>
  </si>
  <si>
    <t>WILMSLOW U.D.</t>
  </si>
  <si>
    <t>WINSFORD U.D.</t>
  </si>
  <si>
    <t>TEESSIDE C.B.</t>
  </si>
  <si>
    <t>GUISBOROUGH U.D.</t>
  </si>
  <si>
    <t>HARTLEPOOL C.B.</t>
  </si>
  <si>
    <t>LOFTUS U.D.</t>
  </si>
  <si>
    <t>SALTBURN AND MARSKE-BY-THE-SEA U.D.</t>
  </si>
  <si>
    <t>SKELTON AND BROTTON U.D.</t>
  </si>
  <si>
    <t>STOCKTON R.D.</t>
  </si>
  <si>
    <t>STOKESLEY R.D.</t>
  </si>
  <si>
    <t>BODMIN M.B.</t>
  </si>
  <si>
    <t>BUDE-STRATTON U.D.</t>
  </si>
  <si>
    <t>CAMBORNE-REDRUTH U.D.</t>
  </si>
  <si>
    <t>CAMELFORD R.D.</t>
  </si>
  <si>
    <t>FALMOUTH M.B.</t>
  </si>
  <si>
    <t>ST.AUSTELL WITH FOWEY M.B.</t>
  </si>
  <si>
    <t>HELSTON M.B.</t>
  </si>
  <si>
    <t>SCILLY,ISLES OF,</t>
  </si>
  <si>
    <t>KERRIER R.D.</t>
  </si>
  <si>
    <t>LAUNCESTON M.B.</t>
  </si>
  <si>
    <t>LAUNCESTON R.D.</t>
  </si>
  <si>
    <t>LISKEARD M.B.</t>
  </si>
  <si>
    <t>LISKEARD R.D.</t>
  </si>
  <si>
    <t>LOOE U.D.</t>
  </si>
  <si>
    <t>ST.AUSTELL R.D.</t>
  </si>
  <si>
    <t>NEWQUAY U.D.</t>
  </si>
  <si>
    <t>WADEBRIDGE AND PADSTOW R.D.</t>
  </si>
  <si>
    <t>PENRYN M.B.</t>
  </si>
  <si>
    <t>PENZANCE M.B.</t>
  </si>
  <si>
    <t>SALTASH M.B.</t>
  </si>
  <si>
    <t>ST.GERMANS R.D.</t>
  </si>
  <si>
    <t>ST.IVES M.B.</t>
  </si>
  <si>
    <t>ST.JUST U.D.</t>
  </si>
  <si>
    <t>STRATTON R.D.</t>
  </si>
  <si>
    <t>TORPOINT U.D.</t>
  </si>
  <si>
    <t>TRURO R.D.</t>
  </si>
  <si>
    <t>TRURO M.B.</t>
  </si>
  <si>
    <t>WEST PENWITH R.D.</t>
  </si>
  <si>
    <t>ALSTON WITH GARRIGILL R.D.</t>
  </si>
  <si>
    <t>APPLEBY M.B.</t>
  </si>
  <si>
    <t>BARROW-IN-FURNESS C.B.</t>
  </si>
  <si>
    <t>BORDER R.D.</t>
  </si>
  <si>
    <t>CARLISLE C.B.</t>
  </si>
  <si>
    <t>COCKERMOUTH R.D.</t>
  </si>
  <si>
    <t>COCKERMOUTH U.D.</t>
  </si>
  <si>
    <t>DALTON-IN-FURNESS U.D.</t>
  </si>
  <si>
    <t>ENNERDALE R.D.</t>
  </si>
  <si>
    <t>GRANGE U.D.</t>
  </si>
  <si>
    <t>KENDAL M.B.</t>
  </si>
  <si>
    <t>KESWICK U.D.</t>
  </si>
  <si>
    <t>LAKES U.D.</t>
  </si>
  <si>
    <t>MARYPORT U.D.</t>
  </si>
  <si>
    <t>MILLOM R.D.</t>
  </si>
  <si>
    <t>NORTH LONSDALE R.D.</t>
  </si>
  <si>
    <t>NORTH WESTMORLAND R.D.</t>
  </si>
  <si>
    <t>PENRITH R.D.</t>
  </si>
  <si>
    <t>PENRITH U.D.</t>
  </si>
  <si>
    <t>SEDBERGH R.D.</t>
  </si>
  <si>
    <t>SOUTH WESTMORLAND R.D.</t>
  </si>
  <si>
    <t>ULVERSTON U.D.</t>
  </si>
  <si>
    <t>WHITEHAVEN M.B.</t>
  </si>
  <si>
    <t>WIGTON R.D.</t>
  </si>
  <si>
    <t>WINDERMERE U.D.</t>
  </si>
  <si>
    <t>WORKINGTON M.B.</t>
  </si>
  <si>
    <t>ALFRETON U.D.</t>
  </si>
  <si>
    <t>ASHBOURNE R.D.</t>
  </si>
  <si>
    <t>ASHBOURNE U.D.</t>
  </si>
  <si>
    <t>BAKEWELL R.D.</t>
  </si>
  <si>
    <t>BAKEWELL U.D.</t>
  </si>
  <si>
    <t>DERBY C.B.</t>
  </si>
  <si>
    <t>BELPER U.D.</t>
  </si>
  <si>
    <t>BLACKWELL R.D.</t>
  </si>
  <si>
    <t>BOLSOVER U.D.</t>
  </si>
  <si>
    <t>BUXTON M.B.</t>
  </si>
  <si>
    <t>CHAPEL EN LE FRITH R.D.</t>
  </si>
  <si>
    <t>CHESTERFIELD M.B.</t>
  </si>
  <si>
    <t>CHESTERFIELD R.D.</t>
  </si>
  <si>
    <t>CLAY CROSS U.D.</t>
  </si>
  <si>
    <t>CLOWNE R.D.</t>
  </si>
  <si>
    <t>DRONFIELD U.D.</t>
  </si>
  <si>
    <t>GLOSSOP M.B.</t>
  </si>
  <si>
    <t>HEANOR U.D.</t>
  </si>
  <si>
    <t>ILKESTON M.B.</t>
  </si>
  <si>
    <t>LONG EATON U.D.</t>
  </si>
  <si>
    <t>MATLOCK U.D.</t>
  </si>
  <si>
    <t>NEW MILLS U.D.</t>
  </si>
  <si>
    <t>RIPLEY U.D.</t>
  </si>
  <si>
    <t>STAVELEY U.D.</t>
  </si>
  <si>
    <t>SWADLINCOTE U.D.</t>
  </si>
  <si>
    <t>TINTWISTLE R.D.</t>
  </si>
  <si>
    <t>WHALEY BRIDGE U.D.</t>
  </si>
  <si>
    <t>WIRKSWORTH U.D.</t>
  </si>
  <si>
    <t>ASHBURTON U.D.</t>
  </si>
  <si>
    <t>AXMINSTER R.D.</t>
  </si>
  <si>
    <t>BARNSTAPLE M.B.</t>
  </si>
  <si>
    <t>BARNSTAPLE R.D.</t>
  </si>
  <si>
    <t>BIDEFORD M.B.</t>
  </si>
  <si>
    <t>BIDEFORD R.D.</t>
  </si>
  <si>
    <t>TORBAY C.B.</t>
  </si>
  <si>
    <t>HOLSWORTHY R.D.</t>
  </si>
  <si>
    <t>BUCKFASTLEIGH U.D.</t>
  </si>
  <si>
    <t>BUDLEIGH SALTERTON U.D.</t>
  </si>
  <si>
    <t>CREDITON R.D.</t>
  </si>
  <si>
    <t>CREDITON U.D.</t>
  </si>
  <si>
    <t>DARTMOUTH M.B.</t>
  </si>
  <si>
    <t>DAWLISH U.D.</t>
  </si>
  <si>
    <t>EXETER C.B.</t>
  </si>
  <si>
    <t>EXMOUTH U.D.</t>
  </si>
  <si>
    <t>GREAT TORRINGTON M.B.</t>
  </si>
  <si>
    <t>HONITON M.B.</t>
  </si>
  <si>
    <t>HONITON R.D.</t>
  </si>
  <si>
    <t>ILFRACOMBE U.D.</t>
  </si>
  <si>
    <t>KINGSBRIDGE R.D.</t>
  </si>
  <si>
    <t>KINGSBRIDGE U.D.</t>
  </si>
  <si>
    <t>LYNTON U.D.</t>
  </si>
  <si>
    <t>NEWTON ABBOT R.D.</t>
  </si>
  <si>
    <t>NEWTON ABBOT U.D.</t>
  </si>
  <si>
    <t>NORTHAM U.D.</t>
  </si>
  <si>
    <t>OKEHAMPTON M.B.</t>
  </si>
  <si>
    <t>OKEHAMPTON R.D.</t>
  </si>
  <si>
    <t>OTTERY ST.MARY U.D.</t>
  </si>
  <si>
    <t>PLYMOUTH C.B.</t>
  </si>
  <si>
    <t>SALCOMBE U.D.</t>
  </si>
  <si>
    <t>SEATON U.D.</t>
  </si>
  <si>
    <t>SIDMOUTH U.D.</t>
  </si>
  <si>
    <t>SOUTH MOLTON R.D.</t>
  </si>
  <si>
    <t>ST.THOMAS R.D.</t>
  </si>
  <si>
    <t>TAVISTOCK R.D.</t>
  </si>
  <si>
    <t>TEIGNMOUTH U.D.</t>
  </si>
  <si>
    <t>TIVERTON M.B.</t>
  </si>
  <si>
    <t>TIVERTON R.D.</t>
  </si>
  <si>
    <t>TORRINGTON R.D.</t>
  </si>
  <si>
    <t>TOTNES M.B.</t>
  </si>
  <si>
    <t>TOTNES R.D.</t>
  </si>
  <si>
    <t>BEAMINSTER R.D.</t>
  </si>
  <si>
    <t>BLANDFORD FORUM M.B.</t>
  </si>
  <si>
    <t>BLANDFORD R.D.</t>
  </si>
  <si>
    <t>BOURNEMOUTH C.B.</t>
  </si>
  <si>
    <t>BRIDPORT M.B.</t>
  </si>
  <si>
    <t>BRIDPORT R.D.</t>
  </si>
  <si>
    <t>CHRISTCHURCH M.B.</t>
  </si>
  <si>
    <t>DORCHESTER M.B.</t>
  </si>
  <si>
    <t>DORCHESTER R.D.</t>
  </si>
  <si>
    <t>LYME REGIS M.B.</t>
  </si>
  <si>
    <t>POOLE M.B.</t>
  </si>
  <si>
    <t>PORTLAND U.D.</t>
  </si>
  <si>
    <t>SHAFTESBURY M.B.</t>
  </si>
  <si>
    <t>SHAFTESBURY R.D.</t>
  </si>
  <si>
    <t>SHERBORNE R.D.</t>
  </si>
  <si>
    <t>SHERBORNE U.D.</t>
  </si>
  <si>
    <t>STURMINSTER R.D.</t>
  </si>
  <si>
    <t>SWANAGE U.D.</t>
  </si>
  <si>
    <t>WAREHAM AND PURBECK R.D.</t>
  </si>
  <si>
    <t>WAREHAM M.B.</t>
  </si>
  <si>
    <t>WEYMOUTH AND MELCOMBE REGIS M.B.</t>
  </si>
  <si>
    <t>WIMBORNE AND CRANBORNE R.D.</t>
  </si>
  <si>
    <t>WIMBORNE MINSTER U.D.</t>
  </si>
  <si>
    <t>BARNARD CASTLE R.D.</t>
  </si>
  <si>
    <t>BARNARD CASTLE U.D.</t>
  </si>
  <si>
    <t>BISHOP AUCKLAND U.D.</t>
  </si>
  <si>
    <t>BRANDON AND BYSHOTTLES U.D.</t>
  </si>
  <si>
    <t>CHESTER-LE-STREET R.D.</t>
  </si>
  <si>
    <t>CHESTER-LE-STREET U.D.</t>
  </si>
  <si>
    <t>CONSETT U.D.</t>
  </si>
  <si>
    <t>CROOK AND WILLINGTON U.D.</t>
  </si>
  <si>
    <t>DARLINGTON C.B.</t>
  </si>
  <si>
    <t>DARLINGTON R.D.</t>
  </si>
  <si>
    <t>DURHAM R.D.</t>
  </si>
  <si>
    <t>DURHAM M.B.</t>
  </si>
  <si>
    <t>EASINGTON R.D.</t>
  </si>
  <si>
    <t>LANCHESTER R.D.</t>
  </si>
  <si>
    <t>SEAHAM U.D.</t>
  </si>
  <si>
    <t>SEDGEFIELD R.D.</t>
  </si>
  <si>
    <t>SHILDON U.D.</t>
  </si>
  <si>
    <t>SPENNYMOOR U.D.</t>
  </si>
  <si>
    <t>STANLEY U.D.</t>
  </si>
  <si>
    <t>STARTFORTH R.D.</t>
  </si>
  <si>
    <t>TOW LAW U.D.</t>
  </si>
  <si>
    <t>WEARDALE R.D.</t>
  </si>
  <si>
    <t>BATTLE R.D.</t>
  </si>
  <si>
    <t>BEXHILL M.B.</t>
  </si>
  <si>
    <t>BRIGHTON C.B.</t>
  </si>
  <si>
    <t>CHAILEY R.D.</t>
  </si>
  <si>
    <t>EASTBOURNE C.B.</t>
  </si>
  <si>
    <t>HAILSHAM R.D.</t>
  </si>
  <si>
    <t>HASTINGS C.B.</t>
  </si>
  <si>
    <t>HOVE M.B.</t>
  </si>
  <si>
    <t>LEWES M.B.</t>
  </si>
  <si>
    <t>NEWHAVEN U.D.</t>
  </si>
  <si>
    <t>PORTSLADE-BY-SEA U.D.</t>
  </si>
  <si>
    <t>RYE M.B.</t>
  </si>
  <si>
    <t>SEAFORD U.D.</t>
  </si>
  <si>
    <t>UCKFIELD R.D.</t>
  </si>
  <si>
    <t>BASILDON U.D.</t>
  </si>
  <si>
    <t>BENFLEET U.D.</t>
  </si>
  <si>
    <t>BRAINTREE AND BOCKING U.D.</t>
  </si>
  <si>
    <t>BRAINTREE R.D.</t>
  </si>
  <si>
    <t>BRENTWOOD U.D.</t>
  </si>
  <si>
    <t>BRIGHTLINGSEA U.D.</t>
  </si>
  <si>
    <t>BURNHAM-ON-CROUCH U.D.</t>
  </si>
  <si>
    <t>CANVEY ISLAND U.D.</t>
  </si>
  <si>
    <t>CHELMSFORD M.B.</t>
  </si>
  <si>
    <t>CHELMSFORD R.D.</t>
  </si>
  <si>
    <t>CHIGWELL U.D.</t>
  </si>
  <si>
    <t>CLACTON U.D.</t>
  </si>
  <si>
    <t>COLCHESTER M.B.</t>
  </si>
  <si>
    <t>DUNMOW R.D.</t>
  </si>
  <si>
    <t>EPPING AND ONGAR R.D.</t>
  </si>
  <si>
    <t>EPPING U.D.</t>
  </si>
  <si>
    <t>FRINTON AND WALTON U.D.</t>
  </si>
  <si>
    <t>HALSTEAD R.D.</t>
  </si>
  <si>
    <t>HALSTEAD U.D.</t>
  </si>
  <si>
    <t>HARLOW U.D.</t>
  </si>
  <si>
    <t>HARWICH M.B.</t>
  </si>
  <si>
    <t>LEXDEN AND WINSTREE R.D.</t>
  </si>
  <si>
    <t>MALDON M.B.</t>
  </si>
  <si>
    <t>MALDON R.D.</t>
  </si>
  <si>
    <t>RAYLEIGH U.D.</t>
  </si>
  <si>
    <t>ROCHFORD R.D.</t>
  </si>
  <si>
    <t>SAFFRON WALDEN M.B.</t>
  </si>
  <si>
    <t>SAFFRON WALDEN R.D.</t>
  </si>
  <si>
    <t>SOUTHEND-ON-SEA C.B.</t>
  </si>
  <si>
    <t>TENDRING R.D.</t>
  </si>
  <si>
    <t>THURROCK U.D.</t>
  </si>
  <si>
    <t>WALTHAM HOLY CROSS U.D.</t>
  </si>
  <si>
    <t>WEST MERSEA U.D.</t>
  </si>
  <si>
    <t>WITHAM U.D.</t>
  </si>
  <si>
    <t>WIVENHOE U.D.</t>
  </si>
  <si>
    <t>CHARLTON KINGS U.D.</t>
  </si>
  <si>
    <t>CHELTENHAM M.B.</t>
  </si>
  <si>
    <t>CHELTENHAM R.D.</t>
  </si>
  <si>
    <t>CIRENCESTER R.D.</t>
  </si>
  <si>
    <t>CIRENCESTER U.D.</t>
  </si>
  <si>
    <t>DURSLEY R.D.</t>
  </si>
  <si>
    <t>EAST DEAN R.D.</t>
  </si>
  <si>
    <t>GLOUCESTER C.B.</t>
  </si>
  <si>
    <t>LYDNEY R.D.</t>
  </si>
  <si>
    <t>NAILSWORTH U.D.</t>
  </si>
  <si>
    <t>NEWENT R.D.</t>
  </si>
  <si>
    <t>NORTH COTSWOLD R.D.</t>
  </si>
  <si>
    <t>NORTHLEACH R.D.</t>
  </si>
  <si>
    <t>STROUD R.D.</t>
  </si>
  <si>
    <t>STROUD U.D.</t>
  </si>
  <si>
    <t>TETBURY R.D.</t>
  </si>
  <si>
    <t>TEWKESBURY M.B.</t>
  </si>
  <si>
    <t>WEST DEAN R.D.</t>
  </si>
  <si>
    <t>ABRAM U.D.</t>
  </si>
  <si>
    <t>ALTRINCHAM M.B.</t>
  </si>
  <si>
    <t>ASHTON-IN-MAKERFIELD U.D.</t>
  </si>
  <si>
    <t>ASHTON-UNDER-LYNE M.B.</t>
  </si>
  <si>
    <t>ASPULL U.D.</t>
  </si>
  <si>
    <t>ATHERTON U.D.</t>
  </si>
  <si>
    <t>AUDENSHAW U.D.</t>
  </si>
  <si>
    <t>BILLINGE-AND-WINSTANLEY U.D.</t>
  </si>
  <si>
    <t>BLACKROD U.D.</t>
  </si>
  <si>
    <t>BOLTON C.B.</t>
  </si>
  <si>
    <t>BOWDON U.D.</t>
  </si>
  <si>
    <t>BREDBURY AND ROMILEY U.D.</t>
  </si>
  <si>
    <t>BURY C.B.</t>
  </si>
  <si>
    <t>CHADDERTON U.D.</t>
  </si>
  <si>
    <t>CHEADLE AND GATLEY U.D.</t>
  </si>
  <si>
    <t>CROMPTON U.D.</t>
  </si>
  <si>
    <t>DENTON U.D.</t>
  </si>
  <si>
    <t>DROYLSDEN U.D.</t>
  </si>
  <si>
    <t>DUKINFIELD M.B.</t>
  </si>
  <si>
    <t>ECCLES M.B.</t>
  </si>
  <si>
    <t>FAILSWORTH U.D.</t>
  </si>
  <si>
    <t>FARNWORTH M.B.</t>
  </si>
  <si>
    <t>GOLBORNE U.D.</t>
  </si>
  <si>
    <t>HALE U.D.</t>
  </si>
  <si>
    <t>HAZEL GROVE AND BRAMHALL U.D.</t>
  </si>
  <si>
    <t>HEYWOOD M.B.</t>
  </si>
  <si>
    <t>HINDLEY U.D.</t>
  </si>
  <si>
    <t>HORWICH U.D.</t>
  </si>
  <si>
    <t>HYDE M.B.</t>
  </si>
  <si>
    <t>INCE-IN-MAKERFIELD U.D.</t>
  </si>
  <si>
    <t>IRLAM U.D.</t>
  </si>
  <si>
    <t>KEARSLEY U.D.</t>
  </si>
  <si>
    <t>LEES U.D.</t>
  </si>
  <si>
    <t>LEIGH M.B.</t>
  </si>
  <si>
    <t>LITTLE LEVER U.D.</t>
  </si>
  <si>
    <t>LITTLEBOROUGH U.D.</t>
  </si>
  <si>
    <t>LONGDENDALE U.D.</t>
  </si>
  <si>
    <t>MANCHESTER C.B.</t>
  </si>
  <si>
    <t>MARPLE U.D.</t>
  </si>
  <si>
    <t>MIDDLETON M.B.</t>
  </si>
  <si>
    <t>MILNROW U.D.</t>
  </si>
  <si>
    <t>MOSSLEY M.B.</t>
  </si>
  <si>
    <t>OLDHAM C.B.</t>
  </si>
  <si>
    <t>ORRELL U.D.</t>
  </si>
  <si>
    <t>PRESTWICH M.B.</t>
  </si>
  <si>
    <t>RADCLIFFE M.B.</t>
  </si>
  <si>
    <t>RAMSBOTTOM U.D.</t>
  </si>
  <si>
    <t>ROCHDALE C.B.</t>
  </si>
  <si>
    <t>ROYTON U.D.</t>
  </si>
  <si>
    <t>SADDLEWORTH U.D.</t>
  </si>
  <si>
    <t>SALE M.B.</t>
  </si>
  <si>
    <t>SALFORD C.B.</t>
  </si>
  <si>
    <t>STALYBRIDGE M.B.</t>
  </si>
  <si>
    <t>STANDISH-WITH-LANGTREE U.D.</t>
  </si>
  <si>
    <t>STOCKPORT C.B.</t>
  </si>
  <si>
    <t>STRETFORD M.B.</t>
  </si>
  <si>
    <t>SWINTON AND PENDLEBURY M.B.</t>
  </si>
  <si>
    <t>TOTTINGTON U.D.</t>
  </si>
  <si>
    <t>TURTON U.D.</t>
  </si>
  <si>
    <t>TYLDESLEY U.D.</t>
  </si>
  <si>
    <t>URMSTON U.D.</t>
  </si>
  <si>
    <t>WARDLE U.D.</t>
  </si>
  <si>
    <t>WESTHOUGHTON U.D.</t>
  </si>
  <si>
    <t>WHITEFIELD U.D.</t>
  </si>
  <si>
    <t>WIGAN C.B.</t>
  </si>
  <si>
    <t>WORSLEY U.D.</t>
  </si>
  <si>
    <t>ALDERSHOT M.B.</t>
  </si>
  <si>
    <t>ALTON R.D.</t>
  </si>
  <si>
    <t>ALTON U.D.</t>
  </si>
  <si>
    <t>ANDOVER M.B.</t>
  </si>
  <si>
    <t>ANDOVER R.D.</t>
  </si>
  <si>
    <t>BASINGSTOKE M.B.</t>
  </si>
  <si>
    <t>BASINGSTOKE R.D.</t>
  </si>
  <si>
    <t>DROXFORD R.D.</t>
  </si>
  <si>
    <t>EASTLEIGH M.B.</t>
  </si>
  <si>
    <t>FAREHAM U.D.</t>
  </si>
  <si>
    <t>FARNBOROUGH U.D.</t>
  </si>
  <si>
    <t>FLEET U.D.</t>
  </si>
  <si>
    <t>GOSPORT M.B.</t>
  </si>
  <si>
    <t>HARTLEY WINTNEY R.D.</t>
  </si>
  <si>
    <t>HAVANT AND WATERLOO U.D.</t>
  </si>
  <si>
    <t>KINGSCLERE AND WHITCHURCH R.D.</t>
  </si>
  <si>
    <t>LYMINGTON M.B.</t>
  </si>
  <si>
    <t>NEW FOREST R.D.</t>
  </si>
  <si>
    <t>PETERSFIELD R.D.</t>
  </si>
  <si>
    <t>PETERSFIELD U.D.</t>
  </si>
  <si>
    <t>PORTSMOUTH C.B.</t>
  </si>
  <si>
    <t>RINGWOOD AND FORDINGBRIDGE R.D.</t>
  </si>
  <si>
    <t>ROMSEY AND STOCKBRIDGE R.D.</t>
  </si>
  <si>
    <t>ROMSEY M.B.</t>
  </si>
  <si>
    <t>SOUTHAMPTON C.B.</t>
  </si>
  <si>
    <t>WINCHESTER R.D.</t>
  </si>
  <si>
    <t>WINCHESTER M.B.</t>
  </si>
  <si>
    <t>BEWDLEY M.B.</t>
  </si>
  <si>
    <t>BROMSGROVE R.D.</t>
  </si>
  <si>
    <t>BROMSGROVE U.D.</t>
  </si>
  <si>
    <t>BROMYARD R.D.</t>
  </si>
  <si>
    <t>DORE AND BREDWARDINE R.D.</t>
  </si>
  <si>
    <t>DROITWICH M.B.</t>
  </si>
  <si>
    <t>DROITWICH R.D.</t>
  </si>
  <si>
    <t>EVESHAM M.B.</t>
  </si>
  <si>
    <t>EVESHAM R.D.</t>
  </si>
  <si>
    <t>HEREFORD R.D.</t>
  </si>
  <si>
    <t>HEREFORD M.B.</t>
  </si>
  <si>
    <t>KIDDERMINSTER M.B.</t>
  </si>
  <si>
    <t>KIDDERMINSTER R.D.</t>
  </si>
  <si>
    <t>KINGTON R.D.</t>
  </si>
  <si>
    <t>KINGTON U.D.</t>
  </si>
  <si>
    <t>LEDBURY R.D.</t>
  </si>
  <si>
    <t>LEOMINSTER AND WIGMORE R.D.</t>
  </si>
  <si>
    <t>LEOMINSTER M.B.</t>
  </si>
  <si>
    <t>MALVERN U.D.</t>
  </si>
  <si>
    <t>MARTLEY R.D.</t>
  </si>
  <si>
    <t>PERSHORE R.D.</t>
  </si>
  <si>
    <t>REDDITCH U.D.</t>
  </si>
  <si>
    <t>ROSS AND WHITCHURCH R.D.</t>
  </si>
  <si>
    <t>ROSS-ON-WYE U.D.</t>
  </si>
  <si>
    <t>STOURPORT-ON-SEVERN U.D.</t>
  </si>
  <si>
    <t>TENBURY R.D.</t>
  </si>
  <si>
    <t>UPTON UPON SEVERN R.D.</t>
  </si>
  <si>
    <t>WEOBLEY R.D.</t>
  </si>
  <si>
    <t>WORCESTER C.B.</t>
  </si>
  <si>
    <t>BALDOCK U.D.</t>
  </si>
  <si>
    <t>BERKHAMSTED R.D.</t>
  </si>
  <si>
    <t>BERKHAMSTED U.D.</t>
  </si>
  <si>
    <t>BISHOP'S STORTFORD U.D.</t>
  </si>
  <si>
    <t>BRAUGHING R.D.</t>
  </si>
  <si>
    <t>BUSHEY U.D.</t>
  </si>
  <si>
    <t>CHESHUNT U.D.</t>
  </si>
  <si>
    <t>CHORLEYWOOD U.D.</t>
  </si>
  <si>
    <t>ELSTREE R.D.</t>
  </si>
  <si>
    <t>HARPENDEN U.D.</t>
  </si>
  <si>
    <t>HATFIELD R.D.</t>
  </si>
  <si>
    <t>HEMEL HEMPSTEAD M.B.</t>
  </si>
  <si>
    <t>HEMEL HEMPSTEAD R.D.</t>
  </si>
  <si>
    <t>HERTFORD M.B.</t>
  </si>
  <si>
    <t>HERTFORD R.D.</t>
  </si>
  <si>
    <t>HITCHIN R.D.</t>
  </si>
  <si>
    <t>HITCHIN U.D.</t>
  </si>
  <si>
    <t>HODDESDON U.D.</t>
  </si>
  <si>
    <t>LETCHWORTH U.D.</t>
  </si>
  <si>
    <t>POTTERS BAR U.D.</t>
  </si>
  <si>
    <t>RICKMANSWORTH U.D.</t>
  </si>
  <si>
    <t>ROYSTON U.D.</t>
  </si>
  <si>
    <t>SAWBRIDGEWORTH U.D.</t>
  </si>
  <si>
    <t>ST. ALBANS M.B.</t>
  </si>
  <si>
    <t>ST. ALBANS R.D.</t>
  </si>
  <si>
    <t>STEVENAGE U.D.</t>
  </si>
  <si>
    <t>TRING U.D.</t>
  </si>
  <si>
    <t>WARE R.D.</t>
  </si>
  <si>
    <t>WARE U.D.</t>
  </si>
  <si>
    <t>WATFORD M.B.</t>
  </si>
  <si>
    <t>WATFORD R.D.</t>
  </si>
  <si>
    <t>WELWYN GARDEN CITY U.D.</t>
  </si>
  <si>
    <t>WELWYN R.D.</t>
  </si>
  <si>
    <t>BARTON-UPON-HUMBER U.D.</t>
  </si>
  <si>
    <t>BEVERLEY M.B.</t>
  </si>
  <si>
    <t>BEVERLEY R.D.</t>
  </si>
  <si>
    <t>BRIDLINGTON M.B.</t>
  </si>
  <si>
    <t>BRIDLINGTON R.D.</t>
  </si>
  <si>
    <t>BRIGG U.D.</t>
  </si>
  <si>
    <t>CLEETHORPES M.B.</t>
  </si>
  <si>
    <t>DRIFFIELD R.D.</t>
  </si>
  <si>
    <t>DRIFFIELD U.D.</t>
  </si>
  <si>
    <t>GLANFORD BRIGG R.D.</t>
  </si>
  <si>
    <t>GOOLE M.B.</t>
  </si>
  <si>
    <t>GOOLE R.D.</t>
  </si>
  <si>
    <t>GRIMSBY C.B.</t>
  </si>
  <si>
    <t>GRIMSBY R.D.</t>
  </si>
  <si>
    <t>HALTEMPRICE U.D.</t>
  </si>
  <si>
    <t>HEDON M.B.</t>
  </si>
  <si>
    <t>HOLDERNESS R.D.</t>
  </si>
  <si>
    <t>HORNSEA U.D.</t>
  </si>
  <si>
    <t>HOWDEN R.D.</t>
  </si>
  <si>
    <t>ISLE OF AXHOLME R.D.</t>
  </si>
  <si>
    <t>KINGSTON UPON HULL C.B.</t>
  </si>
  <si>
    <t>POCKLINGTON R.D.</t>
  </si>
  <si>
    <t>SCUNTHORPE M.B.</t>
  </si>
  <si>
    <t>WITHERNSEA U.D.</t>
  </si>
  <si>
    <t>WANDSWORTH L.B.</t>
  </si>
  <si>
    <t>SOUTHWARK L.B.</t>
  </si>
  <si>
    <t>TOWER HAMLETS L.B.</t>
  </si>
  <si>
    <t>KENSINGTON AND CHELSEA L.B.</t>
  </si>
  <si>
    <t>CITY OF LONDON</t>
  </si>
  <si>
    <t>LEWISHAM L.B.</t>
  </si>
  <si>
    <t>NEWHAM L.B.</t>
  </si>
  <si>
    <t>ISLINGTON L.B.</t>
  </si>
  <si>
    <t>HAMMERSMITH L.B.</t>
  </si>
  <si>
    <t>HACKNEY L.B.</t>
  </si>
  <si>
    <t>CAMDEN L.B.</t>
  </si>
  <si>
    <t>HARINGEY L.B.</t>
  </si>
  <si>
    <t>LAMBETH L.B.</t>
  </si>
  <si>
    <t>WESTMINSTER L.B.</t>
  </si>
  <si>
    <t>COWES U.D.</t>
  </si>
  <si>
    <t>ISLE OF WIGHT R.D.</t>
  </si>
  <si>
    <t>NEWPORT M.B.</t>
  </si>
  <si>
    <t>RYDE M.B.</t>
  </si>
  <si>
    <t>SANDOWN-SHANKLIN U.D.</t>
  </si>
  <si>
    <t>VENTNOR U.D.</t>
  </si>
  <si>
    <t>ASHFORD U.D.</t>
  </si>
  <si>
    <t>BRIDGE-BLEAN R.D.</t>
  </si>
  <si>
    <t>BROADSTAIRS AND ST. PETER'S U.D.</t>
  </si>
  <si>
    <t>CANTERBURY C.B.</t>
  </si>
  <si>
    <t>CHATHAM M.B.</t>
  </si>
  <si>
    <t>CRANBROOK R.D.</t>
  </si>
  <si>
    <t>DARTFORD M.B.</t>
  </si>
  <si>
    <t>DARTFORD R.D.</t>
  </si>
  <si>
    <t>DEAL M.B.</t>
  </si>
  <si>
    <t>DOVER M.B.</t>
  </si>
  <si>
    <t>DOVER R.D.</t>
  </si>
  <si>
    <t>EAST ASHFORD R.D.</t>
  </si>
  <si>
    <t>EASTRY R.D.</t>
  </si>
  <si>
    <t>ELHAM R.D.</t>
  </si>
  <si>
    <t>FAVERSHAM M.B.</t>
  </si>
  <si>
    <t>FOLKESTONE M.B.</t>
  </si>
  <si>
    <t>GILLINGHAM M.B.</t>
  </si>
  <si>
    <t>GRAVESEND M.B.</t>
  </si>
  <si>
    <t>HERNE BAY U.D.</t>
  </si>
  <si>
    <t>HOLLINGBOURN R.D.</t>
  </si>
  <si>
    <t>HYTHE M.B.</t>
  </si>
  <si>
    <t>LYDD M.B.</t>
  </si>
  <si>
    <t>MAIDSTONE M.B.</t>
  </si>
  <si>
    <t>MAIDSTONE R.D.</t>
  </si>
  <si>
    <t>MALLING R.D.</t>
  </si>
  <si>
    <t>MARGATE M.B.</t>
  </si>
  <si>
    <t>NEW ROMNEY M.B.</t>
  </si>
  <si>
    <t>NORTHFLEET U.D.</t>
  </si>
  <si>
    <t>QUEENBOROUGH IN SHEPPEY M.B.</t>
  </si>
  <si>
    <t>RAMSGATE M.B.</t>
  </si>
  <si>
    <t>ROCHESTER M.B.</t>
  </si>
  <si>
    <t>ROMNEY MARSH R.D.</t>
  </si>
  <si>
    <t>ROYAL TUNBRIDGE WELLS M.B.</t>
  </si>
  <si>
    <t>SANDWICH M.B.</t>
  </si>
  <si>
    <t>SEVENOAKS R.D.</t>
  </si>
  <si>
    <t>SEVENOAKS U.D.</t>
  </si>
  <si>
    <t>SITTINGBOURNE AND MILTON U.D.</t>
  </si>
  <si>
    <t>SOUTHBOROUGH U.D.</t>
  </si>
  <si>
    <t>STROOD R.D.</t>
  </si>
  <si>
    <t>SWALE R.D.</t>
  </si>
  <si>
    <t>SWANSCOMBE U.D.</t>
  </si>
  <si>
    <t>TENTERDEN M.B.</t>
  </si>
  <si>
    <t>TENTERDEN R.D.</t>
  </si>
  <si>
    <t>TONBRIDGE R.D.</t>
  </si>
  <si>
    <t>TONBRIDGE U.D.</t>
  </si>
  <si>
    <t>WEST ASHFORD R.D.</t>
  </si>
  <si>
    <t>WHITSTABLE U.D.</t>
  </si>
  <si>
    <t>ACCRINGTON M.B.</t>
  </si>
  <si>
    <t>ADLINGTON U.D.</t>
  </si>
  <si>
    <t>BACUP M.B.</t>
  </si>
  <si>
    <t>BARNOLDSWICK U.D.</t>
  </si>
  <si>
    <t>BARROWFORD U.D.</t>
  </si>
  <si>
    <t>BLACKBURN C.B.</t>
  </si>
  <si>
    <t>BLACKBURN R.D.</t>
  </si>
  <si>
    <t>BLACKPOOL C.B.</t>
  </si>
  <si>
    <t>BOWLAND R.D.</t>
  </si>
  <si>
    <t>BRIERFIELD U.D.</t>
  </si>
  <si>
    <t>BURNLEY C.B.</t>
  </si>
  <si>
    <t>BURNLEY R.D.</t>
  </si>
  <si>
    <t>CARNFORTH U.D.</t>
  </si>
  <si>
    <t>CHORLEY M.B.</t>
  </si>
  <si>
    <t>CHORLEY R.D.</t>
  </si>
  <si>
    <t>CHURCH U.D.</t>
  </si>
  <si>
    <t>CLAYTON-LE-MOORS U.D.</t>
  </si>
  <si>
    <t>CLITHEROE M.B.</t>
  </si>
  <si>
    <t>CLITHEROE R.D.</t>
  </si>
  <si>
    <t>COLNE M.B.</t>
  </si>
  <si>
    <t>DARWEN M.B.</t>
  </si>
  <si>
    <t>EARBY U.D.</t>
  </si>
  <si>
    <t>FLEETWOOD M.B.</t>
  </si>
  <si>
    <t>FULWOOD U.D.</t>
  </si>
  <si>
    <t>FYLDE R.D.</t>
  </si>
  <si>
    <t>GARSTANG R.D.</t>
  </si>
  <si>
    <t>GREAT HARWOOD U.D.</t>
  </si>
  <si>
    <t>HASLINGDEN M.B.</t>
  </si>
  <si>
    <t>KIRKHAM U.D.</t>
  </si>
  <si>
    <t>LANCASTER R.D.</t>
  </si>
  <si>
    <t>LANCASTER M.B.</t>
  </si>
  <si>
    <t>LEYLAND U.D.</t>
  </si>
  <si>
    <t>LONGRIDGE U.D.</t>
  </si>
  <si>
    <t>LUNESDALE R.D.</t>
  </si>
  <si>
    <t>LYTHAM ST. ANNE'S M.B.</t>
  </si>
  <si>
    <t>MORECAMBE AND HEYSHAM M.B.</t>
  </si>
  <si>
    <t>NELSON M.B.</t>
  </si>
  <si>
    <t>ORMSKIRK U.D.</t>
  </si>
  <si>
    <t>OSWALDTWISTLE U.D.</t>
  </si>
  <si>
    <t>PADIHAM U.D.</t>
  </si>
  <si>
    <t>POULTON-LE-FYLDE U.D.</t>
  </si>
  <si>
    <t>PREESALL U.D.</t>
  </si>
  <si>
    <t>PRESTON C.B.</t>
  </si>
  <si>
    <t>PRESTON R.D.</t>
  </si>
  <si>
    <t>RAWTENSTALL M.B.</t>
  </si>
  <si>
    <t>RISHTON U.D.</t>
  </si>
  <si>
    <t>SKELMERSDALE AND HOLLAND U.D.</t>
  </si>
  <si>
    <t>THORNTON CLEVELEYS U.D.</t>
  </si>
  <si>
    <t>TRAWDEN U.D.</t>
  </si>
  <si>
    <t>WALTON-LE-DALE U.D.</t>
  </si>
  <si>
    <t>WEST LANCASHIRE R.D.</t>
  </si>
  <si>
    <t>WHITWORTH U.D.</t>
  </si>
  <si>
    <t>WIGAN R.D.</t>
  </si>
  <si>
    <t>WITHNELL U.D.</t>
  </si>
  <si>
    <t>ASHBY DE LA ZOUCH R.D.</t>
  </si>
  <si>
    <t>ASHBY DE LA ZOUCH U.D.</t>
  </si>
  <si>
    <t>ASHBY WOULDS U.D.</t>
  </si>
  <si>
    <t>BARROW UPON SOAR R.D.</t>
  </si>
  <si>
    <t>LEICESTER C.B.</t>
  </si>
  <si>
    <t>BLABY R.D.</t>
  </si>
  <si>
    <t>CASTLE DONINGTON R.D.</t>
  </si>
  <si>
    <t>COALVILLE U.D.</t>
  </si>
  <si>
    <t>HINCKLEY U.D.</t>
  </si>
  <si>
    <t>KETTON R.D.</t>
  </si>
  <si>
    <t>LOUGHBOROUGH M.B.</t>
  </si>
  <si>
    <t>LUTTERWORTH R.D.</t>
  </si>
  <si>
    <t>MARKET BOSWORTH R.D.</t>
  </si>
  <si>
    <t>MARKET HARBOROUGH R.D.</t>
  </si>
  <si>
    <t>MARKET HARBOROUGH U.D.</t>
  </si>
  <si>
    <t>MELTON AND BELVOIR R.D.</t>
  </si>
  <si>
    <t>MELTON MOWBRAY U.D.</t>
  </si>
  <si>
    <t>OADBY U.D.</t>
  </si>
  <si>
    <t>OAKHAM R.D.</t>
  </si>
  <si>
    <t>OAKHAM U.D.</t>
  </si>
  <si>
    <t>SHEPSHED U.D.</t>
  </si>
  <si>
    <t>UPPINGHAM R.D.</t>
  </si>
  <si>
    <t>WIGSTON U.D.</t>
  </si>
  <si>
    <t>ALFORD U.D.</t>
  </si>
  <si>
    <t>BOSTON M.B.</t>
  </si>
  <si>
    <t>BOSTON R.D.</t>
  </si>
  <si>
    <t>BOURNE U.D.</t>
  </si>
  <si>
    <t>CAISTOR R.D.</t>
  </si>
  <si>
    <t>EAST ELLOE R.D.</t>
  </si>
  <si>
    <t>EAST KESTEVEN R.D.</t>
  </si>
  <si>
    <t>GAINSBOROUGH R.D.</t>
  </si>
  <si>
    <t>GAINSBOROUGH U.D.</t>
  </si>
  <si>
    <t>GRANTHAM M.B.</t>
  </si>
  <si>
    <t>HORNCASTLE R.D.</t>
  </si>
  <si>
    <t>HORNCASTLE U.D.</t>
  </si>
  <si>
    <t>LINCOLN C.B.</t>
  </si>
  <si>
    <t>LOUTH M.B.</t>
  </si>
  <si>
    <t>LOUTH R.D.</t>
  </si>
  <si>
    <t>MABLETHORPE AND SUTTON U.D.</t>
  </si>
  <si>
    <t>MARKET RASEN U.D.</t>
  </si>
  <si>
    <t>NORTH KESTEVEN R.D.</t>
  </si>
  <si>
    <t>SKEGNESS U.D.</t>
  </si>
  <si>
    <t>SLEAFORD U.D.</t>
  </si>
  <si>
    <t>SOUTH KESTEVEN R.D.</t>
  </si>
  <si>
    <t>SPALDING R.D.</t>
  </si>
  <si>
    <t>SPALDING U.D.</t>
  </si>
  <si>
    <t>SPILSBY R.D.</t>
  </si>
  <si>
    <t>STAMFORD M.B.</t>
  </si>
  <si>
    <t>WELTON R.D.</t>
  </si>
  <si>
    <t>WEST KESTEVEN R.D.</t>
  </si>
  <si>
    <t>WOODHALL SPA U.D.</t>
  </si>
  <si>
    <t>BEBINGTON M.B.</t>
  </si>
  <si>
    <t>BIRKENHEAD C.B.</t>
  </si>
  <si>
    <t>BOOTLE C.B.</t>
  </si>
  <si>
    <t>CROSBY M.B.</t>
  </si>
  <si>
    <t>FORMBY U.D.</t>
  </si>
  <si>
    <t>HAYDOCK U.D.</t>
  </si>
  <si>
    <t>HOYLAKE U.D.</t>
  </si>
  <si>
    <t>HUYTON-WITH-ROBY U.D.</t>
  </si>
  <si>
    <t>WHISTON R.D.</t>
  </si>
  <si>
    <t>LITHERLAND U.D.</t>
  </si>
  <si>
    <t>LIVERPOOL C.B.</t>
  </si>
  <si>
    <t>NEWTON-LE-WILLOWS U.D.</t>
  </si>
  <si>
    <t>PRESCOT U.D.</t>
  </si>
  <si>
    <t>RAINFORD U.D.</t>
  </si>
  <si>
    <t>SOUTHPORT C.B.</t>
  </si>
  <si>
    <t>ST. HELENS C.B.</t>
  </si>
  <si>
    <t>WALLASEY C.B.</t>
  </si>
  <si>
    <t>WIRRAL U.D.</t>
  </si>
  <si>
    <t>BLOFIELD AND FLEGG R.D.</t>
  </si>
  <si>
    <t>CROMER U.D.</t>
  </si>
  <si>
    <t>DEPWADE R.D.</t>
  </si>
  <si>
    <t>DISS U.D.</t>
  </si>
  <si>
    <t>DOCKING R.D.</t>
  </si>
  <si>
    <t>DOWNHAM MARKET U.D.</t>
  </si>
  <si>
    <t>DOWNHAM R.D.</t>
  </si>
  <si>
    <t>EAST DEREHAM U.D.</t>
  </si>
  <si>
    <t>ERPINGHAM R.D.</t>
  </si>
  <si>
    <t>FOREHOE AND HENSTEAD R.D.</t>
  </si>
  <si>
    <t>FREEBRIDGE LYNN R.D.</t>
  </si>
  <si>
    <t>GREAT YARMOUTH C.B.</t>
  </si>
  <si>
    <t>HUNSTANTON U.D.</t>
  </si>
  <si>
    <t>KING'S LYNN M.B.</t>
  </si>
  <si>
    <t>LODDON R.D.</t>
  </si>
  <si>
    <t>MARSHLAND R.D.</t>
  </si>
  <si>
    <t>MITFORD AND LAUNDITCH R.D.</t>
  </si>
  <si>
    <t>NORTH WALSHAM U.D.</t>
  </si>
  <si>
    <t>NORWICH C.B.</t>
  </si>
  <si>
    <t>SHERINGHAM U.D.</t>
  </si>
  <si>
    <t>SMALLBURGH R.D.</t>
  </si>
  <si>
    <t>ST. FAITH'S AND AYLSHAM R.D.</t>
  </si>
  <si>
    <t>SWAFFHAM R.D.</t>
  </si>
  <si>
    <t>SWAFFHAM U.D.</t>
  </si>
  <si>
    <t>THETFORD M.B.</t>
  </si>
  <si>
    <t>WALSINGHAM R.D.</t>
  </si>
  <si>
    <t>WAYLAND R.D.</t>
  </si>
  <si>
    <t>WELLS-NEXT-THE-SEA U.D.</t>
  </si>
  <si>
    <t>WYMONDHAM U.D.</t>
  </si>
  <si>
    <t>AYSGARTH R.D.</t>
  </si>
  <si>
    <t>BEDALE R.D.</t>
  </si>
  <si>
    <t>CROFT R.D.</t>
  </si>
  <si>
    <t>DERWENT R.D.</t>
  </si>
  <si>
    <t>EASINGWOLD R.D.</t>
  </si>
  <si>
    <t>FILEY U.D.</t>
  </si>
  <si>
    <t>FLAXTON R.D.</t>
  </si>
  <si>
    <t>HARROGATE M.B.</t>
  </si>
  <si>
    <t>HELMSLEY R.D.</t>
  </si>
  <si>
    <t>KIRKBYMOORSIDE R.D.</t>
  </si>
  <si>
    <t>KNARESBOROUGH U.D.</t>
  </si>
  <si>
    <t>LEYBURN R.D.</t>
  </si>
  <si>
    <t>MALTON R.D.</t>
  </si>
  <si>
    <t>MALTON U.D.</t>
  </si>
  <si>
    <t>MASHAM R.D.</t>
  </si>
  <si>
    <t>NIDDERDALE R.D.</t>
  </si>
  <si>
    <t>NORTHALLERTON R.D.</t>
  </si>
  <si>
    <t>NORTHALLERTON U.D.</t>
  </si>
  <si>
    <t>NORTON R.D.</t>
  </si>
  <si>
    <t>NORTON U.D.</t>
  </si>
  <si>
    <t>OSGOLDCROSS R.D.</t>
  </si>
  <si>
    <t>PICKERING R.D.</t>
  </si>
  <si>
    <t>PICKERING U.D.</t>
  </si>
  <si>
    <t>REETH R.D.</t>
  </si>
  <si>
    <t>RICHMOND M.B.</t>
  </si>
  <si>
    <t>RICHMOND R.D.</t>
  </si>
  <si>
    <t>RIPON AND PATELEY BRIDGE R.D.</t>
  </si>
  <si>
    <t>RIPON M.B.</t>
  </si>
  <si>
    <t>SCALBY U.D.</t>
  </si>
  <si>
    <t>SCARBOROUGH M.B.</t>
  </si>
  <si>
    <t>SCARBOROUGH R.D.</t>
  </si>
  <si>
    <t>SELBY R.D.</t>
  </si>
  <si>
    <t>SELBY U.D.</t>
  </si>
  <si>
    <t>SETTLE R.D.</t>
  </si>
  <si>
    <t>SKIPTON R.D.</t>
  </si>
  <si>
    <t>SKIPTON U.D.</t>
  </si>
  <si>
    <t>TADCASTER R.D.</t>
  </si>
  <si>
    <t>THIRSK R.D.</t>
  </si>
  <si>
    <t>WATH R.D.</t>
  </si>
  <si>
    <t>WHARFEDALE R.D.</t>
  </si>
  <si>
    <t>WHITBY R.D.</t>
  </si>
  <si>
    <t>WHITBY U.D.</t>
  </si>
  <si>
    <t>YORK C.B.</t>
  </si>
  <si>
    <t>BRACKLEY M.B.</t>
  </si>
  <si>
    <t>BRACKLEY R.D.</t>
  </si>
  <si>
    <t>BRIXWORTH R.D.</t>
  </si>
  <si>
    <t>BURTON LATIMER U.D.</t>
  </si>
  <si>
    <t>CORBY U.D.</t>
  </si>
  <si>
    <t>DAVENTRY M.B.</t>
  </si>
  <si>
    <t>DAVENTRY R.D.</t>
  </si>
  <si>
    <t>DESBOROUGH U.D.</t>
  </si>
  <si>
    <t>HIGHAM FERRERS M.B.</t>
  </si>
  <si>
    <t>IRTHLINGBOROUGH U.D.</t>
  </si>
  <si>
    <t>KETTERING M.B.</t>
  </si>
  <si>
    <t>KETTERING R.D.</t>
  </si>
  <si>
    <t>NORTHAMPTON C.B.</t>
  </si>
  <si>
    <t>OUNDLE AND THRAPSTON R.D.</t>
  </si>
  <si>
    <t>OUNDLE U.D.</t>
  </si>
  <si>
    <t>RAUNDS U.D.</t>
  </si>
  <si>
    <t>ROTHWELL U.D.</t>
  </si>
  <si>
    <t>RUSHDEN U.D.</t>
  </si>
  <si>
    <t>TOWCESTER R.D.</t>
  </si>
  <si>
    <t>WELLINGBOROUGH R.D.</t>
  </si>
  <si>
    <t>WELLINGBOROUGH U.D.</t>
  </si>
  <si>
    <t>ALNWICK R.D.</t>
  </si>
  <si>
    <t>ALNWICK U.D.</t>
  </si>
  <si>
    <t>AMBLE U.D.</t>
  </si>
  <si>
    <t>ASHINGTON U.D.</t>
  </si>
  <si>
    <t>BEDLINGTONSHIRE U.D.</t>
  </si>
  <si>
    <t>BELFORD R.D.</t>
  </si>
  <si>
    <t>BELLINGHAM R.D.</t>
  </si>
  <si>
    <t>BERWICK-UPON-TWEED M.B.</t>
  </si>
  <si>
    <t>BLYTH M.B.</t>
  </si>
  <si>
    <t>CASTLE WARD R.D.</t>
  </si>
  <si>
    <t>GLENDALE R.D.</t>
  </si>
  <si>
    <t>HALTWHISTLE R.D.</t>
  </si>
  <si>
    <t>HEXHAM R.D.</t>
  </si>
  <si>
    <t>HEXHAM U.D.</t>
  </si>
  <si>
    <t>MORPETH M.B.</t>
  </si>
  <si>
    <t>MORPETH R.D.</t>
  </si>
  <si>
    <t>NEWBIGGIN-BY-THE-SEA U.D.</t>
  </si>
  <si>
    <t>NORHAM AND ISLANDSHIRES R.D.</t>
  </si>
  <si>
    <t>PRUDHOE U.D.</t>
  </si>
  <si>
    <t>ROTHBURY R.D.</t>
  </si>
  <si>
    <t>SEATON VALLEY U.D.</t>
  </si>
  <si>
    <t>ARNOLD U.D.</t>
  </si>
  <si>
    <t>BASFORD R.D.</t>
  </si>
  <si>
    <t>BEESTON AND STAPLEFORD U.D.</t>
  </si>
  <si>
    <t>BINGHAM R.D.</t>
  </si>
  <si>
    <t>CARLTON U.D.</t>
  </si>
  <si>
    <t>EAST RETFORD M.B.</t>
  </si>
  <si>
    <t>EAST RETFORD R.D.</t>
  </si>
  <si>
    <t>EASTWOOD U.D.</t>
  </si>
  <si>
    <t>HUCKNALL U.D.</t>
  </si>
  <si>
    <t>KIRKBY IN ASHFIELD U.D.</t>
  </si>
  <si>
    <t>MANSFIELD M.B.</t>
  </si>
  <si>
    <t>MANSFIELD WOODHOUSE U.D.</t>
  </si>
  <si>
    <t>NEWARK M.B.</t>
  </si>
  <si>
    <t>NEWARK R.D.</t>
  </si>
  <si>
    <t>NOTTINGHAM C.B.</t>
  </si>
  <si>
    <t>SOUTHWELL R.D.</t>
  </si>
  <si>
    <t>SUTTON IN ASHFIELD U.D.</t>
  </si>
  <si>
    <t>WARSOP U.D.</t>
  </si>
  <si>
    <t>WEST BRIDGFORD U.D.</t>
  </si>
  <si>
    <t>WORKSOP M.B.</t>
  </si>
  <si>
    <t>WORKSOP R.D.</t>
  </si>
  <si>
    <t>EALING L.B.</t>
  </si>
  <si>
    <t>BARKING L.B.</t>
  </si>
  <si>
    <t>RICHMOND UPON THAMES L.B.</t>
  </si>
  <si>
    <t>BARNET L.B.</t>
  </si>
  <si>
    <t>BROMLEY L.B.</t>
  </si>
  <si>
    <t>SUTTON L.B.</t>
  </si>
  <si>
    <t>BEXLEY L.B.</t>
  </si>
  <si>
    <t>HOUNSLOW L.B.</t>
  </si>
  <si>
    <t>WALTHAM FOREST L.B.</t>
  </si>
  <si>
    <t>CROYDON L.B.</t>
  </si>
  <si>
    <t>ENFIELD L.B.</t>
  </si>
  <si>
    <t>GREENWICH L.B.</t>
  </si>
  <si>
    <t>HARROW L.B.</t>
  </si>
  <si>
    <t>HILLINGDON L.B.</t>
  </si>
  <si>
    <t>HAVERING L.B.</t>
  </si>
  <si>
    <t>REDBRIDGE L.B.</t>
  </si>
  <si>
    <t>KINGSTON UPON THAMES L.B.</t>
  </si>
  <si>
    <t>MERTON L.B.</t>
  </si>
  <si>
    <t>BRENT L.B.</t>
  </si>
  <si>
    <t>ABINGDON M.B.</t>
  </si>
  <si>
    <t>ABINGDON R.D.</t>
  </si>
  <si>
    <t>BANBURY M.B.</t>
  </si>
  <si>
    <t>BANBURY R.D.</t>
  </si>
  <si>
    <t>BICESTER U.D.</t>
  </si>
  <si>
    <t>BULLINGDON R.D.</t>
  </si>
  <si>
    <t>CHIPPING NORTON M.B.</t>
  </si>
  <si>
    <t>CHIPPING NORTON R.D.</t>
  </si>
  <si>
    <t>FARINGDON R.D.</t>
  </si>
  <si>
    <t>HENLEY-ON-THAMES M.B.</t>
  </si>
  <si>
    <t>HENLEY R.D.</t>
  </si>
  <si>
    <t>OXFORD C.B.</t>
  </si>
  <si>
    <t>PLOUGHLEY R.D.</t>
  </si>
  <si>
    <t>THAME U.D.</t>
  </si>
  <si>
    <t>WALLINGFORD M.B.</t>
  </si>
  <si>
    <t>WALLINGFORD R.D.</t>
  </si>
  <si>
    <t>WANTAGE R.D.</t>
  </si>
  <si>
    <t>WANTAGE U.D.</t>
  </si>
  <si>
    <t>WITNEY R.D.</t>
  </si>
  <si>
    <t>WITNEY U.D.</t>
  </si>
  <si>
    <t>WOODSTOCK M.B.</t>
  </si>
  <si>
    <t>ATCHAM R.D.</t>
  </si>
  <si>
    <t>CLUN AND BISHOP'S CASTLE R.D.</t>
  </si>
  <si>
    <t>BRIDGNORTH R.D.</t>
  </si>
  <si>
    <t>LUDLOW R.D.</t>
  </si>
  <si>
    <t>DAWLEY U.D.</t>
  </si>
  <si>
    <t>MARKET DRAYTON R.D.</t>
  </si>
  <si>
    <t>NORTH SHROPSHIRE R.D.</t>
  </si>
  <si>
    <t>NEWPORT U.D.</t>
  </si>
  <si>
    <t>OAKENGATES U.D.</t>
  </si>
  <si>
    <t>OSWESTRY R.D.</t>
  </si>
  <si>
    <t>SHIFNAL R.D.</t>
  </si>
  <si>
    <t>SHREWSBURY M. B.</t>
  </si>
  <si>
    <t>WELLINGTON R.D.</t>
  </si>
  <si>
    <t>WELLINGTON U.D.</t>
  </si>
  <si>
    <t>BRIDGWATER M.B.</t>
  </si>
  <si>
    <t>BRIDGWATER R.D.</t>
  </si>
  <si>
    <t>BURNHAM-ON-SEA U.D.</t>
  </si>
  <si>
    <t>CHARD M.B.</t>
  </si>
  <si>
    <t>CHARD R.D.</t>
  </si>
  <si>
    <t>CREWKERNE U.D.</t>
  </si>
  <si>
    <t>DULVERTON R.D.</t>
  </si>
  <si>
    <t>FROME R.D.</t>
  </si>
  <si>
    <t>FROME U.D.</t>
  </si>
  <si>
    <t>GLASTONBURY M.B.</t>
  </si>
  <si>
    <t>ILMINSTER U.D.</t>
  </si>
  <si>
    <t>LANGPORT R.D.</t>
  </si>
  <si>
    <t>MINEHEAD U.D.</t>
  </si>
  <si>
    <t>SHEPTON MALLET R.D.</t>
  </si>
  <si>
    <t>SHEPTON MALLET U.D.</t>
  </si>
  <si>
    <t>STREET U.D.</t>
  </si>
  <si>
    <t>TAUNTON M.B.</t>
  </si>
  <si>
    <t>TAUNTON R.D.</t>
  </si>
  <si>
    <t>WATCHET U.D.</t>
  </si>
  <si>
    <t>WELLS R.D.</t>
  </si>
  <si>
    <t>WELLS M.B.</t>
  </si>
  <si>
    <t>WILLITON R.D.</t>
  </si>
  <si>
    <t>WINCANTON R.D.</t>
  </si>
  <si>
    <t>YEOVIL M.B.</t>
  </si>
  <si>
    <t>YEOVIL R.D.</t>
  </si>
  <si>
    <t>ADWICK LE STREET U.D.</t>
  </si>
  <si>
    <t>BARNSLEY C.B.</t>
  </si>
  <si>
    <t>BENTLEY WITH ARKSEY U.D.</t>
  </si>
  <si>
    <t>CONISBROUGH U.D.</t>
  </si>
  <si>
    <t>CUDWORTH U.D.</t>
  </si>
  <si>
    <t>DARFIELD U.D.</t>
  </si>
  <si>
    <t>DARTON U.D.</t>
  </si>
  <si>
    <t>DEARNE U.D.</t>
  </si>
  <si>
    <t>DODWORTH U.D.</t>
  </si>
  <si>
    <t>DONCASTER C.B.</t>
  </si>
  <si>
    <t>DONCASTER R.D.</t>
  </si>
  <si>
    <t>HOYLAND NETHER U.D.</t>
  </si>
  <si>
    <t>KIVETON PARK R.D.</t>
  </si>
  <si>
    <t>MALTBY U.D.</t>
  </si>
  <si>
    <t>MEXBOROUGH U.D.</t>
  </si>
  <si>
    <t>PENISTONE R.D.</t>
  </si>
  <si>
    <t>PENISTONE U.D.</t>
  </si>
  <si>
    <t>RAWMARSH U.D.</t>
  </si>
  <si>
    <t>ROTHERHAM C.B.</t>
  </si>
  <si>
    <t>ROTHERHAM R.D.</t>
  </si>
  <si>
    <t>SHEFFIELD C.B.</t>
  </si>
  <si>
    <t>STOCKSBRIDGE U.D.</t>
  </si>
  <si>
    <t>SWINTON U.D.</t>
  </si>
  <si>
    <t>THORNE R.D.</t>
  </si>
  <si>
    <t>TICKHILL U.D.</t>
  </si>
  <si>
    <t>WATH UPON DEARNE U.D.</t>
  </si>
  <si>
    <t>WOMBWELL U.D.</t>
  </si>
  <si>
    <t>WORSBROUGH U.D.</t>
  </si>
  <si>
    <t>WORTLEY R.D.</t>
  </si>
  <si>
    <t>BIDDULPH U.D.</t>
  </si>
  <si>
    <t>BURTON UPON TRENT C.B.</t>
  </si>
  <si>
    <t>CANNOCK R.D.</t>
  </si>
  <si>
    <t>CANNOCK U.D.</t>
  </si>
  <si>
    <t>CHEADLE R.D.</t>
  </si>
  <si>
    <t>KIDSGROVE U.D.</t>
  </si>
  <si>
    <t>LEEK R.D.</t>
  </si>
  <si>
    <t>LEEK U.D.</t>
  </si>
  <si>
    <t>LICHFIELD R.D.</t>
  </si>
  <si>
    <t>LICHFIELD M.B.</t>
  </si>
  <si>
    <t>NEWCASTLE-UNDER-LYME M.B.</t>
  </si>
  <si>
    <t>NEWCASTLE-UNDER-LYME R.D.</t>
  </si>
  <si>
    <t>RUGELEY U.D.</t>
  </si>
  <si>
    <t>SEISDON R.D.</t>
  </si>
  <si>
    <t>STAFFORD M.B.</t>
  </si>
  <si>
    <t>STAFFORD R.D.</t>
  </si>
  <si>
    <t>STOKE ON TRENT C.B.</t>
  </si>
  <si>
    <t>STONE R.D.</t>
  </si>
  <si>
    <t>STONE U.D.</t>
  </si>
  <si>
    <t>TAMWORTH M.B.</t>
  </si>
  <si>
    <t>TUTBURY R.D.</t>
  </si>
  <si>
    <t>UTTOXETER R.D.</t>
  </si>
  <si>
    <t>UTTOXETER U.D.</t>
  </si>
  <si>
    <t>ALDEBURGH M.B.</t>
  </si>
  <si>
    <t>BECCLES M.B.</t>
  </si>
  <si>
    <t>BLYTH R.D.</t>
  </si>
  <si>
    <t>BUNGAY U.D.</t>
  </si>
  <si>
    <t>BURY ST. EDMUNDS M.B.</t>
  </si>
  <si>
    <t>CLARE R.D.</t>
  </si>
  <si>
    <t>COSFORD R.D.</t>
  </si>
  <si>
    <t>DEBEN R.D.</t>
  </si>
  <si>
    <t>EYE M.B.</t>
  </si>
  <si>
    <t>FELIXSTOWE U.D.</t>
  </si>
  <si>
    <t>GIPPING R.D.</t>
  </si>
  <si>
    <t>HADLEIGH U.D.</t>
  </si>
  <si>
    <t>HALESWORTH U.D.</t>
  </si>
  <si>
    <t>HARTISMERE R.D.</t>
  </si>
  <si>
    <t>HAVERHILL U.D.</t>
  </si>
  <si>
    <t>IPSWICH C.B.</t>
  </si>
  <si>
    <t>LEISTON-CUM-SIZEWELL U.D.</t>
  </si>
  <si>
    <t>LOTHINGLAND R.D.</t>
  </si>
  <si>
    <t>LOWESTOFT M.B.</t>
  </si>
  <si>
    <t>MELFORD R.D.</t>
  </si>
  <si>
    <t>MILDENHALL R.D.</t>
  </si>
  <si>
    <t>NEWMARKET U.D.</t>
  </si>
  <si>
    <t>SAMFORD R.D.</t>
  </si>
  <si>
    <t>SAXMUNDHAM U.D.</t>
  </si>
  <si>
    <t>SOUTHWOLD M.B.</t>
  </si>
  <si>
    <t>STOWMARKET U.D.</t>
  </si>
  <si>
    <t>SUDBURY M.B.</t>
  </si>
  <si>
    <t>THEDWASTRE R.D.</t>
  </si>
  <si>
    <t>THINGOE R.D.</t>
  </si>
  <si>
    <t>WAINFORD R.D.</t>
  </si>
  <si>
    <t>WOODBRIDGE U.D.</t>
  </si>
  <si>
    <t>BAGSHOT R.D.</t>
  </si>
  <si>
    <t>BANSTEAD U.D.</t>
  </si>
  <si>
    <t>CATERHAM AND WARLINGHAM U.D.</t>
  </si>
  <si>
    <t>CHERTSEY U.D.</t>
  </si>
  <si>
    <t>DORKING AND HORLEY R.D.</t>
  </si>
  <si>
    <t>DORKING U.D.</t>
  </si>
  <si>
    <t>EGHAM U.D.</t>
  </si>
  <si>
    <t>EPSOM AND EWELL M.B.</t>
  </si>
  <si>
    <t>ESHER U.D.</t>
  </si>
  <si>
    <t>FARNHAM U.D.</t>
  </si>
  <si>
    <t>FRIMLEY AND CAMBERLEY U.D.</t>
  </si>
  <si>
    <t>GODALMING M.B.</t>
  </si>
  <si>
    <t>GODSTONE R.D.</t>
  </si>
  <si>
    <t>GUILDFORD M.B.</t>
  </si>
  <si>
    <t>GUILDFORD R.D.</t>
  </si>
  <si>
    <t>HAMBLEDON R.D.</t>
  </si>
  <si>
    <t>HASLEMERE U.D.</t>
  </si>
  <si>
    <t>LEATHERHEAD U.D.</t>
  </si>
  <si>
    <t>REIGATE M.B.</t>
  </si>
  <si>
    <t>STAINES U.D.</t>
  </si>
  <si>
    <t>SUNBURY-ON-THAMES U.D.</t>
  </si>
  <si>
    <t>WALTON AND WEYBRIDGE U.D.</t>
  </si>
  <si>
    <t>WOKING U.D.</t>
  </si>
  <si>
    <t>BLAYDON U.D.</t>
  </si>
  <si>
    <t>BOLDON U.D.</t>
  </si>
  <si>
    <t>FELLING U.D.</t>
  </si>
  <si>
    <t>GATESHEAD C.B.</t>
  </si>
  <si>
    <t>GOSFORTH U.D.</t>
  </si>
  <si>
    <t>HEBBURN U.D.</t>
  </si>
  <si>
    <t>HETTON U.D.</t>
  </si>
  <si>
    <t>HOUGHTON-LE-SPRING U.D.</t>
  </si>
  <si>
    <t>JARROW M.B.</t>
  </si>
  <si>
    <t>LONGBENTON U.D.</t>
  </si>
  <si>
    <t>NEWBURN U.D.</t>
  </si>
  <si>
    <t>NEWCASTLE UPON TYNE C.B.</t>
  </si>
  <si>
    <t>RYTON U.D.</t>
  </si>
  <si>
    <t>SOUTH SHIELDS C.B.</t>
  </si>
  <si>
    <t>SUNDERLAND C.B.</t>
  </si>
  <si>
    <t>TYNEMOUTH C.B.</t>
  </si>
  <si>
    <t>WALLSEND M.B.</t>
  </si>
  <si>
    <t>WASHINGTON U.D.</t>
  </si>
  <si>
    <t>WHICKHAM U.D.</t>
  </si>
  <si>
    <t>WHITLEY BAY M.B.</t>
  </si>
  <si>
    <t>ALCESTER R.D.</t>
  </si>
  <si>
    <t>ATHERSTONE R.D.</t>
  </si>
  <si>
    <t>BEDWORTH U.D.</t>
  </si>
  <si>
    <t>KENILWORTH U.D.</t>
  </si>
  <si>
    <t>NUNEATON M.B.</t>
  </si>
  <si>
    <t>ROYAL LEAMINGTON SPA M.B.</t>
  </si>
  <si>
    <t>RUGBY M.B.</t>
  </si>
  <si>
    <t>RUGBY R.D.</t>
  </si>
  <si>
    <t>SHIPSTON ON STOUR R.D.</t>
  </si>
  <si>
    <t>SOUTHAM R.D.</t>
  </si>
  <si>
    <t>STRATFORD-ON-AVON R.D.</t>
  </si>
  <si>
    <t>STRATFORD-UPON-AVON M.B.</t>
  </si>
  <si>
    <t>WARWICK M.B.</t>
  </si>
  <si>
    <t>WARWICK R.D.</t>
  </si>
  <si>
    <t>ALDRIDGE-BROWNHILLS U.D.</t>
  </si>
  <si>
    <t>DUDLEY C.B.</t>
  </si>
  <si>
    <t>WOLVERHAMPTON C.B.</t>
  </si>
  <si>
    <t>BIRMINGHAM C.B.</t>
  </si>
  <si>
    <t>COVENTRY C.B.</t>
  </si>
  <si>
    <t>WALSALL C.B.</t>
  </si>
  <si>
    <t>HALESOWEN M.B.</t>
  </si>
  <si>
    <t>MERIDEN R.D.</t>
  </si>
  <si>
    <t>WARLEY C.B.</t>
  </si>
  <si>
    <t>SOLIHULL C.B.</t>
  </si>
  <si>
    <t>STOURBRIDGE M.B.</t>
  </si>
  <si>
    <t>SUTTON COLDFIELD M.B.</t>
  </si>
  <si>
    <t>WEST BROMWICH C.B.</t>
  </si>
  <si>
    <t>ARUNDEL M.B.</t>
  </si>
  <si>
    <t>BOGNOR REGIS U.D.</t>
  </si>
  <si>
    <t>BURGESS HILL U.D.</t>
  </si>
  <si>
    <t>CHANCTONBURY R.D.</t>
  </si>
  <si>
    <t>CHICHESTER M.B.</t>
  </si>
  <si>
    <t>CHICHESTER R.D.</t>
  </si>
  <si>
    <t>CRAWLEY U.D.</t>
  </si>
  <si>
    <t>CUCKFIELD R.D.</t>
  </si>
  <si>
    <t>CUCKFIELD U.D.</t>
  </si>
  <si>
    <t>EAST GRINSTEAD U.D.</t>
  </si>
  <si>
    <t>HORSHAM R.D.</t>
  </si>
  <si>
    <t>HORSHAM U.D.</t>
  </si>
  <si>
    <t>LITTLEHAMPTON U.D.</t>
  </si>
  <si>
    <t>MIDHURST R.D.</t>
  </si>
  <si>
    <t>PETWORTH R.D.</t>
  </si>
  <si>
    <t>SHOREHAM-BY-SEA U.D.</t>
  </si>
  <si>
    <t>SOUTHWICK U.D.</t>
  </si>
  <si>
    <t>WORTHING M.B.</t>
  </si>
  <si>
    <t>WORTHING R.D.</t>
  </si>
  <si>
    <t>AIREBOROUGH U.D.</t>
  </si>
  <si>
    <t>BAILDON U.D.</t>
  </si>
  <si>
    <t>BATLEY M.B.</t>
  </si>
  <si>
    <t>BINGLEY U.D.</t>
  </si>
  <si>
    <t>BRADFORD C.B.</t>
  </si>
  <si>
    <t>BRIGHOUSE M.B.</t>
  </si>
  <si>
    <t>CASTLEFORD M.B.</t>
  </si>
  <si>
    <t>COLNE VALLEY U.D.</t>
  </si>
  <si>
    <t>DENBY DALE U.D.</t>
  </si>
  <si>
    <t>DENHOLME U.D.</t>
  </si>
  <si>
    <t>DEWSBURY C.B.</t>
  </si>
  <si>
    <t>ELLAND U.D.</t>
  </si>
  <si>
    <t>FEATHERSTONE U.D.</t>
  </si>
  <si>
    <t>GARFORTH U.D.</t>
  </si>
  <si>
    <t>HALIFAX C.B.</t>
  </si>
  <si>
    <t>HEBDEN ROYD U.D.</t>
  </si>
  <si>
    <t>HECKMONDWIKE U.D.</t>
  </si>
  <si>
    <t>HEMSWORTH R.D.</t>
  </si>
  <si>
    <t>HEMSWORTH U.D.</t>
  </si>
  <si>
    <t>HEPTON R.D.</t>
  </si>
  <si>
    <t>HOLMFIRTH U.D.</t>
  </si>
  <si>
    <t>HORBURY U.D.</t>
  </si>
  <si>
    <t>HORSFORTH U.D.</t>
  </si>
  <si>
    <t>HUDDERSFIELD C.B.</t>
  </si>
  <si>
    <t>ILKLEY U.D.</t>
  </si>
  <si>
    <t>KEIGHLEY M.B.</t>
  </si>
  <si>
    <t>KIRKBURTON U.D.</t>
  </si>
  <si>
    <t>KNOTTINGLEY U.D.</t>
  </si>
  <si>
    <t>LEEDS C.B.</t>
  </si>
  <si>
    <t>MELTHAM U.D.</t>
  </si>
  <si>
    <t>MIRFIELD U.D.</t>
  </si>
  <si>
    <t>MORLEY M.B.</t>
  </si>
  <si>
    <t>NORMANTON U.D.</t>
  </si>
  <si>
    <t>OSSETT M.B.</t>
  </si>
  <si>
    <t>OTLEY U.D.</t>
  </si>
  <si>
    <t>PONTEFRACT M.B.</t>
  </si>
  <si>
    <t>PUDSEY M.B.</t>
  </si>
  <si>
    <t>QUEENSBURY AND SHELF U.D.</t>
  </si>
  <si>
    <t>RIPPONDEN U.D.</t>
  </si>
  <si>
    <t>SHIPLEY U.D.</t>
  </si>
  <si>
    <t>SILSDEN U.D.</t>
  </si>
  <si>
    <t>SOWERBY BRIDGE U.D.</t>
  </si>
  <si>
    <t>SPENBOROUGH M.B.</t>
  </si>
  <si>
    <t>TODMORDEN M.B.</t>
  </si>
  <si>
    <t>WAKEFIELD R.D.</t>
  </si>
  <si>
    <t>WAKEFIELD C.B.</t>
  </si>
  <si>
    <t>WETHERBY R.D.</t>
  </si>
  <si>
    <t>AMESBURY R.D.</t>
  </si>
  <si>
    <t>BRADFORD AND MELKSHAM R.D.</t>
  </si>
  <si>
    <t>BRADFORD-ON-AVON U.D.</t>
  </si>
  <si>
    <t>CALNE AND CHIPPENHAM R.D.</t>
  </si>
  <si>
    <t>CALNE M.B.</t>
  </si>
  <si>
    <t>CHIPPENHAM M.B.</t>
  </si>
  <si>
    <t>CRICKLADE AND WOOTTON BASSETT R.D.</t>
  </si>
  <si>
    <t>DEVIZES M.B.</t>
  </si>
  <si>
    <t>DEVIZES R.D.</t>
  </si>
  <si>
    <t>HIGHWORTH R.D.</t>
  </si>
  <si>
    <t>MALMESBURY M.B.</t>
  </si>
  <si>
    <t>MALMESBURY R.D.</t>
  </si>
  <si>
    <t>MARLBOROUGH AND RAMSBURY R.D.</t>
  </si>
  <si>
    <t>MARLBOROUGH M.B.</t>
  </si>
  <si>
    <t>MELKSHAM U.D.</t>
  </si>
  <si>
    <t>MERE AND TISBURY R.D.</t>
  </si>
  <si>
    <t>PEWSEY R.D.</t>
  </si>
  <si>
    <t>SALISBURY M.B.</t>
  </si>
  <si>
    <t>SALISBURY AND WILTON R.D.</t>
  </si>
  <si>
    <t>SWINDON M.B.</t>
  </si>
  <si>
    <t>TROWBRIDGE U.D.</t>
  </si>
  <si>
    <t>WARMINSTER AND WESTBURY R.D.</t>
  </si>
  <si>
    <t>WARMINSTER U.D.</t>
  </si>
  <si>
    <t>WESTBURY U.D.</t>
  </si>
  <si>
    <t>WILTON M.B.</t>
  </si>
  <si>
    <t>Barking and Dagenham</t>
  </si>
  <si>
    <t>Havering</t>
  </si>
  <si>
    <t>Redbridge</t>
  </si>
  <si>
    <t>Newham</t>
  </si>
  <si>
    <t>Sandwell</t>
  </si>
  <si>
    <t>Solihull was reorganised at some point after 1966. Lots cut from Wmids</t>
  </si>
  <si>
    <t>81_cty</t>
  </si>
  <si>
    <t>RATE POUNDAGES, PENNY RATE PRODUCTS, RATEABLE VALUES, POPULATION, AND RATE-DEFICIENCY GRANT PERCENTAGES</t>
  </si>
  <si>
    <t>City of London and Metropolitan Boroughs</t>
  </si>
  <si>
    <t>TABLE 6 (PART I)</t>
  </si>
  <si>
    <t>Rate Poundage</t>
  </si>
  <si>
    <t>Rate poundage 1963-64 for</t>
  </si>
  <si>
    <t>Penny rate product 1963-64</t>
  </si>
  <si>
    <t>Change in penny rate product from 1962-63</t>
  </si>
  <si>
    <t>Rate call 1963-64</t>
  </si>
  <si>
    <t>Rateable values in April 1963</t>
  </si>
  <si>
    <t>Population mid 1962</t>
  </si>
  <si>
    <t>Rate deficiency grant 1963-64</t>
  </si>
  <si>
    <t>1962-63</t>
  </si>
  <si>
    <t>1963-64</t>
  </si>
  <si>
    <t>Local purposes</t>
  </si>
  <si>
    <t>County purposes</t>
  </si>
  <si>
    <t>Transitional adjustment</t>
  </si>
  <si>
    <t>London Scheme</t>
  </si>
  <si>
    <t>Domestic</t>
  </si>
  <si>
    <t>Total</t>
  </si>
  <si>
    <t>Table 4 &amp; Table 6 excluding WALES</t>
  </si>
  <si>
    <t>pence</t>
  </si>
  <si>
    <t>£</t>
  </si>
  <si>
    <t>%</t>
  </si>
  <si>
    <t>£000</t>
  </si>
  <si>
    <t>LONDON</t>
  </si>
  <si>
    <t>Greewich</t>
  </si>
  <si>
    <t>County Boroughs</t>
  </si>
  <si>
    <t>TABLE 6 (PART II)</t>
  </si>
  <si>
    <t>Great Yarmouh</t>
  </si>
  <si>
    <t>Waliasey</t>
  </si>
  <si>
    <t>York</t>
  </si>
  <si>
    <t>WALES AND MONMOUTH</t>
  </si>
  <si>
    <t>Cardiff</t>
  </si>
  <si>
    <t>Merthyr Tydfil</t>
  </si>
  <si>
    <t>Newport (Mon.)</t>
  </si>
  <si>
    <t>Swansea</t>
  </si>
  <si>
    <t>County District Councils</t>
  </si>
  <si>
    <t>TABLE 6 (PART III)</t>
  </si>
  <si>
    <t>Average rate poundage 1963-64</t>
  </si>
  <si>
    <t>Change in peny rate product from 1962-63</t>
  </si>
  <si>
    <t>Rateable values in 1963</t>
  </si>
  <si>
    <t>No.</t>
  </si>
  <si>
    <t>Beford</t>
  </si>
  <si>
    <t>BERKSHIRE</t>
  </si>
  <si>
    <t>BUCKINGHAM</t>
  </si>
  <si>
    <t>Beaconfield</t>
  </si>
  <si>
    <t>Wolverston</t>
  </si>
  <si>
    <t>Altincham</t>
  </si>
  <si>
    <t>Dunkinfield</t>
  </si>
  <si>
    <t>Bredbury &amp; Romiley</t>
  </si>
  <si>
    <t>Cheadle &amp; Gatley</t>
  </si>
  <si>
    <t>Longendale</t>
  </si>
  <si>
    <t>Sanbach</t>
  </si>
  <si>
    <t xml:space="preserve">Tarvin </t>
  </si>
  <si>
    <t>St. Inves</t>
  </si>
  <si>
    <t>Camborne &amp; Redruth</t>
  </si>
  <si>
    <t>Whiteheaven</t>
  </si>
  <si>
    <t>Marport</t>
  </si>
  <si>
    <t>DERBYSHIRE</t>
  </si>
  <si>
    <t>Swadincote</t>
  </si>
  <si>
    <t>DEVON</t>
  </si>
  <si>
    <t>Gt. Torrington</t>
  </si>
  <si>
    <t>Plymouth St. Mary</t>
  </si>
  <si>
    <t>DURHAM</t>
  </si>
  <si>
    <t>ESSEX</t>
  </si>
  <si>
    <t>GLOUCESTERSHIRE</t>
  </si>
  <si>
    <t>Wincester</t>
  </si>
  <si>
    <t>HEREFORDSHIRE</t>
  </si>
  <si>
    <t>HERTFORDSHIRE</t>
  </si>
  <si>
    <t xml:space="preserve">Ware </t>
  </si>
  <si>
    <t>Halfield</t>
  </si>
  <si>
    <t>Met. Police Dist.</t>
  </si>
  <si>
    <t>Herts. Cnty. Dist.</t>
  </si>
  <si>
    <t>HUNTINGDONSHIRE</t>
  </si>
  <si>
    <t>Huntingdonshire &amp; Godmanchester</t>
  </si>
  <si>
    <t>ISLE OF ELY</t>
  </si>
  <si>
    <t>ISLE OF WIGHT</t>
  </si>
  <si>
    <t>Sandown-Shankin</t>
  </si>
  <si>
    <t>KENT</t>
  </si>
  <si>
    <t>Tunbridge Wells (Royal)</t>
  </si>
  <si>
    <t>Broadstairs &amp; St. Peter's</t>
  </si>
  <si>
    <t>Strodd</t>
  </si>
  <si>
    <t>LANCASTER</t>
  </si>
  <si>
    <t>Lytham St. Anne's</t>
  </si>
  <si>
    <t>Morecmabe &amp; Heysham</t>
  </si>
  <si>
    <t>Horwitch</t>
  </si>
  <si>
    <t>Kirkham</t>
  </si>
  <si>
    <t>Little Borough</t>
  </si>
  <si>
    <t>Oswaldwistle</t>
  </si>
  <si>
    <t>78,6</t>
  </si>
  <si>
    <t>LEICESTER</t>
  </si>
  <si>
    <t>LICONLN, PARTS OF HOLLAND</t>
  </si>
  <si>
    <t>LINCOLN, PARTS OF KESTEVEN</t>
  </si>
  <si>
    <t>West Kesteven</t>
  </si>
  <si>
    <t>LINCOLN, PARTS OF LINDSEY</t>
  </si>
  <si>
    <t>Splisby</t>
  </si>
  <si>
    <t>MIDDLESEX</t>
  </si>
  <si>
    <t>Heston &amp; Isleworth</t>
  </si>
  <si>
    <t>NORFOLK</t>
  </si>
  <si>
    <t>Wells-next-the-Sea</t>
  </si>
  <si>
    <t>NORTHAMPTONSHIRE</t>
  </si>
  <si>
    <t>NORTHUMBERLAND</t>
  </si>
  <si>
    <t>NOTTINGHAMSHIRE</t>
  </si>
  <si>
    <t>Hucknail</t>
  </si>
  <si>
    <t>Henley</t>
  </si>
  <si>
    <t>RUTLAND</t>
  </si>
  <si>
    <t>SALOP</t>
  </si>
  <si>
    <t>SOKE OF PETERBOROUGH</t>
  </si>
  <si>
    <t>SOMERSET</t>
  </si>
  <si>
    <t>Weston-super-Mare</t>
  </si>
  <si>
    <t>STAFFORDSHIRE</t>
  </si>
  <si>
    <t>Bliston</t>
  </si>
  <si>
    <t>EAST SUFFOLK</t>
  </si>
  <si>
    <t>WEST SUFFOLK</t>
  </si>
  <si>
    <t>SURREY</t>
  </si>
  <si>
    <t>EAST SUSSEX</t>
  </si>
  <si>
    <t>WEST SUSSEX</t>
  </si>
  <si>
    <t>WARWICKSHIRE</t>
  </si>
  <si>
    <t>805l6</t>
  </si>
  <si>
    <t>WESTMORLAND</t>
  </si>
  <si>
    <t>WILTSHIRE</t>
  </si>
  <si>
    <t>WORCESTERSHIRE</t>
  </si>
  <si>
    <t>417,7</t>
  </si>
  <si>
    <t>WALES</t>
  </si>
  <si>
    <t>ANGLESEY:</t>
  </si>
  <si>
    <t>Beaumaris</t>
  </si>
  <si>
    <t>Amlwch</t>
  </si>
  <si>
    <t>Holyhead</t>
  </si>
  <si>
    <t>Llangefni</t>
  </si>
  <si>
    <t>Menai Bridge</t>
  </si>
  <si>
    <t>Aethwy</t>
  </si>
  <si>
    <t>Twrcelyn</t>
  </si>
  <si>
    <t>Valley</t>
  </si>
  <si>
    <t>BRECON:</t>
  </si>
  <si>
    <t>Brecknock</t>
  </si>
  <si>
    <t>Brynmawr</t>
  </si>
  <si>
    <t>Builth Wells</t>
  </si>
  <si>
    <t>Hay</t>
  </si>
  <si>
    <t>Llanwrtyd Wells</t>
  </si>
  <si>
    <t>Builth</t>
  </si>
  <si>
    <t>Crickhowell</t>
  </si>
  <si>
    <t>Vaynor &amp; Penderyn</t>
  </si>
  <si>
    <t>Ystradgynlais</t>
  </si>
  <si>
    <t>CAERNARVON:</t>
  </si>
  <si>
    <t>Bangor</t>
  </si>
  <si>
    <t>Caernarvon</t>
  </si>
  <si>
    <t>Conway</t>
  </si>
  <si>
    <t>Pwllheli</t>
  </si>
  <si>
    <t>Bethesda</t>
  </si>
  <si>
    <t>Bettws-y-Coed</t>
  </si>
  <si>
    <t>Criccieth</t>
  </si>
  <si>
    <t>Llandudno</t>
  </si>
  <si>
    <t>Llanfairfechan</t>
  </si>
  <si>
    <t>Penmarnmawr</t>
  </si>
  <si>
    <t>Portmadoc</t>
  </si>
  <si>
    <t>Gwyrfai</t>
  </si>
  <si>
    <t>Lleyn</t>
  </si>
  <si>
    <t>Nant Conway</t>
  </si>
  <si>
    <t>Ogwen</t>
  </si>
  <si>
    <t>CARDIGANSHIRE</t>
  </si>
  <si>
    <t>Aberystwyth</t>
  </si>
  <si>
    <t>Cardigan</t>
  </si>
  <si>
    <t>Lampeter</t>
  </si>
  <si>
    <t>Aberayron</t>
  </si>
  <si>
    <t>New Quay</t>
  </si>
  <si>
    <t>Aberaeron</t>
  </si>
  <si>
    <t>Teifiside</t>
  </si>
  <si>
    <t>Tregaron</t>
  </si>
  <si>
    <t>CARMARTHENSIRE</t>
  </si>
  <si>
    <t>Carmarthen</t>
  </si>
  <si>
    <t>Kidwelly</t>
  </si>
  <si>
    <t>Llandovery</t>
  </si>
  <si>
    <t>Llanelly</t>
  </si>
  <si>
    <t>Ammanford</t>
  </si>
  <si>
    <t>Burry Port</t>
  </si>
  <si>
    <t>Cwmamman</t>
  </si>
  <si>
    <t>Llandeilo</t>
  </si>
  <si>
    <t>Newcastle Emlyn</t>
  </si>
  <si>
    <t>DENBIGH</t>
  </si>
  <si>
    <t>Colwyn Bay</t>
  </si>
  <si>
    <t>Denbigh</t>
  </si>
  <si>
    <t>Ruthin</t>
  </si>
  <si>
    <t>Wrexham</t>
  </si>
  <si>
    <t>Abergele</t>
  </si>
  <si>
    <t>Llangollen</t>
  </si>
  <si>
    <t>Llanrwst</t>
  </si>
  <si>
    <t>Aled</t>
  </si>
  <si>
    <t>Ceiriog</t>
  </si>
  <si>
    <t>Hiraethog</t>
  </si>
  <si>
    <t>FLINTSHIRE</t>
  </si>
  <si>
    <t>Flint</t>
  </si>
  <si>
    <t>Buckley</t>
  </si>
  <si>
    <t>Connah's Quay</t>
  </si>
  <si>
    <t>Holywell</t>
  </si>
  <si>
    <t>Mold</t>
  </si>
  <si>
    <t>Prestatyn</t>
  </si>
  <si>
    <t>Rhyl</t>
  </si>
  <si>
    <t>Hawarden</t>
  </si>
  <si>
    <t>Maelor</t>
  </si>
  <si>
    <t>St. Asaph</t>
  </si>
  <si>
    <t>GLAMORGAN</t>
  </si>
  <si>
    <t>Barry</t>
  </si>
  <si>
    <t>Cowbridge</t>
  </si>
  <si>
    <t>Neath</t>
  </si>
  <si>
    <t>Port Talbot</t>
  </si>
  <si>
    <t>Rhondda</t>
  </si>
  <si>
    <t>Aberdare</t>
  </si>
  <si>
    <t>Bridgend</t>
  </si>
  <si>
    <t>Caerphilly</t>
  </si>
  <si>
    <t>Gelligaer</t>
  </si>
  <si>
    <t>Glyncorrwg</t>
  </si>
  <si>
    <t>Llwchwr</t>
  </si>
  <si>
    <t>Maesteg</t>
  </si>
  <si>
    <t>Mountain Ash</t>
  </si>
  <si>
    <t>Ogmore and Garw</t>
  </si>
  <si>
    <t>Penarth</t>
  </si>
  <si>
    <t>Pontypridd</t>
  </si>
  <si>
    <t>Porthcawl</t>
  </si>
  <si>
    <t>Gower</t>
  </si>
  <si>
    <t>Llantrisant and Llantwit Fardre</t>
  </si>
  <si>
    <t>Penybont</t>
  </si>
  <si>
    <t>Pontardawe</t>
  </si>
  <si>
    <t>MERIONETH</t>
  </si>
  <si>
    <t>Bala</t>
  </si>
  <si>
    <t>Barmouth</t>
  </si>
  <si>
    <t>Dolgellau</t>
  </si>
  <si>
    <t>Ffestiniog</t>
  </si>
  <si>
    <t>Towyn</t>
  </si>
  <si>
    <t>Deudraeth</t>
  </si>
  <si>
    <t>Edeytnion</t>
  </si>
  <si>
    <t>Penllyn</t>
  </si>
  <si>
    <t>MONMOUTHSHIRE</t>
  </si>
  <si>
    <t>Abergavenny</t>
  </si>
  <si>
    <t>Monmouth</t>
  </si>
  <si>
    <t>Abercarn</t>
  </si>
  <si>
    <t>Abertillery</t>
  </si>
  <si>
    <t>Bedwas and Machen</t>
  </si>
  <si>
    <t>Bedwelty</t>
  </si>
  <si>
    <t>Blaenavon</t>
  </si>
  <si>
    <t>Caerleon</t>
  </si>
  <si>
    <t>Chepstow</t>
  </si>
  <si>
    <t>Cwmbran</t>
  </si>
  <si>
    <t>Ebbw Vale</t>
  </si>
  <si>
    <t>Mynyddislwyn</t>
  </si>
  <si>
    <t>Nantygio and Blaina</t>
  </si>
  <si>
    <t>Pontypool</t>
  </si>
  <si>
    <t>Rhymney</t>
  </si>
  <si>
    <t>Risca</t>
  </si>
  <si>
    <t>Tredegar</t>
  </si>
  <si>
    <t>Usk</t>
  </si>
  <si>
    <t>Magor and St. Mellons</t>
  </si>
  <si>
    <t>MONTGOMERYSHIRE</t>
  </si>
  <si>
    <t>Llanfyllin</t>
  </si>
  <si>
    <t>Llanidloes</t>
  </si>
  <si>
    <t>Montgomery</t>
  </si>
  <si>
    <t>Welshpool</t>
  </si>
  <si>
    <t>Machynlleth</t>
  </si>
  <si>
    <t>Newton and Llanllwchaiarn</t>
  </si>
  <si>
    <t>Forden</t>
  </si>
  <si>
    <t>Newton and Llanidloes</t>
  </si>
  <si>
    <t>PEMBROKESHIRE</t>
  </si>
  <si>
    <t>Haverfordwest</t>
  </si>
  <si>
    <t>Pembroke</t>
  </si>
  <si>
    <t>Tenby</t>
  </si>
  <si>
    <t>Fishguard and Goodwick</t>
  </si>
  <si>
    <t>Milford Haven</t>
  </si>
  <si>
    <t>Narberth</t>
  </si>
  <si>
    <t>Neyland</t>
  </si>
  <si>
    <t>Cemaes</t>
  </si>
  <si>
    <t>RADNORSHIRE</t>
  </si>
  <si>
    <t>Knighton</t>
  </si>
  <si>
    <t>Llandrindod Wells</t>
  </si>
  <si>
    <t>Presteignet</t>
  </si>
  <si>
    <t>Colwyn</t>
  </si>
  <si>
    <t>New Radnor</t>
  </si>
  <si>
    <t>Paincastle</t>
  </si>
  <si>
    <t>Rhayader</t>
  </si>
  <si>
    <t>&lt;NOTE THIS IS BEFORE THE CREATION OF GREATER LONDON - COUNTY OF LONDON 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</si>
</sst>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£-809]* #,##0.00_-;\-[$£-809]* #,##0.00_-;_-[$£-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ova"/>
      <family val="2"/>
    </font>
    <font>
      <i/>
      <sz val="10"/>
      <color theme="1"/>
      <name val="Arial Nova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3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C284-B29D-401C-B82D-4AEB2624EB34}">
  <dimension ref="A2:Q1362"/>
  <sheetViews>
    <sheetView tabSelected="1" topLeftCell="A501" zoomScale="70" zoomScaleNormal="70" workbookViewId="0">
      <selection activeCell="D534" sqref="D534"/>
    </sheetView>
  </sheetViews>
  <sheetFormatPr defaultColWidth="8.7109375" defaultRowHeight="24.95" customHeight="1" x14ac:dyDescent="0.25"/>
  <cols>
    <col min="1" max="1" width="25.5703125" style="17" customWidth="1"/>
    <col min="2" max="2" width="8.7109375" style="2"/>
    <col min="3" max="3" width="12.85546875" style="2" customWidth="1"/>
    <col min="4" max="4" width="8.7109375" style="2"/>
    <col min="5" max="5" width="12.42578125" style="2" customWidth="1"/>
    <col min="6" max="6" width="12.28515625" style="2" customWidth="1"/>
    <col min="7" max="8" width="11.7109375" style="2" customWidth="1"/>
    <col min="9" max="9" width="12.42578125" style="2" customWidth="1"/>
    <col min="10" max="10" width="10.85546875" style="2" customWidth="1"/>
    <col min="11" max="11" width="12.85546875" style="2" customWidth="1"/>
    <col min="12" max="12" width="11.5703125" style="2" customWidth="1"/>
    <col min="13" max="13" width="12.42578125" style="2" customWidth="1"/>
    <col min="14" max="14" width="10.5703125" style="2" customWidth="1"/>
    <col min="15" max="16384" width="8.7109375" style="2"/>
  </cols>
  <sheetData>
    <row r="2" spans="1:17" ht="24.95" customHeight="1" x14ac:dyDescent="0.25">
      <c r="A2" s="14" t="s">
        <v>6681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7" ht="24.95" customHeight="1" x14ac:dyDescent="0.25">
      <c r="F3" s="2" t="s">
        <v>6958</v>
      </c>
    </row>
    <row r="4" spans="1:17" ht="24.95" customHeight="1" x14ac:dyDescent="0.25">
      <c r="A4" s="17" t="s">
        <v>6682</v>
      </c>
    </row>
    <row r="6" spans="1:17" ht="24.95" customHeight="1" x14ac:dyDescent="0.25">
      <c r="A6" s="17" t="s">
        <v>6683</v>
      </c>
    </row>
    <row r="7" spans="1:17" ht="84" customHeight="1" x14ac:dyDescent="0.25">
      <c r="B7" s="15" t="s">
        <v>6684</v>
      </c>
      <c r="C7" s="15"/>
      <c r="D7" s="15" t="s">
        <v>6685</v>
      </c>
      <c r="E7" s="15"/>
      <c r="F7" s="15"/>
      <c r="G7" s="15"/>
      <c r="H7" s="14" t="s">
        <v>6719</v>
      </c>
      <c r="I7" s="14" t="s">
        <v>6686</v>
      </c>
      <c r="J7" s="14" t="s">
        <v>6687</v>
      </c>
      <c r="K7" s="14" t="s">
        <v>6688</v>
      </c>
      <c r="L7" s="14" t="s">
        <v>6689</v>
      </c>
      <c r="M7" s="14"/>
      <c r="N7" s="14"/>
      <c r="O7" s="18" t="s">
        <v>6690</v>
      </c>
      <c r="P7" s="14" t="s">
        <v>6691</v>
      </c>
    </row>
    <row r="8" spans="1:17" s="13" customFormat="1" ht="34.5" customHeight="1" x14ac:dyDescent="0.25">
      <c r="A8" s="19" t="s">
        <v>5478</v>
      </c>
      <c r="B8" s="18" t="s">
        <v>6692</v>
      </c>
      <c r="C8" s="18" t="s">
        <v>6693</v>
      </c>
      <c r="D8" s="18" t="s">
        <v>6694</v>
      </c>
      <c r="E8" s="18" t="s">
        <v>6695</v>
      </c>
      <c r="F8" s="18" t="s">
        <v>6696</v>
      </c>
      <c r="G8" s="18" t="s">
        <v>6697</v>
      </c>
      <c r="H8" s="14"/>
      <c r="I8" s="14"/>
      <c r="J8" s="14"/>
      <c r="K8" s="14"/>
      <c r="L8" s="14" t="s">
        <v>6698</v>
      </c>
      <c r="M8" s="14"/>
      <c r="N8" s="18" t="s">
        <v>6699</v>
      </c>
      <c r="O8" s="18"/>
      <c r="P8" s="14"/>
    </row>
    <row r="9" spans="1:17" ht="37.5" customHeight="1" x14ac:dyDescent="0.25">
      <c r="A9" s="17" t="s">
        <v>6700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  <c r="J9" s="2">
        <v>9</v>
      </c>
      <c r="K9" s="2">
        <v>10</v>
      </c>
      <c r="L9" s="2">
        <v>11</v>
      </c>
      <c r="M9" s="2">
        <v>12</v>
      </c>
      <c r="N9" s="2">
        <v>13</v>
      </c>
      <c r="O9" s="2">
        <v>14</v>
      </c>
      <c r="P9" s="2">
        <v>15</v>
      </c>
    </row>
    <row r="10" spans="1:17" ht="24.95" customHeight="1" x14ac:dyDescent="0.25">
      <c r="B10" s="2" t="s">
        <v>6701</v>
      </c>
      <c r="C10" s="2" t="s">
        <v>6701</v>
      </c>
      <c r="D10" s="2" t="s">
        <v>6701</v>
      </c>
      <c r="E10" s="2" t="s">
        <v>6701</v>
      </c>
      <c r="F10" s="2" t="s">
        <v>6701</v>
      </c>
      <c r="G10" s="2" t="s">
        <v>6701</v>
      </c>
      <c r="H10" s="2" t="s">
        <v>6701</v>
      </c>
      <c r="I10" s="2" t="s">
        <v>6702</v>
      </c>
      <c r="J10" s="2" t="s">
        <v>6703</v>
      </c>
      <c r="K10" s="2" t="s">
        <v>6702</v>
      </c>
      <c r="L10" s="2" t="s">
        <v>1</v>
      </c>
      <c r="M10" s="2" t="s">
        <v>6704</v>
      </c>
      <c r="N10" s="2" t="s">
        <v>6704</v>
      </c>
      <c r="P10" s="2" t="s">
        <v>6703</v>
      </c>
    </row>
    <row r="11" spans="1:17" ht="24.95" customHeight="1" x14ac:dyDescent="0.25">
      <c r="A11" s="17" t="s">
        <v>6705</v>
      </c>
      <c r="B11" s="2">
        <v>135</v>
      </c>
      <c r="C11" s="2">
        <v>50.5</v>
      </c>
      <c r="I11" s="2">
        <v>1360000</v>
      </c>
      <c r="J11" s="2">
        <v>200</v>
      </c>
      <c r="K11" s="2">
        <v>68680000</v>
      </c>
      <c r="L11" s="2">
        <v>862321</v>
      </c>
      <c r="M11" s="2">
        <v>106227.7</v>
      </c>
      <c r="N11" s="2">
        <v>332908.40000000002</v>
      </c>
      <c r="O11" s="2">
        <v>3185770</v>
      </c>
    </row>
    <row r="12" spans="1:17" ht="24.95" customHeight="1" x14ac:dyDescent="0.2">
      <c r="A12" s="17" t="s">
        <v>3061</v>
      </c>
      <c r="B12" s="2">
        <v>211</v>
      </c>
      <c r="C12" s="2">
        <v>81</v>
      </c>
      <c r="D12" s="2">
        <v>22.3</v>
      </c>
      <c r="E12" s="2">
        <v>50.5</v>
      </c>
      <c r="F12" s="2">
        <v>0.1</v>
      </c>
      <c r="G12" s="2">
        <v>8.1</v>
      </c>
      <c r="I12" s="2">
        <v>173000</v>
      </c>
      <c r="J12" s="2">
        <v>188</v>
      </c>
      <c r="K12" s="2">
        <v>14013000</v>
      </c>
      <c r="L12" s="2">
        <v>1193</v>
      </c>
      <c r="M12" s="2">
        <v>171.4</v>
      </c>
      <c r="N12" s="2">
        <v>43766.3</v>
      </c>
      <c r="O12" s="2">
        <v>4610</v>
      </c>
      <c r="Q12" s="9" t="s">
        <v>5268</v>
      </c>
    </row>
    <row r="13" spans="1:17" ht="24.95" customHeight="1" x14ac:dyDescent="0.2">
      <c r="A13" s="17" t="s">
        <v>66</v>
      </c>
      <c r="B13" s="2">
        <v>264</v>
      </c>
      <c r="C13" s="2">
        <v>99</v>
      </c>
      <c r="D13" s="2">
        <v>70.2</v>
      </c>
      <c r="E13" s="2">
        <v>51</v>
      </c>
      <c r="F13" s="2">
        <v>0.3</v>
      </c>
      <c r="G13" s="2">
        <v>-22.5</v>
      </c>
      <c r="I13" s="2">
        <v>18450</v>
      </c>
      <c r="J13" s="2">
        <v>161</v>
      </c>
      <c r="K13" s="2">
        <v>1826550</v>
      </c>
      <c r="L13" s="2">
        <v>28191</v>
      </c>
      <c r="M13" s="2">
        <v>2408.1999999999998</v>
      </c>
      <c r="N13" s="2">
        <v>4654</v>
      </c>
      <c r="O13" s="2">
        <v>104020</v>
      </c>
      <c r="Q13" s="9" t="s">
        <v>5268</v>
      </c>
    </row>
    <row r="14" spans="1:17" ht="24.95" customHeight="1" x14ac:dyDescent="0.2">
      <c r="A14" s="17" t="s">
        <v>67</v>
      </c>
      <c r="B14" s="2">
        <v>268</v>
      </c>
      <c r="C14" s="2">
        <v>102</v>
      </c>
      <c r="D14" s="2">
        <v>74.599999999999994</v>
      </c>
      <c r="E14" s="2">
        <v>51</v>
      </c>
      <c r="F14" s="2">
        <v>0.2</v>
      </c>
      <c r="G14" s="2">
        <v>-23.7</v>
      </c>
      <c r="I14" s="2">
        <v>16450</v>
      </c>
      <c r="J14" s="2">
        <v>155</v>
      </c>
      <c r="K14" s="2">
        <v>1677900</v>
      </c>
      <c r="L14" s="2">
        <v>15183</v>
      </c>
      <c r="M14" s="2">
        <v>918.4</v>
      </c>
      <c r="N14" s="2">
        <v>4088.7</v>
      </c>
      <c r="O14" s="2">
        <v>51000</v>
      </c>
      <c r="Q14" s="9" t="s">
        <v>5268</v>
      </c>
    </row>
    <row r="15" spans="1:17" ht="24.95" customHeight="1" x14ac:dyDescent="0.2">
      <c r="A15" s="17" t="s">
        <v>68</v>
      </c>
      <c r="B15" s="2">
        <v>284</v>
      </c>
      <c r="C15" s="2">
        <v>106</v>
      </c>
      <c r="D15" s="2">
        <v>97.4</v>
      </c>
      <c r="E15" s="2">
        <v>51</v>
      </c>
      <c r="F15" s="2">
        <v>0.6</v>
      </c>
      <c r="G15" s="2">
        <v>-43</v>
      </c>
      <c r="I15" s="2">
        <v>9050</v>
      </c>
      <c r="J15" s="2">
        <v>217</v>
      </c>
      <c r="K15" s="2">
        <v>959300</v>
      </c>
      <c r="L15" s="2">
        <v>14687</v>
      </c>
      <c r="M15" s="2">
        <v>1088.8</v>
      </c>
      <c r="N15" s="2">
        <v>2409.4</v>
      </c>
      <c r="O15" s="2">
        <v>46230</v>
      </c>
      <c r="Q15" s="9" t="s">
        <v>5268</v>
      </c>
    </row>
    <row r="16" spans="1:17" ht="24.95" customHeight="1" x14ac:dyDescent="0.2">
      <c r="A16" s="17" t="s">
        <v>69</v>
      </c>
      <c r="B16" s="2">
        <v>272</v>
      </c>
      <c r="C16" s="2">
        <v>100</v>
      </c>
      <c r="D16" s="2">
        <v>69.400000000000006</v>
      </c>
      <c r="E16" s="2">
        <v>51</v>
      </c>
      <c r="F16" s="2">
        <v>0.7</v>
      </c>
      <c r="G16" s="2">
        <v>-21.1</v>
      </c>
      <c r="I16" s="2">
        <v>28975</v>
      </c>
      <c r="J16" s="2">
        <v>177</v>
      </c>
      <c r="K16" s="2">
        <v>2897500</v>
      </c>
      <c r="L16" s="2">
        <v>45664</v>
      </c>
      <c r="M16" s="2">
        <v>4181.3</v>
      </c>
      <c r="N16" s="2">
        <v>7269.7</v>
      </c>
      <c r="O16" s="2">
        <v>173720</v>
      </c>
      <c r="P16" s="2">
        <v>5.2</v>
      </c>
      <c r="Q16" s="9" t="s">
        <v>5268</v>
      </c>
    </row>
    <row r="17" spans="1:17" ht="24.95" customHeight="1" x14ac:dyDescent="0.2">
      <c r="A17" s="17" t="s">
        <v>70</v>
      </c>
      <c r="B17" s="2">
        <v>232</v>
      </c>
      <c r="C17" s="2">
        <v>84</v>
      </c>
      <c r="D17" s="2">
        <v>29.4</v>
      </c>
      <c r="E17" s="2">
        <v>51</v>
      </c>
      <c r="F17" s="2">
        <v>0.2</v>
      </c>
      <c r="G17" s="2">
        <v>3.4</v>
      </c>
      <c r="I17" s="2">
        <v>27500</v>
      </c>
      <c r="J17" s="2">
        <v>243</v>
      </c>
      <c r="K17" s="2">
        <v>2310000</v>
      </c>
      <c r="L17" s="2">
        <v>17020</v>
      </c>
      <c r="M17" s="2">
        <v>4361.3</v>
      </c>
      <c r="N17" s="2">
        <v>6984.7</v>
      </c>
      <c r="O17" s="2">
        <v>48550</v>
      </c>
      <c r="Q17" s="9" t="s">
        <v>5268</v>
      </c>
    </row>
    <row r="18" spans="1:17" ht="24.95" customHeight="1" x14ac:dyDescent="0.2">
      <c r="A18" s="17" t="s">
        <v>71</v>
      </c>
      <c r="B18" s="2">
        <v>244</v>
      </c>
      <c r="C18" s="2">
        <v>92</v>
      </c>
      <c r="D18" s="2">
        <v>60.1</v>
      </c>
      <c r="E18" s="2">
        <v>51</v>
      </c>
      <c r="F18" s="2">
        <v>0.7</v>
      </c>
      <c r="G18" s="2">
        <v>-19.8</v>
      </c>
      <c r="I18" s="2">
        <v>11100</v>
      </c>
      <c r="J18" s="2">
        <v>189</v>
      </c>
      <c r="K18" s="2">
        <v>1021200</v>
      </c>
      <c r="L18" s="2">
        <v>18402</v>
      </c>
      <c r="M18" s="2">
        <v>1442.1</v>
      </c>
      <c r="N18" s="2">
        <v>2831.2</v>
      </c>
      <c r="O18" s="2">
        <v>68980</v>
      </c>
      <c r="P18" s="2">
        <v>7.4</v>
      </c>
      <c r="Q18" s="9" t="s">
        <v>5268</v>
      </c>
    </row>
    <row r="19" spans="1:17" ht="24.95" customHeight="1" x14ac:dyDescent="0.2">
      <c r="A19" s="17" t="s">
        <v>72</v>
      </c>
      <c r="B19" s="2">
        <v>230</v>
      </c>
      <c r="C19" s="2">
        <v>90</v>
      </c>
      <c r="D19" s="2">
        <v>35.6</v>
      </c>
      <c r="E19" s="2">
        <v>51</v>
      </c>
      <c r="F19" s="2">
        <v>0.5</v>
      </c>
      <c r="G19" s="2">
        <v>3</v>
      </c>
      <c r="I19" s="2">
        <v>35000</v>
      </c>
      <c r="J19" s="2">
        <v>192</v>
      </c>
      <c r="K19" s="2">
        <v>3150000</v>
      </c>
      <c r="L19" s="2">
        <v>9024</v>
      </c>
      <c r="M19" s="2">
        <v>955.6</v>
      </c>
      <c r="N19" s="2">
        <v>9026.5</v>
      </c>
      <c r="O19" s="2">
        <v>32540</v>
      </c>
      <c r="Q19" s="9" t="s">
        <v>5268</v>
      </c>
    </row>
    <row r="20" spans="1:17" ht="24.95" customHeight="1" x14ac:dyDescent="0.2">
      <c r="A20" s="17" t="s">
        <v>5272</v>
      </c>
      <c r="B20" s="2">
        <v>256</v>
      </c>
      <c r="C20" s="2">
        <v>96</v>
      </c>
      <c r="D20" s="2">
        <v>60.6</v>
      </c>
      <c r="E20" s="2">
        <v>51</v>
      </c>
      <c r="F20" s="2">
        <v>0.3</v>
      </c>
      <c r="G20" s="2">
        <v>-15.9</v>
      </c>
      <c r="I20" s="2">
        <v>23400</v>
      </c>
      <c r="J20" s="2">
        <v>187</v>
      </c>
      <c r="K20" s="2">
        <v>2246400</v>
      </c>
      <c r="L20" s="2">
        <v>30269</v>
      </c>
      <c r="M20" s="2">
        <v>3336.5</v>
      </c>
      <c r="N20" s="2">
        <v>5748</v>
      </c>
      <c r="O20" s="2">
        <v>110570</v>
      </c>
      <c r="Q20" s="9" t="s">
        <v>5268</v>
      </c>
    </row>
    <row r="21" spans="1:17" ht="24.95" customHeight="1" x14ac:dyDescent="0.2">
      <c r="A21" s="17" t="s">
        <v>6706</v>
      </c>
      <c r="B21" s="2">
        <v>240</v>
      </c>
      <c r="C21" s="2">
        <v>96</v>
      </c>
      <c r="D21" s="2">
        <v>53.5</v>
      </c>
      <c r="E21" s="2">
        <v>51</v>
      </c>
      <c r="F21" s="2">
        <v>0.1</v>
      </c>
      <c r="G21" s="2">
        <v>-18.600000000000001</v>
      </c>
      <c r="I21" s="2">
        <v>20500</v>
      </c>
      <c r="J21" s="2">
        <v>182</v>
      </c>
      <c r="K21" s="2">
        <v>1968000</v>
      </c>
      <c r="L21" s="2">
        <v>24638</v>
      </c>
      <c r="M21" s="2">
        <v>1983.1</v>
      </c>
      <c r="N21" s="2">
        <v>4974.8</v>
      </c>
      <c r="O21" s="2">
        <v>84730</v>
      </c>
      <c r="Q21" s="9" t="s">
        <v>5268</v>
      </c>
    </row>
    <row r="22" spans="1:17" ht="24.95" customHeight="1" x14ac:dyDescent="0.2">
      <c r="A22" s="17" t="s">
        <v>75</v>
      </c>
      <c r="B22" s="2">
        <v>272</v>
      </c>
      <c r="C22" s="2">
        <v>96</v>
      </c>
      <c r="D22" s="2">
        <v>64.5</v>
      </c>
      <c r="E22" s="2">
        <v>51</v>
      </c>
      <c r="F22" s="2">
        <v>0.3</v>
      </c>
      <c r="G22" s="2">
        <v>-19.899999999999999</v>
      </c>
      <c r="I22" s="2">
        <v>31750</v>
      </c>
      <c r="J22" s="2">
        <v>197</v>
      </c>
      <c r="K22" s="2">
        <v>3048000</v>
      </c>
      <c r="L22" s="2">
        <v>41104</v>
      </c>
      <c r="M22" s="2">
        <v>4303.8999999999996</v>
      </c>
      <c r="N22" s="2">
        <v>8128.1</v>
      </c>
      <c r="O22" s="2">
        <v>163400</v>
      </c>
      <c r="Q22" s="9" t="s">
        <v>5268</v>
      </c>
    </row>
    <row r="23" spans="1:17" ht="24.95" customHeight="1" x14ac:dyDescent="0.2">
      <c r="A23" s="17" t="s">
        <v>76</v>
      </c>
      <c r="B23" s="2">
        <v>238</v>
      </c>
      <c r="C23" s="2">
        <v>90</v>
      </c>
      <c r="D23" s="2">
        <v>43.7</v>
      </c>
      <c r="E23" s="2">
        <v>51</v>
      </c>
      <c r="F23" s="2">
        <v>0.3</v>
      </c>
      <c r="G23" s="2">
        <v>-5</v>
      </c>
      <c r="I23" s="2">
        <v>31500</v>
      </c>
      <c r="J23" s="2">
        <v>230</v>
      </c>
      <c r="K23" s="2">
        <v>2835000</v>
      </c>
      <c r="L23" s="2">
        <v>25249</v>
      </c>
      <c r="M23" s="2">
        <v>2883.9</v>
      </c>
      <c r="N23" s="2">
        <v>7688.7</v>
      </c>
      <c r="O23" s="2">
        <v>108120</v>
      </c>
      <c r="Q23" s="9" t="s">
        <v>5268</v>
      </c>
    </row>
    <row r="24" spans="1:17" ht="24.95" customHeight="1" x14ac:dyDescent="0.2">
      <c r="A24" s="17" t="s">
        <v>77</v>
      </c>
      <c r="B24" s="2">
        <v>237</v>
      </c>
      <c r="C24" s="2">
        <v>93</v>
      </c>
      <c r="D24" s="2">
        <v>43.4</v>
      </c>
      <c r="E24" s="2">
        <v>51</v>
      </c>
      <c r="F24" s="2">
        <v>0.4</v>
      </c>
      <c r="G24" s="2">
        <v>-1.9</v>
      </c>
      <c r="I24" s="2">
        <v>30480</v>
      </c>
      <c r="J24" s="2">
        <v>228</v>
      </c>
      <c r="K24" s="2">
        <v>2834640</v>
      </c>
      <c r="L24" s="2">
        <v>24586</v>
      </c>
      <c r="M24" s="2">
        <v>5391</v>
      </c>
      <c r="N24" s="2">
        <v>7559.5</v>
      </c>
      <c r="O24" s="2">
        <v>98240</v>
      </c>
      <c r="Q24" s="9" t="s">
        <v>5268</v>
      </c>
    </row>
    <row r="25" spans="1:17" ht="24.95" customHeight="1" x14ac:dyDescent="0.2">
      <c r="A25" s="17" t="s">
        <v>78</v>
      </c>
      <c r="B25" s="2">
        <v>220</v>
      </c>
      <c r="C25" s="2">
        <v>83</v>
      </c>
      <c r="D25" s="2">
        <v>24.4</v>
      </c>
      <c r="E25" s="2">
        <v>51</v>
      </c>
      <c r="G25" s="2">
        <v>7.6</v>
      </c>
      <c r="I25" s="2">
        <v>44700</v>
      </c>
      <c r="J25" s="2">
        <v>175</v>
      </c>
      <c r="K25" s="2">
        <v>310100</v>
      </c>
      <c r="L25" s="2">
        <v>5847</v>
      </c>
      <c r="M25" s="2">
        <v>724.7</v>
      </c>
      <c r="N25" s="2">
        <v>10900</v>
      </c>
      <c r="O25" s="2">
        <v>20640</v>
      </c>
      <c r="Q25" s="9" t="s">
        <v>5268</v>
      </c>
    </row>
    <row r="26" spans="1:17" ht="24.95" customHeight="1" x14ac:dyDescent="0.2">
      <c r="A26" s="17" t="s">
        <v>79</v>
      </c>
      <c r="B26" s="2">
        <v>228</v>
      </c>
      <c r="C26" s="2">
        <v>92</v>
      </c>
      <c r="D26" s="2">
        <v>50.5</v>
      </c>
      <c r="E26" s="2">
        <v>51</v>
      </c>
      <c r="F26" s="2">
        <v>0.6</v>
      </c>
      <c r="G26" s="2">
        <v>-10</v>
      </c>
      <c r="I26" s="2">
        <v>38600</v>
      </c>
      <c r="J26" s="2">
        <v>189</v>
      </c>
      <c r="K26" s="2">
        <v>3551200</v>
      </c>
      <c r="L26" s="2">
        <v>45479</v>
      </c>
      <c r="M26" s="2">
        <v>4953.3</v>
      </c>
      <c r="N26" s="2">
        <v>9702.2999999999993</v>
      </c>
      <c r="O26" s="2">
        <v>227870</v>
      </c>
      <c r="P26" s="2">
        <v>2</v>
      </c>
      <c r="Q26" s="9" t="s">
        <v>5268</v>
      </c>
    </row>
    <row r="27" spans="1:17" ht="24.95" customHeight="1" x14ac:dyDescent="0.2">
      <c r="A27" s="17" t="s">
        <v>80</v>
      </c>
      <c r="B27" s="2">
        <v>230</v>
      </c>
      <c r="C27" s="2">
        <v>83</v>
      </c>
      <c r="D27" s="2">
        <v>28</v>
      </c>
      <c r="E27" s="2">
        <v>51</v>
      </c>
      <c r="F27" s="2">
        <v>0.1</v>
      </c>
      <c r="G27" s="2">
        <v>3.9</v>
      </c>
      <c r="I27" s="2">
        <v>71200</v>
      </c>
      <c r="J27" s="2">
        <v>233</v>
      </c>
      <c r="K27" s="2">
        <v>5909600</v>
      </c>
      <c r="L27" s="2">
        <v>41907</v>
      </c>
      <c r="M27" s="2">
        <v>10361.299999999999</v>
      </c>
      <c r="N27" s="2">
        <v>17995.8</v>
      </c>
      <c r="O27" s="2">
        <v>172020</v>
      </c>
      <c r="Q27" s="9" t="s">
        <v>5268</v>
      </c>
    </row>
    <row r="28" spans="1:17" ht="24.95" customHeight="1" x14ac:dyDescent="0.2">
      <c r="A28" s="17" t="s">
        <v>81</v>
      </c>
      <c r="B28" s="2">
        <v>239</v>
      </c>
      <c r="C28" s="2">
        <v>88</v>
      </c>
      <c r="D28" s="2">
        <v>43</v>
      </c>
      <c r="E28" s="2">
        <v>51</v>
      </c>
      <c r="F28" s="2">
        <v>0.4</v>
      </c>
      <c r="G28" s="2">
        <v>-6.4</v>
      </c>
      <c r="I28" s="2">
        <v>53000</v>
      </c>
      <c r="J28" s="2">
        <v>184</v>
      </c>
      <c r="K28" s="2">
        <v>4664000</v>
      </c>
      <c r="L28" s="2">
        <v>57077</v>
      </c>
      <c r="M28" s="2">
        <v>5470.9</v>
      </c>
      <c r="N28" s="2">
        <v>12887.7</v>
      </c>
      <c r="O28" s="2">
        <v>223370</v>
      </c>
      <c r="Q28" s="9" t="s">
        <v>5268</v>
      </c>
    </row>
    <row r="29" spans="1:17" ht="24.95" customHeight="1" x14ac:dyDescent="0.2">
      <c r="A29" s="17" t="s">
        <v>82</v>
      </c>
      <c r="B29" s="2">
        <v>234</v>
      </c>
      <c r="C29" s="2">
        <v>96</v>
      </c>
      <c r="D29" s="2">
        <v>54.3</v>
      </c>
      <c r="E29" s="2">
        <v>51</v>
      </c>
      <c r="F29" s="2">
        <v>0.7</v>
      </c>
      <c r="G29" s="2">
        <v>-10</v>
      </c>
      <c r="I29" s="2">
        <v>35750</v>
      </c>
      <c r="J29" s="2">
        <v>175</v>
      </c>
      <c r="K29" s="2">
        <v>3432000</v>
      </c>
      <c r="L29" s="2">
        <v>66307</v>
      </c>
      <c r="M29" s="2">
        <v>6164.6</v>
      </c>
      <c r="N29" s="2">
        <v>8854</v>
      </c>
      <c r="O29" s="2">
        <v>222170</v>
      </c>
      <c r="P29" s="2">
        <v>10.1</v>
      </c>
      <c r="Q29" s="9" t="s">
        <v>5268</v>
      </c>
    </row>
    <row r="30" spans="1:17" ht="24.95" customHeight="1" x14ac:dyDescent="0.2">
      <c r="A30" s="17" t="s">
        <v>83</v>
      </c>
      <c r="B30" s="2">
        <v>236</v>
      </c>
      <c r="C30" s="2">
        <v>88</v>
      </c>
      <c r="D30" s="2">
        <v>37.6</v>
      </c>
      <c r="E30" s="2">
        <v>51</v>
      </c>
      <c r="F30" s="2">
        <v>0.4</v>
      </c>
      <c r="G30" s="2">
        <v>-1</v>
      </c>
      <c r="I30" s="2">
        <v>37200</v>
      </c>
      <c r="J30" s="2">
        <v>235</v>
      </c>
      <c r="K30" s="2">
        <v>3273600</v>
      </c>
      <c r="L30" s="2">
        <v>31656</v>
      </c>
      <c r="M30" s="2">
        <v>5375.1</v>
      </c>
      <c r="N30" s="2">
        <v>9028.1</v>
      </c>
      <c r="O30" s="2">
        <v>113600</v>
      </c>
      <c r="Q30" s="9" t="s">
        <v>5268</v>
      </c>
    </row>
    <row r="31" spans="1:17" ht="24.95" customHeight="1" x14ac:dyDescent="0.2">
      <c r="A31" s="17" t="s">
        <v>84</v>
      </c>
      <c r="B31" s="2">
        <v>264</v>
      </c>
      <c r="C31" s="2">
        <v>94</v>
      </c>
      <c r="D31" s="2">
        <v>58.9</v>
      </c>
      <c r="E31" s="2">
        <v>51</v>
      </c>
      <c r="G31" s="2">
        <v>-15.9</v>
      </c>
      <c r="I31" s="2">
        <v>18400</v>
      </c>
      <c r="J31" s="2">
        <v>255</v>
      </c>
      <c r="K31" s="2">
        <v>1729600</v>
      </c>
      <c r="L31" s="2">
        <v>18336</v>
      </c>
      <c r="M31" s="2">
        <v>1437.6</v>
      </c>
      <c r="N31" s="2">
        <v>4639.8</v>
      </c>
      <c r="O31" s="2">
        <v>67340</v>
      </c>
      <c r="Q31" s="9" t="s">
        <v>5268</v>
      </c>
    </row>
    <row r="32" spans="1:17" ht="24.95" customHeight="1" x14ac:dyDescent="0.2">
      <c r="A32" s="17" t="s">
        <v>5273</v>
      </c>
      <c r="B32" s="2">
        <v>221</v>
      </c>
      <c r="C32" s="2">
        <v>85</v>
      </c>
      <c r="D32" s="2">
        <v>23.5</v>
      </c>
      <c r="E32" s="2">
        <v>51</v>
      </c>
      <c r="F32" s="2">
        <v>0.2</v>
      </c>
      <c r="G32" s="2">
        <v>10.3</v>
      </c>
      <c r="I32" s="2">
        <v>95000</v>
      </c>
      <c r="J32" s="2">
        <v>217</v>
      </c>
      <c r="K32" s="2">
        <v>8075000</v>
      </c>
      <c r="L32" s="2">
        <v>25165</v>
      </c>
      <c r="M32" s="2">
        <v>6116.5</v>
      </c>
      <c r="N32" s="2">
        <v>23623.599999999999</v>
      </c>
      <c r="O32" s="2">
        <v>68070</v>
      </c>
      <c r="Q32" s="9" t="s">
        <v>5268</v>
      </c>
    </row>
    <row r="33" spans="1:17" ht="24.95" customHeight="1" x14ac:dyDescent="0.2">
      <c r="A33" s="17" t="s">
        <v>5274</v>
      </c>
      <c r="B33" s="2">
        <v>236</v>
      </c>
      <c r="C33" s="2">
        <v>96</v>
      </c>
      <c r="D33" s="2">
        <v>46.2</v>
      </c>
      <c r="E33" s="2">
        <v>51</v>
      </c>
      <c r="F33" s="2">
        <v>0.4</v>
      </c>
      <c r="G33" s="2">
        <v>-1.5</v>
      </c>
      <c r="I33" s="2">
        <v>49975</v>
      </c>
      <c r="J33" s="2">
        <v>205</v>
      </c>
      <c r="K33" s="2">
        <v>4797600</v>
      </c>
      <c r="L33" s="2">
        <v>29444</v>
      </c>
      <c r="M33" s="2">
        <v>3865.3</v>
      </c>
      <c r="N33" s="2">
        <v>12959.8</v>
      </c>
      <c r="O33" s="2">
        <v>124470</v>
      </c>
      <c r="Q33" s="9" t="s">
        <v>5268</v>
      </c>
    </row>
    <row r="34" spans="1:17" ht="24.95" customHeight="1" x14ac:dyDescent="0.2">
      <c r="A34" s="17" t="s">
        <v>87</v>
      </c>
      <c r="B34" s="2">
        <v>260</v>
      </c>
      <c r="C34" s="2">
        <v>98</v>
      </c>
      <c r="D34" s="2">
        <v>60.5</v>
      </c>
      <c r="E34" s="2">
        <v>51</v>
      </c>
      <c r="F34" s="2">
        <v>0.1</v>
      </c>
      <c r="G34" s="2">
        <v>-13.6</v>
      </c>
      <c r="I34" s="2">
        <v>15228</v>
      </c>
      <c r="J34" s="2">
        <v>201</v>
      </c>
      <c r="K34" s="2">
        <v>1492344</v>
      </c>
      <c r="L34" s="2">
        <v>11801</v>
      </c>
      <c r="M34" s="2">
        <v>999.8</v>
      </c>
      <c r="N34" s="2">
        <v>3908</v>
      </c>
      <c r="O34" s="2">
        <v>39580</v>
      </c>
      <c r="Q34" s="9" t="s">
        <v>5268</v>
      </c>
    </row>
    <row r="35" spans="1:17" ht="24.95" customHeight="1" x14ac:dyDescent="0.2">
      <c r="A35" s="17" t="s">
        <v>88</v>
      </c>
      <c r="B35" s="2">
        <v>236</v>
      </c>
      <c r="C35" s="2">
        <v>92</v>
      </c>
      <c r="D35" s="2">
        <v>50.7</v>
      </c>
      <c r="E35" s="2">
        <v>51</v>
      </c>
      <c r="F35" s="2">
        <v>0.3</v>
      </c>
      <c r="G35" s="2">
        <v>-9.9</v>
      </c>
      <c r="I35" s="2">
        <v>25200</v>
      </c>
      <c r="J35" s="2">
        <v>172</v>
      </c>
      <c r="K35" s="2">
        <v>2318400</v>
      </c>
      <c r="L35" s="2">
        <v>25072</v>
      </c>
      <c r="M35" s="2">
        <v>1632.5</v>
      </c>
      <c r="N35" s="2">
        <v>5872</v>
      </c>
      <c r="O35" s="2">
        <v>86440</v>
      </c>
      <c r="Q35" s="9" t="s">
        <v>5268</v>
      </c>
    </row>
    <row r="36" spans="1:17" ht="24.95" customHeight="1" x14ac:dyDescent="0.2">
      <c r="A36" s="17" t="s">
        <v>89</v>
      </c>
      <c r="B36" s="2">
        <v>244</v>
      </c>
      <c r="C36" s="2">
        <v>92</v>
      </c>
      <c r="D36" s="2">
        <v>56.9</v>
      </c>
      <c r="E36" s="2">
        <v>51</v>
      </c>
      <c r="F36" s="2">
        <v>0.3</v>
      </c>
      <c r="G36" s="2">
        <v>-16.2</v>
      </c>
      <c r="I36" s="2">
        <v>28130</v>
      </c>
      <c r="J36" s="2">
        <v>193</v>
      </c>
      <c r="K36" s="2">
        <v>2587960</v>
      </c>
      <c r="L36" s="2">
        <v>26366</v>
      </c>
      <c r="M36" s="2">
        <v>2054.9</v>
      </c>
      <c r="N36" s="2">
        <v>7332</v>
      </c>
      <c r="O36" s="2">
        <v>90480</v>
      </c>
      <c r="Q36" s="9" t="s">
        <v>5268</v>
      </c>
    </row>
    <row r="37" spans="1:17" ht="24.95" customHeight="1" x14ac:dyDescent="0.2">
      <c r="A37" s="17" t="s">
        <v>90</v>
      </c>
      <c r="B37" s="2">
        <v>234</v>
      </c>
      <c r="C37" s="2">
        <v>90</v>
      </c>
      <c r="D37" s="2">
        <v>54.1</v>
      </c>
      <c r="E37" s="2">
        <v>51</v>
      </c>
      <c r="F37" s="2">
        <v>0.7</v>
      </c>
      <c r="G37" s="2">
        <v>-15.8</v>
      </c>
      <c r="I37" s="2">
        <v>8325</v>
      </c>
      <c r="J37" s="2">
        <v>191</v>
      </c>
      <c r="K37" s="2">
        <v>749250</v>
      </c>
      <c r="L37" s="2">
        <v>12106</v>
      </c>
      <c r="M37" s="2">
        <v>1384.4</v>
      </c>
      <c r="N37" s="2">
        <v>2089.6</v>
      </c>
      <c r="O37" s="2">
        <v>52950</v>
      </c>
      <c r="P37" s="2">
        <v>10.8</v>
      </c>
      <c r="Q37" s="9" t="s">
        <v>5268</v>
      </c>
    </row>
    <row r="38" spans="1:17" ht="24.95" customHeight="1" x14ac:dyDescent="0.2">
      <c r="A38" s="17" t="s">
        <v>91</v>
      </c>
      <c r="B38" s="2">
        <v>224</v>
      </c>
      <c r="C38" s="2">
        <v>94</v>
      </c>
      <c r="D38" s="2">
        <v>47.1</v>
      </c>
      <c r="E38" s="2">
        <v>51</v>
      </c>
      <c r="F38" s="2">
        <v>0.4</v>
      </c>
      <c r="G38" s="2">
        <v>-4.5</v>
      </c>
      <c r="I38" s="2">
        <v>65200</v>
      </c>
      <c r="J38" s="2">
        <v>190</v>
      </c>
      <c r="K38" s="2">
        <v>6128800</v>
      </c>
      <c r="L38" s="2">
        <v>96873</v>
      </c>
      <c r="M38" s="2">
        <v>10155.200000000001</v>
      </c>
      <c r="N38" s="2">
        <v>15831.2</v>
      </c>
      <c r="O38" s="2">
        <v>374810</v>
      </c>
      <c r="Q38" s="9" t="s">
        <v>5268</v>
      </c>
    </row>
    <row r="39" spans="1:17" ht="24.95" customHeight="1" x14ac:dyDescent="0.2">
      <c r="A39" s="17" t="s">
        <v>92</v>
      </c>
      <c r="B39" s="2">
        <v>210</v>
      </c>
      <c r="C39" s="2">
        <v>82</v>
      </c>
      <c r="D39" s="2">
        <v>17.7</v>
      </c>
      <c r="E39" s="2">
        <v>51</v>
      </c>
      <c r="F39" s="2">
        <v>0.1</v>
      </c>
      <c r="G39" s="2">
        <v>13.2</v>
      </c>
      <c r="I39" s="2">
        <v>275000</v>
      </c>
      <c r="J39" s="2">
        <v>197</v>
      </c>
      <c r="K39" s="2">
        <v>22550000</v>
      </c>
      <c r="L39" s="2">
        <v>28215</v>
      </c>
      <c r="M39" s="2">
        <v>8305.4</v>
      </c>
      <c r="N39" s="2">
        <v>64590.3</v>
      </c>
      <c r="O39" s="2">
        <v>86110</v>
      </c>
      <c r="Q39" s="9" t="s">
        <v>5268</v>
      </c>
    </row>
    <row r="40" spans="1:17" ht="24.95" customHeight="1" x14ac:dyDescent="0.2">
      <c r="A40" s="17" t="s">
        <v>93</v>
      </c>
      <c r="B40" s="2">
        <v>248</v>
      </c>
      <c r="C40" s="2">
        <v>94</v>
      </c>
      <c r="D40" s="2">
        <v>60.4</v>
      </c>
      <c r="E40" s="2">
        <v>51</v>
      </c>
      <c r="F40" s="2">
        <v>0.4</v>
      </c>
      <c r="G40" s="2">
        <v>-17.8</v>
      </c>
      <c r="I40" s="2">
        <v>32030</v>
      </c>
      <c r="J40" s="2">
        <v>178</v>
      </c>
      <c r="K40" s="2">
        <v>3010820</v>
      </c>
      <c r="L40" s="2">
        <v>45460</v>
      </c>
      <c r="M40" s="2">
        <v>3801</v>
      </c>
      <c r="N40" s="2">
        <v>7564.6</v>
      </c>
      <c r="O40" s="2">
        <v>148140</v>
      </c>
      <c r="Q40" s="9" t="s">
        <v>5268</v>
      </c>
    </row>
    <row r="41" spans="1:17" ht="24.95" customHeight="1" x14ac:dyDescent="0.25">
      <c r="A41" s="17" t="s">
        <v>96</v>
      </c>
      <c r="B41" s="2">
        <v>324</v>
      </c>
      <c r="C41" s="2">
        <v>141</v>
      </c>
      <c r="D41" s="2">
        <v>141.5</v>
      </c>
      <c r="E41" s="2">
        <v>-0.5</v>
      </c>
      <c r="I41" s="2">
        <v>8417</v>
      </c>
      <c r="J41" s="2">
        <v>157</v>
      </c>
      <c r="K41" s="2">
        <v>1186797</v>
      </c>
      <c r="L41" s="2">
        <v>23685</v>
      </c>
      <c r="M41" s="2">
        <v>903.6</v>
      </c>
      <c r="N41" s="2">
        <v>2135.6</v>
      </c>
      <c r="O41" s="2">
        <v>74910</v>
      </c>
      <c r="P41" s="2">
        <v>35.799999999999997</v>
      </c>
      <c r="Q41" s="2" t="s">
        <v>5269</v>
      </c>
    </row>
    <row r="42" spans="1:17" ht="24.95" customHeight="1" x14ac:dyDescent="0.25">
      <c r="A42" s="17" t="s">
        <v>97</v>
      </c>
      <c r="B42" s="2">
        <v>288</v>
      </c>
      <c r="C42" s="2">
        <v>126</v>
      </c>
      <c r="D42" s="2">
        <v>125.6</v>
      </c>
      <c r="E42" s="2">
        <v>0.4</v>
      </c>
      <c r="I42" s="2">
        <v>8100</v>
      </c>
      <c r="J42" s="2">
        <v>132</v>
      </c>
      <c r="K42" s="2">
        <v>1020600</v>
      </c>
      <c r="L42" s="2">
        <v>20718</v>
      </c>
      <c r="M42" s="2">
        <v>1004.9</v>
      </c>
      <c r="N42" s="2">
        <v>2095.3000000000002</v>
      </c>
      <c r="O42" s="2">
        <v>64890</v>
      </c>
      <c r="P42" s="2">
        <v>26.6</v>
      </c>
      <c r="Q42" s="2" t="s">
        <v>5269</v>
      </c>
    </row>
    <row r="43" spans="1:17" ht="24.95" customHeight="1" x14ac:dyDescent="0.25">
      <c r="A43" s="17" t="s">
        <v>98</v>
      </c>
      <c r="B43" s="2">
        <v>288</v>
      </c>
      <c r="C43" s="2">
        <v>126</v>
      </c>
      <c r="D43" s="2">
        <v>126.5</v>
      </c>
      <c r="E43" s="2">
        <v>-0.5</v>
      </c>
      <c r="I43" s="2">
        <v>12090</v>
      </c>
      <c r="J43" s="2">
        <v>136</v>
      </c>
      <c r="K43" s="2">
        <v>1523340</v>
      </c>
      <c r="L43" s="2">
        <v>25404</v>
      </c>
      <c r="M43" s="2">
        <v>1725.2</v>
      </c>
      <c r="N43" s="2">
        <v>2999.3</v>
      </c>
      <c r="O43" s="2">
        <v>82170</v>
      </c>
      <c r="P43" s="2">
        <v>16.600000000000001</v>
      </c>
      <c r="Q43" s="2" t="s">
        <v>5269</v>
      </c>
    </row>
    <row r="44" spans="1:17" ht="24.95" customHeight="1" x14ac:dyDescent="0.25">
      <c r="A44" s="17" t="s">
        <v>99</v>
      </c>
      <c r="B44" s="2">
        <v>257</v>
      </c>
      <c r="C44" s="2">
        <v>101</v>
      </c>
      <c r="D44" s="2">
        <v>100.6</v>
      </c>
      <c r="E44" s="2">
        <v>0.4</v>
      </c>
      <c r="I44" s="2">
        <v>18275</v>
      </c>
      <c r="J44" s="2">
        <v>150</v>
      </c>
      <c r="K44" s="2">
        <v>1845775</v>
      </c>
      <c r="L44" s="2">
        <v>41193</v>
      </c>
      <c r="M44" s="2">
        <v>2588.1999999999998</v>
      </c>
      <c r="N44" s="2">
        <v>4661.1000000000004</v>
      </c>
      <c r="O44" s="2">
        <v>142940</v>
      </c>
      <c r="P44" s="2">
        <v>26.2</v>
      </c>
      <c r="Q44" s="2" t="s">
        <v>5269</v>
      </c>
    </row>
    <row r="45" spans="1:17" ht="24.95" customHeight="1" x14ac:dyDescent="0.25">
      <c r="A45" s="17" t="s">
        <v>100</v>
      </c>
      <c r="B45" s="2">
        <v>324</v>
      </c>
      <c r="C45" s="2">
        <v>124</v>
      </c>
      <c r="D45" s="2">
        <v>123.1</v>
      </c>
      <c r="E45" s="2">
        <v>0.9</v>
      </c>
      <c r="I45" s="2">
        <v>200300</v>
      </c>
      <c r="J45" s="2">
        <v>173</v>
      </c>
      <c r="K45" s="2">
        <v>24837200</v>
      </c>
      <c r="L45" s="2">
        <v>317287</v>
      </c>
      <c r="M45" s="2">
        <v>18187.3</v>
      </c>
      <c r="N45" s="2">
        <v>49603.3</v>
      </c>
      <c r="O45" s="2">
        <v>1115080</v>
      </c>
      <c r="Q45" s="2" t="s">
        <v>5269</v>
      </c>
    </row>
    <row r="46" spans="1:17" ht="24.95" customHeight="1" x14ac:dyDescent="0.25">
      <c r="A46" s="17" t="s">
        <v>101</v>
      </c>
      <c r="B46" s="2">
        <v>306</v>
      </c>
      <c r="C46" s="2">
        <v>132</v>
      </c>
      <c r="D46" s="2">
        <v>131.1</v>
      </c>
      <c r="E46" s="2">
        <v>0.9</v>
      </c>
      <c r="I46" s="2">
        <v>12060</v>
      </c>
      <c r="J46" s="2">
        <v>144</v>
      </c>
      <c r="K46" s="2">
        <v>1591920</v>
      </c>
      <c r="L46" s="2">
        <v>36918</v>
      </c>
      <c r="M46" s="2">
        <v>1405.1</v>
      </c>
      <c r="N46" s="2">
        <v>3092</v>
      </c>
      <c r="O46" s="2">
        <v>105740</v>
      </c>
      <c r="P46" s="2">
        <v>34</v>
      </c>
      <c r="Q46" s="2" t="s">
        <v>5269</v>
      </c>
    </row>
    <row r="47" spans="1:17" ht="24.95" customHeight="1" x14ac:dyDescent="0.25">
      <c r="A47" s="17" t="s">
        <v>102</v>
      </c>
      <c r="B47" s="2">
        <v>209</v>
      </c>
      <c r="C47" s="2">
        <v>107</v>
      </c>
      <c r="D47" s="2">
        <v>108.1</v>
      </c>
      <c r="E47" s="2">
        <v>-1.1000000000000001</v>
      </c>
      <c r="I47" s="2">
        <v>30800</v>
      </c>
      <c r="J47" s="2">
        <v>116</v>
      </c>
      <c r="K47" s="2">
        <v>3295600</v>
      </c>
      <c r="L47" s="2">
        <v>47632</v>
      </c>
      <c r="M47" s="2">
        <v>4059</v>
      </c>
      <c r="N47" s="2">
        <v>7812</v>
      </c>
      <c r="O47" s="2">
        <v>151250</v>
      </c>
      <c r="Q47" s="2" t="s">
        <v>5269</v>
      </c>
    </row>
    <row r="48" spans="1:17" ht="24.95" customHeight="1" x14ac:dyDescent="0.25">
      <c r="A48" s="17" t="s">
        <v>103</v>
      </c>
      <c r="B48" s="2">
        <v>312</v>
      </c>
      <c r="C48" s="2">
        <v>124</v>
      </c>
      <c r="D48" s="2">
        <v>124.3</v>
      </c>
      <c r="E48" s="2">
        <v>-0.3</v>
      </c>
      <c r="I48" s="2">
        <v>20750</v>
      </c>
      <c r="J48" s="2">
        <v>152</v>
      </c>
      <c r="K48" s="2">
        <v>2573000</v>
      </c>
      <c r="L48" s="2">
        <v>54591</v>
      </c>
      <c r="M48" s="2">
        <v>2386.1999999999998</v>
      </c>
      <c r="N48" s="2">
        <v>5316.6</v>
      </c>
      <c r="O48" s="2">
        <v>160650</v>
      </c>
      <c r="P48" s="2">
        <v>26</v>
      </c>
      <c r="Q48" s="2" t="s">
        <v>5269</v>
      </c>
    </row>
    <row r="49" spans="1:17" ht="24.95" customHeight="1" x14ac:dyDescent="0.25">
      <c r="A49" s="17" t="s">
        <v>104</v>
      </c>
      <c r="B49" s="2">
        <v>253.9</v>
      </c>
      <c r="C49" s="2">
        <v>125</v>
      </c>
      <c r="D49" s="2">
        <v>124.3</v>
      </c>
      <c r="E49" s="2">
        <v>0.7</v>
      </c>
      <c r="I49" s="2">
        <v>10719</v>
      </c>
      <c r="J49" s="2">
        <v>147</v>
      </c>
      <c r="K49" s="2">
        <v>1339875</v>
      </c>
      <c r="L49" s="2">
        <v>21235</v>
      </c>
      <c r="M49" s="2">
        <v>1156</v>
      </c>
      <c r="N49" s="2">
        <v>2730.3</v>
      </c>
      <c r="O49" s="2">
        <v>83220</v>
      </c>
      <c r="P49" s="2">
        <v>25.8</v>
      </c>
      <c r="Q49" s="2" t="s">
        <v>5269</v>
      </c>
    </row>
    <row r="50" spans="1:17" ht="24.95" customHeight="1" x14ac:dyDescent="0.25">
      <c r="A50" s="17" t="s">
        <v>105</v>
      </c>
      <c r="B50" s="2">
        <v>188</v>
      </c>
      <c r="C50" s="2">
        <v>96</v>
      </c>
      <c r="D50" s="2">
        <v>97.6</v>
      </c>
      <c r="E50" s="2">
        <v>-1.6</v>
      </c>
      <c r="I50" s="2">
        <v>37700</v>
      </c>
      <c r="J50" s="2">
        <v>136</v>
      </c>
      <c r="K50" s="2">
        <v>3619200</v>
      </c>
      <c r="L50" s="2">
        <v>48235</v>
      </c>
      <c r="M50" s="2">
        <v>5570.4</v>
      </c>
      <c r="N50" s="2">
        <v>9580.9</v>
      </c>
      <c r="O50" s="2">
        <v>149830</v>
      </c>
      <c r="Q50" s="2" t="s">
        <v>5269</v>
      </c>
    </row>
    <row r="51" spans="1:17" ht="24.95" customHeight="1" x14ac:dyDescent="0.25">
      <c r="A51" s="17" t="s">
        <v>106</v>
      </c>
      <c r="B51" s="2">
        <v>294</v>
      </c>
      <c r="C51" s="2">
        <v>123</v>
      </c>
      <c r="D51" s="2">
        <v>122.3</v>
      </c>
      <c r="E51" s="2">
        <v>0.7</v>
      </c>
      <c r="I51" s="2">
        <v>37000</v>
      </c>
      <c r="J51" s="2">
        <v>143</v>
      </c>
      <c r="K51" s="2">
        <v>4551000</v>
      </c>
      <c r="L51" s="2">
        <v>99708</v>
      </c>
      <c r="M51" s="2">
        <v>4051.9</v>
      </c>
      <c r="N51" s="2">
        <v>9187.7999999999993</v>
      </c>
      <c r="O51" s="2">
        <v>296220</v>
      </c>
      <c r="P51" s="2">
        <v>30.5</v>
      </c>
      <c r="Q51" s="2" t="s">
        <v>5269</v>
      </c>
    </row>
    <row r="52" spans="1:17" ht="24.95" customHeight="1" x14ac:dyDescent="0.25">
      <c r="A52" s="17" t="s">
        <v>107</v>
      </c>
      <c r="B52" s="2">
        <v>226</v>
      </c>
      <c r="C52" s="2">
        <v>90</v>
      </c>
      <c r="D52" s="2">
        <v>90.8</v>
      </c>
      <c r="E52" s="2">
        <v>-0.8</v>
      </c>
      <c r="I52" s="2">
        <v>43350</v>
      </c>
      <c r="J52" s="2">
        <v>174</v>
      </c>
      <c r="K52" s="2">
        <v>3901500</v>
      </c>
      <c r="L52" s="2">
        <v>53878</v>
      </c>
      <c r="M52" s="2">
        <v>6673.7</v>
      </c>
      <c r="N52" s="2">
        <v>10821.2</v>
      </c>
      <c r="O52" s="2">
        <v>162200</v>
      </c>
      <c r="Q52" s="2" t="s">
        <v>5269</v>
      </c>
    </row>
    <row r="53" spans="1:17" ht="24.95" customHeight="1" x14ac:dyDescent="0.25">
      <c r="A53" s="17" t="s">
        <v>108</v>
      </c>
      <c r="B53" s="2">
        <v>246</v>
      </c>
      <c r="C53" s="2">
        <v>117</v>
      </c>
      <c r="D53" s="2">
        <v>117.3</v>
      </c>
      <c r="E53" s="2">
        <v>-0.3</v>
      </c>
      <c r="I53" s="2">
        <v>80500</v>
      </c>
      <c r="J53" s="2">
        <v>156</v>
      </c>
      <c r="K53" s="2">
        <v>9418500</v>
      </c>
      <c r="L53" s="2">
        <v>130015</v>
      </c>
      <c r="M53" s="2">
        <v>9046.7999999999993</v>
      </c>
      <c r="N53" s="2">
        <v>19525.400000000001</v>
      </c>
      <c r="O53" s="2">
        <v>434260</v>
      </c>
      <c r="Q53" s="2" t="s">
        <v>5269</v>
      </c>
    </row>
    <row r="54" spans="1:17" ht="24.95" customHeight="1" x14ac:dyDescent="0.25">
      <c r="A54" s="17" t="s">
        <v>109</v>
      </c>
      <c r="B54" s="2">
        <v>306</v>
      </c>
      <c r="C54" s="2">
        <v>132</v>
      </c>
      <c r="D54" s="2">
        <v>132</v>
      </c>
      <c r="E54" s="2">
        <v>0.1</v>
      </c>
      <c r="I54" s="2">
        <v>9250</v>
      </c>
      <c r="J54" s="2">
        <v>143</v>
      </c>
      <c r="K54" s="2">
        <v>1221000</v>
      </c>
      <c r="L54" s="2">
        <v>27637</v>
      </c>
      <c r="M54" s="2">
        <v>918.8</v>
      </c>
      <c r="N54" s="2">
        <v>2335.6999999999998</v>
      </c>
      <c r="O54" s="2">
        <v>80540</v>
      </c>
      <c r="P54" s="2">
        <v>34.799999999999997</v>
      </c>
      <c r="Q54" s="2" t="s">
        <v>5269</v>
      </c>
    </row>
    <row r="55" spans="1:17" ht="24.95" customHeight="1" x14ac:dyDescent="0.25">
      <c r="A55" s="17" t="s">
        <v>110</v>
      </c>
      <c r="B55" s="2">
        <v>308</v>
      </c>
      <c r="C55" s="2">
        <v>124</v>
      </c>
      <c r="D55" s="2">
        <v>123.7</v>
      </c>
      <c r="E55" s="2">
        <v>0.3</v>
      </c>
      <c r="I55" s="2">
        <v>9125</v>
      </c>
      <c r="J55" s="2">
        <v>204</v>
      </c>
      <c r="K55" s="2">
        <v>1131500</v>
      </c>
      <c r="L55" s="2">
        <v>16113</v>
      </c>
      <c r="M55" s="2">
        <v>815.8</v>
      </c>
      <c r="N55" s="2">
        <v>2216.9</v>
      </c>
      <c r="O55" s="2">
        <v>50610</v>
      </c>
      <c r="Q55" s="2" t="s">
        <v>5269</v>
      </c>
    </row>
    <row r="56" spans="1:17" ht="24.95" customHeight="1" x14ac:dyDescent="0.25">
      <c r="A56" s="17" t="s">
        <v>111</v>
      </c>
      <c r="B56" s="2">
        <v>252</v>
      </c>
      <c r="C56" s="2">
        <v>104</v>
      </c>
      <c r="D56" s="2">
        <v>103.3</v>
      </c>
      <c r="E56" s="2">
        <v>0.7</v>
      </c>
      <c r="I56" s="2">
        <v>7550</v>
      </c>
      <c r="J56" s="2">
        <v>140</v>
      </c>
      <c r="K56" s="2">
        <v>785200</v>
      </c>
      <c r="L56" s="2">
        <v>21499</v>
      </c>
      <c r="M56" s="2">
        <v>950.5</v>
      </c>
      <c r="N56" s="2">
        <v>1897.7</v>
      </c>
      <c r="O56" s="2">
        <v>61120</v>
      </c>
      <c r="P56" s="2">
        <v>29.7</v>
      </c>
      <c r="Q56" s="2" t="s">
        <v>5269</v>
      </c>
    </row>
    <row r="57" spans="1:17" ht="24.95" customHeight="1" x14ac:dyDescent="0.25">
      <c r="A57" s="17" t="s">
        <v>112</v>
      </c>
      <c r="B57" s="2">
        <v>225</v>
      </c>
      <c r="C57" s="2">
        <v>104</v>
      </c>
      <c r="D57" s="2">
        <v>104.2</v>
      </c>
      <c r="E57" s="2">
        <v>-0.2</v>
      </c>
      <c r="I57" s="2">
        <v>5500</v>
      </c>
      <c r="J57" s="2">
        <v>132</v>
      </c>
      <c r="K57" s="2">
        <v>572000</v>
      </c>
      <c r="L57" s="2">
        <v>9787</v>
      </c>
      <c r="M57" s="2">
        <v>590.29999999999995</v>
      </c>
      <c r="N57" s="2">
        <v>1334.3</v>
      </c>
      <c r="O57" s="2">
        <v>30720</v>
      </c>
      <c r="Q57" s="2" t="s">
        <v>5269</v>
      </c>
    </row>
    <row r="58" spans="1:17" ht="24.95" customHeight="1" x14ac:dyDescent="0.25">
      <c r="A58" s="17" t="s">
        <v>113</v>
      </c>
      <c r="B58" s="2">
        <v>300</v>
      </c>
      <c r="C58" s="2">
        <v>118</v>
      </c>
      <c r="D58" s="2">
        <v>121</v>
      </c>
      <c r="E58" s="2">
        <v>-3</v>
      </c>
      <c r="I58" s="2">
        <v>9955</v>
      </c>
      <c r="J58" s="2">
        <v>168</v>
      </c>
      <c r="K58" s="2">
        <v>1174690</v>
      </c>
      <c r="L58" s="2">
        <v>23369</v>
      </c>
      <c r="M58" s="2">
        <v>1177</v>
      </c>
      <c r="N58" s="2">
        <v>2440.6</v>
      </c>
      <c r="O58" s="2">
        <v>70800</v>
      </c>
      <c r="P58" s="2">
        <v>20.6</v>
      </c>
      <c r="Q58" s="2" t="s">
        <v>5269</v>
      </c>
    </row>
    <row r="59" spans="1:17" ht="24.95" customHeight="1" x14ac:dyDescent="0.25">
      <c r="A59" s="17" t="s">
        <v>20</v>
      </c>
      <c r="B59" s="2">
        <v>270</v>
      </c>
      <c r="C59" s="2">
        <v>118</v>
      </c>
      <c r="D59" s="2">
        <v>118</v>
      </c>
      <c r="I59" s="2">
        <v>11060</v>
      </c>
      <c r="J59" s="2">
        <v>172</v>
      </c>
      <c r="K59" s="2">
        <v>1305080</v>
      </c>
      <c r="L59" s="2">
        <v>18867</v>
      </c>
      <c r="M59" s="2">
        <v>1225.7</v>
      </c>
      <c r="N59" s="2">
        <v>2709.9</v>
      </c>
      <c r="O59" s="2">
        <v>59030</v>
      </c>
      <c r="Q59" s="2" t="s">
        <v>5269</v>
      </c>
    </row>
    <row r="60" spans="1:17" ht="24.95" customHeight="1" x14ac:dyDescent="0.25">
      <c r="A60" s="17" t="s">
        <v>114</v>
      </c>
      <c r="B60" s="2">
        <v>300</v>
      </c>
      <c r="C60" s="2">
        <v>126</v>
      </c>
      <c r="D60" s="2">
        <v>125.8</v>
      </c>
      <c r="E60" s="2">
        <v>0.2</v>
      </c>
      <c r="I60" s="2">
        <v>50000</v>
      </c>
      <c r="J60" s="2">
        <v>140</v>
      </c>
      <c r="K60" s="2">
        <v>6300000</v>
      </c>
      <c r="L60" s="2">
        <v>95028</v>
      </c>
      <c r="M60" s="2">
        <v>5793.5</v>
      </c>
      <c r="N60" s="2">
        <v>12201.2</v>
      </c>
      <c r="O60" s="2">
        <v>310640</v>
      </c>
      <c r="P60" s="2">
        <v>9.4</v>
      </c>
      <c r="Q60" s="2" t="s">
        <v>5269</v>
      </c>
    </row>
    <row r="61" spans="1:17" ht="24.95" customHeight="1" x14ac:dyDescent="0.25">
      <c r="A61" s="17" t="s">
        <v>115</v>
      </c>
      <c r="B61" s="2">
        <v>240</v>
      </c>
      <c r="C61" s="2">
        <v>96</v>
      </c>
      <c r="D61" s="2">
        <v>96</v>
      </c>
      <c r="I61" s="2">
        <v>58806</v>
      </c>
      <c r="J61" s="2">
        <v>175</v>
      </c>
      <c r="K61" s="2">
        <v>5645376</v>
      </c>
      <c r="L61" s="2">
        <v>76424</v>
      </c>
      <c r="M61" s="2">
        <v>7333.5</v>
      </c>
      <c r="N61" s="2">
        <v>13885.8</v>
      </c>
      <c r="O61" s="2">
        <v>253690</v>
      </c>
      <c r="Q61" s="2" t="s">
        <v>5269</v>
      </c>
    </row>
    <row r="62" spans="1:17" ht="24.95" customHeight="1" x14ac:dyDescent="0.25">
      <c r="A62" s="17" t="s">
        <v>116</v>
      </c>
      <c r="B62" s="2">
        <v>258</v>
      </c>
      <c r="C62" s="2">
        <v>108</v>
      </c>
      <c r="D62" s="2">
        <v>106.8</v>
      </c>
      <c r="E62" s="2">
        <v>1.2</v>
      </c>
      <c r="I62" s="2">
        <v>14100</v>
      </c>
      <c r="J62" s="2">
        <v>151</v>
      </c>
      <c r="K62" s="2">
        <v>1552800</v>
      </c>
      <c r="L62" s="2">
        <v>27076</v>
      </c>
      <c r="M62" s="2">
        <v>1570</v>
      </c>
      <c r="N62" s="2">
        <v>3573.2</v>
      </c>
      <c r="O62" s="2">
        <v>84400</v>
      </c>
      <c r="P62" s="2">
        <v>3.8</v>
      </c>
      <c r="Q62" s="2" t="s">
        <v>5269</v>
      </c>
    </row>
    <row r="63" spans="1:17" ht="24.95" customHeight="1" x14ac:dyDescent="0.25">
      <c r="A63" s="17" t="s">
        <v>117</v>
      </c>
      <c r="B63" s="2">
        <v>306</v>
      </c>
      <c r="C63" s="2">
        <v>114</v>
      </c>
      <c r="D63" s="2">
        <v>112.9</v>
      </c>
      <c r="E63" s="2">
        <v>1.1000000000000001</v>
      </c>
      <c r="I63" s="2">
        <v>26200</v>
      </c>
      <c r="J63" s="2">
        <v>187</v>
      </c>
      <c r="K63" s="2">
        <v>2986800</v>
      </c>
      <c r="L63" s="2">
        <v>41340</v>
      </c>
      <c r="M63" s="2">
        <v>2133.1999999999998</v>
      </c>
      <c r="N63" s="2">
        <v>6532.9</v>
      </c>
      <c r="O63" s="2">
        <v>131910</v>
      </c>
      <c r="Q63" s="2" t="s">
        <v>5269</v>
      </c>
    </row>
    <row r="64" spans="1:17" ht="24.95" customHeight="1" x14ac:dyDescent="0.25">
      <c r="A64" s="17" t="s">
        <v>5284</v>
      </c>
      <c r="B64" s="2">
        <v>298</v>
      </c>
      <c r="C64" s="2">
        <v>134</v>
      </c>
      <c r="D64" s="2">
        <v>133.69999999999999</v>
      </c>
      <c r="E64" s="2">
        <v>0.3</v>
      </c>
      <c r="I64" s="2">
        <v>5590</v>
      </c>
      <c r="J64" s="2">
        <v>132</v>
      </c>
      <c r="K64" s="2">
        <v>749060</v>
      </c>
      <c r="L64" s="2">
        <v>18731</v>
      </c>
      <c r="M64" s="2">
        <v>620</v>
      </c>
      <c r="N64" s="2">
        <v>1477.7</v>
      </c>
      <c r="O64" s="2">
        <v>53520</v>
      </c>
      <c r="P64" s="2">
        <v>38.9</v>
      </c>
      <c r="Q64" s="2" t="s">
        <v>5269</v>
      </c>
    </row>
    <row r="65" spans="1:17" ht="24.95" customHeight="1" x14ac:dyDescent="0.25">
      <c r="A65" s="17" t="s">
        <v>119</v>
      </c>
      <c r="B65" s="2">
        <v>312</v>
      </c>
      <c r="C65" s="2">
        <v>128</v>
      </c>
      <c r="D65" s="2">
        <v>129.19999999999999</v>
      </c>
      <c r="E65" s="2">
        <v>-1.2</v>
      </c>
      <c r="I65" s="2">
        <v>15000</v>
      </c>
      <c r="J65" s="2">
        <v>176</v>
      </c>
      <c r="K65" s="2">
        <v>1920000</v>
      </c>
      <c r="L65" s="2">
        <v>27010</v>
      </c>
      <c r="M65" s="2">
        <v>1582.5</v>
      </c>
      <c r="N65" s="2">
        <v>3662.7</v>
      </c>
      <c r="O65" s="2">
        <v>86460</v>
      </c>
      <c r="P65" s="2">
        <v>3.4</v>
      </c>
      <c r="Q65" s="2" t="s">
        <v>5269</v>
      </c>
    </row>
    <row r="66" spans="1:17" ht="24.95" customHeight="1" x14ac:dyDescent="0.25">
      <c r="A66" s="17" t="s">
        <v>120</v>
      </c>
      <c r="B66" s="2">
        <v>294</v>
      </c>
      <c r="C66" s="2">
        <v>116</v>
      </c>
      <c r="D66" s="2">
        <v>116</v>
      </c>
      <c r="I66" s="2">
        <v>10825</v>
      </c>
      <c r="J66" s="2">
        <v>209</v>
      </c>
      <c r="K66" s="2">
        <v>1255700</v>
      </c>
      <c r="L66" s="2">
        <v>18688</v>
      </c>
      <c r="M66" s="2">
        <v>1022.7</v>
      </c>
      <c r="N66" s="2">
        <v>2677.5</v>
      </c>
      <c r="O66" s="2">
        <v>63820</v>
      </c>
      <c r="P66" s="2">
        <v>5</v>
      </c>
      <c r="Q66" s="2" t="s">
        <v>5269</v>
      </c>
    </row>
    <row r="67" spans="1:17" ht="24.95" customHeight="1" x14ac:dyDescent="0.25">
      <c r="A67" s="17" t="s">
        <v>121</v>
      </c>
      <c r="B67" s="2">
        <v>214</v>
      </c>
      <c r="C67" s="2">
        <v>110</v>
      </c>
      <c r="D67" s="2">
        <v>112.3</v>
      </c>
      <c r="E67" s="2">
        <v>-2.2999999999999998</v>
      </c>
      <c r="I67" s="2">
        <v>12950</v>
      </c>
      <c r="J67" s="2">
        <v>111</v>
      </c>
      <c r="K67" s="2">
        <v>1424500</v>
      </c>
      <c r="L67" s="2">
        <v>20876</v>
      </c>
      <c r="M67" s="2">
        <v>2106.8000000000002</v>
      </c>
      <c r="N67" s="2">
        <v>3269.7</v>
      </c>
      <c r="O67" s="2">
        <v>61250</v>
      </c>
      <c r="Q67" s="2" t="s">
        <v>5269</v>
      </c>
    </row>
    <row r="68" spans="1:17" ht="24.95" customHeight="1" x14ac:dyDescent="0.25">
      <c r="A68" s="17" t="s">
        <v>122</v>
      </c>
      <c r="B68" s="2">
        <v>328</v>
      </c>
      <c r="C68" s="2">
        <v>120</v>
      </c>
      <c r="D68" s="2">
        <v>120.8</v>
      </c>
      <c r="E68" s="2">
        <v>-0.8</v>
      </c>
      <c r="I68" s="2">
        <v>16250</v>
      </c>
      <c r="J68" s="2">
        <v>168</v>
      </c>
      <c r="K68" s="2">
        <v>1950000</v>
      </c>
      <c r="L68" s="2">
        <v>31621</v>
      </c>
      <c r="M68" s="2">
        <v>2270</v>
      </c>
      <c r="N68" s="2">
        <v>4017.4</v>
      </c>
      <c r="O68" s="2">
        <v>105430</v>
      </c>
      <c r="P68" s="2">
        <v>14.8</v>
      </c>
      <c r="Q68" s="2" t="s">
        <v>5269</v>
      </c>
    </row>
    <row r="69" spans="1:17" ht="24.95" customHeight="1" x14ac:dyDescent="0.25">
      <c r="A69" s="17" t="s">
        <v>123</v>
      </c>
      <c r="B69" s="2">
        <v>252</v>
      </c>
      <c r="C69" s="2">
        <v>124</v>
      </c>
      <c r="D69" s="2">
        <v>125.4</v>
      </c>
      <c r="E69" s="2">
        <v>-1.4</v>
      </c>
      <c r="I69" s="2">
        <v>17200</v>
      </c>
      <c r="J69" s="2">
        <v>133</v>
      </c>
      <c r="K69" s="2">
        <v>2132800</v>
      </c>
      <c r="L69" s="2">
        <v>24284</v>
      </c>
      <c r="M69" s="2">
        <v>1843.5</v>
      </c>
      <c r="N69" s="2">
        <v>4394.1000000000004</v>
      </c>
      <c r="O69" s="2">
        <v>78950</v>
      </c>
      <c r="Q69" s="2" t="s">
        <v>5269</v>
      </c>
    </row>
    <row r="70" spans="1:17" ht="24.95" customHeight="1" x14ac:dyDescent="0.25">
      <c r="A70" s="17" t="s">
        <v>124</v>
      </c>
      <c r="B70" s="2">
        <v>330</v>
      </c>
      <c r="C70" s="2">
        <v>142</v>
      </c>
      <c r="D70" s="2">
        <v>141.5</v>
      </c>
      <c r="E70" s="2">
        <v>0.5</v>
      </c>
      <c r="I70" s="2">
        <v>12500</v>
      </c>
      <c r="J70" s="2">
        <v>150</v>
      </c>
      <c r="K70" s="2">
        <v>1775000</v>
      </c>
      <c r="L70" s="2">
        <v>33694</v>
      </c>
      <c r="M70" s="2">
        <v>1371.1</v>
      </c>
      <c r="N70" s="2">
        <v>3200.3</v>
      </c>
      <c r="O70" s="2">
        <v>103120</v>
      </c>
      <c r="P70" s="2">
        <v>30</v>
      </c>
      <c r="Q70" s="2" t="s">
        <v>5269</v>
      </c>
    </row>
    <row r="71" spans="1:17" ht="24.95" customHeight="1" x14ac:dyDescent="0.25">
      <c r="A71" s="17" t="s">
        <v>473</v>
      </c>
      <c r="B71" s="2">
        <v>314</v>
      </c>
      <c r="C71" s="2">
        <v>150</v>
      </c>
      <c r="D71" s="2">
        <v>152.80000000000001</v>
      </c>
      <c r="E71" s="2">
        <v>-2.8</v>
      </c>
      <c r="I71" s="2">
        <v>10460</v>
      </c>
      <c r="J71" s="2">
        <v>122</v>
      </c>
      <c r="K71" s="2">
        <v>1569000</v>
      </c>
      <c r="L71" s="2">
        <v>19966</v>
      </c>
      <c r="M71" s="2">
        <v>1083</v>
      </c>
      <c r="N71" s="2">
        <v>2559.6</v>
      </c>
      <c r="O71" s="2">
        <v>70180</v>
      </c>
      <c r="P71" s="2">
        <v>17.100000000000001</v>
      </c>
      <c r="Q71" s="2" t="s">
        <v>5269</v>
      </c>
    </row>
    <row r="72" spans="1:17" ht="24.95" customHeight="1" x14ac:dyDescent="0.25">
      <c r="A72" s="17" t="s">
        <v>6709</v>
      </c>
      <c r="B72" s="2">
        <v>272</v>
      </c>
      <c r="C72" s="2">
        <v>136</v>
      </c>
      <c r="D72" s="2">
        <v>137.4</v>
      </c>
      <c r="E72" s="2">
        <v>-1.4</v>
      </c>
      <c r="I72" s="2">
        <v>9010</v>
      </c>
      <c r="J72" s="2">
        <v>126</v>
      </c>
      <c r="K72" s="2">
        <v>1225360</v>
      </c>
      <c r="L72" s="2">
        <v>17319</v>
      </c>
      <c r="M72" s="2">
        <v>843.8</v>
      </c>
      <c r="N72" s="2">
        <v>2226.1999999999998</v>
      </c>
      <c r="O72" s="2">
        <v>52450</v>
      </c>
      <c r="P72" s="2">
        <v>4.5</v>
      </c>
      <c r="Q72" s="2" t="s">
        <v>5269</v>
      </c>
    </row>
    <row r="73" spans="1:17" ht="24.95" customHeight="1" x14ac:dyDescent="0.25">
      <c r="A73" s="17" t="s">
        <v>128</v>
      </c>
      <c r="B73" s="2">
        <v>279</v>
      </c>
      <c r="C73" s="2">
        <v>127</v>
      </c>
      <c r="D73" s="2">
        <v>126.7</v>
      </c>
      <c r="E73" s="2">
        <v>0.3</v>
      </c>
      <c r="I73" s="2">
        <v>13775</v>
      </c>
      <c r="J73" s="2">
        <v>169</v>
      </c>
      <c r="K73" s="2">
        <v>1749425</v>
      </c>
      <c r="L73" s="2">
        <v>29561</v>
      </c>
      <c r="M73" s="2">
        <v>1649.4</v>
      </c>
      <c r="N73" s="2">
        <v>3420.7</v>
      </c>
      <c r="O73" s="2">
        <v>96780</v>
      </c>
      <c r="P73" s="2">
        <v>18.600000000000001</v>
      </c>
      <c r="Q73" s="2" t="s">
        <v>5269</v>
      </c>
    </row>
    <row r="74" spans="1:17" ht="24.95" customHeight="1" x14ac:dyDescent="0.25">
      <c r="A74" s="17" t="s">
        <v>129</v>
      </c>
      <c r="B74" s="2">
        <v>306</v>
      </c>
      <c r="C74" s="2">
        <v>126</v>
      </c>
      <c r="D74" s="2">
        <v>126</v>
      </c>
      <c r="I74" s="2">
        <v>10400</v>
      </c>
      <c r="J74" s="2">
        <v>122</v>
      </c>
      <c r="K74" s="2">
        <v>1310400</v>
      </c>
      <c r="L74" s="2">
        <v>34440</v>
      </c>
      <c r="M74" s="2">
        <v>1117.2</v>
      </c>
      <c r="N74" s="2">
        <v>2578.3000000000002</v>
      </c>
      <c r="O74" s="2">
        <v>96250</v>
      </c>
      <c r="P74" s="2">
        <v>39</v>
      </c>
      <c r="Q74" s="2" t="s">
        <v>5269</v>
      </c>
    </row>
    <row r="75" spans="1:17" ht="24.95" customHeight="1" x14ac:dyDescent="0.25">
      <c r="A75" s="17" t="s">
        <v>130</v>
      </c>
      <c r="B75" s="2">
        <v>280</v>
      </c>
      <c r="C75" s="2">
        <v>120</v>
      </c>
      <c r="D75" s="2">
        <v>122.3</v>
      </c>
      <c r="E75" s="2">
        <v>-2.2999999999999998</v>
      </c>
      <c r="I75" s="2">
        <v>10335</v>
      </c>
      <c r="J75" s="2">
        <v>121</v>
      </c>
      <c r="K75" s="2">
        <v>1240200</v>
      </c>
      <c r="L75" s="2">
        <v>23299</v>
      </c>
      <c r="M75" s="2">
        <v>1747.2</v>
      </c>
      <c r="N75" s="2">
        <v>2637.6</v>
      </c>
      <c r="O75" s="2">
        <v>66640</v>
      </c>
      <c r="P75" s="2">
        <v>9.8000000000000007</v>
      </c>
      <c r="Q75" s="2" t="s">
        <v>5269</v>
      </c>
    </row>
    <row r="76" spans="1:17" ht="24.95" customHeight="1" x14ac:dyDescent="0.25">
      <c r="A76" s="17" t="s">
        <v>5288</v>
      </c>
      <c r="B76" s="2">
        <v>312</v>
      </c>
      <c r="C76" s="2">
        <v>141</v>
      </c>
      <c r="D76" s="2">
        <v>140.80000000000001</v>
      </c>
      <c r="E76" s="2">
        <v>0.2</v>
      </c>
      <c r="I76" s="2">
        <v>16300</v>
      </c>
      <c r="J76" s="2">
        <v>124</v>
      </c>
      <c r="K76" s="2">
        <v>2298300</v>
      </c>
      <c r="L76" s="2">
        <v>46118</v>
      </c>
      <c r="M76" s="2">
        <v>1710.7</v>
      </c>
      <c r="N76" s="2">
        <v>4001.6</v>
      </c>
      <c r="O76" s="2">
        <v>131050</v>
      </c>
      <c r="P76" s="2">
        <v>30.7</v>
      </c>
      <c r="Q76" s="2" t="s">
        <v>5269</v>
      </c>
    </row>
    <row r="77" spans="1:17" ht="24.95" customHeight="1" x14ac:dyDescent="0.25">
      <c r="A77" s="17" t="s">
        <v>5289</v>
      </c>
      <c r="B77" s="2">
        <v>276</v>
      </c>
      <c r="C77" s="2">
        <v>108</v>
      </c>
      <c r="D77" s="2">
        <v>106.8</v>
      </c>
      <c r="E77" s="2">
        <v>1.2</v>
      </c>
      <c r="I77" s="2">
        <v>19750</v>
      </c>
      <c r="J77" s="2">
        <v>156</v>
      </c>
      <c r="K77" s="2">
        <v>2133000</v>
      </c>
      <c r="L77" s="2">
        <v>37007</v>
      </c>
      <c r="M77" s="2">
        <v>2304.9</v>
      </c>
      <c r="N77" s="2">
        <v>4928.8999999999996</v>
      </c>
      <c r="O77" s="2">
        <v>118410</v>
      </c>
      <c r="P77" s="2">
        <v>6.1</v>
      </c>
      <c r="Q77" s="2" t="s">
        <v>5269</v>
      </c>
    </row>
    <row r="78" spans="1:17" ht="24.95" customHeight="1" x14ac:dyDescent="0.25">
      <c r="A78" s="17" t="s">
        <v>133</v>
      </c>
      <c r="B78" s="2">
        <v>324</v>
      </c>
      <c r="C78" s="2">
        <v>140</v>
      </c>
      <c r="D78" s="2">
        <v>139</v>
      </c>
      <c r="E78" s="2">
        <v>1</v>
      </c>
      <c r="I78" s="2">
        <v>33250</v>
      </c>
      <c r="J78" s="2">
        <v>126</v>
      </c>
      <c r="K78" s="2">
        <v>4655000</v>
      </c>
      <c r="L78" s="2">
        <v>93556</v>
      </c>
      <c r="M78" s="2">
        <v>3697.1</v>
      </c>
      <c r="N78" s="2">
        <v>8711.7999999999993</v>
      </c>
      <c r="O78" s="2">
        <v>301640</v>
      </c>
      <c r="P78" s="2">
        <v>35</v>
      </c>
      <c r="Q78" s="2" t="s">
        <v>5269</v>
      </c>
    </row>
    <row r="79" spans="1:17" ht="24.95" customHeight="1" x14ac:dyDescent="0.25">
      <c r="A79" s="17" t="s">
        <v>134</v>
      </c>
      <c r="B79" s="2">
        <v>288</v>
      </c>
      <c r="C79" s="2">
        <v>120</v>
      </c>
      <c r="D79" s="2">
        <v>119.2</v>
      </c>
      <c r="E79" s="2">
        <v>0.8</v>
      </c>
      <c r="I79" s="2">
        <v>80175</v>
      </c>
      <c r="J79" s="2">
        <v>165</v>
      </c>
      <c r="K79" s="2">
        <v>9621000</v>
      </c>
      <c r="L79" s="2">
        <v>172974</v>
      </c>
      <c r="M79" s="2">
        <v>8470.2000000000007</v>
      </c>
      <c r="N79" s="2">
        <v>19716.400000000001</v>
      </c>
      <c r="O79" s="2">
        <v>514640</v>
      </c>
      <c r="P79" s="2">
        <v>12.8</v>
      </c>
      <c r="Q79" s="2" t="s">
        <v>5269</v>
      </c>
    </row>
    <row r="80" spans="1:17" ht="24.95" customHeight="1" x14ac:dyDescent="0.25">
      <c r="A80" s="17" t="s">
        <v>37</v>
      </c>
      <c r="B80" s="2">
        <v>284</v>
      </c>
      <c r="C80" s="2">
        <v>122</v>
      </c>
      <c r="D80" s="2">
        <v>122.5</v>
      </c>
      <c r="E80" s="2">
        <v>-0.5</v>
      </c>
      <c r="I80" s="2">
        <v>53750</v>
      </c>
      <c r="J80" s="2">
        <v>170</v>
      </c>
      <c r="K80" s="2">
        <v>6557500</v>
      </c>
      <c r="L80" s="2">
        <v>86908</v>
      </c>
      <c r="M80" s="2">
        <v>5569.8</v>
      </c>
      <c r="N80" s="2">
        <v>13228.1</v>
      </c>
      <c r="O80" s="2">
        <v>272500</v>
      </c>
      <c r="Q80" s="2" t="s">
        <v>5269</v>
      </c>
    </row>
    <row r="81" spans="1:17" ht="24.95" customHeight="1" x14ac:dyDescent="0.25">
      <c r="A81" s="17" t="s">
        <v>135</v>
      </c>
      <c r="B81" s="2">
        <v>270</v>
      </c>
      <c r="C81" s="2">
        <v>122</v>
      </c>
      <c r="D81" s="2">
        <v>121.3</v>
      </c>
      <c r="E81" s="2">
        <v>0.7</v>
      </c>
      <c r="I81" s="2">
        <v>10000</v>
      </c>
      <c r="J81" s="2">
        <v>149</v>
      </c>
      <c r="K81" s="2">
        <v>1220000</v>
      </c>
      <c r="L81" s="2">
        <v>25193</v>
      </c>
      <c r="M81" s="2">
        <v>1259.3</v>
      </c>
      <c r="N81" s="2">
        <v>2504.3000000000002</v>
      </c>
      <c r="O81" s="2">
        <v>76930</v>
      </c>
      <c r="P81" s="2">
        <v>25.4</v>
      </c>
      <c r="Q81" s="2" t="s">
        <v>5269</v>
      </c>
    </row>
    <row r="82" spans="1:17" ht="24.95" customHeight="1" x14ac:dyDescent="0.25">
      <c r="A82" s="17" t="s">
        <v>136</v>
      </c>
      <c r="B82" s="2">
        <v>306</v>
      </c>
      <c r="C82" s="2">
        <v>137</v>
      </c>
      <c r="D82" s="2">
        <v>136.19999999999999</v>
      </c>
      <c r="E82" s="2">
        <v>0.8</v>
      </c>
      <c r="I82" s="2">
        <v>101268</v>
      </c>
      <c r="J82" s="2">
        <v>141</v>
      </c>
      <c r="K82" s="2">
        <v>13873716</v>
      </c>
      <c r="L82" s="2">
        <v>203153</v>
      </c>
      <c r="M82" s="2">
        <v>11433.2</v>
      </c>
      <c r="N82" s="2">
        <v>26083.8</v>
      </c>
      <c r="O82" s="2">
        <v>745230</v>
      </c>
      <c r="P82" s="2">
        <v>20.8</v>
      </c>
      <c r="Q82" s="2" t="s">
        <v>5269</v>
      </c>
    </row>
    <row r="83" spans="1:17" ht="24.95" customHeight="1" x14ac:dyDescent="0.25">
      <c r="A83" s="17" t="s">
        <v>137</v>
      </c>
      <c r="B83" s="2">
        <v>327</v>
      </c>
      <c r="C83" s="2">
        <v>138</v>
      </c>
      <c r="D83" s="2">
        <v>137.5</v>
      </c>
      <c r="E83" s="2">
        <v>0.5</v>
      </c>
      <c r="I83" s="2">
        <v>104000</v>
      </c>
      <c r="J83" s="2">
        <v>133</v>
      </c>
      <c r="K83" s="2">
        <v>14352000</v>
      </c>
      <c r="L83" s="2">
        <v>200134</v>
      </c>
      <c r="M83" s="2">
        <v>10533.6</v>
      </c>
      <c r="N83" s="2">
        <v>27377.3</v>
      </c>
      <c r="O83" s="2">
        <v>659170</v>
      </c>
      <c r="P83" s="2">
        <v>7.7</v>
      </c>
      <c r="Q83" s="2" t="s">
        <v>5269</v>
      </c>
    </row>
    <row r="84" spans="1:17" ht="24.95" customHeight="1" x14ac:dyDescent="0.25">
      <c r="A84" s="17" t="s">
        <v>138</v>
      </c>
      <c r="B84" s="2">
        <v>276</v>
      </c>
      <c r="C84" s="2">
        <v>114</v>
      </c>
      <c r="D84" s="2">
        <v>113.3</v>
      </c>
      <c r="E84" s="2">
        <v>0.7</v>
      </c>
      <c r="I84" s="2">
        <v>19350</v>
      </c>
      <c r="J84" s="2">
        <v>160</v>
      </c>
      <c r="K84" s="2">
        <v>2205900</v>
      </c>
      <c r="L84" s="2">
        <v>45150</v>
      </c>
      <c r="M84" s="2">
        <v>2363</v>
      </c>
      <c r="N84" s="2">
        <v>4927.8999999999996</v>
      </c>
      <c r="O84" s="2">
        <v>157690</v>
      </c>
      <c r="P84" s="2">
        <v>28.9</v>
      </c>
      <c r="Q84" s="2" t="s">
        <v>5269</v>
      </c>
    </row>
    <row r="85" spans="1:17" ht="24.95" customHeight="1" x14ac:dyDescent="0.25">
      <c r="A85" s="17" t="s">
        <v>139</v>
      </c>
      <c r="B85" s="2">
        <v>258</v>
      </c>
      <c r="C85" s="2">
        <v>126</v>
      </c>
      <c r="D85" s="2">
        <v>125.1</v>
      </c>
      <c r="E85" s="2">
        <v>0.9</v>
      </c>
      <c r="I85" s="2">
        <v>46850</v>
      </c>
      <c r="J85" s="2">
        <v>126</v>
      </c>
      <c r="K85" s="2">
        <v>5903100</v>
      </c>
      <c r="L85" s="2">
        <v>87448</v>
      </c>
      <c r="M85" s="2">
        <v>4681.5</v>
      </c>
      <c r="N85" s="2">
        <v>11911.3</v>
      </c>
      <c r="O85" s="2">
        <v>267090</v>
      </c>
      <c r="Q85" s="2" t="s">
        <v>5269</v>
      </c>
    </row>
    <row r="86" spans="1:17" ht="24.95" customHeight="1" x14ac:dyDescent="0.25">
      <c r="A86" s="17" t="s">
        <v>140</v>
      </c>
      <c r="B86" s="2">
        <v>278</v>
      </c>
      <c r="C86" s="2">
        <v>113</v>
      </c>
      <c r="D86" s="2">
        <v>112.2</v>
      </c>
      <c r="E86" s="2">
        <v>0.8</v>
      </c>
      <c r="I86" s="2">
        <v>17885</v>
      </c>
      <c r="J86" s="2">
        <v>158</v>
      </c>
      <c r="K86" s="2">
        <v>2021005</v>
      </c>
      <c r="L86" s="2">
        <v>35019</v>
      </c>
      <c r="M86" s="2">
        <v>2083.4</v>
      </c>
      <c r="N86" s="2">
        <v>4317.8</v>
      </c>
      <c r="O86" s="2">
        <v>104.91</v>
      </c>
      <c r="P86" s="2">
        <v>5.2</v>
      </c>
      <c r="Q86" s="2" t="s">
        <v>5269</v>
      </c>
    </row>
    <row r="87" spans="1:17" ht="24.95" customHeight="1" x14ac:dyDescent="0.25">
      <c r="A87" s="17" t="s">
        <v>141</v>
      </c>
      <c r="B87" s="2">
        <v>316</v>
      </c>
      <c r="C87" s="2">
        <v>132</v>
      </c>
      <c r="D87" s="2">
        <v>132.5</v>
      </c>
      <c r="E87" s="2">
        <v>-0.5</v>
      </c>
      <c r="I87" s="2">
        <v>20750</v>
      </c>
      <c r="J87" s="2">
        <v>169</v>
      </c>
      <c r="K87" s="2">
        <v>2739000</v>
      </c>
      <c r="L87" s="2">
        <v>40757</v>
      </c>
      <c r="M87" s="2">
        <v>2046.3</v>
      </c>
      <c r="N87" s="2">
        <v>5061.8999999999996</v>
      </c>
      <c r="O87" s="2">
        <v>119760</v>
      </c>
      <c r="P87" s="2">
        <v>4.8</v>
      </c>
      <c r="Q87" s="2" t="s">
        <v>5269</v>
      </c>
    </row>
    <row r="88" spans="1:17" ht="24.95" customHeight="1" x14ac:dyDescent="0.25">
      <c r="A88" s="17" t="s">
        <v>142</v>
      </c>
      <c r="B88" s="2">
        <v>276</v>
      </c>
      <c r="C88" s="2">
        <v>95</v>
      </c>
      <c r="D88" s="2">
        <v>95</v>
      </c>
      <c r="E88" s="2">
        <v>0.1</v>
      </c>
      <c r="I88" s="2">
        <v>57400</v>
      </c>
      <c r="J88" s="2">
        <v>192</v>
      </c>
      <c r="K88" s="2">
        <v>5453000</v>
      </c>
      <c r="L88" s="2">
        <v>98137</v>
      </c>
      <c r="M88" s="2">
        <v>5488.6</v>
      </c>
      <c r="N88" s="2">
        <v>14140.4</v>
      </c>
      <c r="O88" s="2">
        <v>314360</v>
      </c>
      <c r="Q88" s="2" t="s">
        <v>5269</v>
      </c>
    </row>
    <row r="89" spans="1:17" ht="24.95" customHeight="1" x14ac:dyDescent="0.25">
      <c r="A89" s="17" t="s">
        <v>2521</v>
      </c>
      <c r="B89" s="2">
        <v>312</v>
      </c>
      <c r="C89" s="2">
        <v>137</v>
      </c>
      <c r="D89" s="2">
        <v>136.4</v>
      </c>
      <c r="E89" s="2">
        <v>0.6</v>
      </c>
      <c r="I89" s="2">
        <v>12100</v>
      </c>
      <c r="J89" s="2">
        <v>129</v>
      </c>
      <c r="K89" s="2">
        <v>1657000</v>
      </c>
      <c r="L89" s="2">
        <v>40358</v>
      </c>
      <c r="M89" s="2">
        <v>1469.7</v>
      </c>
      <c r="N89" s="2">
        <v>3180.6</v>
      </c>
      <c r="O89" s="2">
        <v>114680</v>
      </c>
      <c r="P89" s="2">
        <v>38.9</v>
      </c>
      <c r="Q89" s="2" t="s">
        <v>5269</v>
      </c>
    </row>
    <row r="90" spans="1:17" ht="24.95" customHeight="1" x14ac:dyDescent="0.25">
      <c r="A90" s="17" t="s">
        <v>47</v>
      </c>
      <c r="B90" s="2">
        <v>286</v>
      </c>
      <c r="C90" s="2">
        <v>120</v>
      </c>
      <c r="D90" s="2">
        <v>122</v>
      </c>
      <c r="E90" s="2">
        <v>-2</v>
      </c>
      <c r="I90" s="2">
        <v>25000</v>
      </c>
      <c r="J90" s="2">
        <v>176</v>
      </c>
      <c r="K90" s="2">
        <v>3000000</v>
      </c>
      <c r="L90" s="2">
        <v>29518</v>
      </c>
      <c r="M90" s="2">
        <v>2651.8</v>
      </c>
      <c r="N90" s="2">
        <v>6306.2</v>
      </c>
      <c r="O90" s="2">
        <v>106560</v>
      </c>
      <c r="Q90" s="2" t="s">
        <v>5269</v>
      </c>
    </row>
    <row r="91" spans="1:17" ht="24.95" customHeight="1" x14ac:dyDescent="0.25">
      <c r="A91" s="17" t="s">
        <v>144</v>
      </c>
      <c r="B91" s="2">
        <v>252</v>
      </c>
      <c r="C91" s="2">
        <v>113</v>
      </c>
      <c r="D91" s="2">
        <v>112.3</v>
      </c>
      <c r="E91" s="2">
        <v>0.8</v>
      </c>
      <c r="I91" s="2">
        <v>33747</v>
      </c>
      <c r="J91" s="2">
        <v>126</v>
      </c>
      <c r="K91" s="2">
        <v>3813411</v>
      </c>
      <c r="L91" s="2">
        <v>52821</v>
      </c>
      <c r="M91" s="2">
        <v>4077.9</v>
      </c>
      <c r="N91" s="2">
        <v>7952.3</v>
      </c>
      <c r="O91" s="2">
        <v>209900</v>
      </c>
      <c r="P91" s="2">
        <v>10.4</v>
      </c>
      <c r="Q91" s="2" t="s">
        <v>5269</v>
      </c>
    </row>
    <row r="92" spans="1:17" ht="24.95" customHeight="1" x14ac:dyDescent="0.25">
      <c r="A92" s="17" t="s">
        <v>145</v>
      </c>
      <c r="B92" s="2">
        <v>232</v>
      </c>
      <c r="C92" s="2">
        <v>112</v>
      </c>
      <c r="D92" s="2">
        <v>111.7</v>
      </c>
      <c r="E92" s="2">
        <v>0.3</v>
      </c>
      <c r="I92" s="2">
        <v>36105</v>
      </c>
      <c r="J92" s="2">
        <v>113</v>
      </c>
      <c r="K92" s="2">
        <v>4043760</v>
      </c>
      <c r="L92" s="2">
        <v>63365</v>
      </c>
      <c r="M92" s="2">
        <v>4776.7</v>
      </c>
      <c r="N92" s="2">
        <v>8664.7000000000007</v>
      </c>
      <c r="O92" s="2">
        <v>226670</v>
      </c>
      <c r="P92" s="2">
        <v>9.6999999999999993</v>
      </c>
      <c r="Q92" s="2" t="s">
        <v>5269</v>
      </c>
    </row>
    <row r="93" spans="1:17" ht="24.95" customHeight="1" x14ac:dyDescent="0.25">
      <c r="A93" s="17" t="s">
        <v>146</v>
      </c>
      <c r="B93" s="2">
        <v>294</v>
      </c>
      <c r="C93" s="2">
        <v>121</v>
      </c>
      <c r="D93" s="2">
        <v>120.9</v>
      </c>
      <c r="E93" s="2">
        <v>0.1</v>
      </c>
      <c r="I93" s="2">
        <v>16460</v>
      </c>
      <c r="J93" s="2">
        <v>177</v>
      </c>
      <c r="K93" s="2">
        <v>1991660</v>
      </c>
      <c r="L93" s="2">
        <v>35861</v>
      </c>
      <c r="M93" s="2">
        <v>1765.6</v>
      </c>
      <c r="N93" s="2">
        <v>4257</v>
      </c>
      <c r="O93" s="2">
        <v>112130</v>
      </c>
      <c r="P93" s="2">
        <v>13.7</v>
      </c>
      <c r="Q93" s="2" t="s">
        <v>5269</v>
      </c>
    </row>
    <row r="94" spans="1:17" ht="24.95" customHeight="1" x14ac:dyDescent="0.25">
      <c r="A94" s="17" t="s">
        <v>5302</v>
      </c>
      <c r="B94" s="2">
        <v>264</v>
      </c>
      <c r="C94" s="2">
        <v>90</v>
      </c>
      <c r="D94" s="2">
        <v>92</v>
      </c>
      <c r="E94" s="2">
        <v>-2</v>
      </c>
      <c r="I94" s="2">
        <v>25600</v>
      </c>
      <c r="J94" s="2">
        <v>181</v>
      </c>
      <c r="K94" s="2">
        <v>2304000</v>
      </c>
      <c r="L94" s="2">
        <v>36415</v>
      </c>
      <c r="M94" s="2">
        <v>2748.5</v>
      </c>
      <c r="N94" s="2">
        <v>6225</v>
      </c>
      <c r="O94" s="2">
        <v>121420</v>
      </c>
      <c r="Q94" s="2" t="s">
        <v>5269</v>
      </c>
    </row>
    <row r="95" spans="1:17" ht="24.95" customHeight="1" x14ac:dyDescent="0.25">
      <c r="A95" s="17" t="s">
        <v>148</v>
      </c>
      <c r="B95" s="2">
        <v>297</v>
      </c>
      <c r="C95" s="2">
        <v>124</v>
      </c>
      <c r="D95" s="2">
        <v>124.5</v>
      </c>
      <c r="E95" s="2">
        <v>-0.5</v>
      </c>
      <c r="I95" s="2">
        <v>9815</v>
      </c>
      <c r="J95" s="2">
        <v>123</v>
      </c>
      <c r="K95" s="2">
        <v>1217060</v>
      </c>
      <c r="L95" s="2">
        <v>31057</v>
      </c>
      <c r="M95" s="2">
        <v>1172.7</v>
      </c>
      <c r="N95" s="2">
        <v>2534.5</v>
      </c>
      <c r="O95" s="2">
        <v>86130</v>
      </c>
      <c r="P95" s="2">
        <v>35.700000000000003</v>
      </c>
      <c r="Q95" s="2" t="s">
        <v>5269</v>
      </c>
    </row>
    <row r="96" spans="1:17" ht="24.95" customHeight="1" x14ac:dyDescent="0.25">
      <c r="A96" s="17" t="s">
        <v>4506</v>
      </c>
      <c r="B96" s="2">
        <v>300</v>
      </c>
      <c r="C96" s="2">
        <v>122</v>
      </c>
      <c r="D96" s="2">
        <v>125.8</v>
      </c>
      <c r="E96" s="2">
        <v>-3.8</v>
      </c>
      <c r="I96" s="2">
        <v>13005</v>
      </c>
      <c r="J96" s="2">
        <v>168</v>
      </c>
      <c r="K96" s="2">
        <v>1586610</v>
      </c>
      <c r="L96" s="2">
        <v>26922</v>
      </c>
      <c r="M96" s="2">
        <v>1199.5</v>
      </c>
      <c r="N96" s="2">
        <v>3301.9</v>
      </c>
      <c r="O96" s="2">
        <v>86220</v>
      </c>
      <c r="P96" s="2">
        <v>13.5</v>
      </c>
      <c r="Q96" s="2" t="s">
        <v>5269</v>
      </c>
    </row>
    <row r="97" spans="1:17" ht="24.95" customHeight="1" x14ac:dyDescent="0.25">
      <c r="A97" s="17" t="s">
        <v>5303</v>
      </c>
      <c r="B97" s="2">
        <v>288</v>
      </c>
      <c r="C97" s="2">
        <v>114</v>
      </c>
      <c r="D97" s="2">
        <v>113</v>
      </c>
      <c r="E97" s="2">
        <v>1</v>
      </c>
      <c r="I97" s="2">
        <v>13400</v>
      </c>
      <c r="J97" s="2">
        <v>206</v>
      </c>
      <c r="K97" s="2">
        <v>1527600</v>
      </c>
      <c r="L97" s="2">
        <v>31642</v>
      </c>
      <c r="M97" s="2">
        <v>1433.5</v>
      </c>
      <c r="N97" s="2">
        <v>3304.6</v>
      </c>
      <c r="O97" s="2">
        <v>108260</v>
      </c>
      <c r="P97" s="2">
        <v>30.8</v>
      </c>
      <c r="Q97" s="2" t="s">
        <v>5269</v>
      </c>
    </row>
    <row r="98" spans="1:17" ht="24.95" customHeight="1" x14ac:dyDescent="0.25">
      <c r="A98" s="17" t="s">
        <v>151</v>
      </c>
      <c r="B98" s="2">
        <v>312</v>
      </c>
      <c r="C98" s="2">
        <v>138</v>
      </c>
      <c r="D98" s="2">
        <v>137.30000000000001</v>
      </c>
      <c r="E98" s="2">
        <v>0.7</v>
      </c>
      <c r="I98" s="2">
        <v>18400</v>
      </c>
      <c r="J98" s="2">
        <v>155</v>
      </c>
      <c r="K98" s="2">
        <v>2539200</v>
      </c>
      <c r="L98" s="2">
        <v>47344</v>
      </c>
      <c r="M98" s="2">
        <v>2084.5</v>
      </c>
      <c r="N98" s="2">
        <v>4766.6000000000004</v>
      </c>
      <c r="O98" s="2">
        <v>154000</v>
      </c>
      <c r="P98" s="2">
        <v>29.5</v>
      </c>
      <c r="Q98" s="2" t="s">
        <v>5269</v>
      </c>
    </row>
    <row r="99" spans="1:17" ht="24.95" customHeight="1" x14ac:dyDescent="0.25">
      <c r="A99" s="17" t="s">
        <v>152</v>
      </c>
      <c r="B99" s="2">
        <v>312</v>
      </c>
      <c r="C99" s="2">
        <v>112</v>
      </c>
      <c r="D99" s="2">
        <v>111.5</v>
      </c>
      <c r="E99" s="2">
        <v>0.6</v>
      </c>
      <c r="I99" s="2">
        <v>81629</v>
      </c>
      <c r="J99" s="2">
        <v>182</v>
      </c>
      <c r="K99" s="2">
        <v>9142448</v>
      </c>
      <c r="L99" s="2">
        <v>16614</v>
      </c>
      <c r="M99" s="2">
        <v>7193.6</v>
      </c>
      <c r="N99" s="2">
        <v>19955.2</v>
      </c>
      <c r="O99" s="2">
        <v>495240</v>
      </c>
      <c r="P99" s="2">
        <v>9.6</v>
      </c>
      <c r="Q99" s="2" t="s">
        <v>5269</v>
      </c>
    </row>
    <row r="100" spans="1:17" ht="24.95" customHeight="1" x14ac:dyDescent="0.25">
      <c r="A100" s="17" t="s">
        <v>153</v>
      </c>
      <c r="B100" s="2">
        <v>276</v>
      </c>
      <c r="C100" s="2">
        <v>114</v>
      </c>
      <c r="D100" s="2">
        <v>113.9</v>
      </c>
      <c r="E100" s="2">
        <v>0.1</v>
      </c>
      <c r="I100" s="2">
        <v>10500</v>
      </c>
      <c r="J100" s="2">
        <v>201</v>
      </c>
      <c r="K100" s="2">
        <v>197000</v>
      </c>
      <c r="L100" s="2">
        <v>21236</v>
      </c>
      <c r="M100" s="2">
        <v>954.6</v>
      </c>
      <c r="N100" s="2">
        <v>2633.1</v>
      </c>
      <c r="O100" s="2">
        <v>68680</v>
      </c>
      <c r="P100" s="2">
        <v>12.9</v>
      </c>
      <c r="Q100" s="2" t="s">
        <v>5269</v>
      </c>
    </row>
    <row r="101" spans="1:17" ht="24.95" customHeight="1" x14ac:dyDescent="0.25">
      <c r="A101" s="17" t="s">
        <v>154</v>
      </c>
      <c r="B101" s="2">
        <v>244</v>
      </c>
      <c r="C101" s="2">
        <v>113</v>
      </c>
      <c r="D101" s="2">
        <v>113</v>
      </c>
      <c r="I101" s="2">
        <v>41550</v>
      </c>
      <c r="J101" s="2">
        <v>150</v>
      </c>
      <c r="K101" s="2">
        <v>4695150</v>
      </c>
      <c r="L101" s="2">
        <v>62850</v>
      </c>
      <c r="M101" s="2">
        <v>4725.6000000000004</v>
      </c>
      <c r="N101" s="2">
        <v>10288.799999999999</v>
      </c>
      <c r="O101" s="2">
        <v>205790</v>
      </c>
      <c r="Q101" s="2" t="s">
        <v>5269</v>
      </c>
    </row>
    <row r="102" spans="1:17" ht="24.95" customHeight="1" x14ac:dyDescent="0.25">
      <c r="A102" s="17" t="s">
        <v>155</v>
      </c>
      <c r="B102" s="2">
        <v>240</v>
      </c>
      <c r="C102" s="2">
        <v>122</v>
      </c>
      <c r="D102" s="2">
        <v>122.7</v>
      </c>
      <c r="E102" s="2">
        <v>-0.7</v>
      </c>
      <c r="I102" s="2">
        <v>30790</v>
      </c>
      <c r="J102" s="2">
        <v>135</v>
      </c>
      <c r="K102" s="2">
        <v>3756380</v>
      </c>
      <c r="L102" s="2">
        <v>53154</v>
      </c>
      <c r="M102" s="2">
        <v>4953.7</v>
      </c>
      <c r="N102" s="2">
        <v>7617.2</v>
      </c>
      <c r="O102" s="2">
        <v>166130</v>
      </c>
      <c r="Q102" s="2" t="s">
        <v>5269</v>
      </c>
    </row>
    <row r="103" spans="1:17" ht="24.95" customHeight="1" x14ac:dyDescent="0.25">
      <c r="A103" s="17" t="s">
        <v>156</v>
      </c>
      <c r="B103" s="2">
        <v>225</v>
      </c>
      <c r="C103" s="2">
        <v>103</v>
      </c>
      <c r="D103" s="2">
        <v>104.6</v>
      </c>
      <c r="E103" s="2">
        <v>-1.6</v>
      </c>
      <c r="I103" s="2">
        <v>15292</v>
      </c>
      <c r="J103" s="2">
        <v>137</v>
      </c>
      <c r="K103" s="2">
        <v>1575076</v>
      </c>
      <c r="L103" s="2">
        <v>25984</v>
      </c>
      <c r="M103" s="2">
        <v>2391.8000000000002</v>
      </c>
      <c r="N103" s="2">
        <v>3795.6</v>
      </c>
      <c r="O103" s="2">
        <v>80730</v>
      </c>
      <c r="Q103" s="2" t="s">
        <v>5269</v>
      </c>
    </row>
    <row r="104" spans="1:17" ht="24.95" customHeight="1" x14ac:dyDescent="0.25">
      <c r="A104" s="17" t="s">
        <v>157</v>
      </c>
      <c r="B104" s="2">
        <v>270</v>
      </c>
      <c r="C104" s="2">
        <v>110</v>
      </c>
      <c r="D104" s="2">
        <v>109.6</v>
      </c>
      <c r="E104" s="2">
        <v>0.4</v>
      </c>
      <c r="I104" s="2">
        <v>12021</v>
      </c>
      <c r="J104" s="2">
        <v>152</v>
      </c>
      <c r="K104" s="2">
        <v>1322310</v>
      </c>
      <c r="L104" s="2">
        <v>36361</v>
      </c>
      <c r="M104" s="2">
        <v>1637.3</v>
      </c>
      <c r="N104" s="2">
        <v>2992.1</v>
      </c>
      <c r="O104" s="2">
        <v>109300</v>
      </c>
      <c r="P104" s="2">
        <v>38</v>
      </c>
      <c r="Q104" s="2" t="s">
        <v>5269</v>
      </c>
    </row>
    <row r="105" spans="1:17" ht="24.95" customHeight="1" x14ac:dyDescent="0.25">
      <c r="A105" s="17" t="s">
        <v>158</v>
      </c>
      <c r="B105" s="2">
        <v>256</v>
      </c>
      <c r="C105" s="2">
        <v>101</v>
      </c>
      <c r="D105" s="2">
        <v>100.8</v>
      </c>
      <c r="E105" s="2">
        <v>0.2</v>
      </c>
      <c r="I105" s="2">
        <v>20010</v>
      </c>
      <c r="J105" s="2">
        <v>188</v>
      </c>
      <c r="K105" s="2">
        <v>2021010</v>
      </c>
      <c r="L105" s="2">
        <v>48577</v>
      </c>
      <c r="M105" s="2">
        <v>2741.7</v>
      </c>
      <c r="N105" s="2">
        <v>5039.2</v>
      </c>
      <c r="O105" s="2">
        <v>142570</v>
      </c>
      <c r="P105" s="2">
        <v>20.399999999999999</v>
      </c>
      <c r="Q105" s="2" t="s">
        <v>5269</v>
      </c>
    </row>
    <row r="106" spans="1:17" ht="24.95" customHeight="1" x14ac:dyDescent="0.25">
      <c r="A106" s="17" t="s">
        <v>159</v>
      </c>
      <c r="B106" s="2">
        <v>312</v>
      </c>
      <c r="C106" s="2">
        <v>132</v>
      </c>
      <c r="D106" s="2">
        <v>133.30000000000001</v>
      </c>
      <c r="E106" s="2">
        <v>-1.3</v>
      </c>
      <c r="I106" s="2">
        <v>34600</v>
      </c>
      <c r="J106" s="2">
        <v>183</v>
      </c>
      <c r="K106" s="2">
        <v>4567200</v>
      </c>
      <c r="L106" s="2">
        <v>82416</v>
      </c>
      <c r="M106" s="2">
        <v>3392.4</v>
      </c>
      <c r="N106" s="2">
        <v>8674.6</v>
      </c>
      <c r="O106" s="2">
        <v>266130</v>
      </c>
      <c r="P106" s="2">
        <v>26.1</v>
      </c>
      <c r="Q106" s="2" t="s">
        <v>5269</v>
      </c>
    </row>
    <row r="107" spans="1:17" ht="24.95" customHeight="1" x14ac:dyDescent="0.25">
      <c r="A107" s="17" t="s">
        <v>160</v>
      </c>
      <c r="B107" s="2">
        <v>268</v>
      </c>
      <c r="C107" s="2">
        <v>116</v>
      </c>
      <c r="D107" s="2">
        <v>116.1</v>
      </c>
      <c r="E107" s="2">
        <v>-0.1</v>
      </c>
      <c r="I107" s="2">
        <v>25714</v>
      </c>
      <c r="J107" s="2">
        <v>148</v>
      </c>
      <c r="K107" s="2">
        <v>2982824</v>
      </c>
      <c r="L107" s="2">
        <v>58013</v>
      </c>
      <c r="M107" s="2">
        <v>3123.4</v>
      </c>
      <c r="N107" s="2">
        <v>6446.7</v>
      </c>
      <c r="O107" s="2">
        <v>190580</v>
      </c>
      <c r="P107" s="2">
        <v>23.8</v>
      </c>
      <c r="Q107" s="2" t="s">
        <v>5269</v>
      </c>
    </row>
    <row r="108" spans="1:17" ht="24.95" customHeight="1" x14ac:dyDescent="0.25">
      <c r="A108" s="17" t="s">
        <v>161</v>
      </c>
      <c r="B108" s="2">
        <v>228</v>
      </c>
      <c r="C108" s="2">
        <v>96</v>
      </c>
      <c r="D108" s="2">
        <v>95.6</v>
      </c>
      <c r="E108" s="2">
        <v>0.4</v>
      </c>
      <c r="I108" s="2">
        <v>9673</v>
      </c>
      <c r="J108" s="2">
        <v>155</v>
      </c>
      <c r="K108" s="2">
        <v>928608</v>
      </c>
      <c r="L108" s="2">
        <v>23274</v>
      </c>
      <c r="M108" s="2">
        <v>1328.8</v>
      </c>
      <c r="N108" s="2">
        <v>2393.6</v>
      </c>
      <c r="O108" s="2">
        <v>71390</v>
      </c>
      <c r="P108" s="2">
        <v>23.1</v>
      </c>
      <c r="Q108" s="2" t="s">
        <v>5269</v>
      </c>
    </row>
    <row r="109" spans="1:17" ht="24.95" customHeight="1" x14ac:dyDescent="0.25">
      <c r="A109" s="17" t="s">
        <v>162</v>
      </c>
      <c r="B109" s="2">
        <v>246</v>
      </c>
      <c r="C109" s="2">
        <v>126</v>
      </c>
      <c r="D109" s="2">
        <v>124.7</v>
      </c>
      <c r="E109" s="2">
        <v>1.3</v>
      </c>
      <c r="I109" s="2">
        <v>8420</v>
      </c>
      <c r="J109" s="2">
        <v>139</v>
      </c>
      <c r="K109" s="2">
        <v>1060920</v>
      </c>
      <c r="L109" s="2">
        <v>19375</v>
      </c>
      <c r="M109" s="2">
        <v>812.3</v>
      </c>
      <c r="N109" s="2">
        <v>2075</v>
      </c>
      <c r="O109" s="2">
        <v>60560</v>
      </c>
      <c r="P109" s="2">
        <v>20.2</v>
      </c>
      <c r="Q109" s="2" t="s">
        <v>5269</v>
      </c>
    </row>
    <row r="110" spans="1:17" ht="24.95" customHeight="1" x14ac:dyDescent="0.25">
      <c r="A110" s="17" t="s">
        <v>6710</v>
      </c>
      <c r="B110" s="2">
        <v>288</v>
      </c>
      <c r="C110" s="2">
        <v>122</v>
      </c>
      <c r="D110" s="2">
        <v>121.7</v>
      </c>
      <c r="E110" s="2">
        <v>0.3</v>
      </c>
      <c r="I110" s="2">
        <v>13815</v>
      </c>
      <c r="J110" s="2">
        <v>143</v>
      </c>
      <c r="K110" s="2">
        <v>1685430</v>
      </c>
      <c r="L110" s="2">
        <v>31444</v>
      </c>
      <c r="M110" s="2">
        <v>2257.8000000000002</v>
      </c>
      <c r="N110" s="2">
        <v>3485.1</v>
      </c>
      <c r="O110" s="2">
        <v>103490</v>
      </c>
      <c r="P110" s="2">
        <v>24.2</v>
      </c>
      <c r="Q110" s="2" t="s">
        <v>5269</v>
      </c>
    </row>
    <row r="111" spans="1:17" ht="24.95" customHeight="1" x14ac:dyDescent="0.25">
      <c r="A111" s="17" t="s">
        <v>164</v>
      </c>
      <c r="B111" s="2">
        <v>270</v>
      </c>
      <c r="C111" s="2">
        <v>102</v>
      </c>
      <c r="D111" s="2">
        <v>101.4</v>
      </c>
      <c r="E111" s="2">
        <v>0.6</v>
      </c>
      <c r="I111" s="2">
        <v>16625</v>
      </c>
      <c r="J111" s="2">
        <v>185</v>
      </c>
      <c r="K111" s="2">
        <v>1695750</v>
      </c>
      <c r="L111" s="2">
        <v>36104</v>
      </c>
      <c r="M111" s="2">
        <v>1899.8</v>
      </c>
      <c r="N111" s="2">
        <v>4158</v>
      </c>
      <c r="O111" s="2">
        <v>119700</v>
      </c>
      <c r="P111" s="2">
        <v>20.6</v>
      </c>
      <c r="Q111" s="2" t="s">
        <v>5269</v>
      </c>
    </row>
    <row r="112" spans="1:17" ht="24.95" customHeight="1" x14ac:dyDescent="0.25">
      <c r="A112" s="17" t="s">
        <v>165</v>
      </c>
      <c r="B112" s="2">
        <v>264</v>
      </c>
      <c r="C112" s="2">
        <v>105</v>
      </c>
      <c r="D112" s="2">
        <v>105.3</v>
      </c>
      <c r="E112" s="2">
        <v>-0.3</v>
      </c>
      <c r="I112" s="2">
        <v>12250</v>
      </c>
      <c r="J112" s="2">
        <v>199</v>
      </c>
      <c r="K112" s="2">
        <v>1286250</v>
      </c>
      <c r="L112" s="2">
        <v>23807</v>
      </c>
      <c r="M112" s="2">
        <v>1027.2</v>
      </c>
      <c r="N112" s="2">
        <v>3068.8</v>
      </c>
      <c r="O112" s="2">
        <v>76200</v>
      </c>
      <c r="P112" s="2">
        <v>8.4</v>
      </c>
      <c r="Q112" s="2" t="s">
        <v>5269</v>
      </c>
    </row>
    <row r="113" spans="1:17" ht="24.95" customHeight="1" x14ac:dyDescent="0.25">
      <c r="A113" s="17" t="s">
        <v>166</v>
      </c>
      <c r="B113" s="2">
        <v>280</v>
      </c>
      <c r="C113" s="2">
        <v>120</v>
      </c>
      <c r="D113" s="2">
        <v>120.3</v>
      </c>
      <c r="E113" s="2">
        <v>-0.3</v>
      </c>
      <c r="I113" s="2">
        <v>16500</v>
      </c>
      <c r="J113" s="2">
        <v>217</v>
      </c>
      <c r="K113" s="2">
        <v>1980000</v>
      </c>
      <c r="L113" s="2">
        <v>27825</v>
      </c>
      <c r="M113" s="2">
        <v>1505.1</v>
      </c>
      <c r="N113" s="2">
        <v>4015.6</v>
      </c>
      <c r="O113" s="2">
        <v>97050</v>
      </c>
      <c r="P113" s="2">
        <v>6.2</v>
      </c>
      <c r="Q113" s="2" t="s">
        <v>5269</v>
      </c>
    </row>
    <row r="114" spans="1:17" ht="24.95" customHeight="1" x14ac:dyDescent="0.25">
      <c r="A114" s="17" t="s">
        <v>167</v>
      </c>
      <c r="B114" s="2">
        <v>304</v>
      </c>
      <c r="C114" s="2">
        <v>102</v>
      </c>
      <c r="D114" s="2">
        <v>100.5</v>
      </c>
      <c r="E114" s="2">
        <v>1.5</v>
      </c>
      <c r="I114" s="2">
        <v>36500</v>
      </c>
      <c r="J114" s="2">
        <v>223</v>
      </c>
      <c r="K114" s="2">
        <v>3723000</v>
      </c>
      <c r="L114" s="2">
        <v>41921</v>
      </c>
      <c r="M114" s="2">
        <v>2969.4</v>
      </c>
      <c r="N114" s="2">
        <v>9328.5</v>
      </c>
      <c r="O114" s="2">
        <v>156960</v>
      </c>
      <c r="Q114" s="2" t="s">
        <v>5269</v>
      </c>
    </row>
    <row r="115" spans="1:17" ht="24.95" customHeight="1" x14ac:dyDescent="0.25">
      <c r="A115" s="17" t="s">
        <v>168</v>
      </c>
      <c r="B115" s="2">
        <v>248</v>
      </c>
      <c r="C115" s="2">
        <v>102</v>
      </c>
      <c r="D115" s="2">
        <v>101.4</v>
      </c>
      <c r="E115" s="2">
        <v>0.6</v>
      </c>
      <c r="I115" s="2">
        <v>9100</v>
      </c>
      <c r="J115" s="2">
        <v>145</v>
      </c>
      <c r="K115" s="2">
        <v>928200</v>
      </c>
      <c r="L115" s="2">
        <v>23845</v>
      </c>
      <c r="M115" s="2">
        <v>1200.7</v>
      </c>
      <c r="N115" s="2">
        <v>2276</v>
      </c>
      <c r="O115" s="2">
        <v>78220</v>
      </c>
      <c r="P115" s="2">
        <v>34.6</v>
      </c>
      <c r="Q115" s="2" t="s">
        <v>5269</v>
      </c>
    </row>
    <row r="116" spans="1:17" ht="24.95" customHeight="1" x14ac:dyDescent="0.25">
      <c r="A116" s="17" t="s">
        <v>169</v>
      </c>
      <c r="B116" s="2">
        <v>294</v>
      </c>
      <c r="C116" s="2">
        <v>120</v>
      </c>
      <c r="D116" s="2">
        <v>119.5</v>
      </c>
      <c r="E116" s="2">
        <v>0.5</v>
      </c>
      <c r="I116" s="2">
        <v>10900</v>
      </c>
      <c r="J116" s="2">
        <v>174</v>
      </c>
      <c r="K116" s="2">
        <v>1308000</v>
      </c>
      <c r="L116" s="2">
        <v>24625</v>
      </c>
      <c r="M116" s="2">
        <v>1208.2</v>
      </c>
      <c r="N116" s="2">
        <v>2743.9</v>
      </c>
      <c r="O116" s="2">
        <v>78910</v>
      </c>
      <c r="P116" s="2">
        <v>22.1</v>
      </c>
      <c r="Q116" s="2" t="s">
        <v>5269</v>
      </c>
    </row>
    <row r="117" spans="1:17" ht="24.95" customHeight="1" x14ac:dyDescent="0.25">
      <c r="A117" s="17" t="s">
        <v>170</v>
      </c>
      <c r="B117" s="2">
        <v>276</v>
      </c>
      <c r="C117" s="2">
        <v>102</v>
      </c>
      <c r="D117" s="2">
        <v>101.3</v>
      </c>
      <c r="E117" s="2">
        <v>0.7</v>
      </c>
      <c r="I117" s="2">
        <v>29100</v>
      </c>
      <c r="J117" s="2">
        <v>185</v>
      </c>
      <c r="K117" s="2">
        <v>2968200</v>
      </c>
      <c r="L117" s="2">
        <v>45114</v>
      </c>
      <c r="M117" s="2">
        <v>2682.9</v>
      </c>
      <c r="N117" s="2">
        <v>7343.7</v>
      </c>
      <c r="O117" s="2">
        <v>149710</v>
      </c>
      <c r="Q117" s="2" t="s">
        <v>5269</v>
      </c>
    </row>
    <row r="118" spans="1:17" ht="24.95" customHeight="1" x14ac:dyDescent="0.25">
      <c r="A118" s="17" t="s">
        <v>171</v>
      </c>
      <c r="B118" s="2">
        <v>280</v>
      </c>
      <c r="C118" s="2">
        <v>114</v>
      </c>
      <c r="D118" s="2">
        <v>113.8</v>
      </c>
      <c r="E118" s="2">
        <v>0.2</v>
      </c>
      <c r="I118" s="2">
        <v>11425</v>
      </c>
      <c r="J118" s="2">
        <v>161</v>
      </c>
      <c r="K118" s="2">
        <v>1302450</v>
      </c>
      <c r="L118" s="2">
        <v>21093</v>
      </c>
      <c r="M118" s="2">
        <v>1217.5999999999999</v>
      </c>
      <c r="N118" s="2">
        <v>2846.7</v>
      </c>
      <c r="O118" s="2">
        <v>67050</v>
      </c>
      <c r="P118" s="2">
        <v>3.6</v>
      </c>
      <c r="Q118" s="2" t="s">
        <v>5269</v>
      </c>
    </row>
    <row r="119" spans="1:17" ht="24.95" customHeight="1" x14ac:dyDescent="0.25">
      <c r="A119" s="17" t="s">
        <v>6711</v>
      </c>
      <c r="B119" s="2">
        <v>300</v>
      </c>
      <c r="C119" s="2">
        <v>142</v>
      </c>
      <c r="D119" s="2">
        <v>140.5</v>
      </c>
      <c r="E119" s="2">
        <v>1.5</v>
      </c>
      <c r="I119" s="2">
        <v>14000</v>
      </c>
      <c r="J119" s="2">
        <v>141</v>
      </c>
      <c r="K119" s="2">
        <v>1988000</v>
      </c>
      <c r="L119" s="2">
        <v>33875</v>
      </c>
      <c r="M119" s="2">
        <v>1598.6</v>
      </c>
      <c r="N119" s="2">
        <v>3440.9</v>
      </c>
      <c r="O119" s="2">
        <v>104890</v>
      </c>
      <c r="P119" s="2">
        <v>24.1</v>
      </c>
      <c r="Q119" s="2" t="s">
        <v>5269</v>
      </c>
    </row>
    <row r="120" spans="1:17" ht="24.95" customHeight="1" x14ac:dyDescent="0.25">
      <c r="A120" s="17" t="s">
        <v>174</v>
      </c>
      <c r="B120" s="2">
        <v>181.8</v>
      </c>
      <c r="C120" s="2">
        <v>62.8</v>
      </c>
      <c r="I120" s="2">
        <v>82863</v>
      </c>
      <c r="J120" s="2">
        <v>252</v>
      </c>
      <c r="K120" s="2">
        <v>5203796</v>
      </c>
      <c r="L120" s="2">
        <v>120413</v>
      </c>
      <c r="M120" s="2">
        <v>9075.9</v>
      </c>
      <c r="N120" s="2">
        <v>19919.7</v>
      </c>
      <c r="O120" s="2">
        <v>395990</v>
      </c>
    </row>
    <row r="121" spans="1:17" ht="24.95" customHeight="1" x14ac:dyDescent="0.25">
      <c r="A121" s="17" t="s">
        <v>12</v>
      </c>
      <c r="B121" s="2">
        <v>300</v>
      </c>
      <c r="C121" s="2">
        <v>105</v>
      </c>
      <c r="D121" s="2">
        <v>40.6</v>
      </c>
      <c r="E121" s="2">
        <v>63.5</v>
      </c>
      <c r="F121" s="2">
        <v>0.9</v>
      </c>
      <c r="I121" s="2">
        <v>14675</v>
      </c>
      <c r="J121" s="2">
        <v>228</v>
      </c>
      <c r="K121" s="2">
        <v>1540875</v>
      </c>
      <c r="L121" s="2">
        <v>19131</v>
      </c>
      <c r="M121" s="2">
        <v>1505.3</v>
      </c>
      <c r="N121" s="2">
        <v>3471.7</v>
      </c>
      <c r="O121" s="2">
        <v>64740</v>
      </c>
      <c r="Q121" s="2" t="s">
        <v>5268</v>
      </c>
    </row>
    <row r="122" spans="1:17" ht="24.95" customHeight="1" x14ac:dyDescent="0.25">
      <c r="A122" s="17" t="s">
        <v>176</v>
      </c>
      <c r="B122" s="2">
        <v>290</v>
      </c>
      <c r="C122" s="2">
        <v>88</v>
      </c>
      <c r="D122" s="2">
        <v>20.7</v>
      </c>
      <c r="E122" s="2">
        <v>66.8</v>
      </c>
      <c r="F122" s="2">
        <v>0.5</v>
      </c>
      <c r="I122" s="2">
        <v>9054</v>
      </c>
      <c r="J122" s="2">
        <v>372</v>
      </c>
      <c r="K122" s="2">
        <v>796752</v>
      </c>
      <c r="L122" s="2">
        <v>8447</v>
      </c>
      <c r="M122" s="2">
        <v>771.4</v>
      </c>
      <c r="N122" s="2">
        <v>2209.3000000000002</v>
      </c>
      <c r="O122" s="2">
        <v>26480</v>
      </c>
      <c r="Q122" s="2" t="s">
        <v>5268</v>
      </c>
    </row>
    <row r="123" spans="1:17" ht="24.95" customHeight="1" x14ac:dyDescent="0.25">
      <c r="A123" s="17" t="s">
        <v>177</v>
      </c>
      <c r="B123" s="2">
        <v>280</v>
      </c>
      <c r="C123" s="2">
        <v>92</v>
      </c>
      <c r="D123" s="2">
        <v>28.5</v>
      </c>
      <c r="E123" s="2">
        <v>63.2</v>
      </c>
      <c r="F123" s="2">
        <v>0.3</v>
      </c>
      <c r="I123" s="2">
        <v>34000</v>
      </c>
      <c r="J123" s="2">
        <v>266</v>
      </c>
      <c r="K123" s="2">
        <v>3128000</v>
      </c>
      <c r="L123" s="2">
        <v>41861</v>
      </c>
      <c r="M123" s="2">
        <v>3702.2</v>
      </c>
      <c r="N123" s="2">
        <v>8377.4</v>
      </c>
      <c r="O123" s="2">
        <v>134820</v>
      </c>
      <c r="Q123" s="2" t="s">
        <v>5268</v>
      </c>
    </row>
    <row r="124" spans="1:17" ht="24.95" customHeight="1" x14ac:dyDescent="0.25">
      <c r="A124" s="17" t="s">
        <v>180</v>
      </c>
      <c r="B124" s="2">
        <v>252</v>
      </c>
      <c r="C124" s="2">
        <v>86</v>
      </c>
      <c r="D124" s="2">
        <v>18.8</v>
      </c>
      <c r="E124" s="2">
        <v>66.900000000000006</v>
      </c>
      <c r="F124" s="2">
        <v>0.3</v>
      </c>
      <c r="I124" s="2">
        <v>500</v>
      </c>
      <c r="J124" s="2">
        <v>184</v>
      </c>
      <c r="K124" s="2">
        <v>43000</v>
      </c>
      <c r="L124" s="2">
        <v>1310</v>
      </c>
      <c r="M124" s="2">
        <v>79.8</v>
      </c>
      <c r="N124" s="2">
        <v>125.8</v>
      </c>
      <c r="O124" s="2">
        <v>4020</v>
      </c>
      <c r="P124" s="2">
        <v>32.4</v>
      </c>
      <c r="Q124" s="2" t="s">
        <v>5270</v>
      </c>
    </row>
    <row r="125" spans="1:17" ht="24.95" customHeight="1" x14ac:dyDescent="0.25">
      <c r="A125" s="17" t="s">
        <v>181</v>
      </c>
      <c r="B125" s="2">
        <v>274</v>
      </c>
      <c r="C125" s="2">
        <v>96</v>
      </c>
      <c r="D125" s="2">
        <v>28.4</v>
      </c>
      <c r="E125" s="2">
        <v>66.900000000000006</v>
      </c>
      <c r="F125" s="2">
        <v>0.7</v>
      </c>
      <c r="I125" s="2">
        <v>1338</v>
      </c>
      <c r="J125" s="2">
        <v>208</v>
      </c>
      <c r="K125" s="2">
        <v>128448</v>
      </c>
      <c r="L125" s="2">
        <v>2640</v>
      </c>
      <c r="M125" s="2">
        <v>137</v>
      </c>
      <c r="N125" s="2">
        <v>319.89999999999998</v>
      </c>
      <c r="O125" s="2">
        <v>8460</v>
      </c>
      <c r="P125" s="2">
        <v>13.1</v>
      </c>
      <c r="Q125" s="2" t="s">
        <v>5270</v>
      </c>
    </row>
    <row r="126" spans="1:17" ht="24.95" customHeight="1" x14ac:dyDescent="0.25">
      <c r="A126" s="17" t="s">
        <v>182</v>
      </c>
      <c r="B126" s="2">
        <v>286</v>
      </c>
      <c r="C126" s="2">
        <v>98</v>
      </c>
      <c r="D126" s="2">
        <v>30.6</v>
      </c>
      <c r="E126" s="2">
        <v>66.900000000000006</v>
      </c>
      <c r="F126" s="2">
        <v>0.5</v>
      </c>
      <c r="I126" s="2">
        <v>1560</v>
      </c>
      <c r="J126" s="2">
        <v>259</v>
      </c>
      <c r="K126" s="2">
        <v>152880</v>
      </c>
      <c r="L126" s="2">
        <v>2905</v>
      </c>
      <c r="M126" s="2">
        <v>200.5</v>
      </c>
      <c r="N126" s="2">
        <v>367.3</v>
      </c>
      <c r="O126" s="2">
        <v>9370</v>
      </c>
      <c r="P126" s="2">
        <v>9.1</v>
      </c>
      <c r="Q126" s="2" t="s">
        <v>5270</v>
      </c>
    </row>
    <row r="127" spans="1:17" ht="24.95" customHeight="1" x14ac:dyDescent="0.25">
      <c r="A127" s="17" t="s">
        <v>183</v>
      </c>
      <c r="B127" s="2">
        <v>264</v>
      </c>
      <c r="C127" s="2">
        <v>94</v>
      </c>
      <c r="D127" s="2">
        <v>27</v>
      </c>
      <c r="E127" s="2">
        <v>66.900000000000006</v>
      </c>
      <c r="F127" s="2">
        <v>0.1</v>
      </c>
      <c r="I127" s="2">
        <v>2175</v>
      </c>
      <c r="J127" s="2">
        <v>260</v>
      </c>
      <c r="K127" s="2">
        <v>204450</v>
      </c>
      <c r="L127" s="2">
        <v>3706</v>
      </c>
      <c r="M127" s="2">
        <v>264.5</v>
      </c>
      <c r="N127" s="2">
        <v>572</v>
      </c>
      <c r="O127" s="2">
        <v>12060</v>
      </c>
      <c r="P127" s="2">
        <v>1.3</v>
      </c>
      <c r="Q127" s="2" t="s">
        <v>5270</v>
      </c>
    </row>
    <row r="128" spans="1:17" ht="24.95" customHeight="1" x14ac:dyDescent="0.25">
      <c r="A128" s="17" t="s">
        <v>184</v>
      </c>
      <c r="B128" s="2">
        <v>256</v>
      </c>
      <c r="C128" s="2">
        <v>92</v>
      </c>
      <c r="D128" s="2">
        <v>24.4</v>
      </c>
      <c r="E128" s="2">
        <v>66.900000000000006</v>
      </c>
      <c r="F128" s="2">
        <v>0.7</v>
      </c>
      <c r="I128" s="2">
        <v>472</v>
      </c>
      <c r="J128" s="2">
        <v>178</v>
      </c>
      <c r="K128" s="2">
        <v>43424</v>
      </c>
      <c r="L128" s="2">
        <v>1292</v>
      </c>
      <c r="M128" s="2">
        <v>61</v>
      </c>
      <c r="N128" s="2">
        <v>109</v>
      </c>
      <c r="O128" s="2">
        <v>3990</v>
      </c>
      <c r="P128" s="2">
        <v>33.299999999999997</v>
      </c>
      <c r="Q128" s="2" t="s">
        <v>5270</v>
      </c>
    </row>
    <row r="129" spans="1:17" ht="24.95" customHeight="1" x14ac:dyDescent="0.25">
      <c r="A129" s="17" t="s">
        <v>180</v>
      </c>
      <c r="B129" s="2">
        <v>250</v>
      </c>
      <c r="C129" s="2">
        <v>87</v>
      </c>
      <c r="D129" s="2">
        <v>19.2</v>
      </c>
      <c r="E129" s="2">
        <v>66.900000000000006</v>
      </c>
      <c r="F129" s="2">
        <v>0.9</v>
      </c>
      <c r="H129" s="2">
        <v>89.1</v>
      </c>
      <c r="I129" s="2">
        <v>3424</v>
      </c>
      <c r="J129" s="2">
        <v>190</v>
      </c>
      <c r="K129" s="2">
        <v>304986</v>
      </c>
      <c r="L129" s="2">
        <v>8585</v>
      </c>
      <c r="M129" s="2">
        <v>446.2</v>
      </c>
      <c r="N129" s="2">
        <v>861.9</v>
      </c>
      <c r="O129" s="2">
        <v>27110</v>
      </c>
      <c r="P129" s="2">
        <v>26.8</v>
      </c>
      <c r="Q129" s="2" t="s">
        <v>5271</v>
      </c>
    </row>
    <row r="130" spans="1:17" ht="24.95" customHeight="1" x14ac:dyDescent="0.25">
      <c r="A130" s="17" t="s">
        <v>6723</v>
      </c>
      <c r="B130" s="2">
        <v>250</v>
      </c>
      <c r="C130" s="2">
        <v>87</v>
      </c>
      <c r="D130" s="2">
        <v>19.3</v>
      </c>
      <c r="E130" s="2">
        <v>66.900000000000006</v>
      </c>
      <c r="F130" s="2">
        <v>0.8</v>
      </c>
      <c r="H130" s="2">
        <v>88.6</v>
      </c>
      <c r="I130" s="2">
        <v>6250</v>
      </c>
      <c r="J130" s="2">
        <v>188</v>
      </c>
      <c r="K130" s="2">
        <v>553552</v>
      </c>
      <c r="L130" s="2">
        <v>10870</v>
      </c>
      <c r="M130" s="2">
        <v>591.20000000000005</v>
      </c>
      <c r="N130" s="2">
        <v>1307</v>
      </c>
      <c r="O130" s="2">
        <v>34460</v>
      </c>
      <c r="P130" s="2">
        <v>5.7</v>
      </c>
      <c r="Q130" s="2" t="s">
        <v>5271</v>
      </c>
    </row>
    <row r="131" spans="1:17" ht="24.95" customHeight="1" x14ac:dyDescent="0.25">
      <c r="A131" s="17" t="s">
        <v>181</v>
      </c>
      <c r="B131" s="2">
        <v>224</v>
      </c>
      <c r="C131" s="2">
        <v>81</v>
      </c>
      <c r="D131" s="2">
        <v>12.6</v>
      </c>
      <c r="E131" s="2">
        <v>66.900000000000006</v>
      </c>
      <c r="F131" s="2">
        <v>1.6</v>
      </c>
      <c r="H131" s="2">
        <v>85.8</v>
      </c>
      <c r="I131" s="2">
        <v>2800</v>
      </c>
      <c r="J131" s="2">
        <v>175</v>
      </c>
      <c r="K131" s="2">
        <v>240153</v>
      </c>
      <c r="L131" s="2">
        <v>7725</v>
      </c>
      <c r="M131" s="2">
        <v>352.9</v>
      </c>
      <c r="N131" s="2">
        <v>605.9</v>
      </c>
      <c r="O131" s="2">
        <v>29390</v>
      </c>
      <c r="P131" s="2">
        <v>48.4</v>
      </c>
      <c r="Q131" s="2" t="s">
        <v>5271</v>
      </c>
    </row>
    <row r="132" spans="1:17" ht="24.95" customHeight="1" x14ac:dyDescent="0.25">
      <c r="A132" s="17" t="s">
        <v>177</v>
      </c>
      <c r="B132" s="2">
        <v>261</v>
      </c>
      <c r="C132" s="2">
        <v>89.3</v>
      </c>
      <c r="D132" s="2">
        <v>21.9</v>
      </c>
      <c r="E132" s="2">
        <v>66.900000000000006</v>
      </c>
      <c r="F132" s="2">
        <v>0.5</v>
      </c>
      <c r="H132" s="2">
        <v>91</v>
      </c>
      <c r="I132" s="2">
        <v>6655</v>
      </c>
      <c r="J132" s="2">
        <v>302</v>
      </c>
      <c r="K132" s="2">
        <v>605668</v>
      </c>
      <c r="L132" s="2">
        <v>11941</v>
      </c>
      <c r="M132" s="2">
        <v>963.9</v>
      </c>
      <c r="N132" s="2">
        <v>1637.6</v>
      </c>
      <c r="O132" s="2">
        <v>41090</v>
      </c>
      <c r="P132" s="2">
        <v>9.6</v>
      </c>
      <c r="Q132" s="2" t="s">
        <v>5271</v>
      </c>
    </row>
    <row r="133" spans="1:17" ht="24.95" customHeight="1" x14ac:dyDescent="0.25">
      <c r="A133" s="17" t="s">
        <v>6724</v>
      </c>
      <c r="B133" s="2">
        <v>209</v>
      </c>
      <c r="C133" s="2">
        <v>81.8</v>
      </c>
      <c r="I133" s="2">
        <v>71580</v>
      </c>
      <c r="J133" s="2">
        <v>204</v>
      </c>
      <c r="K133" s="2">
        <v>5855244</v>
      </c>
      <c r="L133" s="2">
        <v>116455</v>
      </c>
      <c r="M133" s="2">
        <v>9678.5</v>
      </c>
      <c r="N133" s="2">
        <v>16754.900000000001</v>
      </c>
      <c r="O133" s="2">
        <v>405900</v>
      </c>
      <c r="P133" s="2">
        <v>2.2999999999999998</v>
      </c>
    </row>
    <row r="134" spans="1:17" ht="24.95" customHeight="1" x14ac:dyDescent="0.25">
      <c r="A134" s="17" t="s">
        <v>187</v>
      </c>
      <c r="B134" s="2">
        <v>328</v>
      </c>
      <c r="C134" s="2">
        <v>124</v>
      </c>
      <c r="D134" s="2">
        <v>41.4</v>
      </c>
      <c r="E134" s="2">
        <v>84</v>
      </c>
      <c r="F134" s="2">
        <v>-1.4</v>
      </c>
      <c r="I134" s="2">
        <v>2400</v>
      </c>
      <c r="J134" s="2">
        <v>176</v>
      </c>
      <c r="K134" s="2">
        <v>297600</v>
      </c>
      <c r="L134" s="2">
        <v>4258</v>
      </c>
      <c r="M134" s="2">
        <v>300.10000000000002</v>
      </c>
      <c r="N134" s="2">
        <v>578.9</v>
      </c>
      <c r="O134" s="2">
        <v>14940</v>
      </c>
      <c r="P134" s="2">
        <v>11.4</v>
      </c>
      <c r="Q134" s="2" t="s">
        <v>5268</v>
      </c>
    </row>
    <row r="135" spans="1:17" ht="24.95" customHeight="1" x14ac:dyDescent="0.25">
      <c r="A135" s="17" t="s">
        <v>188</v>
      </c>
      <c r="B135" s="2">
        <v>310</v>
      </c>
      <c r="C135" s="2">
        <v>114</v>
      </c>
      <c r="D135" s="2">
        <v>33</v>
      </c>
      <c r="E135" s="2">
        <v>82.3</v>
      </c>
      <c r="F135" s="2">
        <v>-1.3</v>
      </c>
      <c r="I135" s="2">
        <v>8460</v>
      </c>
      <c r="J135" s="2">
        <v>238</v>
      </c>
      <c r="K135" s="2">
        <v>964440</v>
      </c>
      <c r="L135" s="2">
        <v>11045</v>
      </c>
      <c r="M135" s="2">
        <v>1104.5999999999999</v>
      </c>
      <c r="N135" s="2">
        <v>2043.2</v>
      </c>
      <c r="O135" s="2">
        <v>35850</v>
      </c>
      <c r="Q135" s="2" t="s">
        <v>5268</v>
      </c>
    </row>
    <row r="136" spans="1:17" ht="24.95" customHeight="1" x14ac:dyDescent="0.25">
      <c r="A136" s="17" t="s">
        <v>189</v>
      </c>
      <c r="B136" s="2">
        <v>282</v>
      </c>
      <c r="C136" s="2">
        <v>114</v>
      </c>
      <c r="D136" s="2">
        <v>34.299999999999997</v>
      </c>
      <c r="E136" s="2">
        <v>81.8</v>
      </c>
      <c r="F136" s="2">
        <v>-2.1</v>
      </c>
      <c r="I136" s="2">
        <v>4050</v>
      </c>
      <c r="J136" s="2">
        <v>180</v>
      </c>
      <c r="K136" s="2">
        <v>461700</v>
      </c>
      <c r="L136" s="2">
        <v>6622</v>
      </c>
      <c r="M136" s="2">
        <v>499.8</v>
      </c>
      <c r="N136" s="2">
        <v>1004</v>
      </c>
      <c r="O136" s="2">
        <v>20700</v>
      </c>
      <c r="Q136" s="2" t="s">
        <v>5268</v>
      </c>
    </row>
    <row r="137" spans="1:17" ht="24.95" customHeight="1" x14ac:dyDescent="0.25">
      <c r="A137" s="17" t="s">
        <v>5311</v>
      </c>
      <c r="B137" s="2">
        <v>294</v>
      </c>
      <c r="C137" s="2">
        <v>111</v>
      </c>
      <c r="D137" s="2">
        <v>28.7</v>
      </c>
      <c r="E137" s="2">
        <v>83.5</v>
      </c>
      <c r="F137" s="2">
        <v>-1.2</v>
      </c>
      <c r="I137" s="2">
        <v>4951</v>
      </c>
      <c r="J137" s="2">
        <v>200</v>
      </c>
      <c r="K137" s="2">
        <v>549561</v>
      </c>
      <c r="L137" s="2">
        <v>7792</v>
      </c>
      <c r="M137" s="2">
        <v>676.7</v>
      </c>
      <c r="N137" s="2">
        <v>1177.5</v>
      </c>
      <c r="O137" s="2">
        <v>28350</v>
      </c>
      <c r="P137" s="2">
        <v>3.9</v>
      </c>
      <c r="Q137" s="2" t="s">
        <v>5268</v>
      </c>
    </row>
    <row r="138" spans="1:17" ht="24.95" customHeight="1" x14ac:dyDescent="0.25">
      <c r="A138" s="17" t="s">
        <v>191</v>
      </c>
      <c r="B138" s="2">
        <v>318</v>
      </c>
      <c r="C138" s="2">
        <v>122</v>
      </c>
      <c r="D138" s="2">
        <v>38.9</v>
      </c>
      <c r="E138" s="2">
        <v>84</v>
      </c>
      <c r="F138" s="2">
        <v>-0.9</v>
      </c>
      <c r="I138" s="2">
        <v>1110</v>
      </c>
      <c r="J138" s="2">
        <v>231</v>
      </c>
      <c r="K138" s="2">
        <v>135420</v>
      </c>
      <c r="L138" s="2">
        <v>1542</v>
      </c>
      <c r="M138" s="2">
        <v>106.6</v>
      </c>
      <c r="N138" s="2">
        <v>269.10000000000002</v>
      </c>
      <c r="O138" s="2">
        <v>5100</v>
      </c>
      <c r="Q138" s="2" t="s">
        <v>5268</v>
      </c>
    </row>
    <row r="139" spans="1:17" ht="24.95" customHeight="1" x14ac:dyDescent="0.25">
      <c r="A139" s="17" t="s">
        <v>192</v>
      </c>
      <c r="B139" s="2">
        <v>312</v>
      </c>
      <c r="C139" s="2">
        <v>112</v>
      </c>
      <c r="D139" s="2">
        <v>29</v>
      </c>
      <c r="E139" s="2">
        <v>84</v>
      </c>
      <c r="F139" s="2">
        <v>-1</v>
      </c>
      <c r="I139" s="2">
        <v>2810</v>
      </c>
      <c r="J139" s="2">
        <v>285</v>
      </c>
      <c r="K139" s="2">
        <v>314720</v>
      </c>
      <c r="L139" s="2">
        <v>4043</v>
      </c>
      <c r="M139" s="2">
        <v>387.5</v>
      </c>
      <c r="N139" s="2">
        <v>693.1</v>
      </c>
      <c r="O139" s="2">
        <v>12260</v>
      </c>
      <c r="Q139" s="2" t="s">
        <v>5268</v>
      </c>
    </row>
    <row r="140" spans="1:17" ht="24.95" customHeight="1" x14ac:dyDescent="0.25">
      <c r="A140" s="17" t="s">
        <v>193</v>
      </c>
      <c r="B140" s="2">
        <v>294</v>
      </c>
      <c r="C140" s="2">
        <v>112</v>
      </c>
      <c r="D140" s="2">
        <v>28</v>
      </c>
      <c r="E140" s="2">
        <v>84</v>
      </c>
      <c r="I140" s="2">
        <v>833</v>
      </c>
      <c r="J140" s="2">
        <v>187</v>
      </c>
      <c r="K140" s="2">
        <v>93296</v>
      </c>
      <c r="L140" s="2">
        <v>1776</v>
      </c>
      <c r="M140" s="2">
        <v>119.5</v>
      </c>
      <c r="N140" s="2">
        <v>201.5</v>
      </c>
      <c r="O140" s="2">
        <v>6350</v>
      </c>
      <c r="P140" s="2">
        <v>28.4</v>
      </c>
      <c r="Q140" s="2" t="s">
        <v>5270</v>
      </c>
    </row>
    <row r="141" spans="1:17" ht="24.95" customHeight="1" x14ac:dyDescent="0.25">
      <c r="A141" s="17" t="s">
        <v>187</v>
      </c>
      <c r="B141" s="2">
        <v>273</v>
      </c>
      <c r="C141" s="2">
        <v>104</v>
      </c>
      <c r="D141" s="2">
        <v>20.5</v>
      </c>
      <c r="E141" s="2">
        <v>84</v>
      </c>
      <c r="F141" s="2">
        <v>-0.5</v>
      </c>
      <c r="H141" s="2">
        <v>106</v>
      </c>
      <c r="I141" s="2">
        <v>4452</v>
      </c>
      <c r="J141" s="2">
        <v>161</v>
      </c>
      <c r="K141" s="2">
        <v>471792</v>
      </c>
      <c r="L141" s="2">
        <v>8489</v>
      </c>
      <c r="M141" s="2">
        <v>690.2</v>
      </c>
      <c r="N141" s="2">
        <v>1062.8</v>
      </c>
      <c r="O141" s="2">
        <v>32510</v>
      </c>
      <c r="P141" s="2">
        <v>23.2</v>
      </c>
      <c r="Q141" s="2" t="s">
        <v>5271</v>
      </c>
    </row>
    <row r="142" spans="1:17" ht="24.95" customHeight="1" x14ac:dyDescent="0.25">
      <c r="A142" s="17" t="s">
        <v>5312</v>
      </c>
      <c r="B142" s="2">
        <v>268</v>
      </c>
      <c r="C142" s="2">
        <v>102</v>
      </c>
      <c r="D142" s="2">
        <v>18.5</v>
      </c>
      <c r="E142" s="2">
        <v>84</v>
      </c>
      <c r="F142" s="2">
        <v>-0.5</v>
      </c>
      <c r="H142" s="2">
        <v>104.1</v>
      </c>
      <c r="I142" s="2">
        <v>5300</v>
      </c>
      <c r="J142" s="2">
        <v>176</v>
      </c>
      <c r="K142" s="2">
        <v>551724</v>
      </c>
      <c r="L142" s="2">
        <v>9035</v>
      </c>
      <c r="M142" s="2">
        <v>657.8</v>
      </c>
      <c r="N142" s="2">
        <v>1120.2</v>
      </c>
      <c r="O142" s="2">
        <v>30180</v>
      </c>
      <c r="P142" s="2">
        <v>5.2</v>
      </c>
      <c r="Q142" s="2" t="s">
        <v>5271</v>
      </c>
    </row>
    <row r="143" spans="1:17" ht="24.95" customHeight="1" x14ac:dyDescent="0.25">
      <c r="A143" s="17" t="s">
        <v>5313</v>
      </c>
      <c r="B143" s="2">
        <v>312</v>
      </c>
      <c r="C143" s="2">
        <v>121</v>
      </c>
      <c r="D143" s="2">
        <v>36.9</v>
      </c>
      <c r="E143" s="2">
        <v>84</v>
      </c>
      <c r="F143" s="2">
        <v>0.1</v>
      </c>
      <c r="H143" s="2">
        <v>122.4</v>
      </c>
      <c r="I143" s="2">
        <v>3100</v>
      </c>
      <c r="J143" s="2">
        <v>216</v>
      </c>
      <c r="K143" s="2">
        <v>379414</v>
      </c>
      <c r="L143" s="2">
        <v>5113</v>
      </c>
      <c r="M143" s="2">
        <v>511.1</v>
      </c>
      <c r="N143" s="2">
        <v>768.1</v>
      </c>
      <c r="O143" s="2">
        <v>17110</v>
      </c>
      <c r="Q143" s="2" t="s">
        <v>5271</v>
      </c>
    </row>
    <row r="144" spans="1:17" ht="24.95" customHeight="1" x14ac:dyDescent="0.25">
      <c r="A144" s="17" t="s">
        <v>196</v>
      </c>
      <c r="B144" s="2">
        <v>281</v>
      </c>
      <c r="C144" s="2">
        <v>108</v>
      </c>
      <c r="D144" s="2">
        <v>24</v>
      </c>
      <c r="E144" s="2">
        <v>84</v>
      </c>
      <c r="H144" s="2">
        <v>109.3</v>
      </c>
      <c r="I144" s="2">
        <v>9303</v>
      </c>
      <c r="J144" s="2">
        <v>228</v>
      </c>
      <c r="K144" s="2">
        <v>1016691</v>
      </c>
      <c r="L144" s="2">
        <v>13062</v>
      </c>
      <c r="M144" s="2">
        <v>1151.4000000000001</v>
      </c>
      <c r="N144" s="2">
        <v>2108.3000000000002</v>
      </c>
      <c r="O144" s="2">
        <v>47500</v>
      </c>
      <c r="Q144" s="2" t="s">
        <v>5271</v>
      </c>
    </row>
    <row r="145" spans="1:17" ht="24.95" customHeight="1" x14ac:dyDescent="0.25">
      <c r="A145" s="17" t="s">
        <v>197</v>
      </c>
      <c r="B145" s="2">
        <v>260</v>
      </c>
      <c r="C145" s="2">
        <v>100</v>
      </c>
      <c r="D145" s="2">
        <v>15.7</v>
      </c>
      <c r="E145" s="2">
        <v>84</v>
      </c>
      <c r="F145" s="2">
        <v>0.4</v>
      </c>
      <c r="H145" s="2">
        <v>102.1</v>
      </c>
      <c r="I145" s="2">
        <v>1520</v>
      </c>
      <c r="J145" s="2">
        <v>165</v>
      </c>
      <c r="K145" s="2">
        <v>155223</v>
      </c>
      <c r="L145" s="2">
        <v>3730</v>
      </c>
      <c r="M145" s="2">
        <v>190.7</v>
      </c>
      <c r="N145" s="2">
        <v>322.60000000000002</v>
      </c>
      <c r="O145" s="2">
        <v>14420</v>
      </c>
      <c r="P145" s="2">
        <v>41.3</v>
      </c>
      <c r="Q145" s="2" t="s">
        <v>5271</v>
      </c>
    </row>
    <row r="146" spans="1:17" ht="24.95" customHeight="1" x14ac:dyDescent="0.25">
      <c r="A146" s="17" t="s">
        <v>198</v>
      </c>
      <c r="B146" s="2">
        <v>271</v>
      </c>
      <c r="C146" s="2">
        <v>108</v>
      </c>
      <c r="D146" s="2">
        <v>23.1</v>
      </c>
      <c r="E146" s="2">
        <v>84</v>
      </c>
      <c r="F146" s="2">
        <v>0.9</v>
      </c>
      <c r="H146" s="2">
        <v>111.2</v>
      </c>
      <c r="I146" s="2">
        <v>1025</v>
      </c>
      <c r="J146" s="2">
        <v>184</v>
      </c>
      <c r="K146" s="2">
        <v>113992</v>
      </c>
      <c r="L146" s="2">
        <v>3097</v>
      </c>
      <c r="M146" s="2">
        <v>161.30000000000001</v>
      </c>
      <c r="N146" s="2">
        <v>254</v>
      </c>
      <c r="O146" s="2">
        <v>10270</v>
      </c>
      <c r="P146" s="2">
        <v>43.8</v>
      </c>
      <c r="Q146" s="2" t="s">
        <v>5271</v>
      </c>
    </row>
    <row r="147" spans="1:17" ht="24.95" customHeight="1" x14ac:dyDescent="0.25">
      <c r="A147" s="17" t="s">
        <v>189</v>
      </c>
      <c r="B147" s="2">
        <v>263</v>
      </c>
      <c r="C147" s="2">
        <v>104</v>
      </c>
      <c r="D147" s="2">
        <v>20.6</v>
      </c>
      <c r="E147" s="2">
        <v>84</v>
      </c>
      <c r="F147" s="2">
        <v>-0.6</v>
      </c>
      <c r="H147" s="2">
        <v>106.1</v>
      </c>
      <c r="I147" s="2">
        <v>3589</v>
      </c>
      <c r="J147" s="2">
        <v>173</v>
      </c>
      <c r="K147" s="2">
        <v>380614</v>
      </c>
      <c r="L147" s="2">
        <v>5533</v>
      </c>
      <c r="M147" s="2">
        <v>386.3</v>
      </c>
      <c r="N147" s="2">
        <v>880</v>
      </c>
      <c r="O147" s="2">
        <v>21650</v>
      </c>
      <c r="P147" s="2">
        <v>6.1</v>
      </c>
      <c r="Q147" s="2" t="s">
        <v>5271</v>
      </c>
    </row>
    <row r="148" spans="1:17" ht="24.95" customHeight="1" x14ac:dyDescent="0.25">
      <c r="A148" s="17" t="s">
        <v>191</v>
      </c>
      <c r="B148" s="2">
        <v>286</v>
      </c>
      <c r="C148" s="2">
        <v>104</v>
      </c>
      <c r="D148" s="2">
        <v>19</v>
      </c>
      <c r="E148" s="2">
        <v>84</v>
      </c>
      <c r="F148" s="2">
        <v>0.9</v>
      </c>
      <c r="H148" s="2">
        <v>107.6</v>
      </c>
      <c r="I148" s="2">
        <v>2189</v>
      </c>
      <c r="J148" s="2">
        <v>177</v>
      </c>
      <c r="K148" s="2">
        <v>235556</v>
      </c>
      <c r="L148" s="2">
        <v>5173</v>
      </c>
      <c r="M148" s="2">
        <v>337.7</v>
      </c>
      <c r="N148" s="2">
        <v>521.9</v>
      </c>
      <c r="O148" s="2">
        <v>19770</v>
      </c>
      <c r="P148" s="2">
        <v>34.9</v>
      </c>
      <c r="Q148" s="2" t="s">
        <v>5271</v>
      </c>
    </row>
    <row r="149" spans="1:17" ht="24.95" customHeight="1" x14ac:dyDescent="0.25">
      <c r="A149" s="17" t="s">
        <v>193</v>
      </c>
      <c r="B149" s="2">
        <v>261</v>
      </c>
      <c r="C149" s="2">
        <v>104</v>
      </c>
      <c r="D149" s="2">
        <v>20.9</v>
      </c>
      <c r="E149" s="2">
        <v>84</v>
      </c>
      <c r="F149" s="2">
        <v>-0.9</v>
      </c>
      <c r="H149" s="2">
        <v>104.8</v>
      </c>
      <c r="I149" s="2">
        <v>2889</v>
      </c>
      <c r="J149" s="2">
        <v>138</v>
      </c>
      <c r="K149" s="2">
        <v>302787</v>
      </c>
      <c r="L149" s="2">
        <v>4769</v>
      </c>
      <c r="M149" s="2">
        <v>272.2</v>
      </c>
      <c r="N149" s="2">
        <v>558.29999999999995</v>
      </c>
      <c r="O149" s="2">
        <v>17050</v>
      </c>
      <c r="P149" s="2">
        <v>5.3</v>
      </c>
      <c r="Q149" s="2" t="s">
        <v>5271</v>
      </c>
    </row>
    <row r="150" spans="1:17" ht="24.95" customHeight="1" x14ac:dyDescent="0.25">
      <c r="A150" s="17" t="s">
        <v>199</v>
      </c>
      <c r="B150" s="2">
        <v>273</v>
      </c>
      <c r="C150" s="2">
        <v>100</v>
      </c>
      <c r="D150" s="2">
        <v>16.600000000000001</v>
      </c>
      <c r="E150" s="2">
        <v>84</v>
      </c>
      <c r="F150" s="2">
        <v>-0.6</v>
      </c>
      <c r="H150" s="2">
        <v>102.4</v>
      </c>
      <c r="I150" s="2">
        <v>3144</v>
      </c>
      <c r="J150" s="2">
        <v>208</v>
      </c>
      <c r="K150" s="2">
        <v>322066</v>
      </c>
      <c r="L150" s="2">
        <v>4402</v>
      </c>
      <c r="M150" s="2">
        <v>476.1</v>
      </c>
      <c r="N150" s="2">
        <v>776.8</v>
      </c>
      <c r="O150" s="2">
        <v>15940</v>
      </c>
      <c r="Q150" s="2" t="s">
        <v>5271</v>
      </c>
    </row>
    <row r="151" spans="1:17" ht="24.95" customHeight="1" x14ac:dyDescent="0.25">
      <c r="A151" s="17" t="s">
        <v>192</v>
      </c>
      <c r="B151" s="2">
        <v>270</v>
      </c>
      <c r="C151" s="2">
        <v>103</v>
      </c>
      <c r="D151" s="2">
        <v>18.8</v>
      </c>
      <c r="E151" s="2">
        <v>84</v>
      </c>
      <c r="F151" s="2">
        <v>0.2</v>
      </c>
      <c r="H151" s="2">
        <v>105.1</v>
      </c>
      <c r="I151" s="2">
        <v>10400</v>
      </c>
      <c r="J151" s="2">
        <v>241</v>
      </c>
      <c r="K151" s="2">
        <v>1092559</v>
      </c>
      <c r="L151" s="2">
        <v>16974</v>
      </c>
      <c r="M151" s="2">
        <v>1648.8</v>
      </c>
      <c r="N151" s="2">
        <v>2414.6999999999998</v>
      </c>
      <c r="O151" s="2">
        <v>55950</v>
      </c>
      <c r="P151" s="2">
        <v>0.2</v>
      </c>
      <c r="Q151" s="2" t="s">
        <v>5271</v>
      </c>
    </row>
    <row r="152" spans="1:17" ht="24.95" customHeight="1" x14ac:dyDescent="0.25">
      <c r="A152" s="17" t="s">
        <v>6725</v>
      </c>
      <c r="B152" s="2">
        <v>197</v>
      </c>
      <c r="C152" s="2">
        <v>78</v>
      </c>
      <c r="I152" s="2">
        <v>111710</v>
      </c>
      <c r="J152" s="2">
        <v>220</v>
      </c>
      <c r="K152" s="2">
        <v>8713380</v>
      </c>
      <c r="L152" s="2">
        <v>152727</v>
      </c>
      <c r="M152" s="2">
        <v>13915.5</v>
      </c>
      <c r="N152" s="2">
        <v>27063.200000000001</v>
      </c>
      <c r="O152" s="2">
        <v>505130</v>
      </c>
    </row>
    <row r="153" spans="1:17" ht="24.95" customHeight="1" x14ac:dyDescent="0.25">
      <c r="A153" s="17" t="s">
        <v>201</v>
      </c>
      <c r="B153" s="2">
        <v>332</v>
      </c>
      <c r="C153" s="2">
        <v>119</v>
      </c>
      <c r="D153" s="2">
        <v>37.700000000000003</v>
      </c>
      <c r="E153" s="2">
        <v>81</v>
      </c>
      <c r="F153" s="2">
        <v>0.3</v>
      </c>
      <c r="I153" s="2">
        <v>7240</v>
      </c>
      <c r="J153" s="2">
        <v>224</v>
      </c>
      <c r="K153" s="2">
        <v>861560</v>
      </c>
      <c r="L153" s="2">
        <v>9082</v>
      </c>
      <c r="M153" s="2">
        <v>687.6</v>
      </c>
      <c r="N153" s="2">
        <v>1687.8</v>
      </c>
      <c r="O153" s="2">
        <v>29090</v>
      </c>
      <c r="Q153" s="2" t="s">
        <v>5268</v>
      </c>
    </row>
    <row r="154" spans="1:17" ht="24.95" customHeight="1" x14ac:dyDescent="0.25">
      <c r="A154" s="17" t="s">
        <v>214</v>
      </c>
      <c r="B154" s="2">
        <v>294</v>
      </c>
      <c r="C154" s="2">
        <v>112</v>
      </c>
      <c r="D154" s="2">
        <v>30.6</v>
      </c>
      <c r="E154" s="2">
        <v>81</v>
      </c>
      <c r="F154" s="2">
        <v>0.4</v>
      </c>
      <c r="I154" s="2">
        <v>776</v>
      </c>
      <c r="J154" s="2">
        <v>193</v>
      </c>
      <c r="K154" s="2">
        <v>86912</v>
      </c>
      <c r="L154" s="2">
        <v>1459</v>
      </c>
      <c r="M154" s="2">
        <v>79.5</v>
      </c>
      <c r="N154" s="2">
        <v>194.6</v>
      </c>
      <c r="O154" s="2">
        <v>4390</v>
      </c>
      <c r="Q154" s="2" t="s">
        <v>5268</v>
      </c>
    </row>
    <row r="155" spans="1:17" ht="24.95" customHeight="1" x14ac:dyDescent="0.25">
      <c r="A155" s="17" t="s">
        <v>5337</v>
      </c>
      <c r="B155" s="2">
        <v>300</v>
      </c>
      <c r="C155" s="2">
        <v>112</v>
      </c>
      <c r="D155" s="2">
        <v>33.6</v>
      </c>
      <c r="E155" s="2">
        <v>78</v>
      </c>
      <c r="F155" s="2">
        <v>0.4</v>
      </c>
      <c r="I155" s="2">
        <v>13350</v>
      </c>
      <c r="J155" s="2">
        <v>218</v>
      </c>
      <c r="K155" s="2">
        <v>1495200</v>
      </c>
      <c r="L155" s="2">
        <v>15664</v>
      </c>
      <c r="M155" s="2">
        <v>1512.9</v>
      </c>
      <c r="N155" s="2">
        <v>3240</v>
      </c>
      <c r="O155" s="2">
        <v>52880</v>
      </c>
      <c r="Q155" s="2" t="s">
        <v>5268</v>
      </c>
    </row>
    <row r="156" spans="1:17" ht="24.95" customHeight="1" x14ac:dyDescent="0.25">
      <c r="A156" s="17" t="s">
        <v>203</v>
      </c>
      <c r="B156" s="2">
        <v>306</v>
      </c>
      <c r="C156" s="2">
        <v>112</v>
      </c>
      <c r="D156" s="2">
        <v>30.6</v>
      </c>
      <c r="E156" s="2">
        <v>80.8</v>
      </c>
      <c r="F156" s="2">
        <v>0.6</v>
      </c>
      <c r="I156" s="2">
        <v>29000</v>
      </c>
      <c r="J156" s="2">
        <v>269</v>
      </c>
      <c r="K156" s="2">
        <v>3248000</v>
      </c>
      <c r="L156" s="2">
        <v>23961</v>
      </c>
      <c r="M156" s="2">
        <v>2213.5</v>
      </c>
      <c r="N156" s="2">
        <v>7047.2</v>
      </c>
      <c r="O156" s="2">
        <v>82700</v>
      </c>
      <c r="Q156" s="2" t="s">
        <v>5268</v>
      </c>
    </row>
    <row r="157" spans="1:17" ht="24.95" customHeight="1" x14ac:dyDescent="0.25">
      <c r="A157" s="17" t="s">
        <v>6726</v>
      </c>
      <c r="B157" s="2">
        <v>274</v>
      </c>
      <c r="C157" s="2">
        <v>106</v>
      </c>
      <c r="D157" s="2">
        <v>24.8</v>
      </c>
      <c r="E157" s="2">
        <v>81</v>
      </c>
      <c r="F157" s="2">
        <v>0.2</v>
      </c>
      <c r="I157" s="2">
        <v>2550</v>
      </c>
      <c r="J157" s="2">
        <v>198</v>
      </c>
      <c r="K157" s="2">
        <v>270300</v>
      </c>
      <c r="L157" s="2">
        <v>3094</v>
      </c>
      <c r="M157" s="2">
        <v>457.7</v>
      </c>
      <c r="N157" s="2">
        <v>639.9</v>
      </c>
      <c r="O157" s="2">
        <v>10330</v>
      </c>
      <c r="Q157" s="2" t="s">
        <v>5270</v>
      </c>
    </row>
    <row r="158" spans="1:17" ht="24.95" customHeight="1" x14ac:dyDescent="0.25">
      <c r="A158" s="17" t="s">
        <v>205</v>
      </c>
      <c r="B158" s="2">
        <v>302</v>
      </c>
      <c r="C158" s="2">
        <v>118</v>
      </c>
      <c r="D158" s="2">
        <v>36.5</v>
      </c>
      <c r="E158" s="2">
        <v>81</v>
      </c>
      <c r="F158" s="2">
        <v>0.5</v>
      </c>
      <c r="I158" s="2">
        <v>4050</v>
      </c>
      <c r="J158" s="2">
        <v>224</v>
      </c>
      <c r="K158" s="2">
        <v>477900</v>
      </c>
      <c r="L158" s="2">
        <v>5579</v>
      </c>
      <c r="M158" s="2">
        <v>413</v>
      </c>
      <c r="N158" s="2">
        <v>935.7</v>
      </c>
      <c r="O158" s="2">
        <v>18290</v>
      </c>
      <c r="Q158" s="2" t="s">
        <v>5270</v>
      </c>
    </row>
    <row r="159" spans="1:17" ht="24.95" customHeight="1" x14ac:dyDescent="0.25">
      <c r="A159" s="17" t="s">
        <v>5341</v>
      </c>
      <c r="B159" s="2">
        <v>282</v>
      </c>
      <c r="C159" s="2">
        <v>108</v>
      </c>
      <c r="D159" s="2">
        <v>27</v>
      </c>
      <c r="E159" s="2">
        <v>81</v>
      </c>
      <c r="I159" s="2">
        <v>3300</v>
      </c>
      <c r="J159" s="2">
        <v>220</v>
      </c>
      <c r="K159" s="2">
        <v>356400</v>
      </c>
      <c r="L159" s="2">
        <v>5906</v>
      </c>
      <c r="M159" s="2">
        <v>490.5</v>
      </c>
      <c r="N159" s="2">
        <v>796.7</v>
      </c>
      <c r="O159" s="2">
        <v>17510</v>
      </c>
      <c r="Q159" s="2" t="s">
        <v>5270</v>
      </c>
    </row>
    <row r="160" spans="1:17" ht="24.95" customHeight="1" x14ac:dyDescent="0.25">
      <c r="A160" s="17" t="s">
        <v>207</v>
      </c>
      <c r="B160" s="2">
        <v>288</v>
      </c>
      <c r="C160" s="2">
        <v>112</v>
      </c>
      <c r="D160" s="2">
        <v>31</v>
      </c>
      <c r="E160" s="2">
        <v>80.8</v>
      </c>
      <c r="F160" s="2">
        <v>0.2</v>
      </c>
      <c r="I160" s="2">
        <v>685</v>
      </c>
      <c r="J160" s="2">
        <v>138</v>
      </c>
      <c r="K160" s="2">
        <v>76720</v>
      </c>
      <c r="L160" s="2">
        <v>1143</v>
      </c>
      <c r="M160" s="2">
        <v>92.9</v>
      </c>
      <c r="N160" s="2">
        <v>198.9</v>
      </c>
      <c r="O160" s="2">
        <v>5450</v>
      </c>
      <c r="P160" s="2">
        <v>18.5</v>
      </c>
      <c r="Q160" s="2" t="s">
        <v>5270</v>
      </c>
    </row>
    <row r="161" spans="1:17" ht="24.95" customHeight="1" x14ac:dyDescent="0.25">
      <c r="A161" s="17" t="s">
        <v>208</v>
      </c>
      <c r="B161" s="2">
        <v>272</v>
      </c>
      <c r="C161" s="2">
        <v>110</v>
      </c>
      <c r="D161" s="2">
        <v>28.5</v>
      </c>
      <c r="E161" s="2">
        <v>81</v>
      </c>
      <c r="F161" s="2">
        <v>0.5</v>
      </c>
      <c r="I161" s="2">
        <v>720</v>
      </c>
      <c r="J161" s="2">
        <v>213</v>
      </c>
      <c r="K161" s="2">
        <v>79200</v>
      </c>
      <c r="L161" s="2">
        <v>1428</v>
      </c>
      <c r="M161" s="2">
        <v>105.5</v>
      </c>
      <c r="N161" s="2">
        <v>182.8</v>
      </c>
      <c r="O161" s="2">
        <v>4310</v>
      </c>
      <c r="P161" s="2">
        <v>4.2</v>
      </c>
      <c r="Q161" s="2" t="s">
        <v>5270</v>
      </c>
    </row>
    <row r="162" spans="1:17" ht="24.95" customHeight="1" x14ac:dyDescent="0.25">
      <c r="A162" s="17" t="s">
        <v>209</v>
      </c>
      <c r="B162" s="2">
        <v>318</v>
      </c>
      <c r="C162" s="2">
        <v>122</v>
      </c>
      <c r="D162" s="2">
        <v>40.9</v>
      </c>
      <c r="E162" s="2">
        <v>81</v>
      </c>
      <c r="F162" s="2">
        <v>0.1</v>
      </c>
      <c r="I162" s="2">
        <v>1620</v>
      </c>
      <c r="J162" s="2">
        <v>186</v>
      </c>
      <c r="K162" s="2">
        <v>197640</v>
      </c>
      <c r="L162" s="2">
        <v>2813</v>
      </c>
      <c r="M162" s="2">
        <v>260.8</v>
      </c>
      <c r="N162" s="2">
        <v>396.2</v>
      </c>
      <c r="O162" s="2">
        <v>8930</v>
      </c>
      <c r="Q162" s="2" t="s">
        <v>5270</v>
      </c>
    </row>
    <row r="163" spans="1:17" ht="24.95" customHeight="1" x14ac:dyDescent="0.25">
      <c r="A163" s="17" t="s">
        <v>210</v>
      </c>
      <c r="B163" s="2">
        <v>303</v>
      </c>
      <c r="C163" s="2">
        <v>118</v>
      </c>
      <c r="D163" s="2">
        <v>36.200000000000003</v>
      </c>
      <c r="E163" s="2">
        <v>81</v>
      </c>
      <c r="F163" s="2">
        <v>0.8</v>
      </c>
      <c r="I163" s="2">
        <v>880</v>
      </c>
      <c r="J163" s="2">
        <v>193</v>
      </c>
      <c r="K163" s="2">
        <v>103840</v>
      </c>
      <c r="L163" s="2">
        <v>1719</v>
      </c>
      <c r="M163" s="2">
        <v>93.8</v>
      </c>
      <c r="N163" s="2">
        <v>220.6</v>
      </c>
      <c r="O163" s="2">
        <v>4720</v>
      </c>
      <c r="Q163" s="2" t="s">
        <v>5270</v>
      </c>
    </row>
    <row r="164" spans="1:17" ht="24.95" customHeight="1" x14ac:dyDescent="0.25">
      <c r="A164" s="17" t="s">
        <v>6727</v>
      </c>
      <c r="B164" s="2">
        <v>310</v>
      </c>
      <c r="C164" s="2">
        <v>122</v>
      </c>
      <c r="D164" s="2">
        <v>39.299999999999997</v>
      </c>
      <c r="E164" s="2">
        <v>81</v>
      </c>
      <c r="F164" s="2">
        <v>1.8</v>
      </c>
      <c r="I164" s="2">
        <v>1550</v>
      </c>
      <c r="J164" s="2">
        <v>140</v>
      </c>
      <c r="K164" s="2">
        <v>189100</v>
      </c>
      <c r="L164" s="2">
        <v>4635</v>
      </c>
      <c r="M164" s="2">
        <v>214.1</v>
      </c>
      <c r="N164" s="2">
        <v>379.4</v>
      </c>
      <c r="O164" s="2">
        <v>12990</v>
      </c>
      <c r="P164" s="2">
        <v>339</v>
      </c>
      <c r="Q164" s="2" t="s">
        <v>5270</v>
      </c>
    </row>
    <row r="165" spans="1:17" ht="24.95" customHeight="1" x14ac:dyDescent="0.25">
      <c r="A165" s="17" t="s">
        <v>213</v>
      </c>
      <c r="B165" s="2">
        <v>280</v>
      </c>
      <c r="C165" s="2">
        <v>109</v>
      </c>
      <c r="D165" s="2">
        <v>27.5</v>
      </c>
      <c r="E165" s="2">
        <v>81</v>
      </c>
      <c r="F165" s="2">
        <v>0.5</v>
      </c>
      <c r="H165" s="2">
        <v>111.5</v>
      </c>
      <c r="I165" s="2">
        <v>10660</v>
      </c>
      <c r="J165" s="2">
        <v>194</v>
      </c>
      <c r="K165" s="2">
        <v>1188160</v>
      </c>
      <c r="L165" s="2">
        <v>17743</v>
      </c>
      <c r="M165" s="2">
        <v>2034</v>
      </c>
      <c r="N165" s="2">
        <v>2590.5</v>
      </c>
      <c r="O165" s="2">
        <v>56980</v>
      </c>
      <c r="Q165" s="2" t="s">
        <v>5271</v>
      </c>
    </row>
    <row r="166" spans="1:17" ht="24.95" customHeight="1" x14ac:dyDescent="0.25">
      <c r="A166" s="17" t="s">
        <v>201</v>
      </c>
      <c r="B166" s="2">
        <v>266</v>
      </c>
      <c r="C166" s="2">
        <v>102</v>
      </c>
      <c r="D166" s="2">
        <v>19.600000000000001</v>
      </c>
      <c r="E166" s="2">
        <v>81</v>
      </c>
      <c r="F166" s="2">
        <v>1.4</v>
      </c>
      <c r="H166" s="2">
        <v>103.8</v>
      </c>
      <c r="I166" s="2">
        <v>4300</v>
      </c>
      <c r="J166" s="2">
        <v>174</v>
      </c>
      <c r="K166" s="2">
        <v>446385</v>
      </c>
      <c r="L166" s="2">
        <v>9221</v>
      </c>
      <c r="M166" s="2">
        <v>616.1</v>
      </c>
      <c r="N166" s="2">
        <v>918.4</v>
      </c>
      <c r="O166" s="2">
        <v>34250</v>
      </c>
      <c r="P166" s="2">
        <v>31.3</v>
      </c>
      <c r="Q166" s="2" t="s">
        <v>5271</v>
      </c>
    </row>
    <row r="167" spans="1:17" ht="24.95" customHeight="1" x14ac:dyDescent="0.25">
      <c r="A167" s="17" t="s">
        <v>214</v>
      </c>
      <c r="B167" s="2">
        <v>259</v>
      </c>
      <c r="C167" s="2">
        <v>105.5</v>
      </c>
      <c r="D167" s="2">
        <v>25.3</v>
      </c>
      <c r="E167" s="2">
        <v>78.5</v>
      </c>
      <c r="F167" s="2">
        <v>1.7</v>
      </c>
      <c r="H167" s="2">
        <v>109.8</v>
      </c>
      <c r="I167" s="2">
        <v>1134</v>
      </c>
      <c r="J167" s="2">
        <v>191</v>
      </c>
      <c r="K167" s="2">
        <v>124488</v>
      </c>
      <c r="L167" s="2">
        <v>2744</v>
      </c>
      <c r="M167" s="2">
        <v>135</v>
      </c>
      <c r="N167" s="2">
        <v>311.5</v>
      </c>
      <c r="O167" s="2">
        <v>9430</v>
      </c>
      <c r="P167" s="2">
        <v>28.2</v>
      </c>
      <c r="Q167" s="2" t="s">
        <v>5271</v>
      </c>
    </row>
    <row r="168" spans="1:17" ht="24.95" customHeight="1" x14ac:dyDescent="0.25">
      <c r="A168" s="17" t="s">
        <v>207</v>
      </c>
      <c r="B168" s="2">
        <v>264</v>
      </c>
      <c r="C168" s="2">
        <v>100</v>
      </c>
      <c r="D168" s="2">
        <v>18.5</v>
      </c>
      <c r="E168" s="2">
        <v>81</v>
      </c>
      <c r="F168" s="2">
        <v>0.6</v>
      </c>
      <c r="H168" s="2">
        <v>101.5</v>
      </c>
      <c r="I168" s="2">
        <v>16780</v>
      </c>
      <c r="J168" s="2">
        <v>215</v>
      </c>
      <c r="K168" s="2">
        <v>1702480</v>
      </c>
      <c r="L168" s="2">
        <v>19880</v>
      </c>
      <c r="M168" s="2">
        <v>2430</v>
      </c>
      <c r="N168" s="2">
        <v>4167.1000000000004</v>
      </c>
      <c r="O168" s="2">
        <v>68630</v>
      </c>
      <c r="Q168" s="2" t="s">
        <v>5271</v>
      </c>
    </row>
    <row r="169" spans="1:17" ht="24.95" customHeight="1" x14ac:dyDescent="0.25">
      <c r="A169" s="17" t="s">
        <v>210</v>
      </c>
      <c r="B169" s="2">
        <v>270</v>
      </c>
      <c r="C169" s="2">
        <v>104</v>
      </c>
      <c r="D169" s="2">
        <v>21.2</v>
      </c>
      <c r="E169" s="2">
        <v>81</v>
      </c>
      <c r="F169" s="2">
        <v>1.8</v>
      </c>
      <c r="H169" s="2">
        <v>106.8</v>
      </c>
      <c r="I169" s="2">
        <v>1645</v>
      </c>
      <c r="J169" s="2">
        <v>197</v>
      </c>
      <c r="K169" s="2">
        <v>175760</v>
      </c>
      <c r="L169" s="2">
        <v>4983</v>
      </c>
      <c r="M169" s="2">
        <v>264.3</v>
      </c>
      <c r="N169" s="2">
        <v>429.9</v>
      </c>
      <c r="O169" s="2">
        <v>14130</v>
      </c>
      <c r="P169" s="2">
        <v>32</v>
      </c>
      <c r="Q169" s="2" t="s">
        <v>5271</v>
      </c>
    </row>
    <row r="170" spans="1:17" ht="24.95" customHeight="1" x14ac:dyDescent="0.25">
      <c r="A170" s="17" t="s">
        <v>216</v>
      </c>
      <c r="B170" s="2">
        <v>286</v>
      </c>
      <c r="C170" s="2">
        <v>108</v>
      </c>
      <c r="D170" s="2">
        <v>25.2</v>
      </c>
      <c r="E170" s="2">
        <v>81</v>
      </c>
      <c r="F170" s="2">
        <v>1.8</v>
      </c>
      <c r="H170" s="2">
        <v>109</v>
      </c>
      <c r="I170" s="2">
        <v>1290</v>
      </c>
      <c r="J170" s="2">
        <v>235</v>
      </c>
      <c r="K170" s="2">
        <v>140653</v>
      </c>
      <c r="L170" s="2">
        <v>3027</v>
      </c>
      <c r="M170" s="2">
        <v>186.7</v>
      </c>
      <c r="N170" s="2">
        <v>331.7</v>
      </c>
      <c r="O170" s="2">
        <v>9040</v>
      </c>
      <c r="P170" s="2">
        <v>15</v>
      </c>
      <c r="Q170" s="2" t="s">
        <v>5271</v>
      </c>
    </row>
    <row r="171" spans="1:17" ht="24.95" customHeight="1" x14ac:dyDescent="0.25">
      <c r="A171" s="17" t="s">
        <v>217</v>
      </c>
      <c r="B171" s="2">
        <v>258</v>
      </c>
      <c r="C171" s="2">
        <v>94.5</v>
      </c>
      <c r="D171" s="2">
        <v>14.5</v>
      </c>
      <c r="E171" s="2">
        <v>78.5</v>
      </c>
      <c r="F171" s="2">
        <v>1.5</v>
      </c>
      <c r="H171" s="2">
        <v>99.2</v>
      </c>
      <c r="I171" s="2">
        <v>900</v>
      </c>
      <c r="J171" s="2">
        <v>205</v>
      </c>
      <c r="K171" s="2">
        <v>89302</v>
      </c>
      <c r="L171" s="2">
        <v>2728</v>
      </c>
      <c r="M171" s="2">
        <v>143.1</v>
      </c>
      <c r="N171" s="2">
        <v>221.2</v>
      </c>
      <c r="O171" s="2">
        <v>7980</v>
      </c>
      <c r="P171" s="2">
        <v>37.4</v>
      </c>
      <c r="Q171" s="2" t="s">
        <v>5271</v>
      </c>
    </row>
    <row r="172" spans="1:17" ht="24.95" customHeight="1" x14ac:dyDescent="0.25">
      <c r="A172" s="17" t="s">
        <v>218</v>
      </c>
      <c r="B172" s="2">
        <v>294</v>
      </c>
      <c r="C172" s="2">
        <v>108</v>
      </c>
      <c r="D172" s="2">
        <v>26.3</v>
      </c>
      <c r="E172" s="2">
        <v>81</v>
      </c>
      <c r="F172" s="2">
        <v>0.8</v>
      </c>
      <c r="H172" s="2">
        <v>109.9</v>
      </c>
      <c r="I172" s="2">
        <v>9285</v>
      </c>
      <c r="J172" s="2">
        <v>212</v>
      </c>
      <c r="K172" s="2">
        <v>1020638</v>
      </c>
      <c r="L172" s="2">
        <v>15918</v>
      </c>
      <c r="M172" s="2">
        <v>1484.5</v>
      </c>
      <c r="N172" s="2">
        <v>2173.1999999999998</v>
      </c>
      <c r="O172" s="2">
        <v>53100</v>
      </c>
      <c r="P172" s="2">
        <v>2.9</v>
      </c>
      <c r="Q172" s="2" t="s">
        <v>5271</v>
      </c>
    </row>
    <row r="173" spans="1:17" ht="24.95" customHeight="1" x14ac:dyDescent="0.25">
      <c r="A173" s="17" t="s">
        <v>219</v>
      </c>
      <c r="B173" s="2">
        <v>204</v>
      </c>
      <c r="C173" s="2">
        <v>80</v>
      </c>
      <c r="I173" s="2">
        <v>31764</v>
      </c>
      <c r="J173" s="2">
        <v>193</v>
      </c>
      <c r="K173" s="2">
        <v>2541120</v>
      </c>
      <c r="L173" s="2">
        <v>59629</v>
      </c>
      <c r="M173" s="2">
        <v>3914.1</v>
      </c>
      <c r="N173" s="2">
        <v>7763.3</v>
      </c>
      <c r="O173" s="2">
        <v>193390</v>
      </c>
      <c r="P173" s="2">
        <v>12.5</v>
      </c>
    </row>
    <row r="174" spans="1:17" ht="24.95" customHeight="1" x14ac:dyDescent="0.25">
      <c r="A174" s="17" t="s">
        <v>19</v>
      </c>
      <c r="B174" s="2">
        <v>300</v>
      </c>
      <c r="C174" s="2">
        <v>120</v>
      </c>
      <c r="D174" s="2">
        <v>42.5</v>
      </c>
      <c r="E174" s="2">
        <v>80</v>
      </c>
      <c r="F174" s="2">
        <v>-2.5</v>
      </c>
      <c r="I174" s="2">
        <v>21000</v>
      </c>
      <c r="J174" s="2">
        <v>184</v>
      </c>
      <c r="K174" s="2">
        <v>2520000</v>
      </c>
      <c r="L174" s="2">
        <v>28761</v>
      </c>
      <c r="M174" s="2">
        <v>2377.5</v>
      </c>
      <c r="N174" s="2">
        <v>5155.8</v>
      </c>
      <c r="O174" s="2">
        <v>95380</v>
      </c>
      <c r="Q174" s="2" t="s">
        <v>5268</v>
      </c>
    </row>
    <row r="175" spans="1:17" ht="24.95" customHeight="1" x14ac:dyDescent="0.25">
      <c r="A175" s="17" t="s">
        <v>220</v>
      </c>
      <c r="B175" s="2">
        <v>285</v>
      </c>
      <c r="C175" s="2">
        <v>110</v>
      </c>
      <c r="D175" s="2">
        <v>16.600000000000001</v>
      </c>
      <c r="E175" s="2">
        <v>92</v>
      </c>
      <c r="F175" s="2">
        <v>1.4</v>
      </c>
      <c r="H175" s="2">
        <v>111.9</v>
      </c>
      <c r="I175" s="2">
        <v>5585</v>
      </c>
      <c r="J175" s="2">
        <v>208</v>
      </c>
      <c r="K175" s="2">
        <v>625146</v>
      </c>
      <c r="L175" s="2">
        <v>13971</v>
      </c>
      <c r="M175" s="2">
        <v>831.2</v>
      </c>
      <c r="N175" s="2">
        <v>1353.4</v>
      </c>
      <c r="O175" s="2">
        <v>46970</v>
      </c>
      <c r="P175" s="2">
        <v>30.4</v>
      </c>
      <c r="Q175" s="2" t="s">
        <v>5271</v>
      </c>
    </row>
    <row r="176" spans="1:17" ht="24.95" customHeight="1" x14ac:dyDescent="0.25">
      <c r="A176" s="17" t="s">
        <v>221</v>
      </c>
      <c r="B176" s="2">
        <v>279</v>
      </c>
      <c r="C176" s="2">
        <v>108</v>
      </c>
      <c r="D176" s="2">
        <v>14.2</v>
      </c>
      <c r="E176" s="2">
        <v>92</v>
      </c>
      <c r="F176" s="2">
        <v>1.8</v>
      </c>
      <c r="H176" s="2">
        <v>112.6</v>
      </c>
      <c r="I176" s="2">
        <v>1940</v>
      </c>
      <c r="J176" s="2">
        <v>218</v>
      </c>
      <c r="K176" s="2">
        <v>218396</v>
      </c>
      <c r="L176" s="2">
        <v>7397</v>
      </c>
      <c r="M176" s="2">
        <v>305.2</v>
      </c>
      <c r="N176" s="2">
        <v>478.8</v>
      </c>
      <c r="O176" s="2">
        <v>21100</v>
      </c>
      <c r="P176" s="2">
        <v>50</v>
      </c>
      <c r="Q176" s="2" t="s">
        <v>5271</v>
      </c>
    </row>
    <row r="177" spans="1:17" ht="24.95" customHeight="1" x14ac:dyDescent="0.25">
      <c r="A177" s="17" t="s">
        <v>222</v>
      </c>
      <c r="B177" s="2">
        <v>266</v>
      </c>
      <c r="C177" s="2">
        <v>105</v>
      </c>
      <c r="D177" s="2">
        <v>12</v>
      </c>
      <c r="E177" s="2">
        <v>92</v>
      </c>
      <c r="F177" s="2">
        <v>1</v>
      </c>
      <c r="H177" s="2">
        <v>108.5</v>
      </c>
      <c r="I177" s="2">
        <v>3236</v>
      </c>
      <c r="J177" s="2">
        <v>214</v>
      </c>
      <c r="K177" s="2">
        <v>351162</v>
      </c>
      <c r="L177" s="2">
        <v>9500</v>
      </c>
      <c r="M177" s="2">
        <v>400.3</v>
      </c>
      <c r="N177" s="2">
        <v>775.2</v>
      </c>
      <c r="O177" s="2">
        <v>29940</v>
      </c>
      <c r="P177" s="2">
        <v>40.299999999999997</v>
      </c>
      <c r="Q177" s="2" t="s">
        <v>5271</v>
      </c>
    </row>
    <row r="178" spans="1:17" ht="24.95" customHeight="1" x14ac:dyDescent="0.25">
      <c r="A178" s="17" t="s">
        <v>223</v>
      </c>
      <c r="B178" s="2">
        <v>181</v>
      </c>
      <c r="C178" s="2">
        <v>70</v>
      </c>
      <c r="I178" s="2">
        <v>151968</v>
      </c>
      <c r="J178" s="2">
        <v>188</v>
      </c>
      <c r="K178" s="2">
        <v>10637760</v>
      </c>
      <c r="L178" s="2">
        <v>312297</v>
      </c>
      <c r="M178" s="2">
        <v>21276.2</v>
      </c>
      <c r="N178" s="2">
        <v>37353.5</v>
      </c>
      <c r="O178" s="2">
        <v>944190</v>
      </c>
      <c r="P178" s="2">
        <v>10.7</v>
      </c>
    </row>
    <row r="179" spans="1:17" ht="24.95" customHeight="1" x14ac:dyDescent="0.25">
      <c r="A179" s="17" t="s">
        <v>6728</v>
      </c>
      <c r="B179" s="2">
        <v>306</v>
      </c>
      <c r="C179" s="2">
        <v>120</v>
      </c>
      <c r="D179" s="2">
        <v>50.7</v>
      </c>
      <c r="E179" s="2">
        <v>70</v>
      </c>
      <c r="F179" s="2">
        <v>-0.7</v>
      </c>
      <c r="I179" s="2">
        <v>6550</v>
      </c>
      <c r="J179" s="2">
        <v>158</v>
      </c>
      <c r="K179" s="2">
        <v>786000</v>
      </c>
      <c r="L179" s="2">
        <v>13515</v>
      </c>
      <c r="M179" s="2">
        <v>955.3</v>
      </c>
      <c r="N179" s="2">
        <v>1625.7</v>
      </c>
      <c r="O179" s="2">
        <v>41300</v>
      </c>
      <c r="P179" s="2">
        <v>10.8</v>
      </c>
      <c r="Q179" s="2" t="s">
        <v>5268</v>
      </c>
    </row>
    <row r="180" spans="1:17" ht="24.95" customHeight="1" x14ac:dyDescent="0.25">
      <c r="A180" s="17" t="s">
        <v>5315</v>
      </c>
      <c r="B180" s="2">
        <v>274</v>
      </c>
      <c r="C180" s="2">
        <v>106</v>
      </c>
      <c r="D180" s="2">
        <v>36.1</v>
      </c>
      <c r="E180" s="2">
        <v>70</v>
      </c>
      <c r="F180" s="2">
        <v>-0.1</v>
      </c>
      <c r="I180" s="2">
        <v>10000</v>
      </c>
      <c r="J180" s="2">
        <v>155</v>
      </c>
      <c r="K180" s="2">
        <v>1060000</v>
      </c>
      <c r="L180" s="2">
        <v>16925</v>
      </c>
      <c r="M180" s="2">
        <v>1268.2</v>
      </c>
      <c r="N180" s="2">
        <v>2458.1999999999998</v>
      </c>
      <c r="O180" s="2">
        <v>52980</v>
      </c>
      <c r="Q180" s="2" t="s">
        <v>5268</v>
      </c>
    </row>
    <row r="181" spans="1:17" ht="24.95" customHeight="1" x14ac:dyDescent="0.25">
      <c r="A181" s="17" t="s">
        <v>226</v>
      </c>
      <c r="B181" s="2">
        <v>300</v>
      </c>
      <c r="C181" s="2">
        <v>119</v>
      </c>
      <c r="D181" s="2">
        <v>45.1</v>
      </c>
      <c r="E181" s="2">
        <v>72.900000000000006</v>
      </c>
      <c r="F181" s="2">
        <v>1</v>
      </c>
      <c r="I181" s="2">
        <v>2255</v>
      </c>
      <c r="J181" s="2">
        <v>186</v>
      </c>
      <c r="K181" s="2">
        <v>263345</v>
      </c>
      <c r="L181" s="2">
        <v>5895</v>
      </c>
      <c r="M181" s="2">
        <v>282</v>
      </c>
      <c r="N181" s="2">
        <v>576.4</v>
      </c>
      <c r="O181" s="2">
        <v>17020</v>
      </c>
      <c r="P181" s="2">
        <v>23.6</v>
      </c>
      <c r="Q181" s="2" t="s">
        <v>5268</v>
      </c>
    </row>
    <row r="182" spans="1:17" ht="24.95" customHeight="1" x14ac:dyDescent="0.25">
      <c r="A182" s="17" t="s">
        <v>227</v>
      </c>
      <c r="B182" s="2">
        <v>296</v>
      </c>
      <c r="C182" s="2">
        <v>114</v>
      </c>
      <c r="D182" s="2">
        <v>42.7</v>
      </c>
      <c r="E182" s="2">
        <v>70.3</v>
      </c>
      <c r="F182" s="2">
        <v>1</v>
      </c>
      <c r="I182" s="2">
        <v>7380</v>
      </c>
      <c r="J182" s="2">
        <v>202</v>
      </c>
      <c r="K182" s="2">
        <v>841320</v>
      </c>
      <c r="L182" s="2">
        <v>17408</v>
      </c>
      <c r="M182" s="2">
        <v>828.1</v>
      </c>
      <c r="N182" s="2">
        <v>1849.8</v>
      </c>
      <c r="O182" s="2">
        <v>53580</v>
      </c>
      <c r="P182" s="2">
        <v>22</v>
      </c>
      <c r="Q182" s="2" t="s">
        <v>5268</v>
      </c>
    </row>
    <row r="183" spans="1:17" ht="24.95" customHeight="1" x14ac:dyDescent="0.25">
      <c r="A183" s="17" t="s">
        <v>6729</v>
      </c>
      <c r="B183" s="2">
        <v>252</v>
      </c>
      <c r="C183" s="2">
        <v>108</v>
      </c>
      <c r="D183" s="2">
        <v>36.6</v>
      </c>
      <c r="E183" s="2">
        <v>70.5</v>
      </c>
      <c r="F183" s="2">
        <v>0.9</v>
      </c>
      <c r="I183" s="2">
        <v>1800</v>
      </c>
      <c r="J183" s="2">
        <v>169</v>
      </c>
      <c r="K183" s="2">
        <v>194400</v>
      </c>
      <c r="L183" s="2">
        <v>6116</v>
      </c>
      <c r="M183" s="2">
        <v>243.2</v>
      </c>
      <c r="N183" s="2">
        <v>487.7</v>
      </c>
      <c r="O183" s="2">
        <v>17410</v>
      </c>
      <c r="P183" s="2">
        <v>38.1</v>
      </c>
      <c r="Q183" s="2" t="s">
        <v>5268</v>
      </c>
    </row>
    <row r="184" spans="1:17" ht="24.95" customHeight="1" x14ac:dyDescent="0.25">
      <c r="A184" s="17" t="s">
        <v>229</v>
      </c>
      <c r="B184" s="2">
        <v>262</v>
      </c>
      <c r="C184" s="2">
        <v>101</v>
      </c>
      <c r="D184" s="2">
        <v>30.5</v>
      </c>
      <c r="E184" s="2">
        <v>70.5</v>
      </c>
      <c r="I184" s="2">
        <v>12500</v>
      </c>
      <c r="J184" s="2">
        <v>221</v>
      </c>
      <c r="K184" s="2">
        <v>1262500</v>
      </c>
      <c r="L184" s="2">
        <v>13734</v>
      </c>
      <c r="M184" s="2">
        <v>826.4</v>
      </c>
      <c r="N184" s="2">
        <v>3204.7</v>
      </c>
      <c r="O184" s="2">
        <v>46120</v>
      </c>
      <c r="Q184" s="2" t="s">
        <v>5268</v>
      </c>
    </row>
    <row r="185" spans="1:17" ht="24.95" customHeight="1" x14ac:dyDescent="0.25">
      <c r="A185" s="17" t="s">
        <v>230</v>
      </c>
      <c r="B185" s="2">
        <v>302</v>
      </c>
      <c r="C185" s="2">
        <v>120</v>
      </c>
      <c r="D185" s="2">
        <v>47.8</v>
      </c>
      <c r="E185" s="2">
        <v>70.5</v>
      </c>
      <c r="F185" s="2">
        <v>1.7</v>
      </c>
      <c r="I185" s="2">
        <v>4200</v>
      </c>
      <c r="J185" s="2">
        <v>188</v>
      </c>
      <c r="K185" s="2">
        <v>504000</v>
      </c>
      <c r="L185" s="2">
        <v>11525</v>
      </c>
      <c r="M185" s="2">
        <v>522.6</v>
      </c>
      <c r="N185" s="2">
        <v>1032.2</v>
      </c>
      <c r="O185" s="2">
        <v>31960</v>
      </c>
      <c r="P185" s="2">
        <v>26.8</v>
      </c>
      <c r="Q185" s="2" t="s">
        <v>5268</v>
      </c>
    </row>
    <row r="186" spans="1:17" ht="24.95" customHeight="1" x14ac:dyDescent="0.25">
      <c r="A186" s="17" t="s">
        <v>231</v>
      </c>
      <c r="B186" s="2">
        <v>306</v>
      </c>
      <c r="C186" s="2">
        <v>117</v>
      </c>
      <c r="D186" s="2">
        <v>46.5</v>
      </c>
      <c r="E186" s="2">
        <v>70.5</v>
      </c>
      <c r="I186" s="2">
        <v>4910</v>
      </c>
      <c r="J186" s="2">
        <v>173</v>
      </c>
      <c r="K186" s="2">
        <v>574470</v>
      </c>
      <c r="L186" s="2">
        <v>13226</v>
      </c>
      <c r="M186" s="2">
        <v>666</v>
      </c>
      <c r="N186" s="2">
        <v>1216.5</v>
      </c>
      <c r="O186" s="2">
        <v>37610</v>
      </c>
      <c r="P186" s="2">
        <v>25.3</v>
      </c>
      <c r="Q186" s="2" t="s">
        <v>5268</v>
      </c>
    </row>
    <row r="187" spans="1:17" ht="24.95" customHeight="1" x14ac:dyDescent="0.25">
      <c r="A187" s="17" t="s">
        <v>232</v>
      </c>
      <c r="B187" s="2">
        <v>282</v>
      </c>
      <c r="C187" s="2">
        <v>111</v>
      </c>
      <c r="D187" s="2">
        <v>41.3</v>
      </c>
      <c r="E187" s="2">
        <v>70</v>
      </c>
      <c r="F187" s="2">
        <v>-0.3</v>
      </c>
      <c r="I187" s="2">
        <v>7355</v>
      </c>
      <c r="J187" s="2">
        <v>172</v>
      </c>
      <c r="K187" s="2">
        <v>816405</v>
      </c>
      <c r="L187" s="2">
        <v>17182</v>
      </c>
      <c r="M187" s="2">
        <v>1386.4</v>
      </c>
      <c r="N187" s="2">
        <v>1788.8</v>
      </c>
      <c r="O187" s="2">
        <v>52160</v>
      </c>
      <c r="P187" s="2">
        <v>22.9</v>
      </c>
      <c r="Q187" s="2" t="s">
        <v>5268</v>
      </c>
    </row>
    <row r="188" spans="1:17" ht="24.95" customHeight="1" x14ac:dyDescent="0.25">
      <c r="A188" s="17" t="s">
        <v>233</v>
      </c>
      <c r="B188" s="2">
        <v>286</v>
      </c>
      <c r="C188" s="2">
        <v>114</v>
      </c>
      <c r="D188" s="2">
        <v>43</v>
      </c>
      <c r="E188" s="2">
        <v>70.5</v>
      </c>
      <c r="F188" s="2">
        <v>0.5</v>
      </c>
      <c r="I188" s="2">
        <v>2460</v>
      </c>
      <c r="J188" s="2">
        <v>151</v>
      </c>
      <c r="K188" s="2">
        <v>280440</v>
      </c>
      <c r="L188" s="2">
        <v>7824</v>
      </c>
      <c r="M188" s="2">
        <v>307.10000000000002</v>
      </c>
      <c r="N188" s="2">
        <v>622.5</v>
      </c>
      <c r="O188" s="2">
        <v>22140</v>
      </c>
      <c r="P188" s="2">
        <v>36.6</v>
      </c>
      <c r="Q188" s="2" t="s">
        <v>5268</v>
      </c>
    </row>
    <row r="189" spans="1:17" ht="24.95" customHeight="1" x14ac:dyDescent="0.25">
      <c r="A189" s="17" t="s">
        <v>234</v>
      </c>
      <c r="B189" s="2">
        <v>306</v>
      </c>
      <c r="C189" s="2">
        <v>126</v>
      </c>
      <c r="D189" s="2">
        <v>55.3</v>
      </c>
      <c r="E189" s="2">
        <v>72.8</v>
      </c>
      <c r="F189" s="2">
        <v>-2.1</v>
      </c>
      <c r="I189" s="2">
        <v>645</v>
      </c>
      <c r="J189" s="2">
        <v>185</v>
      </c>
      <c r="K189" s="2">
        <v>81270</v>
      </c>
      <c r="L189" s="2">
        <v>1220</v>
      </c>
      <c r="M189" s="2">
        <v>112.8</v>
      </c>
      <c r="N189" s="2">
        <v>160.4</v>
      </c>
      <c r="O189" s="2">
        <v>3670</v>
      </c>
      <c r="P189" s="2">
        <v>1.5</v>
      </c>
      <c r="Q189" s="2" t="s">
        <v>5270</v>
      </c>
    </row>
    <row r="190" spans="1:17" ht="24.95" customHeight="1" x14ac:dyDescent="0.25">
      <c r="A190" s="17" t="s">
        <v>235</v>
      </c>
      <c r="B190" s="2">
        <v>264</v>
      </c>
      <c r="C190" s="2">
        <v>106</v>
      </c>
      <c r="D190" s="2">
        <v>32.700000000000003</v>
      </c>
      <c r="E190" s="2">
        <v>73</v>
      </c>
      <c r="F190" s="2">
        <v>0.3</v>
      </c>
      <c r="I190" s="2">
        <v>1113</v>
      </c>
      <c r="J190" s="2">
        <v>178</v>
      </c>
      <c r="K190" s="2">
        <v>117978</v>
      </c>
      <c r="L190" s="2">
        <v>2685</v>
      </c>
      <c r="M190" s="2">
        <v>182.5</v>
      </c>
      <c r="N190" s="2">
        <v>282.5</v>
      </c>
      <c r="O190" s="2">
        <v>8310</v>
      </c>
      <c r="P190" s="2">
        <v>19.8</v>
      </c>
      <c r="Q190" s="2" t="s">
        <v>5270</v>
      </c>
    </row>
    <row r="191" spans="1:17" ht="24.95" customHeight="1" x14ac:dyDescent="0.25">
      <c r="A191" s="17" t="s">
        <v>236</v>
      </c>
      <c r="B191" s="2">
        <v>274</v>
      </c>
      <c r="C191" s="2">
        <v>103</v>
      </c>
      <c r="D191" s="2">
        <v>30</v>
      </c>
      <c r="E191" s="2">
        <v>71.900000000000006</v>
      </c>
      <c r="F191" s="2">
        <v>1.1000000000000001</v>
      </c>
      <c r="I191" s="2">
        <v>660</v>
      </c>
      <c r="J191" s="2">
        <v>200</v>
      </c>
      <c r="K191" s="2">
        <v>57980</v>
      </c>
      <c r="L191" s="2">
        <v>2012</v>
      </c>
      <c r="M191" s="2">
        <v>93.8</v>
      </c>
      <c r="N191" s="2">
        <v>159.1</v>
      </c>
      <c r="O191" s="2">
        <v>5690</v>
      </c>
      <c r="P191" s="2">
        <v>37.799999999999997</v>
      </c>
      <c r="Q191" s="2" t="s">
        <v>5270</v>
      </c>
    </row>
    <row r="192" spans="1:17" ht="24.95" customHeight="1" x14ac:dyDescent="0.25">
      <c r="A192" s="17" t="s">
        <v>5344</v>
      </c>
      <c r="B192" s="2">
        <v>268</v>
      </c>
      <c r="C192" s="2">
        <v>108</v>
      </c>
      <c r="D192" s="2">
        <v>39.4</v>
      </c>
      <c r="E192" s="2">
        <v>70.5</v>
      </c>
      <c r="F192" s="2">
        <v>-1.9</v>
      </c>
      <c r="I192" s="2">
        <v>781</v>
      </c>
      <c r="J192" s="2">
        <v>184</v>
      </c>
      <c r="K192" s="2">
        <v>84348</v>
      </c>
      <c r="L192" s="2">
        <v>1427</v>
      </c>
      <c r="M192" s="2">
        <v>164.7</v>
      </c>
      <c r="N192" s="2">
        <v>192.8</v>
      </c>
      <c r="O192" s="2">
        <v>4440</v>
      </c>
      <c r="P192" s="2">
        <v>2.7</v>
      </c>
      <c r="Q192" s="2" t="s">
        <v>5270</v>
      </c>
    </row>
    <row r="193" spans="1:17" ht="24.95" customHeight="1" x14ac:dyDescent="0.25">
      <c r="A193" s="17" t="s">
        <v>6730</v>
      </c>
      <c r="B193" s="2">
        <v>270</v>
      </c>
      <c r="C193" s="2">
        <v>106</v>
      </c>
      <c r="D193" s="2">
        <v>32.4</v>
      </c>
      <c r="E193" s="2">
        <v>73.2</v>
      </c>
      <c r="F193" s="2">
        <v>0.5</v>
      </c>
      <c r="I193" s="2">
        <v>3308</v>
      </c>
      <c r="J193" s="2">
        <v>214</v>
      </c>
      <c r="K193" s="2">
        <v>350648</v>
      </c>
      <c r="L193" s="2">
        <v>8002</v>
      </c>
      <c r="M193" s="2">
        <v>520.9</v>
      </c>
      <c r="N193" s="2">
        <v>804.8</v>
      </c>
      <c r="O193" s="2">
        <v>23020</v>
      </c>
      <c r="P193" s="2">
        <v>21.6</v>
      </c>
      <c r="Q193" s="2" t="s">
        <v>5270</v>
      </c>
    </row>
    <row r="194" spans="1:17" ht="24.95" customHeight="1" x14ac:dyDescent="0.25">
      <c r="A194" s="17" t="s">
        <v>6731</v>
      </c>
      <c r="B194" s="2">
        <v>276</v>
      </c>
      <c r="C194" s="2">
        <v>105</v>
      </c>
      <c r="D194" s="2">
        <v>33.5</v>
      </c>
      <c r="E194" s="2">
        <v>72.5</v>
      </c>
      <c r="F194" s="2">
        <v>-1</v>
      </c>
      <c r="I194" s="2">
        <v>8430</v>
      </c>
      <c r="J194" s="2">
        <v>228</v>
      </c>
      <c r="K194" s="2">
        <v>885150</v>
      </c>
      <c r="L194" s="2">
        <v>16586</v>
      </c>
      <c r="M194" s="2">
        <v>1529.9</v>
      </c>
      <c r="N194" s="2">
        <v>2013.3</v>
      </c>
      <c r="O194" s="2">
        <v>47940</v>
      </c>
      <c r="P194" s="2">
        <v>5.4</v>
      </c>
      <c r="Q194" s="2" t="s">
        <v>5270</v>
      </c>
    </row>
    <row r="195" spans="1:17" ht="24.95" customHeight="1" x14ac:dyDescent="0.25">
      <c r="A195" s="17" t="s">
        <v>240</v>
      </c>
      <c r="B195" s="2">
        <v>303</v>
      </c>
      <c r="C195" s="2">
        <v>117</v>
      </c>
      <c r="D195" s="2">
        <v>47.9</v>
      </c>
      <c r="E195" s="2">
        <v>70.5</v>
      </c>
      <c r="F195" s="2">
        <v>-1.4</v>
      </c>
      <c r="I195" s="2">
        <v>2841</v>
      </c>
      <c r="J195" s="2">
        <v>179</v>
      </c>
      <c r="K195" s="2">
        <v>332397</v>
      </c>
      <c r="L195" s="2">
        <v>5222</v>
      </c>
      <c r="M195" s="2">
        <v>588.9</v>
      </c>
      <c r="N195" s="2">
        <v>691.9</v>
      </c>
      <c r="O195" s="2">
        <v>15270</v>
      </c>
      <c r="Q195" s="2" t="s">
        <v>5270</v>
      </c>
    </row>
    <row r="196" spans="1:17" ht="24.95" customHeight="1" x14ac:dyDescent="0.25">
      <c r="A196" s="17" t="s">
        <v>241</v>
      </c>
      <c r="B196" s="2">
        <v>261</v>
      </c>
      <c r="C196" s="2">
        <v>98</v>
      </c>
      <c r="D196" s="2">
        <v>26.2</v>
      </c>
      <c r="E196" s="2">
        <v>72.599999999999994</v>
      </c>
      <c r="F196" s="2">
        <v>-0.8</v>
      </c>
      <c r="I196" s="2">
        <v>6293</v>
      </c>
      <c r="J196" s="2">
        <v>251</v>
      </c>
      <c r="K196" s="2">
        <v>616714</v>
      </c>
      <c r="L196" s="2">
        <v>10466</v>
      </c>
      <c r="M196" s="2">
        <v>1113.4000000000001</v>
      </c>
      <c r="N196" s="2">
        <v>1521.2</v>
      </c>
      <c r="O196" s="2">
        <v>30800</v>
      </c>
      <c r="Q196" s="2" t="s">
        <v>5270</v>
      </c>
    </row>
    <row r="197" spans="1:17" ht="24.95" customHeight="1" x14ac:dyDescent="0.25">
      <c r="A197" s="17" t="s">
        <v>242</v>
      </c>
      <c r="B197" s="2">
        <v>270</v>
      </c>
      <c r="C197" s="2">
        <v>106</v>
      </c>
      <c r="D197" s="2">
        <v>35.299999999999997</v>
      </c>
      <c r="E197" s="2">
        <v>72.8</v>
      </c>
      <c r="F197" s="2">
        <v>-2.1</v>
      </c>
      <c r="I197" s="2">
        <v>5000</v>
      </c>
      <c r="J197" s="2">
        <v>147</v>
      </c>
      <c r="K197" s="2">
        <v>530000</v>
      </c>
      <c r="L197" s="2">
        <v>10692</v>
      </c>
      <c r="M197" s="2">
        <v>1023.3</v>
      </c>
      <c r="N197" s="2">
        <v>1237.3</v>
      </c>
      <c r="O197" s="2">
        <v>32220</v>
      </c>
      <c r="P197" s="2">
        <v>13.9</v>
      </c>
      <c r="Q197" s="2" t="s">
        <v>5270</v>
      </c>
    </row>
    <row r="198" spans="1:17" ht="24.95" customHeight="1" x14ac:dyDescent="0.25">
      <c r="A198" s="17" t="s">
        <v>243</v>
      </c>
      <c r="B198" s="2">
        <v>268</v>
      </c>
      <c r="C198" s="2">
        <v>104</v>
      </c>
      <c r="D198" s="2">
        <v>34.1</v>
      </c>
      <c r="E198" s="2">
        <v>70.5</v>
      </c>
      <c r="F198" s="2">
        <v>-0.6</v>
      </c>
      <c r="I198" s="2">
        <v>1345</v>
      </c>
      <c r="J198" s="2">
        <v>180</v>
      </c>
      <c r="K198" s="2">
        <v>141225</v>
      </c>
      <c r="L198" s="2">
        <v>2986</v>
      </c>
      <c r="M198" s="2">
        <v>229</v>
      </c>
      <c r="N198" s="2">
        <v>329.8</v>
      </c>
      <c r="O198" s="2">
        <v>9670</v>
      </c>
      <c r="P198" s="2">
        <v>23.7</v>
      </c>
      <c r="Q198" s="2" t="s">
        <v>5270</v>
      </c>
    </row>
    <row r="199" spans="1:17" ht="24.95" customHeight="1" x14ac:dyDescent="0.25">
      <c r="A199" s="17" t="s">
        <v>6732</v>
      </c>
      <c r="B199" s="2">
        <v>297</v>
      </c>
      <c r="C199" s="2">
        <v>120</v>
      </c>
      <c r="D199" s="2">
        <v>46.5</v>
      </c>
      <c r="E199" s="2">
        <v>71.900000000000006</v>
      </c>
      <c r="F199" s="2">
        <v>1.6</v>
      </c>
      <c r="I199" s="2">
        <v>452</v>
      </c>
      <c r="J199" s="2">
        <v>169</v>
      </c>
      <c r="K199" s="2">
        <v>52240</v>
      </c>
      <c r="L199" s="2">
        <v>1847</v>
      </c>
      <c r="M199" s="2">
        <v>65.3</v>
      </c>
      <c r="N199" s="2">
        <v>113.6</v>
      </c>
      <c r="O199" s="2">
        <v>4710</v>
      </c>
      <c r="P199" s="2">
        <v>46.6</v>
      </c>
      <c r="Q199" s="2" t="s">
        <v>5270</v>
      </c>
    </row>
    <row r="200" spans="1:17" ht="24.95" customHeight="1" x14ac:dyDescent="0.25">
      <c r="A200" s="17" t="s">
        <v>245</v>
      </c>
      <c r="B200" s="2">
        <v>288</v>
      </c>
      <c r="C200" s="2">
        <v>108</v>
      </c>
      <c r="D200" s="2">
        <v>34.5</v>
      </c>
      <c r="E200" s="2">
        <v>72.5</v>
      </c>
      <c r="F200" s="2">
        <v>1.1000000000000001</v>
      </c>
      <c r="I200" s="2">
        <v>869</v>
      </c>
      <c r="J200" s="2">
        <v>200</v>
      </c>
      <c r="K200" s="2">
        <v>93852</v>
      </c>
      <c r="L200" s="2">
        <v>2561</v>
      </c>
      <c r="M200" s="2">
        <v>160.5</v>
      </c>
      <c r="N200" s="2">
        <v>223.5</v>
      </c>
      <c r="O200" s="2">
        <v>7600</v>
      </c>
      <c r="P200" s="2">
        <v>34.1</v>
      </c>
      <c r="Q200" s="2" t="s">
        <v>5270</v>
      </c>
    </row>
    <row r="201" spans="1:17" ht="24.95" customHeight="1" x14ac:dyDescent="0.25">
      <c r="A201" s="17" t="s">
        <v>246</v>
      </c>
      <c r="B201" s="2">
        <v>254</v>
      </c>
      <c r="C201" s="2">
        <v>96</v>
      </c>
      <c r="D201" s="2">
        <v>23.2</v>
      </c>
      <c r="E201" s="2">
        <v>72.8</v>
      </c>
      <c r="I201" s="2">
        <v>2340</v>
      </c>
      <c r="J201" s="2">
        <v>232</v>
      </c>
      <c r="K201" s="2">
        <v>224640</v>
      </c>
      <c r="L201" s="2">
        <v>6336</v>
      </c>
      <c r="M201" s="2">
        <v>461.4</v>
      </c>
      <c r="N201" s="2">
        <v>575.79999999999995</v>
      </c>
      <c r="O201" s="2">
        <v>17860</v>
      </c>
      <c r="P201" s="2">
        <v>27.8</v>
      </c>
      <c r="Q201" s="2" t="s">
        <v>5270</v>
      </c>
    </row>
    <row r="202" spans="1:17" ht="24.95" customHeight="1" x14ac:dyDescent="0.25">
      <c r="A202" s="17" t="s">
        <v>247</v>
      </c>
      <c r="B202" s="2">
        <v>252</v>
      </c>
      <c r="C202" s="2">
        <v>94</v>
      </c>
      <c r="D202" s="2">
        <v>23.4</v>
      </c>
      <c r="E202" s="2">
        <v>70.5</v>
      </c>
      <c r="F202" s="2">
        <v>0.1</v>
      </c>
      <c r="I202" s="2">
        <v>1028</v>
      </c>
      <c r="J202" s="2">
        <v>178</v>
      </c>
      <c r="K202" s="2">
        <v>96632</v>
      </c>
      <c r="L202" s="2">
        <v>2243</v>
      </c>
      <c r="M202" s="2">
        <v>103.7</v>
      </c>
      <c r="N202" s="2">
        <v>252.4</v>
      </c>
      <c r="O202" s="2">
        <v>7060</v>
      </c>
      <c r="P202" s="2">
        <v>19.899999999999999</v>
      </c>
      <c r="Q202" s="2" t="s">
        <v>5270</v>
      </c>
    </row>
    <row r="203" spans="1:17" ht="24.95" customHeight="1" x14ac:dyDescent="0.25">
      <c r="A203" s="17" t="s">
        <v>248</v>
      </c>
      <c r="B203" s="2">
        <v>273</v>
      </c>
      <c r="C203" s="2">
        <v>108</v>
      </c>
      <c r="D203" s="2">
        <v>38.299999999999997</v>
      </c>
      <c r="E203" s="2">
        <v>70.5</v>
      </c>
      <c r="F203" s="2">
        <v>-0.8</v>
      </c>
      <c r="I203" s="2">
        <v>1380</v>
      </c>
      <c r="J203" s="2">
        <v>182</v>
      </c>
      <c r="K203" s="2">
        <v>149040</v>
      </c>
      <c r="L203" s="2">
        <v>3646</v>
      </c>
      <c r="M203" s="2">
        <v>201.9</v>
      </c>
      <c r="N203" s="2">
        <v>357.6</v>
      </c>
      <c r="O203" s="2">
        <v>10790</v>
      </c>
      <c r="P203" s="2">
        <v>24.9</v>
      </c>
      <c r="Q203" s="2" t="s">
        <v>5270</v>
      </c>
    </row>
    <row r="204" spans="1:17" ht="24.95" customHeight="1" x14ac:dyDescent="0.25">
      <c r="A204" s="17" t="s">
        <v>249</v>
      </c>
      <c r="B204" s="2">
        <v>285</v>
      </c>
      <c r="C204" s="2">
        <v>107</v>
      </c>
      <c r="D204" s="2">
        <v>36.4</v>
      </c>
      <c r="E204" s="2">
        <v>70.5</v>
      </c>
      <c r="F204" s="2">
        <v>0.1</v>
      </c>
      <c r="I204" s="2">
        <v>1986</v>
      </c>
      <c r="J204" s="2">
        <v>199</v>
      </c>
      <c r="K204" s="2">
        <v>212502</v>
      </c>
      <c r="L204" s="2">
        <v>4223</v>
      </c>
      <c r="M204" s="2">
        <v>340.5</v>
      </c>
      <c r="N204" s="2">
        <v>483.2</v>
      </c>
      <c r="O204" s="2">
        <v>12760</v>
      </c>
      <c r="P204" s="2">
        <v>17.2</v>
      </c>
      <c r="Q204" s="2" t="s">
        <v>5270</v>
      </c>
    </row>
    <row r="205" spans="1:17" ht="24.95" customHeight="1" x14ac:dyDescent="0.25">
      <c r="A205" s="17" t="s">
        <v>250</v>
      </c>
      <c r="B205" s="2">
        <v>255</v>
      </c>
      <c r="C205" s="2">
        <v>96</v>
      </c>
      <c r="D205" s="2">
        <v>25.1</v>
      </c>
      <c r="E205" s="2">
        <v>70.5</v>
      </c>
      <c r="F205" s="2">
        <v>0.4</v>
      </c>
      <c r="I205" s="2">
        <v>5970</v>
      </c>
      <c r="J205" s="2">
        <v>214</v>
      </c>
      <c r="K205" s="2">
        <v>573120</v>
      </c>
      <c r="L205" s="2">
        <v>6395</v>
      </c>
      <c r="M205" s="2">
        <v>303.39999999999998</v>
      </c>
      <c r="N205" s="2">
        <v>1443.6</v>
      </c>
      <c r="O205" s="2">
        <v>19530</v>
      </c>
      <c r="Q205" s="2" t="s">
        <v>5270</v>
      </c>
    </row>
    <row r="206" spans="1:17" ht="24.95" customHeight="1" x14ac:dyDescent="0.25">
      <c r="A206" s="17" t="s">
        <v>251</v>
      </c>
      <c r="B206" s="2">
        <v>278</v>
      </c>
      <c r="C206" s="2">
        <v>105</v>
      </c>
      <c r="D206" s="2">
        <v>34.1</v>
      </c>
      <c r="E206" s="2">
        <v>70.5</v>
      </c>
      <c r="F206" s="2">
        <v>0.4</v>
      </c>
      <c r="I206" s="2">
        <v>5124</v>
      </c>
      <c r="J206" s="2">
        <v>189</v>
      </c>
      <c r="K206" s="2">
        <v>538020</v>
      </c>
      <c r="L206" s="2">
        <v>8576</v>
      </c>
      <c r="M206" s="2">
        <v>434.9</v>
      </c>
      <c r="N206" s="2">
        <v>1227.8</v>
      </c>
      <c r="O206" s="2">
        <v>26640</v>
      </c>
      <c r="Q206" s="2" t="s">
        <v>5270</v>
      </c>
    </row>
    <row r="207" spans="1:17" ht="24.95" customHeight="1" x14ac:dyDescent="0.25">
      <c r="A207" s="17" t="s">
        <v>6733</v>
      </c>
      <c r="B207" s="2">
        <v>273</v>
      </c>
      <c r="C207" s="2">
        <v>100</v>
      </c>
      <c r="D207" s="2">
        <v>28</v>
      </c>
      <c r="E207" s="2">
        <v>71.900000000000006</v>
      </c>
      <c r="F207" s="2">
        <v>0.1</v>
      </c>
      <c r="I207" s="2">
        <v>1543</v>
      </c>
      <c r="J207" s="2">
        <v>203</v>
      </c>
      <c r="K207" s="2">
        <v>154300</v>
      </c>
      <c r="L207" s="2">
        <v>3458</v>
      </c>
      <c r="M207" s="2">
        <v>194.7</v>
      </c>
      <c r="N207" s="2">
        <v>394.5</v>
      </c>
      <c r="O207" s="2">
        <v>10090</v>
      </c>
      <c r="P207" s="2">
        <v>13.5</v>
      </c>
      <c r="Q207" s="2" t="s">
        <v>5270</v>
      </c>
    </row>
    <row r="208" spans="1:17" ht="24.95" customHeight="1" x14ac:dyDescent="0.25">
      <c r="A208" s="17" t="s">
        <v>253</v>
      </c>
      <c r="B208" s="2">
        <v>329</v>
      </c>
      <c r="C208" s="2">
        <v>122</v>
      </c>
      <c r="D208" s="2">
        <v>50.2</v>
      </c>
      <c r="E208" s="2">
        <v>72.400000000000006</v>
      </c>
      <c r="F208" s="2">
        <v>-0.6</v>
      </c>
      <c r="I208" s="2">
        <v>4450</v>
      </c>
      <c r="J208" s="2">
        <v>202</v>
      </c>
      <c r="K208" s="2">
        <v>542900</v>
      </c>
      <c r="L208" s="2">
        <v>7941</v>
      </c>
      <c r="M208" s="2">
        <v>741.5</v>
      </c>
      <c r="N208" s="2">
        <v>1048.8</v>
      </c>
      <c r="O208" s="2">
        <v>22420</v>
      </c>
      <c r="Q208" s="2" t="s">
        <v>5270</v>
      </c>
    </row>
    <row r="209" spans="1:17" ht="24.95" customHeight="1" x14ac:dyDescent="0.25">
      <c r="A209" s="17" t="s">
        <v>254</v>
      </c>
      <c r="B209" s="2">
        <v>277</v>
      </c>
      <c r="C209" s="2">
        <v>109</v>
      </c>
      <c r="D209" s="2">
        <v>35.799999999999997</v>
      </c>
      <c r="E209" s="2">
        <v>72</v>
      </c>
      <c r="F209" s="2">
        <v>1.2</v>
      </c>
      <c r="I209" s="2">
        <v>1450</v>
      </c>
      <c r="J209" s="2">
        <v>184</v>
      </c>
      <c r="K209" s="2">
        <v>158050</v>
      </c>
      <c r="L209" s="2">
        <v>4235</v>
      </c>
      <c r="M209" s="2">
        <v>193.9</v>
      </c>
      <c r="N209" s="2">
        <v>337.6</v>
      </c>
      <c r="O209" s="2">
        <v>12860</v>
      </c>
      <c r="P209" s="2">
        <v>40.200000000000003</v>
      </c>
      <c r="Q209" s="2" t="s">
        <v>5270</v>
      </c>
    </row>
    <row r="210" spans="1:17" ht="24.95" customHeight="1" x14ac:dyDescent="0.25">
      <c r="A210" s="17" t="s">
        <v>255</v>
      </c>
      <c r="B210" s="2">
        <v>300</v>
      </c>
      <c r="C210" s="2">
        <v>118</v>
      </c>
      <c r="D210" s="2">
        <v>45.5</v>
      </c>
      <c r="E210" s="2">
        <v>73.400000000000006</v>
      </c>
      <c r="F210" s="2">
        <v>-0.9</v>
      </c>
      <c r="I210" s="2">
        <v>3520</v>
      </c>
      <c r="J210" s="2">
        <v>192</v>
      </c>
      <c r="K210" s="2">
        <v>415360</v>
      </c>
      <c r="L210" s="2">
        <v>7750</v>
      </c>
      <c r="M210" s="2">
        <v>707.7</v>
      </c>
      <c r="N210" s="2">
        <v>857.5</v>
      </c>
      <c r="O210" s="2">
        <v>22070</v>
      </c>
      <c r="P210" s="2">
        <v>12.3</v>
      </c>
      <c r="Q210" s="2" t="s">
        <v>5270</v>
      </c>
    </row>
    <row r="211" spans="1:17" ht="24.95" customHeight="1" x14ac:dyDescent="0.25">
      <c r="A211" s="17" t="s">
        <v>256</v>
      </c>
      <c r="B211" s="2">
        <v>242</v>
      </c>
      <c r="C211" s="2">
        <v>91</v>
      </c>
      <c r="D211" s="2">
        <v>18.399999999999999</v>
      </c>
      <c r="E211" s="2">
        <v>72</v>
      </c>
      <c r="F211" s="2">
        <v>0.6</v>
      </c>
      <c r="H211" s="2">
        <v>92.3</v>
      </c>
      <c r="I211" s="2">
        <v>4460</v>
      </c>
      <c r="J211" s="2">
        <v>188</v>
      </c>
      <c r="K211" s="2">
        <v>411458</v>
      </c>
      <c r="L211" s="2">
        <v>5264</v>
      </c>
      <c r="M211" s="2">
        <v>328.9</v>
      </c>
      <c r="N211" s="2">
        <v>1174.5999999999999</v>
      </c>
      <c r="O211" s="2">
        <v>19090</v>
      </c>
      <c r="Q211" s="2" t="s">
        <v>5271</v>
      </c>
    </row>
    <row r="212" spans="1:17" ht="24.95" customHeight="1" x14ac:dyDescent="0.25">
      <c r="A212" s="17" t="s">
        <v>20</v>
      </c>
      <c r="B212" s="2">
        <v>226</v>
      </c>
      <c r="C212" s="2">
        <v>90</v>
      </c>
      <c r="D212" s="2">
        <v>17.600000000000001</v>
      </c>
      <c r="E212" s="2">
        <v>72</v>
      </c>
      <c r="F212" s="2">
        <v>0.4</v>
      </c>
      <c r="H212" s="2">
        <v>91.6</v>
      </c>
      <c r="I212" s="2">
        <v>5445</v>
      </c>
      <c r="J212" s="2">
        <v>140</v>
      </c>
      <c r="K212" s="2">
        <v>498823</v>
      </c>
      <c r="L212" s="2">
        <v>8457</v>
      </c>
      <c r="M212" s="2">
        <v>675</v>
      </c>
      <c r="N212" s="2">
        <v>1267.7</v>
      </c>
      <c r="O212" s="2">
        <v>30190</v>
      </c>
      <c r="Q212" s="2" t="s">
        <v>5271</v>
      </c>
    </row>
    <row r="213" spans="1:17" ht="24.95" customHeight="1" x14ac:dyDescent="0.25">
      <c r="A213" s="17" t="s">
        <v>226</v>
      </c>
      <c r="B213" s="2">
        <v>235</v>
      </c>
      <c r="C213" s="2">
        <v>92</v>
      </c>
      <c r="D213" s="2">
        <v>19.2</v>
      </c>
      <c r="E213" s="2">
        <v>72</v>
      </c>
      <c r="F213" s="2">
        <v>0.8</v>
      </c>
      <c r="H213" s="2">
        <v>93</v>
      </c>
      <c r="I213" s="2">
        <v>2097</v>
      </c>
      <c r="J213" s="2">
        <v>215</v>
      </c>
      <c r="K213" s="2">
        <v>195025</v>
      </c>
      <c r="L213" s="2">
        <v>4522</v>
      </c>
      <c r="M213" s="2">
        <v>243.2</v>
      </c>
      <c r="N213" s="2">
        <v>517</v>
      </c>
      <c r="O213" s="2">
        <v>14750</v>
      </c>
      <c r="P213" s="2">
        <v>17.8</v>
      </c>
      <c r="Q213" s="2" t="s">
        <v>5271</v>
      </c>
    </row>
    <row r="214" spans="1:17" ht="24.95" customHeight="1" x14ac:dyDescent="0.25">
      <c r="A214" s="17" t="s">
        <v>257</v>
      </c>
      <c r="B214" s="2">
        <v>247</v>
      </c>
      <c r="C214" s="2">
        <v>94</v>
      </c>
      <c r="D214" s="2">
        <v>21.8</v>
      </c>
      <c r="E214" s="2">
        <v>72.099999999999994</v>
      </c>
      <c r="F214" s="2">
        <v>0.1</v>
      </c>
      <c r="H214" s="2">
        <v>94</v>
      </c>
      <c r="I214" s="2">
        <v>608</v>
      </c>
      <c r="J214" s="2">
        <v>195</v>
      </c>
      <c r="K214" s="2">
        <v>57152</v>
      </c>
      <c r="L214" s="2">
        <v>1274</v>
      </c>
      <c r="M214" s="2">
        <v>101.3</v>
      </c>
      <c r="N214" s="2">
        <v>149.5</v>
      </c>
      <c r="O214" s="2">
        <v>3250</v>
      </c>
      <c r="Q214" s="2" t="s">
        <v>5271</v>
      </c>
    </row>
    <row r="215" spans="1:17" ht="24.95" customHeight="1" x14ac:dyDescent="0.25">
      <c r="A215" s="17" t="s">
        <v>231</v>
      </c>
      <c r="B215" s="2">
        <v>252</v>
      </c>
      <c r="C215" s="2">
        <v>96</v>
      </c>
      <c r="D215" s="2">
        <v>23.9</v>
      </c>
      <c r="E215" s="2">
        <v>72</v>
      </c>
      <c r="F215" s="2">
        <v>0.1</v>
      </c>
      <c r="H215" s="2">
        <v>97.5</v>
      </c>
      <c r="I215" s="2">
        <v>4062</v>
      </c>
      <c r="J215" s="2">
        <v>218</v>
      </c>
      <c r="K215" s="2">
        <v>396057</v>
      </c>
      <c r="L215" s="2">
        <v>8192</v>
      </c>
      <c r="M215" s="2">
        <v>685.3</v>
      </c>
      <c r="N215" s="2">
        <v>980.1</v>
      </c>
      <c r="O215" s="2">
        <v>23910</v>
      </c>
      <c r="P215" s="2">
        <v>7.4</v>
      </c>
      <c r="Q215" s="2" t="s">
        <v>5271</v>
      </c>
    </row>
    <row r="216" spans="1:17" ht="24.95" customHeight="1" x14ac:dyDescent="0.25">
      <c r="A216" s="17" t="s">
        <v>248</v>
      </c>
      <c r="B216" s="2">
        <v>248</v>
      </c>
      <c r="C216" s="2">
        <v>93</v>
      </c>
      <c r="D216" s="2">
        <v>20</v>
      </c>
      <c r="E216" s="2">
        <v>72</v>
      </c>
      <c r="F216" s="2">
        <v>1</v>
      </c>
      <c r="H216" s="2">
        <v>95.5</v>
      </c>
      <c r="I216" s="2">
        <v>3300</v>
      </c>
      <c r="J216" s="2">
        <v>180</v>
      </c>
      <c r="K216" s="2">
        <v>315146</v>
      </c>
      <c r="L216" s="2">
        <v>9478</v>
      </c>
      <c r="M216" s="2">
        <v>542.20000000000005</v>
      </c>
      <c r="N216" s="2">
        <v>770.1</v>
      </c>
      <c r="O216" s="2">
        <v>28560</v>
      </c>
      <c r="P216" s="2">
        <v>35.5</v>
      </c>
      <c r="Q216" s="2" t="s">
        <v>5271</v>
      </c>
    </row>
    <row r="217" spans="1:17" ht="24.95" customHeight="1" x14ac:dyDescent="0.25">
      <c r="A217" s="17" t="s">
        <v>250</v>
      </c>
      <c r="B217" s="2">
        <v>230</v>
      </c>
      <c r="C217" s="2">
        <v>92</v>
      </c>
      <c r="D217" s="2">
        <v>19.5</v>
      </c>
      <c r="E217" s="2">
        <v>72</v>
      </c>
      <c r="F217" s="2">
        <v>0.5</v>
      </c>
      <c r="H217" s="2">
        <v>93.4</v>
      </c>
      <c r="I217" s="2">
        <v>4667</v>
      </c>
      <c r="J217" s="2">
        <v>156</v>
      </c>
      <c r="K217" s="2">
        <v>435710</v>
      </c>
      <c r="L217" s="2">
        <v>12659</v>
      </c>
      <c r="M217" s="2">
        <v>738.5</v>
      </c>
      <c r="N217" s="2">
        <v>1159.0999999999999</v>
      </c>
      <c r="O217" s="2">
        <v>39980</v>
      </c>
      <c r="P217" s="2">
        <v>36.4</v>
      </c>
      <c r="Q217" s="2" t="s">
        <v>5271</v>
      </c>
    </row>
    <row r="218" spans="1:17" ht="24.95" customHeight="1" x14ac:dyDescent="0.25">
      <c r="A218" s="17" t="s">
        <v>251</v>
      </c>
      <c r="B218" s="2">
        <v>242</v>
      </c>
      <c r="C218" s="2">
        <v>92</v>
      </c>
      <c r="D218" s="2">
        <v>19.5</v>
      </c>
      <c r="E218" s="2">
        <v>72</v>
      </c>
      <c r="F218" s="2">
        <v>0.5</v>
      </c>
      <c r="H218" s="2">
        <v>93.8</v>
      </c>
      <c r="I218" s="2">
        <v>5502</v>
      </c>
      <c r="J218" s="2">
        <v>177</v>
      </c>
      <c r="K218" s="2">
        <v>516049</v>
      </c>
      <c r="L218" s="2">
        <v>13313</v>
      </c>
      <c r="M218" s="2">
        <v>942.3</v>
      </c>
      <c r="N218" s="2">
        <v>1364</v>
      </c>
      <c r="O218" s="2">
        <v>40670</v>
      </c>
      <c r="P218" s="2">
        <v>24.1</v>
      </c>
      <c r="Q218" s="2" t="s">
        <v>5271</v>
      </c>
    </row>
    <row r="219" spans="1:17" ht="24.95" customHeight="1" x14ac:dyDescent="0.25">
      <c r="A219" s="17" t="s">
        <v>6734</v>
      </c>
      <c r="B219" s="2">
        <v>230</v>
      </c>
      <c r="C219" s="2">
        <v>90</v>
      </c>
      <c r="D219" s="2">
        <v>17.100000000000001</v>
      </c>
      <c r="E219" s="2">
        <v>72</v>
      </c>
      <c r="F219" s="2">
        <v>0.9</v>
      </c>
      <c r="H219" s="2">
        <v>92.1</v>
      </c>
      <c r="I219" s="2">
        <v>1405</v>
      </c>
      <c r="J219" s="2">
        <v>163</v>
      </c>
      <c r="K219" s="2">
        <v>129409</v>
      </c>
      <c r="L219" s="2">
        <v>4691</v>
      </c>
      <c r="M219" s="2">
        <v>248.4</v>
      </c>
      <c r="N219" s="2">
        <v>346.3</v>
      </c>
      <c r="O219" s="2">
        <v>14610</v>
      </c>
      <c r="P219" s="2">
        <v>46.1</v>
      </c>
      <c r="Q219" s="2" t="s">
        <v>5271</v>
      </c>
    </row>
    <row r="220" spans="1:17" ht="24.95" customHeight="1" x14ac:dyDescent="0.25">
      <c r="A220" s="17" t="s">
        <v>259</v>
      </c>
      <c r="B220" s="2">
        <v>240</v>
      </c>
      <c r="C220" s="2">
        <v>93</v>
      </c>
      <c r="D220" s="2">
        <v>20.5</v>
      </c>
      <c r="E220" s="2">
        <v>72.5</v>
      </c>
      <c r="H220" s="2">
        <v>93</v>
      </c>
      <c r="I220" s="2">
        <v>220</v>
      </c>
      <c r="J220" s="2">
        <v>83</v>
      </c>
      <c r="K220" s="2">
        <v>20460</v>
      </c>
      <c r="L220" s="2">
        <v>588</v>
      </c>
      <c r="M220" s="2">
        <v>17.5</v>
      </c>
      <c r="N220" s="2">
        <v>53.6</v>
      </c>
      <c r="O220" s="2">
        <v>1480</v>
      </c>
      <c r="P220" s="2">
        <v>18.399999999999999</v>
      </c>
      <c r="Q220" s="2" t="s">
        <v>5271</v>
      </c>
    </row>
    <row r="221" spans="1:17" ht="24.95" customHeight="1" x14ac:dyDescent="0.25">
      <c r="A221" s="17" t="s">
        <v>260</v>
      </c>
      <c r="B221" s="2">
        <v>201</v>
      </c>
      <c r="C221" s="2">
        <v>86</v>
      </c>
      <c r="I221" s="2">
        <v>39179</v>
      </c>
      <c r="J221" s="2">
        <v>146</v>
      </c>
      <c r="K221" s="2">
        <v>3369394</v>
      </c>
      <c r="L221" s="2">
        <v>117068</v>
      </c>
      <c r="M221" s="2">
        <v>5674.1</v>
      </c>
      <c r="N221" s="2">
        <v>10090.700000000001</v>
      </c>
      <c r="O221" s="2">
        <v>339110</v>
      </c>
      <c r="P221" s="2">
        <v>31.3</v>
      </c>
    </row>
    <row r="222" spans="1:17" ht="24.95" customHeight="1" x14ac:dyDescent="0.25">
      <c r="A222" s="17" t="s">
        <v>5316</v>
      </c>
      <c r="B222" s="2">
        <v>292</v>
      </c>
      <c r="C222" s="2">
        <v>128</v>
      </c>
      <c r="D222" s="2">
        <v>36</v>
      </c>
      <c r="E222" s="2">
        <v>91</v>
      </c>
      <c r="F222" s="2">
        <v>1</v>
      </c>
      <c r="I222" s="2">
        <v>623</v>
      </c>
      <c r="J222" s="2">
        <v>119</v>
      </c>
      <c r="K222" s="2">
        <v>79744</v>
      </c>
      <c r="L222" s="2">
        <v>1735</v>
      </c>
      <c r="M222" s="2">
        <v>79.400000000000006</v>
      </c>
      <c r="N222" s="2">
        <v>155.30000000000001</v>
      </c>
      <c r="O222" s="2">
        <v>6170</v>
      </c>
      <c r="P222" s="2">
        <v>42.7</v>
      </c>
      <c r="Q222" s="2" t="s">
        <v>5268</v>
      </c>
    </row>
    <row r="223" spans="1:17" ht="24.95" customHeight="1" x14ac:dyDescent="0.25">
      <c r="A223" s="17" t="s">
        <v>5317</v>
      </c>
      <c r="B223" s="2">
        <v>315</v>
      </c>
      <c r="C223" s="2">
        <v>142</v>
      </c>
      <c r="D223" s="2">
        <v>54.3</v>
      </c>
      <c r="E223" s="2">
        <v>87.3</v>
      </c>
      <c r="F223" s="2">
        <v>0.4</v>
      </c>
      <c r="I223" s="2">
        <v>2820</v>
      </c>
      <c r="J223" s="2">
        <v>119</v>
      </c>
      <c r="K223" s="2">
        <v>400440</v>
      </c>
      <c r="L223" s="2">
        <v>5282</v>
      </c>
      <c r="M223" s="2">
        <v>362.9</v>
      </c>
      <c r="N223" s="2">
        <v>839.7</v>
      </c>
      <c r="O223" s="2">
        <v>17330</v>
      </c>
      <c r="Q223" s="2" t="s">
        <v>5268</v>
      </c>
    </row>
    <row r="224" spans="1:17" ht="24.95" customHeight="1" x14ac:dyDescent="0.25">
      <c r="A224" s="17" t="s">
        <v>263</v>
      </c>
      <c r="B224" s="2">
        <v>280</v>
      </c>
      <c r="C224" s="2">
        <v>122</v>
      </c>
      <c r="D224" s="2">
        <v>33.5</v>
      </c>
      <c r="E224" s="2">
        <v>91</v>
      </c>
      <c r="F224" s="2">
        <v>-2.5</v>
      </c>
      <c r="I224" s="2">
        <v>290</v>
      </c>
      <c r="J224" s="2">
        <v>112</v>
      </c>
      <c r="K224" s="2">
        <v>35380</v>
      </c>
      <c r="L224" s="2">
        <v>818</v>
      </c>
      <c r="M224" s="2">
        <v>43.8</v>
      </c>
      <c r="N224" s="2">
        <v>73.8</v>
      </c>
      <c r="O224" s="2">
        <v>2090</v>
      </c>
      <c r="P224" s="2">
        <v>21.3</v>
      </c>
      <c r="Q224" s="2" t="s">
        <v>5268</v>
      </c>
    </row>
    <row r="225" spans="1:17" ht="24.95" customHeight="1" x14ac:dyDescent="0.25">
      <c r="A225" s="17" t="s">
        <v>264</v>
      </c>
      <c r="B225" s="2">
        <v>300</v>
      </c>
      <c r="C225" s="2">
        <v>132</v>
      </c>
      <c r="D225" s="2">
        <v>39.6</v>
      </c>
      <c r="E225" s="2">
        <v>91.3</v>
      </c>
      <c r="F225" s="2">
        <v>1.2</v>
      </c>
      <c r="I225" s="2">
        <v>860</v>
      </c>
      <c r="J225" s="2">
        <v>151</v>
      </c>
      <c r="K225" s="2">
        <v>113520</v>
      </c>
      <c r="L225" s="2">
        <v>2092</v>
      </c>
      <c r="M225" s="2">
        <v>99.9</v>
      </c>
      <c r="N225" s="2">
        <v>197.8</v>
      </c>
      <c r="O225" s="2">
        <v>7130</v>
      </c>
      <c r="P225" s="2">
        <v>32.1</v>
      </c>
      <c r="Q225" s="2" t="s">
        <v>5268</v>
      </c>
    </row>
    <row r="226" spans="1:17" ht="24.95" customHeight="1" x14ac:dyDescent="0.25">
      <c r="A226" s="17" t="s">
        <v>285</v>
      </c>
      <c r="B226" s="2">
        <v>342</v>
      </c>
      <c r="C226" s="2">
        <v>149</v>
      </c>
      <c r="D226" s="2">
        <v>60.8</v>
      </c>
      <c r="E226" s="2">
        <v>91</v>
      </c>
      <c r="F226" s="2">
        <v>-2.8</v>
      </c>
      <c r="I226" s="2">
        <v>620</v>
      </c>
      <c r="J226" s="2">
        <v>119</v>
      </c>
      <c r="K226" s="2">
        <v>92380</v>
      </c>
      <c r="L226" s="2">
        <v>1494</v>
      </c>
      <c r="M226" s="2">
        <v>80.3</v>
      </c>
      <c r="N226" s="2">
        <v>155.69999999999999</v>
      </c>
      <c r="O226" s="2">
        <v>4510</v>
      </c>
      <c r="P226" s="2">
        <v>18.2</v>
      </c>
      <c r="Q226" s="2" t="s">
        <v>5268</v>
      </c>
    </row>
    <row r="227" spans="1:17" ht="24.95" customHeight="1" x14ac:dyDescent="0.25">
      <c r="A227" s="17" t="s">
        <v>268</v>
      </c>
      <c r="B227" s="2">
        <v>310</v>
      </c>
      <c r="C227" s="2">
        <v>128</v>
      </c>
      <c r="D227" s="2">
        <v>37</v>
      </c>
      <c r="E227" s="2">
        <v>91</v>
      </c>
      <c r="I227" s="2">
        <v>560</v>
      </c>
      <c r="J227" s="2">
        <v>104</v>
      </c>
      <c r="K227" s="2">
        <v>71680</v>
      </c>
      <c r="L227" s="2">
        <v>1577</v>
      </c>
      <c r="M227" s="2">
        <v>77.3</v>
      </c>
      <c r="N227" s="2">
        <v>138.80000000000001</v>
      </c>
      <c r="O227" s="2">
        <v>4560</v>
      </c>
      <c r="P227" s="2">
        <v>30.1</v>
      </c>
      <c r="Q227" s="2" t="s">
        <v>5268</v>
      </c>
    </row>
    <row r="228" spans="1:17" ht="24.95" customHeight="1" x14ac:dyDescent="0.25">
      <c r="A228" s="17" t="s">
        <v>5345</v>
      </c>
      <c r="B228" s="2">
        <v>264</v>
      </c>
      <c r="C228" s="2">
        <v>110</v>
      </c>
      <c r="D228" s="2">
        <v>17</v>
      </c>
      <c r="E228" s="2">
        <v>91</v>
      </c>
      <c r="F228" s="2">
        <v>2</v>
      </c>
      <c r="I228" s="2">
        <v>175</v>
      </c>
      <c r="J228" s="2">
        <v>124</v>
      </c>
      <c r="K228" s="2">
        <v>19250</v>
      </c>
      <c r="L228" s="2">
        <v>684</v>
      </c>
      <c r="M228" s="2">
        <v>25.7</v>
      </c>
      <c r="N228" s="2">
        <v>45.5</v>
      </c>
      <c r="O228" s="2">
        <v>1900</v>
      </c>
      <c r="P228" s="2">
        <v>46.5</v>
      </c>
      <c r="Q228" s="2" t="s">
        <v>5268</v>
      </c>
    </row>
    <row r="229" spans="1:17" ht="24.95" customHeight="1" x14ac:dyDescent="0.25">
      <c r="A229" s="17" t="s">
        <v>270</v>
      </c>
      <c r="B229" s="2">
        <v>292</v>
      </c>
      <c r="C229" s="2">
        <v>126</v>
      </c>
      <c r="D229" s="2">
        <v>34.1</v>
      </c>
      <c r="E229" s="2">
        <v>91</v>
      </c>
      <c r="F229" s="2">
        <v>0.9</v>
      </c>
      <c r="I229" s="2">
        <v>452</v>
      </c>
      <c r="J229" s="2">
        <v>124</v>
      </c>
      <c r="K229" s="2">
        <v>56952</v>
      </c>
      <c r="L229" s="2">
        <v>1491</v>
      </c>
      <c r="M229" s="2">
        <v>64.3</v>
      </c>
      <c r="N229" s="2">
        <v>118.1</v>
      </c>
      <c r="O229" s="2">
        <v>4780</v>
      </c>
      <c r="P229" s="2">
        <v>42</v>
      </c>
      <c r="Q229" s="2" t="s">
        <v>5268</v>
      </c>
    </row>
    <row r="230" spans="1:17" ht="24.95" customHeight="1" x14ac:dyDescent="0.25">
      <c r="A230" s="17" t="s">
        <v>271</v>
      </c>
      <c r="B230" s="2">
        <v>312</v>
      </c>
      <c r="C230" s="2">
        <v>122</v>
      </c>
      <c r="D230" s="2">
        <v>35.4</v>
      </c>
      <c r="E230" s="2">
        <v>86</v>
      </c>
      <c r="F230" s="2">
        <v>0.6</v>
      </c>
      <c r="I230" s="2">
        <v>2510</v>
      </c>
      <c r="J230" s="2">
        <v>139</v>
      </c>
      <c r="K230" s="2">
        <v>306220</v>
      </c>
      <c r="L230" s="2">
        <v>6624</v>
      </c>
      <c r="M230" s="2">
        <v>365.3</v>
      </c>
      <c r="N230" s="2">
        <v>637.1</v>
      </c>
      <c r="O230" s="2">
        <v>18960</v>
      </c>
      <c r="P230" s="2">
        <v>23.8</v>
      </c>
      <c r="Q230" s="2" t="s">
        <v>5268</v>
      </c>
    </row>
    <row r="231" spans="1:17" ht="24.95" customHeight="1" x14ac:dyDescent="0.25">
      <c r="A231" s="17" t="s">
        <v>6735</v>
      </c>
      <c r="B231" s="2">
        <v>318</v>
      </c>
      <c r="C231" s="2">
        <v>126</v>
      </c>
      <c r="D231" s="2">
        <v>37.9</v>
      </c>
      <c r="E231" s="2">
        <v>87.3</v>
      </c>
      <c r="F231" s="2">
        <v>0.8</v>
      </c>
      <c r="I231" s="2">
        <v>1550</v>
      </c>
      <c r="J231" s="2">
        <v>172</v>
      </c>
      <c r="K231" s="2">
        <v>195300</v>
      </c>
      <c r="L231" s="2">
        <v>3354</v>
      </c>
      <c r="M231" s="2">
        <v>215.9</v>
      </c>
      <c r="N231" s="2">
        <v>380.5</v>
      </c>
      <c r="O231" s="2">
        <v>8870</v>
      </c>
      <c r="P231" s="2">
        <v>2.9</v>
      </c>
      <c r="Q231" s="2" t="s">
        <v>5268</v>
      </c>
    </row>
    <row r="232" spans="1:17" ht="24.95" customHeight="1" x14ac:dyDescent="0.25">
      <c r="A232" s="17" t="s">
        <v>273</v>
      </c>
      <c r="B232" s="2">
        <v>294</v>
      </c>
      <c r="C232" s="2">
        <v>121</v>
      </c>
      <c r="D232" s="2">
        <v>29.8</v>
      </c>
      <c r="E232" s="2">
        <v>91</v>
      </c>
      <c r="F232" s="2">
        <v>0.3</v>
      </c>
      <c r="I232" s="2">
        <v>851</v>
      </c>
      <c r="J232" s="2">
        <v>132</v>
      </c>
      <c r="K232" s="2">
        <v>102971</v>
      </c>
      <c r="L232" s="2">
        <v>2512</v>
      </c>
      <c r="M232" s="2">
        <v>172.4</v>
      </c>
      <c r="N232" s="2">
        <v>215.5</v>
      </c>
      <c r="O232" s="2">
        <v>7450</v>
      </c>
      <c r="P232" s="2">
        <v>34.799999999999997</v>
      </c>
      <c r="Q232" s="2" t="s">
        <v>5268</v>
      </c>
    </row>
    <row r="233" spans="1:17" ht="24.95" customHeight="1" x14ac:dyDescent="0.25">
      <c r="A233" s="17" t="s">
        <v>274</v>
      </c>
      <c r="B233" s="2">
        <v>310</v>
      </c>
      <c r="C233" s="2">
        <v>132</v>
      </c>
      <c r="D233" s="2">
        <v>44.7</v>
      </c>
      <c r="E233" s="2">
        <v>87.3</v>
      </c>
      <c r="F233" s="2">
        <v>0.1</v>
      </c>
      <c r="I233" s="2">
        <v>2168</v>
      </c>
      <c r="J233" s="2">
        <v>149</v>
      </c>
      <c r="K233" s="2">
        <v>286176</v>
      </c>
      <c r="L233" s="2">
        <v>4448</v>
      </c>
      <c r="M233" s="2">
        <v>269.2</v>
      </c>
      <c r="N233" s="2">
        <v>565.9</v>
      </c>
      <c r="O233" s="2">
        <v>13620</v>
      </c>
      <c r="P233" s="2">
        <v>5.4</v>
      </c>
      <c r="Q233" s="2" t="s">
        <v>5268</v>
      </c>
    </row>
    <row r="234" spans="1:17" ht="24.95" customHeight="1" x14ac:dyDescent="0.25">
      <c r="A234" s="17" t="s">
        <v>275</v>
      </c>
      <c r="B234" s="2">
        <v>282</v>
      </c>
      <c r="C234" s="2">
        <v>120</v>
      </c>
      <c r="D234" s="2">
        <v>26.7</v>
      </c>
      <c r="E234" s="2">
        <v>91</v>
      </c>
      <c r="F234" s="2">
        <v>2.2999999999999998</v>
      </c>
      <c r="I234" s="2">
        <v>751</v>
      </c>
      <c r="J234" s="2">
        <v>131</v>
      </c>
      <c r="K234" s="2">
        <v>90120</v>
      </c>
      <c r="L234" s="2">
        <v>1808</v>
      </c>
      <c r="M234" s="2">
        <v>117.7</v>
      </c>
      <c r="N234" s="2">
        <v>190.1</v>
      </c>
      <c r="O234" s="2">
        <v>4940</v>
      </c>
      <c r="P234" s="2">
        <v>12.5</v>
      </c>
      <c r="Q234" s="2" t="s">
        <v>5270</v>
      </c>
    </row>
    <row r="235" spans="1:17" ht="24.95" customHeight="1" x14ac:dyDescent="0.25">
      <c r="A235" s="17" t="s">
        <v>6736</v>
      </c>
      <c r="B235" s="2">
        <v>288</v>
      </c>
      <c r="C235" s="2">
        <v>120</v>
      </c>
      <c r="D235" s="2">
        <v>31.5</v>
      </c>
      <c r="E235" s="2">
        <v>87.3</v>
      </c>
      <c r="F235" s="2">
        <v>1.2</v>
      </c>
      <c r="I235" s="2">
        <v>3674</v>
      </c>
      <c r="J235" s="2">
        <v>161</v>
      </c>
      <c r="K235" s="2">
        <v>440880</v>
      </c>
      <c r="L235" s="2">
        <v>12413</v>
      </c>
      <c r="M235" s="2">
        <v>476.3</v>
      </c>
      <c r="N235" s="2">
        <v>922.8</v>
      </c>
      <c r="O235" s="2">
        <v>36000</v>
      </c>
      <c r="P235" s="2">
        <v>41.7</v>
      </c>
      <c r="Q235" s="2" t="s">
        <v>5270</v>
      </c>
    </row>
    <row r="236" spans="1:17" ht="24.95" customHeight="1" x14ac:dyDescent="0.25">
      <c r="A236" s="17" t="s">
        <v>277</v>
      </c>
      <c r="B236" s="2">
        <v>298</v>
      </c>
      <c r="C236" s="2">
        <v>150</v>
      </c>
      <c r="D236" s="2">
        <v>58.4</v>
      </c>
      <c r="E236" s="2">
        <v>91</v>
      </c>
      <c r="F236" s="2">
        <v>0.6</v>
      </c>
      <c r="I236" s="2">
        <v>674</v>
      </c>
      <c r="J236" s="2">
        <v>125</v>
      </c>
      <c r="K236" s="2">
        <v>101100</v>
      </c>
      <c r="L236" s="2">
        <v>1512</v>
      </c>
      <c r="M236" s="2">
        <v>104</v>
      </c>
      <c r="N236" s="2">
        <v>172.2</v>
      </c>
      <c r="O236" s="2">
        <v>3720</v>
      </c>
      <c r="Q236" s="2" t="s">
        <v>5270</v>
      </c>
    </row>
    <row r="237" spans="1:17" ht="24.95" customHeight="1" x14ac:dyDescent="0.25">
      <c r="A237" s="17" t="s">
        <v>278</v>
      </c>
      <c r="B237" s="2">
        <v>306</v>
      </c>
      <c r="C237" s="2">
        <v>139</v>
      </c>
      <c r="D237" s="2">
        <v>48</v>
      </c>
      <c r="E237" s="2">
        <v>91</v>
      </c>
      <c r="I237" s="2">
        <v>2689</v>
      </c>
      <c r="J237" s="2">
        <v>136</v>
      </c>
      <c r="K237" s="2">
        <v>373771</v>
      </c>
      <c r="L237" s="2">
        <v>3605</v>
      </c>
      <c r="M237" s="2">
        <v>294.2</v>
      </c>
      <c r="N237" s="2">
        <v>675.7</v>
      </c>
      <c r="O237" s="2">
        <v>11560</v>
      </c>
      <c r="Q237" s="2" t="s">
        <v>5270</v>
      </c>
    </row>
    <row r="238" spans="1:17" ht="24.95" customHeight="1" x14ac:dyDescent="0.25">
      <c r="A238" s="17" t="s">
        <v>279</v>
      </c>
      <c r="B238" s="2">
        <v>280</v>
      </c>
      <c r="C238" s="2">
        <v>120</v>
      </c>
      <c r="D238" s="2">
        <v>28.3</v>
      </c>
      <c r="E238" s="2">
        <v>91</v>
      </c>
      <c r="F238" s="2">
        <v>0.8</v>
      </c>
      <c r="I238" s="2">
        <v>285</v>
      </c>
      <c r="J238" s="2">
        <v>119</v>
      </c>
      <c r="K238" s="2">
        <v>34200</v>
      </c>
      <c r="L238" s="2">
        <v>863</v>
      </c>
      <c r="M238" s="2">
        <v>47.1</v>
      </c>
      <c r="N238" s="2">
        <v>70.400000000000006</v>
      </c>
      <c r="O238" s="2">
        <v>2570</v>
      </c>
      <c r="P238" s="2">
        <v>35.6</v>
      </c>
      <c r="Q238" s="2" t="s">
        <v>5270</v>
      </c>
    </row>
    <row r="239" spans="1:17" ht="24.95" customHeight="1" x14ac:dyDescent="0.25">
      <c r="A239" s="17" t="s">
        <v>5347</v>
      </c>
      <c r="B239" s="2">
        <v>312</v>
      </c>
      <c r="C239" s="2">
        <v>136</v>
      </c>
      <c r="D239" s="2">
        <v>43.8</v>
      </c>
      <c r="E239" s="2">
        <v>91</v>
      </c>
      <c r="F239" s="2">
        <v>1.2</v>
      </c>
      <c r="I239" s="2">
        <v>2900</v>
      </c>
      <c r="J239" s="2">
        <v>138</v>
      </c>
      <c r="K239" s="2">
        <v>394400</v>
      </c>
      <c r="L239" s="2">
        <v>8615</v>
      </c>
      <c r="M239" s="2">
        <v>379.4</v>
      </c>
      <c r="N239" s="2">
        <v>760.5</v>
      </c>
      <c r="O239" s="2">
        <v>25140</v>
      </c>
      <c r="P239" s="2">
        <v>31.9</v>
      </c>
      <c r="Q239" s="2" t="s">
        <v>5270</v>
      </c>
    </row>
    <row r="240" spans="1:17" ht="24.95" customHeight="1" x14ac:dyDescent="0.25">
      <c r="A240" s="17" t="s">
        <v>5348</v>
      </c>
      <c r="B240" s="2">
        <v>312</v>
      </c>
      <c r="C240" s="2">
        <v>126</v>
      </c>
      <c r="D240" s="2">
        <v>32.200000000000003</v>
      </c>
      <c r="E240" s="2">
        <v>91</v>
      </c>
      <c r="F240" s="2">
        <v>2.8</v>
      </c>
      <c r="I240" s="2">
        <v>303</v>
      </c>
      <c r="J240" s="2">
        <v>171</v>
      </c>
      <c r="K240" s="2">
        <v>38178</v>
      </c>
      <c r="L240" s="2">
        <v>1439</v>
      </c>
      <c r="M240" s="2">
        <v>44.5</v>
      </c>
      <c r="N240" s="2">
        <v>77.7</v>
      </c>
      <c r="O240" s="2">
        <v>3580</v>
      </c>
      <c r="P240" s="2">
        <v>50.7</v>
      </c>
      <c r="Q240" s="2" t="s">
        <v>5270</v>
      </c>
    </row>
    <row r="241" spans="1:17" ht="24.95" customHeight="1" x14ac:dyDescent="0.25">
      <c r="A241" s="17" t="s">
        <v>282</v>
      </c>
      <c r="B241" s="2">
        <v>302</v>
      </c>
      <c r="C241" s="2">
        <v>120</v>
      </c>
      <c r="D241" s="2">
        <v>28.4</v>
      </c>
      <c r="E241" s="2">
        <v>91</v>
      </c>
      <c r="F241" s="2">
        <v>0.6</v>
      </c>
      <c r="I241" s="2">
        <v>590</v>
      </c>
      <c r="J241" s="2">
        <v>97</v>
      </c>
      <c r="K241" s="2">
        <v>70800</v>
      </c>
      <c r="L241" s="2">
        <v>1269</v>
      </c>
      <c r="M241" s="2">
        <v>73.7</v>
      </c>
      <c r="N241" s="2">
        <v>123.4</v>
      </c>
      <c r="O241" s="2">
        <v>5910</v>
      </c>
      <c r="P241" s="2">
        <v>43.2</v>
      </c>
      <c r="Q241" s="2" t="s">
        <v>5270</v>
      </c>
    </row>
    <row r="242" spans="1:17" ht="24.95" customHeight="1" x14ac:dyDescent="0.25">
      <c r="A242" s="17" t="s">
        <v>283</v>
      </c>
      <c r="B242" s="2">
        <v>272</v>
      </c>
      <c r="C242" s="2">
        <v>121</v>
      </c>
      <c r="D242" s="2">
        <v>27.7</v>
      </c>
      <c r="E242" s="2">
        <v>91</v>
      </c>
      <c r="F242" s="2">
        <v>2.2999999999999998</v>
      </c>
      <c r="H242" s="2">
        <v>123.8</v>
      </c>
      <c r="I242" s="2">
        <v>618</v>
      </c>
      <c r="J242" s="2">
        <v>147</v>
      </c>
      <c r="K242" s="2">
        <v>76496</v>
      </c>
      <c r="L242" s="2">
        <v>2525</v>
      </c>
      <c r="M242" s="2">
        <v>92</v>
      </c>
      <c r="N242" s="2">
        <v>163.5</v>
      </c>
      <c r="O242" s="2">
        <v>6870</v>
      </c>
      <c r="P242" s="2">
        <v>47.1</v>
      </c>
      <c r="Q242" s="2" t="s">
        <v>5271</v>
      </c>
    </row>
    <row r="243" spans="1:17" ht="24.95" customHeight="1" x14ac:dyDescent="0.25">
      <c r="A243" s="17" t="s">
        <v>284</v>
      </c>
      <c r="B243" s="2">
        <v>265</v>
      </c>
      <c r="C243" s="2">
        <v>109</v>
      </c>
      <c r="D243" s="2">
        <v>16</v>
      </c>
      <c r="E243" s="2">
        <v>91</v>
      </c>
      <c r="F243" s="2">
        <v>2</v>
      </c>
      <c r="H243" s="2">
        <v>110.6</v>
      </c>
      <c r="I243" s="2">
        <v>2105</v>
      </c>
      <c r="J243" s="2">
        <v>190</v>
      </c>
      <c r="K243" s="2">
        <v>232747</v>
      </c>
      <c r="L243" s="2">
        <v>7319</v>
      </c>
      <c r="M243" s="2">
        <v>371.4</v>
      </c>
      <c r="N243" s="2">
        <v>514.1</v>
      </c>
      <c r="O243" s="2">
        <v>22200</v>
      </c>
      <c r="P243" s="2">
        <v>42.2</v>
      </c>
      <c r="Q243" s="2" t="s">
        <v>5271</v>
      </c>
    </row>
    <row r="244" spans="1:17" ht="24.95" customHeight="1" x14ac:dyDescent="0.25">
      <c r="A244" s="17" t="s">
        <v>285</v>
      </c>
      <c r="B244" s="2">
        <v>252</v>
      </c>
      <c r="C244" s="2">
        <v>106</v>
      </c>
      <c r="D244" s="2">
        <v>11.8</v>
      </c>
      <c r="E244" s="2">
        <v>91</v>
      </c>
      <c r="F244" s="2">
        <v>3.2</v>
      </c>
      <c r="H244" s="2">
        <v>106.6</v>
      </c>
      <c r="I244" s="2">
        <v>330</v>
      </c>
      <c r="J244" s="2">
        <v>150</v>
      </c>
      <c r="K244" s="2">
        <v>35186</v>
      </c>
      <c r="L244" s="2">
        <v>2027</v>
      </c>
      <c r="M244" s="2">
        <v>68.900000000000006</v>
      </c>
      <c r="N244" s="2">
        <v>87.2</v>
      </c>
      <c r="O244" s="2">
        <v>5980</v>
      </c>
      <c r="P244" s="2">
        <v>67.3</v>
      </c>
      <c r="Q244" s="2" t="s">
        <v>5271</v>
      </c>
    </row>
    <row r="245" spans="1:17" ht="24.95" customHeight="1" x14ac:dyDescent="0.25">
      <c r="A245" s="17" t="s">
        <v>268</v>
      </c>
      <c r="B245" s="2">
        <v>258</v>
      </c>
      <c r="C245" s="2">
        <v>112</v>
      </c>
      <c r="D245" s="2">
        <v>17.8</v>
      </c>
      <c r="E245" s="2">
        <v>91</v>
      </c>
      <c r="F245" s="2">
        <v>3.2</v>
      </c>
      <c r="H245" s="2">
        <v>112.5</v>
      </c>
      <c r="I245" s="2">
        <v>976</v>
      </c>
      <c r="J245" s="2">
        <v>144</v>
      </c>
      <c r="K245" s="2">
        <v>109780</v>
      </c>
      <c r="L245" s="2">
        <v>4979</v>
      </c>
      <c r="M245" s="2">
        <v>175.5</v>
      </c>
      <c r="N245" s="2">
        <v>250.9</v>
      </c>
      <c r="O245" s="2">
        <v>13430</v>
      </c>
      <c r="P245" s="2">
        <v>59.1</v>
      </c>
      <c r="Q245" s="2" t="s">
        <v>5271</v>
      </c>
    </row>
    <row r="246" spans="1:17" ht="24.95" customHeight="1" x14ac:dyDescent="0.25">
      <c r="A246" s="17" t="s">
        <v>5347</v>
      </c>
      <c r="B246" s="2">
        <v>266</v>
      </c>
      <c r="C246" s="2">
        <v>112</v>
      </c>
      <c r="D246" s="2">
        <v>19.2</v>
      </c>
      <c r="E246" s="2">
        <v>91</v>
      </c>
      <c r="F246" s="2">
        <v>1.8</v>
      </c>
      <c r="H246" s="2">
        <v>114</v>
      </c>
      <c r="I246" s="2">
        <v>2519</v>
      </c>
      <c r="J246" s="2">
        <v>164</v>
      </c>
      <c r="K246" s="2">
        <v>287254</v>
      </c>
      <c r="L246" s="2">
        <v>6774</v>
      </c>
      <c r="M246" s="2">
        <v>230.2</v>
      </c>
      <c r="N246" s="2">
        <v>639.29999999999995</v>
      </c>
      <c r="O246" s="2">
        <v>21610</v>
      </c>
      <c r="P246" s="2">
        <v>31.2</v>
      </c>
      <c r="Q246" s="2" t="s">
        <v>5271</v>
      </c>
    </row>
    <row r="247" spans="1:17" ht="24.95" customHeight="1" x14ac:dyDescent="0.25">
      <c r="A247" s="17" t="s">
        <v>5349</v>
      </c>
      <c r="B247" s="2">
        <v>264</v>
      </c>
      <c r="C247" s="2">
        <v>105</v>
      </c>
      <c r="D247" s="2">
        <v>12</v>
      </c>
      <c r="E247" s="2">
        <v>91</v>
      </c>
      <c r="F247" s="2">
        <v>2</v>
      </c>
      <c r="H247" s="2">
        <v>107.8</v>
      </c>
      <c r="I247" s="2">
        <v>1093</v>
      </c>
      <c r="J247" s="2">
        <v>116</v>
      </c>
      <c r="K247" s="2">
        <v>117811</v>
      </c>
      <c r="L247" s="2">
        <v>5695</v>
      </c>
      <c r="M247" s="2">
        <v>216.5</v>
      </c>
      <c r="N247" s="2">
        <v>300</v>
      </c>
      <c r="O247" s="2">
        <v>14700</v>
      </c>
      <c r="P247" s="2">
        <v>54.6</v>
      </c>
      <c r="Q247" s="2" t="s">
        <v>5271</v>
      </c>
    </row>
    <row r="248" spans="1:17" ht="24.95" customHeight="1" x14ac:dyDescent="0.25">
      <c r="A248" s="17" t="s">
        <v>287</v>
      </c>
      <c r="B248" s="2">
        <v>272</v>
      </c>
      <c r="C248" s="2">
        <v>118</v>
      </c>
      <c r="D248" s="2">
        <v>24.3</v>
      </c>
      <c r="E248" s="2">
        <v>91</v>
      </c>
      <c r="F248" s="2">
        <v>2.8</v>
      </c>
      <c r="H248" s="2">
        <v>118.7</v>
      </c>
      <c r="I248" s="2">
        <v>336</v>
      </c>
      <c r="J248" s="2">
        <v>158</v>
      </c>
      <c r="K248" s="2">
        <v>39873</v>
      </c>
      <c r="L248" s="2">
        <v>1754</v>
      </c>
      <c r="M248" s="2">
        <v>72.5</v>
      </c>
      <c r="N248" s="2">
        <v>89.1</v>
      </c>
      <c r="O248" s="2">
        <v>4720</v>
      </c>
      <c r="P248" s="2">
        <v>59.7</v>
      </c>
      <c r="Q248" s="2" t="s">
        <v>5271</v>
      </c>
    </row>
    <row r="249" spans="1:17" ht="24.95" customHeight="1" x14ac:dyDescent="0.25">
      <c r="A249" s="17" t="s">
        <v>274</v>
      </c>
      <c r="B249" s="2">
        <v>251</v>
      </c>
      <c r="C249" s="2">
        <v>109</v>
      </c>
      <c r="D249" s="2">
        <v>16.5</v>
      </c>
      <c r="E249" s="2">
        <v>91</v>
      </c>
      <c r="F249" s="2">
        <v>1.4</v>
      </c>
      <c r="H249" s="2">
        <v>111.6</v>
      </c>
      <c r="I249" s="2">
        <v>2776</v>
      </c>
      <c r="J249" s="2">
        <v>193</v>
      </c>
      <c r="K249" s="2">
        <v>309706</v>
      </c>
      <c r="L249" s="2">
        <v>10483</v>
      </c>
      <c r="M249" s="2">
        <v>535.4</v>
      </c>
      <c r="N249" s="2">
        <v>710.8</v>
      </c>
      <c r="O249" s="2">
        <v>27320</v>
      </c>
      <c r="P249" s="2">
        <v>42</v>
      </c>
      <c r="Q249" s="2" t="s">
        <v>5271</v>
      </c>
    </row>
    <row r="250" spans="1:17" ht="24.95" customHeight="1" x14ac:dyDescent="0.25">
      <c r="A250" s="17" t="s">
        <v>288</v>
      </c>
      <c r="B250" s="2">
        <v>267</v>
      </c>
      <c r="C250" s="2">
        <v>110</v>
      </c>
      <c r="D250" s="2">
        <v>17</v>
      </c>
      <c r="E250" s="2">
        <v>91</v>
      </c>
      <c r="F250" s="2">
        <v>2</v>
      </c>
      <c r="H250" s="2">
        <v>113.6</v>
      </c>
      <c r="I250" s="2">
        <v>1295</v>
      </c>
      <c r="J250" s="2">
        <v>131</v>
      </c>
      <c r="K250" s="2">
        <v>147112</v>
      </c>
      <c r="L250" s="2">
        <v>5228</v>
      </c>
      <c r="M250" s="2">
        <v>237.8</v>
      </c>
      <c r="N250" s="2">
        <v>342.4</v>
      </c>
      <c r="O250" s="2">
        <v>14540</v>
      </c>
      <c r="P250" s="2">
        <v>45.6</v>
      </c>
      <c r="Q250" s="2" t="s">
        <v>5271</v>
      </c>
    </row>
    <row r="251" spans="1:17" ht="24.95" customHeight="1" x14ac:dyDescent="0.25">
      <c r="A251" s="17" t="s">
        <v>289</v>
      </c>
      <c r="B251" s="2">
        <v>290</v>
      </c>
      <c r="C251" s="2">
        <v>114</v>
      </c>
      <c r="D251" s="2">
        <v>20.8</v>
      </c>
      <c r="E251" s="2">
        <v>91</v>
      </c>
      <c r="F251" s="2">
        <v>2.2000000000000002</v>
      </c>
      <c r="H251" s="2">
        <v>119.1</v>
      </c>
      <c r="I251" s="2">
        <v>1826</v>
      </c>
      <c r="J251" s="2">
        <v>173</v>
      </c>
      <c r="K251" s="2">
        <v>217434</v>
      </c>
      <c r="L251" s="2">
        <v>6649</v>
      </c>
      <c r="M251" s="2">
        <v>280.8</v>
      </c>
      <c r="N251" s="2">
        <v>477</v>
      </c>
      <c r="O251" s="2">
        <v>16950</v>
      </c>
      <c r="P251" s="2">
        <v>36.700000000000003</v>
      </c>
      <c r="Q251" s="2" t="s">
        <v>5271</v>
      </c>
    </row>
    <row r="252" spans="1:17" ht="24.95" customHeight="1" x14ac:dyDescent="0.25">
      <c r="A252" s="17" t="s">
        <v>292</v>
      </c>
      <c r="B252" s="2">
        <v>216</v>
      </c>
      <c r="C252" s="2">
        <v>85</v>
      </c>
      <c r="I252" s="2">
        <v>26444</v>
      </c>
      <c r="J252" s="2">
        <v>182</v>
      </c>
      <c r="K252" s="2">
        <v>2247740</v>
      </c>
      <c r="L252" s="2">
        <v>68826</v>
      </c>
      <c r="M252" s="2">
        <v>3141</v>
      </c>
      <c r="N252" s="2">
        <v>6173</v>
      </c>
      <c r="O252" s="2">
        <v>223330</v>
      </c>
      <c r="P252" s="2">
        <v>32.799999999999997</v>
      </c>
    </row>
    <row r="253" spans="1:17" ht="24.95" customHeight="1" x14ac:dyDescent="0.25">
      <c r="A253" s="17" t="s">
        <v>6737</v>
      </c>
      <c r="B253" s="2">
        <v>336</v>
      </c>
      <c r="C253" s="2">
        <v>128</v>
      </c>
      <c r="D253" s="2">
        <v>41.9</v>
      </c>
      <c r="E253" s="2">
        <v>85</v>
      </c>
      <c r="F253" s="2">
        <v>1.1000000000000001</v>
      </c>
      <c r="I253" s="2">
        <v>3410</v>
      </c>
      <c r="J253" s="2">
        <v>210</v>
      </c>
      <c r="K253" s="2">
        <v>436480</v>
      </c>
      <c r="L253" s="2">
        <v>8090</v>
      </c>
      <c r="M253" s="2">
        <v>387.4</v>
      </c>
      <c r="N253" s="2">
        <v>864.8</v>
      </c>
      <c r="O253" s="2">
        <v>27610</v>
      </c>
      <c r="P253" s="2">
        <v>32.6</v>
      </c>
      <c r="Q253" s="2" t="s">
        <v>5268</v>
      </c>
    </row>
    <row r="254" spans="1:17" ht="24.95" customHeight="1" x14ac:dyDescent="0.25">
      <c r="A254" s="17" t="s">
        <v>294</v>
      </c>
      <c r="B254" s="2">
        <v>330</v>
      </c>
      <c r="C254" s="2">
        <v>130</v>
      </c>
      <c r="D254" s="2">
        <v>42.6</v>
      </c>
      <c r="E254" s="2">
        <v>85</v>
      </c>
      <c r="F254" s="2">
        <v>2.4</v>
      </c>
      <c r="I254" s="2">
        <v>4340</v>
      </c>
      <c r="J254" s="2">
        <v>182</v>
      </c>
      <c r="K254" s="2">
        <v>564200</v>
      </c>
      <c r="L254" s="2">
        <v>9025</v>
      </c>
      <c r="M254" s="2">
        <v>398.8</v>
      </c>
      <c r="N254" s="2">
        <v>1068.5</v>
      </c>
      <c r="O254" s="2">
        <v>29710</v>
      </c>
      <c r="P254" s="2">
        <v>19.3</v>
      </c>
      <c r="Q254" s="2" t="s">
        <v>5268</v>
      </c>
    </row>
    <row r="255" spans="1:17" ht="24.95" customHeight="1" x14ac:dyDescent="0.25">
      <c r="A255" s="17" t="s">
        <v>295</v>
      </c>
      <c r="B255" s="2">
        <v>312</v>
      </c>
      <c r="C255" s="2">
        <v>126</v>
      </c>
      <c r="D255" s="2">
        <v>40.1</v>
      </c>
      <c r="E255" s="2">
        <v>85</v>
      </c>
      <c r="F255" s="2">
        <v>0.9</v>
      </c>
      <c r="I255" s="2">
        <v>658</v>
      </c>
      <c r="J255" s="2">
        <v>189</v>
      </c>
      <c r="K255" s="2">
        <v>82908</v>
      </c>
      <c r="L255" s="2">
        <v>2044</v>
      </c>
      <c r="M255" s="2">
        <v>100.3</v>
      </c>
      <c r="N255" s="2">
        <v>168.1</v>
      </c>
      <c r="O255" s="2">
        <v>5900</v>
      </c>
      <c r="P255" s="2">
        <v>36.1</v>
      </c>
    </row>
    <row r="256" spans="1:17" ht="24.95" customHeight="1" x14ac:dyDescent="0.25">
      <c r="A256" s="17" t="s">
        <v>296</v>
      </c>
      <c r="B256" s="2">
        <v>288</v>
      </c>
      <c r="C256" s="2">
        <v>118</v>
      </c>
      <c r="D256" s="2">
        <v>33.200000000000003</v>
      </c>
      <c r="E256" s="2">
        <v>88</v>
      </c>
      <c r="F256" s="2">
        <v>-3.2</v>
      </c>
      <c r="I256" s="2">
        <v>732</v>
      </c>
      <c r="J256" s="2">
        <v>171</v>
      </c>
      <c r="K256" s="2">
        <v>86376</v>
      </c>
      <c r="L256" s="2">
        <v>1536</v>
      </c>
      <c r="M256" s="2">
        <v>93.4</v>
      </c>
      <c r="N256" s="2">
        <v>186.2</v>
      </c>
      <c r="O256" s="2">
        <v>4590</v>
      </c>
      <c r="P256" s="2">
        <v>8.5</v>
      </c>
      <c r="Q256" s="2" t="s">
        <v>5270</v>
      </c>
    </row>
    <row r="257" spans="1:17" ht="24.95" customHeight="1" x14ac:dyDescent="0.25">
      <c r="A257" s="17" t="s">
        <v>6738</v>
      </c>
      <c r="B257" s="2">
        <v>306</v>
      </c>
      <c r="C257" s="2">
        <v>120</v>
      </c>
      <c r="D257" s="2">
        <v>30.4</v>
      </c>
      <c r="E257" s="2">
        <v>88</v>
      </c>
      <c r="F257" s="2">
        <v>1.6</v>
      </c>
      <c r="I257" s="2">
        <v>975</v>
      </c>
      <c r="J257" s="2">
        <v>163</v>
      </c>
      <c r="K257" s="2">
        <v>117000</v>
      </c>
      <c r="L257" s="2">
        <v>3812</v>
      </c>
      <c r="M257" s="2">
        <v>144.9</v>
      </c>
      <c r="N257" s="2">
        <v>252.8</v>
      </c>
      <c r="O257" s="2">
        <v>12320</v>
      </c>
      <c r="P257" s="2">
        <v>54.6</v>
      </c>
      <c r="Q257" s="2" t="s">
        <v>5270</v>
      </c>
    </row>
    <row r="258" spans="1:17" ht="24.95" customHeight="1" x14ac:dyDescent="0.25">
      <c r="A258" s="17" t="s">
        <v>298</v>
      </c>
      <c r="B258" s="2">
        <v>294</v>
      </c>
      <c r="C258" s="2">
        <v>118</v>
      </c>
      <c r="D258" s="2">
        <v>33</v>
      </c>
      <c r="E258" s="2">
        <v>85</v>
      </c>
      <c r="I258" s="2">
        <v>1350</v>
      </c>
      <c r="J258" s="2">
        <v>170</v>
      </c>
      <c r="K258" s="2">
        <v>159300</v>
      </c>
      <c r="L258" s="2">
        <v>3425</v>
      </c>
      <c r="M258" s="2">
        <v>187</v>
      </c>
      <c r="N258" s="2">
        <v>348.6</v>
      </c>
      <c r="O258" s="2">
        <v>10790</v>
      </c>
      <c r="P258" s="2">
        <v>26.3</v>
      </c>
      <c r="Q258" s="2" t="s">
        <v>5270</v>
      </c>
    </row>
    <row r="259" spans="1:17" ht="24.95" customHeight="1" x14ac:dyDescent="0.25">
      <c r="A259" s="17" t="s">
        <v>5357</v>
      </c>
      <c r="B259" s="2">
        <v>272</v>
      </c>
      <c r="C259" s="2">
        <v>110</v>
      </c>
      <c r="D259" s="2">
        <v>19.899999999999999</v>
      </c>
      <c r="E259" s="2">
        <v>88</v>
      </c>
      <c r="F259" s="2">
        <v>2.1</v>
      </c>
      <c r="H259" s="2">
        <v>110</v>
      </c>
      <c r="I259" s="2">
        <v>176</v>
      </c>
      <c r="J259" s="2">
        <v>148</v>
      </c>
      <c r="K259" s="2">
        <v>19360</v>
      </c>
      <c r="L259" s="2">
        <v>840</v>
      </c>
      <c r="M259" s="2">
        <v>28.4</v>
      </c>
      <c r="N259" s="2">
        <v>47</v>
      </c>
      <c r="O259" s="2">
        <v>2180</v>
      </c>
      <c r="P259" s="2">
        <v>51.9</v>
      </c>
      <c r="Q259" s="2" t="s">
        <v>5270</v>
      </c>
    </row>
    <row r="260" spans="1:17" ht="24.95" customHeight="1" x14ac:dyDescent="0.25">
      <c r="A260" s="17" t="s">
        <v>300</v>
      </c>
      <c r="B260" s="2">
        <v>256</v>
      </c>
      <c r="C260" s="2">
        <v>101</v>
      </c>
      <c r="D260" s="2">
        <v>13.2</v>
      </c>
      <c r="E260" s="2">
        <v>88</v>
      </c>
      <c r="F260" s="2">
        <v>-0.2</v>
      </c>
      <c r="H260" s="2">
        <v>102.6</v>
      </c>
      <c r="I260" s="2">
        <v>4053</v>
      </c>
      <c r="J260" s="2">
        <v>161</v>
      </c>
      <c r="K260" s="2">
        <v>415824</v>
      </c>
      <c r="L260" s="2">
        <v>8778</v>
      </c>
      <c r="M260" s="2">
        <v>454.1</v>
      </c>
      <c r="N260" s="2">
        <v>852.1</v>
      </c>
      <c r="O260" s="2">
        <v>30190</v>
      </c>
      <c r="P260" s="2">
        <v>25.2</v>
      </c>
    </row>
    <row r="261" spans="1:17" ht="24.95" customHeight="1" x14ac:dyDescent="0.25">
      <c r="A261" s="17" t="s">
        <v>295</v>
      </c>
      <c r="B261" s="2">
        <v>270</v>
      </c>
      <c r="C261" s="2">
        <v>112</v>
      </c>
      <c r="D261" s="2">
        <v>23.5</v>
      </c>
      <c r="E261" s="2">
        <v>88</v>
      </c>
      <c r="F261" s="2">
        <v>0.5</v>
      </c>
      <c r="H261" s="2">
        <v>113.7</v>
      </c>
      <c r="I261" s="2">
        <v>2028</v>
      </c>
      <c r="J261" s="2">
        <v>174</v>
      </c>
      <c r="K261" s="2">
        <v>230536</v>
      </c>
      <c r="L261" s="2">
        <v>6491</v>
      </c>
      <c r="M261" s="2">
        <v>324.8</v>
      </c>
      <c r="N261" s="2">
        <v>519</v>
      </c>
      <c r="O261" s="2">
        <v>20460</v>
      </c>
      <c r="P261" s="2">
        <v>40</v>
      </c>
      <c r="Q261" s="2" t="s">
        <v>5271</v>
      </c>
    </row>
    <row r="262" spans="1:17" ht="24.95" customHeight="1" x14ac:dyDescent="0.25">
      <c r="A262" s="17" t="s">
        <v>301</v>
      </c>
      <c r="B262" s="2">
        <v>278</v>
      </c>
      <c r="C262" s="2">
        <v>108</v>
      </c>
      <c r="D262" s="2">
        <v>19.7</v>
      </c>
      <c r="E262" s="2">
        <v>88</v>
      </c>
      <c r="F262" s="2">
        <v>0.3</v>
      </c>
      <c r="H262" s="2">
        <v>108.8</v>
      </c>
      <c r="I262" s="2">
        <v>4269</v>
      </c>
      <c r="J262" s="2">
        <v>220</v>
      </c>
      <c r="K262" s="2">
        <v>464543</v>
      </c>
      <c r="L262" s="2">
        <v>9429</v>
      </c>
      <c r="M262" s="2">
        <v>366.1</v>
      </c>
      <c r="N262" s="2">
        <v>748.5</v>
      </c>
      <c r="O262" s="2">
        <v>31450</v>
      </c>
      <c r="P262" s="2">
        <v>22.8</v>
      </c>
      <c r="Q262" s="2" t="s">
        <v>5271</v>
      </c>
    </row>
    <row r="263" spans="1:17" ht="24.95" customHeight="1" x14ac:dyDescent="0.25">
      <c r="A263" s="17" t="s">
        <v>302</v>
      </c>
      <c r="B263" s="2">
        <v>280</v>
      </c>
      <c r="C263" s="2">
        <v>109</v>
      </c>
      <c r="D263" s="2">
        <v>19.399999999999999</v>
      </c>
      <c r="E263" s="2">
        <v>88</v>
      </c>
      <c r="F263" s="2">
        <v>1.6</v>
      </c>
      <c r="H263" s="2">
        <v>112.3</v>
      </c>
      <c r="I263" s="2">
        <v>1399</v>
      </c>
      <c r="J263" s="2">
        <v>167</v>
      </c>
      <c r="K263" s="2">
        <v>157094</v>
      </c>
      <c r="L263" s="2">
        <v>4442</v>
      </c>
      <c r="M263" s="2">
        <v>190.5</v>
      </c>
      <c r="N263" s="2">
        <v>344.9</v>
      </c>
      <c r="O263" s="2">
        <v>15070</v>
      </c>
      <c r="P263" s="2">
        <v>46.2</v>
      </c>
      <c r="Q263" s="2" t="s">
        <v>5271</v>
      </c>
    </row>
    <row r="264" spans="1:17" ht="24.95" customHeight="1" x14ac:dyDescent="0.25">
      <c r="A264" s="17" t="s">
        <v>298</v>
      </c>
      <c r="B264" s="2">
        <v>242</v>
      </c>
      <c r="C264" s="2">
        <v>97</v>
      </c>
      <c r="D264" s="2">
        <v>10.5</v>
      </c>
      <c r="E264" s="2">
        <v>88</v>
      </c>
      <c r="F264" s="2">
        <v>-1.5</v>
      </c>
      <c r="H264" s="2">
        <v>97.9</v>
      </c>
      <c r="I264" s="2">
        <v>1070</v>
      </c>
      <c r="J264" s="2">
        <v>161</v>
      </c>
      <c r="K264" s="2">
        <v>104766</v>
      </c>
      <c r="L264" s="2">
        <v>3630</v>
      </c>
      <c r="M264" s="2">
        <v>171.9</v>
      </c>
      <c r="N264" s="2">
        <v>275.5</v>
      </c>
      <c r="O264" s="2">
        <v>11390</v>
      </c>
      <c r="P264" s="2">
        <v>47</v>
      </c>
      <c r="Q264" s="2" t="s">
        <v>5271</v>
      </c>
    </row>
    <row r="265" spans="1:17" ht="24.95" customHeight="1" x14ac:dyDescent="0.25">
      <c r="A265" s="17" t="s">
        <v>303</v>
      </c>
      <c r="B265" s="2">
        <v>268</v>
      </c>
      <c r="C265" s="2">
        <v>105</v>
      </c>
      <c r="D265" s="2">
        <v>16.5</v>
      </c>
      <c r="E265" s="2">
        <v>88</v>
      </c>
      <c r="F265" s="2">
        <v>0.5</v>
      </c>
      <c r="H265" s="2">
        <v>108.3</v>
      </c>
      <c r="I265" s="2">
        <v>1984</v>
      </c>
      <c r="J265" s="2">
        <v>172</v>
      </c>
      <c r="K265" s="2">
        <v>214897</v>
      </c>
      <c r="L265" s="2">
        <v>7284</v>
      </c>
      <c r="M265" s="2">
        <v>293.39999999999998</v>
      </c>
      <c r="N265" s="2">
        <v>497</v>
      </c>
      <c r="O265" s="2">
        <v>21670</v>
      </c>
      <c r="P265" s="2">
        <v>48.2</v>
      </c>
      <c r="Q265" s="2" t="s">
        <v>5271</v>
      </c>
    </row>
    <row r="266" spans="1:17" ht="24.95" customHeight="1" x14ac:dyDescent="0.25">
      <c r="A266" s="17" t="s">
        <v>6739</v>
      </c>
      <c r="B266" s="2">
        <v>186</v>
      </c>
      <c r="C266" s="2">
        <v>74.5</v>
      </c>
      <c r="I266" s="2">
        <v>94318</v>
      </c>
      <c r="J266" s="2">
        <v>166</v>
      </c>
      <c r="K266" s="2">
        <v>7026691</v>
      </c>
      <c r="L266" s="2">
        <v>244951</v>
      </c>
      <c r="M266" s="2">
        <v>12157.1</v>
      </c>
      <c r="N266" s="2">
        <v>23566.2</v>
      </c>
      <c r="O266" s="2">
        <v>758270</v>
      </c>
      <c r="P266" s="2">
        <v>30.4</v>
      </c>
    </row>
    <row r="267" spans="1:17" ht="24.95" customHeight="1" x14ac:dyDescent="0.25">
      <c r="A267" s="17" t="s">
        <v>305</v>
      </c>
      <c r="B267" s="2">
        <v>306</v>
      </c>
      <c r="C267" s="2">
        <v>132</v>
      </c>
      <c r="D267" s="2">
        <v>60.4</v>
      </c>
      <c r="E267" s="2">
        <v>75.8</v>
      </c>
      <c r="F267" s="2">
        <v>-4.2</v>
      </c>
      <c r="I267" s="2">
        <v>2340</v>
      </c>
      <c r="J267" s="2">
        <v>117</v>
      </c>
      <c r="K267" s="2">
        <v>308880</v>
      </c>
      <c r="L267" s="2">
        <v>5873</v>
      </c>
      <c r="M267" s="2">
        <v>359.6</v>
      </c>
      <c r="N267" s="2">
        <v>570.6</v>
      </c>
      <c r="O267" s="2">
        <v>19370</v>
      </c>
      <c r="P267" s="2">
        <v>34.200000000000003</v>
      </c>
      <c r="Q267" s="2" t="s">
        <v>5268</v>
      </c>
    </row>
    <row r="268" spans="1:17" ht="24.95" customHeight="1" x14ac:dyDescent="0.25">
      <c r="A268" s="17" t="s">
        <v>306</v>
      </c>
      <c r="B268" s="2">
        <v>324</v>
      </c>
      <c r="C268" s="2">
        <v>114</v>
      </c>
      <c r="D268" s="2">
        <v>42</v>
      </c>
      <c r="E268" s="2">
        <v>74.5</v>
      </c>
      <c r="F268" s="2">
        <v>-2.5</v>
      </c>
      <c r="I268" s="2">
        <v>11587</v>
      </c>
      <c r="J268" s="2">
        <v>216</v>
      </c>
      <c r="K268" s="2">
        <v>1320918</v>
      </c>
      <c r="L268" s="2">
        <v>22450</v>
      </c>
      <c r="M268" s="2">
        <v>1217.2</v>
      </c>
      <c r="N268" s="2">
        <v>2819.1</v>
      </c>
      <c r="O268" s="2">
        <v>68000</v>
      </c>
      <c r="P268" s="2">
        <v>7.8</v>
      </c>
      <c r="Q268" s="2" t="s">
        <v>5268</v>
      </c>
    </row>
    <row r="269" spans="1:17" ht="24.95" customHeight="1" x14ac:dyDescent="0.25">
      <c r="A269" s="17" t="s">
        <v>5358</v>
      </c>
      <c r="B269" s="2">
        <v>312</v>
      </c>
      <c r="C269" s="2">
        <v>140</v>
      </c>
      <c r="D269" s="2">
        <v>63.1</v>
      </c>
      <c r="E269" s="2">
        <v>75.7</v>
      </c>
      <c r="F269" s="2">
        <v>1.2</v>
      </c>
      <c r="I269" s="2">
        <v>1653</v>
      </c>
      <c r="J269" s="2">
        <v>134</v>
      </c>
      <c r="K269" s="2">
        <v>231420</v>
      </c>
      <c r="L269" s="2">
        <v>6316</v>
      </c>
      <c r="M269" s="2">
        <v>210.3</v>
      </c>
      <c r="N269" s="2">
        <v>435.8</v>
      </c>
      <c r="O269" s="2">
        <v>17440</v>
      </c>
      <c r="P269" s="2">
        <v>46.5</v>
      </c>
      <c r="Q269" s="2" t="s">
        <v>5268</v>
      </c>
    </row>
    <row r="270" spans="1:17" ht="24.95" customHeight="1" x14ac:dyDescent="0.25">
      <c r="A270" s="17" t="s">
        <v>308</v>
      </c>
      <c r="B270" s="2">
        <v>276</v>
      </c>
      <c r="C270" s="2">
        <v>104</v>
      </c>
      <c r="D270" s="2">
        <v>27.3</v>
      </c>
      <c r="E270" s="2">
        <v>75.8</v>
      </c>
      <c r="F270" s="2">
        <v>0.9</v>
      </c>
      <c r="I270" s="2">
        <v>4500</v>
      </c>
      <c r="J270" s="2">
        <v>162</v>
      </c>
      <c r="K270" s="2">
        <v>468000</v>
      </c>
      <c r="L270" s="2">
        <v>11139</v>
      </c>
      <c r="M270" s="2">
        <v>471.4</v>
      </c>
      <c r="N270" s="2">
        <v>1102.4000000000001</v>
      </c>
      <c r="O270" s="2">
        <v>34960</v>
      </c>
      <c r="P270" s="2">
        <v>29.1</v>
      </c>
      <c r="Q270" s="2" t="s">
        <v>5268</v>
      </c>
    </row>
    <row r="271" spans="1:17" ht="24.95" customHeight="1" x14ac:dyDescent="0.25">
      <c r="A271" s="17" t="s">
        <v>310</v>
      </c>
      <c r="B271" s="2">
        <v>282</v>
      </c>
      <c r="C271" s="2">
        <v>116</v>
      </c>
      <c r="D271" s="2">
        <v>36.799999999999997</v>
      </c>
      <c r="E271" s="2">
        <v>79</v>
      </c>
      <c r="F271" s="2">
        <v>0.2</v>
      </c>
      <c r="I271" s="2">
        <v>2300</v>
      </c>
      <c r="J271" s="2">
        <v>161</v>
      </c>
      <c r="K271" s="2">
        <v>266800</v>
      </c>
      <c r="L271" s="2">
        <v>7325</v>
      </c>
      <c r="M271" s="2">
        <v>294.60000000000002</v>
      </c>
      <c r="N271" s="2">
        <v>586.1</v>
      </c>
      <c r="O271" s="2">
        <v>23050</v>
      </c>
      <c r="P271" s="2">
        <v>42.9</v>
      </c>
      <c r="Q271" s="2" t="s">
        <v>5270</v>
      </c>
    </row>
    <row r="272" spans="1:17" ht="24.95" customHeight="1" x14ac:dyDescent="0.25">
      <c r="A272" s="17" t="s">
        <v>311</v>
      </c>
      <c r="B272" s="2">
        <v>276</v>
      </c>
      <c r="C272" s="2">
        <v>112</v>
      </c>
      <c r="D272" s="2">
        <v>34.9</v>
      </c>
      <c r="E272" s="2">
        <v>79</v>
      </c>
      <c r="F272" s="2">
        <v>-1.9</v>
      </c>
      <c r="I272" s="2">
        <v>704</v>
      </c>
      <c r="J272" s="2">
        <v>141</v>
      </c>
      <c r="K272" s="2">
        <v>78848</v>
      </c>
      <c r="L272" s="2">
        <v>1789</v>
      </c>
      <c r="M272" s="2">
        <v>88.8</v>
      </c>
      <c r="N272" s="2">
        <v>172.2</v>
      </c>
      <c r="O272" s="2">
        <v>5660</v>
      </c>
      <c r="P272" s="2">
        <v>28.9</v>
      </c>
      <c r="Q272" s="2" t="s">
        <v>5270</v>
      </c>
    </row>
    <row r="273" spans="1:17" ht="24.95" customHeight="1" x14ac:dyDescent="0.25">
      <c r="A273" s="17" t="s">
        <v>312</v>
      </c>
      <c r="B273" s="2">
        <v>258</v>
      </c>
      <c r="C273" s="2">
        <v>102</v>
      </c>
      <c r="D273" s="2">
        <v>26.7</v>
      </c>
      <c r="E273" s="2">
        <v>79</v>
      </c>
      <c r="F273" s="2">
        <v>-3.7</v>
      </c>
      <c r="I273" s="2">
        <v>551</v>
      </c>
      <c r="J273" s="2">
        <v>159</v>
      </c>
      <c r="K273" s="2">
        <v>56202</v>
      </c>
      <c r="L273" s="2">
        <v>1214</v>
      </c>
      <c r="M273" s="2">
        <v>79.2</v>
      </c>
      <c r="N273" s="2">
        <v>139.5</v>
      </c>
      <c r="O273" s="2">
        <v>3820</v>
      </c>
      <c r="P273" s="2">
        <v>15.5</v>
      </c>
      <c r="Q273" s="2" t="s">
        <v>5270</v>
      </c>
    </row>
    <row r="274" spans="1:17" ht="24.95" customHeight="1" x14ac:dyDescent="0.25">
      <c r="A274" s="17" t="s">
        <v>313</v>
      </c>
      <c r="B274" s="2">
        <v>272</v>
      </c>
      <c r="C274" s="2">
        <v>106</v>
      </c>
      <c r="D274" s="2">
        <v>26.6</v>
      </c>
      <c r="E274" s="2">
        <v>79</v>
      </c>
      <c r="F274" s="2">
        <v>0.4</v>
      </c>
      <c r="I274" s="2">
        <v>1690</v>
      </c>
      <c r="J274" s="2">
        <v>155</v>
      </c>
      <c r="K274" s="2">
        <v>179140</v>
      </c>
      <c r="L274" s="2">
        <v>5083</v>
      </c>
      <c r="M274" s="2">
        <v>220.6</v>
      </c>
      <c r="N274" s="2">
        <v>421.5</v>
      </c>
      <c r="O274" s="2">
        <v>15600</v>
      </c>
      <c r="P274" s="2">
        <v>38.6</v>
      </c>
      <c r="Q274" s="2" t="s">
        <v>5270</v>
      </c>
    </row>
    <row r="275" spans="1:17" ht="24.95" customHeight="1" x14ac:dyDescent="0.25">
      <c r="A275" s="17" t="s">
        <v>314</v>
      </c>
      <c r="B275" s="2">
        <v>282</v>
      </c>
      <c r="C275" s="2">
        <v>112</v>
      </c>
      <c r="D275" s="2">
        <v>32.6</v>
      </c>
      <c r="E275" s="2">
        <v>79</v>
      </c>
      <c r="F275" s="2">
        <v>0.4</v>
      </c>
      <c r="I275" s="2">
        <v>1465</v>
      </c>
      <c r="J275" s="2">
        <v>221</v>
      </c>
      <c r="K275" s="2">
        <v>164080</v>
      </c>
      <c r="L275" s="2">
        <v>3615</v>
      </c>
      <c r="M275" s="2">
        <v>150.80000000000001</v>
      </c>
      <c r="N275" s="2">
        <v>377.3</v>
      </c>
      <c r="O275" s="2">
        <v>11820</v>
      </c>
      <c r="P275" s="2">
        <v>27.9</v>
      </c>
      <c r="Q275" s="2" t="s">
        <v>5270</v>
      </c>
    </row>
    <row r="276" spans="1:17" ht="24.95" customHeight="1" x14ac:dyDescent="0.25">
      <c r="A276" s="17" t="s">
        <v>315</v>
      </c>
      <c r="B276" s="2">
        <v>270</v>
      </c>
      <c r="C276" s="2">
        <v>106</v>
      </c>
      <c r="D276" s="2">
        <v>26.9</v>
      </c>
      <c r="E276" s="2">
        <v>79</v>
      </c>
      <c r="F276" s="2">
        <v>0.1</v>
      </c>
      <c r="I276" s="2">
        <v>850</v>
      </c>
      <c r="J276" s="2">
        <v>177</v>
      </c>
      <c r="K276" s="2">
        <v>90100</v>
      </c>
      <c r="L276" s="2">
        <v>2951</v>
      </c>
      <c r="M276" s="2">
        <v>119.1</v>
      </c>
      <c r="N276" s="2">
        <v>223.6</v>
      </c>
      <c r="O276" s="2">
        <v>9320</v>
      </c>
      <c r="P276" s="2">
        <v>48</v>
      </c>
      <c r="Q276" s="2" t="s">
        <v>5270</v>
      </c>
    </row>
    <row r="277" spans="1:17" ht="24.95" customHeight="1" x14ac:dyDescent="0.25">
      <c r="A277" s="17" t="s">
        <v>316</v>
      </c>
      <c r="B277" s="2">
        <v>296</v>
      </c>
      <c r="C277" s="2">
        <v>112</v>
      </c>
      <c r="D277" s="2">
        <v>32.799999999999997</v>
      </c>
      <c r="E277" s="2">
        <v>79</v>
      </c>
      <c r="F277" s="2">
        <v>0.3</v>
      </c>
      <c r="I277" s="2">
        <v>1610</v>
      </c>
      <c r="J277" s="2">
        <v>197</v>
      </c>
      <c r="K277" s="2">
        <v>180320</v>
      </c>
      <c r="L277" s="2">
        <v>4137</v>
      </c>
      <c r="M277" s="2">
        <v>232.6</v>
      </c>
      <c r="N277" s="2">
        <v>398.8</v>
      </c>
      <c r="O277" s="2">
        <v>12170</v>
      </c>
      <c r="P277" s="2">
        <v>25.8</v>
      </c>
      <c r="Q277" s="2" t="s">
        <v>5270</v>
      </c>
    </row>
    <row r="278" spans="1:17" ht="24.95" customHeight="1" x14ac:dyDescent="0.25">
      <c r="A278" s="17" t="s">
        <v>317</v>
      </c>
      <c r="B278" s="2">
        <v>280</v>
      </c>
      <c r="C278" s="2">
        <v>114</v>
      </c>
      <c r="D278" s="2">
        <v>34.299999999999997</v>
      </c>
      <c r="E278" s="2">
        <v>79</v>
      </c>
      <c r="F278" s="2">
        <v>0.7</v>
      </c>
      <c r="I278" s="2">
        <v>2430</v>
      </c>
      <c r="J278" s="2">
        <v>159</v>
      </c>
      <c r="K278" s="2">
        <v>277020</v>
      </c>
      <c r="L278" s="2">
        <v>7769</v>
      </c>
      <c r="M278" s="2">
        <v>328</v>
      </c>
      <c r="N278" s="2">
        <v>611.79999999999995</v>
      </c>
      <c r="O278" s="2">
        <v>24200</v>
      </c>
      <c r="P278" s="2">
        <v>43.2</v>
      </c>
      <c r="Q278" s="2" t="s">
        <v>5270</v>
      </c>
    </row>
    <row r="279" spans="1:17" ht="24.95" customHeight="1" x14ac:dyDescent="0.25">
      <c r="A279" s="17" t="s">
        <v>318</v>
      </c>
      <c r="B279" s="2">
        <v>264</v>
      </c>
      <c r="C279" s="2">
        <v>110</v>
      </c>
      <c r="D279" s="2">
        <v>35.4</v>
      </c>
      <c r="E279" s="2">
        <v>75.8</v>
      </c>
      <c r="F279" s="2">
        <v>-1.2</v>
      </c>
      <c r="I279" s="2">
        <v>4500</v>
      </c>
      <c r="J279" s="2">
        <v>200</v>
      </c>
      <c r="K279" s="2">
        <v>495000</v>
      </c>
      <c r="L279" s="2">
        <v>10571</v>
      </c>
      <c r="M279" s="2">
        <v>582.79999999999995</v>
      </c>
      <c r="N279" s="2">
        <v>1108.5</v>
      </c>
      <c r="O279" s="2">
        <v>31230</v>
      </c>
      <c r="P279" s="2">
        <v>19</v>
      </c>
      <c r="Q279" s="2" t="s">
        <v>5270</v>
      </c>
    </row>
    <row r="280" spans="1:17" ht="24.95" customHeight="1" x14ac:dyDescent="0.25">
      <c r="A280" s="17" t="s">
        <v>319</v>
      </c>
      <c r="B280" s="2">
        <v>284</v>
      </c>
      <c r="C280" s="2">
        <v>114</v>
      </c>
      <c r="D280" s="2">
        <v>36.6</v>
      </c>
      <c r="E280" s="2">
        <v>79</v>
      </c>
      <c r="F280" s="2">
        <v>-1.6</v>
      </c>
      <c r="I280" s="2">
        <v>2386</v>
      </c>
      <c r="J280" s="2">
        <v>139</v>
      </c>
      <c r="K280" s="2">
        <v>272004</v>
      </c>
      <c r="L280" s="2">
        <v>6107</v>
      </c>
      <c r="M280" s="2">
        <v>287.60000000000002</v>
      </c>
      <c r="N280" s="2">
        <v>590.79999999999995</v>
      </c>
      <c r="O280" s="2">
        <v>19060</v>
      </c>
      <c r="P280" s="2">
        <v>30.1</v>
      </c>
      <c r="Q280" s="2" t="s">
        <v>5270</v>
      </c>
    </row>
    <row r="281" spans="1:17" ht="24.95" customHeight="1" x14ac:dyDescent="0.25">
      <c r="A281" s="17" t="s">
        <v>320</v>
      </c>
      <c r="B281" s="2">
        <v>268</v>
      </c>
      <c r="C281" s="2">
        <v>112</v>
      </c>
      <c r="D281" s="2">
        <v>36.4</v>
      </c>
      <c r="E281" s="2">
        <v>75.8</v>
      </c>
      <c r="F281" s="2">
        <v>-0.2</v>
      </c>
      <c r="I281" s="2">
        <v>825</v>
      </c>
      <c r="J281" s="2">
        <v>110</v>
      </c>
      <c r="K281" s="2">
        <v>92400</v>
      </c>
      <c r="L281" s="2">
        <v>2998</v>
      </c>
      <c r="M281" s="2">
        <v>110.8</v>
      </c>
      <c r="N281" s="2">
        <v>208.1</v>
      </c>
      <c r="O281" s="2">
        <v>8650</v>
      </c>
      <c r="P281" s="2">
        <v>46.1</v>
      </c>
      <c r="Q281" s="2" t="s">
        <v>5270</v>
      </c>
    </row>
    <row r="282" spans="1:17" ht="24.95" customHeight="1" x14ac:dyDescent="0.25">
      <c r="A282" s="17" t="s">
        <v>321</v>
      </c>
      <c r="B282" s="2">
        <v>270</v>
      </c>
      <c r="C282" s="2">
        <v>108</v>
      </c>
      <c r="D282" s="2">
        <v>29.7</v>
      </c>
      <c r="E282" s="2">
        <v>79</v>
      </c>
      <c r="F282" s="2">
        <v>-0.7</v>
      </c>
      <c r="I282" s="2">
        <v>1880</v>
      </c>
      <c r="J282" s="2">
        <v>158</v>
      </c>
      <c r="K282" s="2">
        <v>203040</v>
      </c>
      <c r="L282" s="2">
        <v>5807</v>
      </c>
      <c r="M282" s="2">
        <v>236.4</v>
      </c>
      <c r="N282" s="2">
        <v>472</v>
      </c>
      <c r="O282" s="2">
        <v>17700</v>
      </c>
      <c r="P282" s="2">
        <v>39.799999999999997</v>
      </c>
      <c r="Q282" s="2" t="s">
        <v>5270</v>
      </c>
    </row>
    <row r="283" spans="1:17" ht="24.95" customHeight="1" x14ac:dyDescent="0.25">
      <c r="A283" s="17" t="s">
        <v>322</v>
      </c>
      <c r="B283" s="2">
        <v>281</v>
      </c>
      <c r="C283" s="2">
        <v>108</v>
      </c>
      <c r="D283" s="2">
        <v>29.4</v>
      </c>
      <c r="E283" s="2">
        <v>78.599999999999994</v>
      </c>
      <c r="I283" s="2">
        <v>3035</v>
      </c>
      <c r="J283" s="2">
        <v>188</v>
      </c>
      <c r="K283" s="2">
        <v>327780</v>
      </c>
      <c r="L283" s="2">
        <v>5847</v>
      </c>
      <c r="M283" s="2">
        <v>268.5</v>
      </c>
      <c r="N283" s="2">
        <v>781.2</v>
      </c>
      <c r="O283" s="2">
        <v>18200</v>
      </c>
      <c r="P283" s="2">
        <v>6.1</v>
      </c>
      <c r="Q283" s="2" t="s">
        <v>5270</v>
      </c>
    </row>
    <row r="284" spans="1:17" ht="24.95" customHeight="1" x14ac:dyDescent="0.25">
      <c r="A284" s="17" t="s">
        <v>6740</v>
      </c>
      <c r="B284" s="2">
        <v>264</v>
      </c>
      <c r="C284" s="2">
        <v>104</v>
      </c>
      <c r="D284" s="2">
        <v>27.3</v>
      </c>
      <c r="E284" s="2">
        <v>75.8</v>
      </c>
      <c r="F284" s="2">
        <v>0.9</v>
      </c>
      <c r="I284" s="2">
        <v>2104</v>
      </c>
      <c r="J284" s="2">
        <v>189</v>
      </c>
      <c r="K284" s="2">
        <v>218816</v>
      </c>
      <c r="L284" s="2">
        <v>6302</v>
      </c>
      <c r="M284" s="2">
        <v>282.8</v>
      </c>
      <c r="N284" s="2">
        <v>538.4</v>
      </c>
      <c r="O284" s="2">
        <v>19430</v>
      </c>
      <c r="P284" s="2">
        <v>38.200000000000003</v>
      </c>
      <c r="Q284" s="2" t="s">
        <v>5270</v>
      </c>
    </row>
    <row r="285" spans="1:17" ht="24.95" customHeight="1" x14ac:dyDescent="0.25">
      <c r="A285" s="17" t="s">
        <v>324</v>
      </c>
      <c r="B285" s="2">
        <v>246</v>
      </c>
      <c r="C285" s="2">
        <v>104</v>
      </c>
      <c r="D285" s="2">
        <v>27.9</v>
      </c>
      <c r="E285" s="2">
        <v>79</v>
      </c>
      <c r="F285" s="2">
        <v>-2.9</v>
      </c>
      <c r="I285" s="2">
        <v>514</v>
      </c>
      <c r="J285" s="2">
        <v>114</v>
      </c>
      <c r="K285" s="2">
        <v>53456</v>
      </c>
      <c r="L285" s="2">
        <v>1845</v>
      </c>
      <c r="M285" s="2">
        <v>80.099999999999994</v>
      </c>
      <c r="N285" s="2">
        <v>132</v>
      </c>
      <c r="O285" s="2">
        <v>5310</v>
      </c>
      <c r="P285" s="2">
        <v>45.4</v>
      </c>
      <c r="Q285" s="2" t="s">
        <v>5270</v>
      </c>
    </row>
    <row r="286" spans="1:17" ht="24.95" customHeight="1" x14ac:dyDescent="0.25">
      <c r="A286" s="17" t="s">
        <v>325</v>
      </c>
      <c r="B286" s="2">
        <v>258</v>
      </c>
      <c r="C286" s="2">
        <v>104</v>
      </c>
      <c r="D286" s="2">
        <v>25.4</v>
      </c>
      <c r="E286" s="2">
        <v>79</v>
      </c>
      <c r="F286" s="2">
        <v>-0.4</v>
      </c>
      <c r="I286" s="2">
        <v>520</v>
      </c>
      <c r="J286" s="2">
        <v>171</v>
      </c>
      <c r="K286" s="2">
        <v>54080</v>
      </c>
      <c r="L286" s="2">
        <v>1692</v>
      </c>
      <c r="M286" s="2">
        <v>65.599999999999994</v>
      </c>
      <c r="N286" s="2">
        <v>128.69999999999999</v>
      </c>
      <c r="O286" s="2">
        <v>4980</v>
      </c>
      <c r="P286" s="2">
        <v>42.3</v>
      </c>
      <c r="Q286" s="2" t="s">
        <v>5270</v>
      </c>
    </row>
    <row r="287" spans="1:17" ht="24.95" customHeight="1" x14ac:dyDescent="0.25">
      <c r="A287" s="17" t="s">
        <v>311</v>
      </c>
      <c r="B287" s="2">
        <v>254</v>
      </c>
      <c r="C287" s="2">
        <v>100</v>
      </c>
      <c r="D287" s="2">
        <v>19.399999999999999</v>
      </c>
      <c r="E287" s="2">
        <v>79</v>
      </c>
      <c r="F287" s="2">
        <v>1.6</v>
      </c>
      <c r="H287" s="2">
        <v>101</v>
      </c>
      <c r="I287" s="2">
        <v>957</v>
      </c>
      <c r="J287" s="2">
        <v>177</v>
      </c>
      <c r="K287" s="2">
        <v>96625</v>
      </c>
      <c r="L287" s="2">
        <v>3381</v>
      </c>
      <c r="M287" s="2">
        <v>130</v>
      </c>
      <c r="N287" s="2">
        <v>237.2</v>
      </c>
      <c r="O287" s="2">
        <v>11260</v>
      </c>
      <c r="P287" s="2">
        <v>51.3</v>
      </c>
      <c r="Q287" s="2" t="s">
        <v>5271</v>
      </c>
    </row>
    <row r="288" spans="1:17" ht="24.95" customHeight="1" x14ac:dyDescent="0.25">
      <c r="A288" s="17" t="s">
        <v>312</v>
      </c>
      <c r="B288" s="2">
        <v>261</v>
      </c>
      <c r="C288" s="2">
        <v>106</v>
      </c>
      <c r="D288" s="2">
        <v>26.3</v>
      </c>
      <c r="E288" s="2">
        <v>79</v>
      </c>
      <c r="F288" s="2">
        <v>0.7</v>
      </c>
      <c r="H288" s="2">
        <v>108.9</v>
      </c>
      <c r="I288" s="2">
        <v>1960</v>
      </c>
      <c r="J288" s="2">
        <v>140</v>
      </c>
      <c r="K288" s="2">
        <v>213352</v>
      </c>
      <c r="L288" s="2">
        <v>6435</v>
      </c>
      <c r="M288" s="2">
        <v>296.10000000000002</v>
      </c>
      <c r="N288" s="2">
        <v>489.9</v>
      </c>
      <c r="O288" s="2">
        <v>18560</v>
      </c>
      <c r="P288" s="2">
        <v>40.700000000000003</v>
      </c>
      <c r="Q288" s="2" t="s">
        <v>5271</v>
      </c>
    </row>
    <row r="289" spans="1:17" ht="24.95" customHeight="1" x14ac:dyDescent="0.25">
      <c r="A289" s="17" t="s">
        <v>313</v>
      </c>
      <c r="B289" s="2">
        <v>246</v>
      </c>
      <c r="C289" s="2">
        <v>96</v>
      </c>
      <c r="D289" s="2">
        <v>17.7</v>
      </c>
      <c r="E289" s="2">
        <v>79</v>
      </c>
      <c r="F289" s="2">
        <v>-0.7</v>
      </c>
      <c r="H289" s="2">
        <v>98.2</v>
      </c>
      <c r="I289" s="2">
        <v>5021</v>
      </c>
      <c r="J289" s="2">
        <v>191</v>
      </c>
      <c r="K289" s="2">
        <v>493263</v>
      </c>
      <c r="L289" s="2">
        <v>12208</v>
      </c>
      <c r="M289" s="2">
        <v>797.6</v>
      </c>
      <c r="N289" s="2">
        <v>1244.8</v>
      </c>
      <c r="O289" s="2">
        <v>35150</v>
      </c>
      <c r="P289" s="2">
        <v>21.6</v>
      </c>
      <c r="Q289" s="2" t="s">
        <v>5271</v>
      </c>
    </row>
    <row r="290" spans="1:17" ht="24.95" customHeight="1" x14ac:dyDescent="0.25">
      <c r="A290" s="17" t="s">
        <v>326</v>
      </c>
      <c r="B290" s="2">
        <v>234</v>
      </c>
      <c r="C290" s="2">
        <v>96</v>
      </c>
      <c r="D290" s="2">
        <v>14.9</v>
      </c>
      <c r="E290" s="2">
        <v>79</v>
      </c>
      <c r="F290" s="2">
        <v>2.1</v>
      </c>
      <c r="H290" s="2">
        <v>102</v>
      </c>
      <c r="I290" s="2">
        <v>3735</v>
      </c>
      <c r="J290" s="2">
        <v>152</v>
      </c>
      <c r="K290" s="2">
        <v>380882</v>
      </c>
      <c r="L290" s="2">
        <v>13574</v>
      </c>
      <c r="M290" s="2">
        <v>513.6</v>
      </c>
      <c r="N290" s="2">
        <v>985.6</v>
      </c>
      <c r="O290" s="2">
        <v>44130</v>
      </c>
      <c r="P290" s="2">
        <v>50.5</v>
      </c>
      <c r="Q290" s="2" t="s">
        <v>5271</v>
      </c>
    </row>
    <row r="291" spans="1:17" ht="24.95" customHeight="1" x14ac:dyDescent="0.25">
      <c r="A291" s="17" t="s">
        <v>327</v>
      </c>
      <c r="B291" s="2">
        <v>236</v>
      </c>
      <c r="C291" s="2">
        <v>97</v>
      </c>
      <c r="D291" s="2">
        <v>19.3</v>
      </c>
      <c r="E291" s="2">
        <v>79</v>
      </c>
      <c r="F291" s="2">
        <v>-1.3</v>
      </c>
      <c r="H291" s="2">
        <v>99.7</v>
      </c>
      <c r="I291" s="2">
        <v>3851</v>
      </c>
      <c r="J291" s="2">
        <v>113</v>
      </c>
      <c r="K291" s="2">
        <v>383807</v>
      </c>
      <c r="L291" s="2">
        <v>6330</v>
      </c>
      <c r="M291" s="2">
        <v>272.5</v>
      </c>
      <c r="N291" s="2">
        <v>957.7</v>
      </c>
      <c r="O291" s="2">
        <v>18120</v>
      </c>
      <c r="Q291" s="2" t="s">
        <v>5271</v>
      </c>
    </row>
    <row r="292" spans="1:17" ht="24.95" customHeight="1" x14ac:dyDescent="0.25">
      <c r="A292" s="17" t="s">
        <v>306</v>
      </c>
      <c r="B292" s="2">
        <v>265</v>
      </c>
      <c r="C292" s="2">
        <v>104</v>
      </c>
      <c r="D292" s="2">
        <v>23.8</v>
      </c>
      <c r="E292" s="2">
        <v>79</v>
      </c>
      <c r="F292" s="2">
        <v>1.2</v>
      </c>
      <c r="H292" s="2">
        <v>108.6</v>
      </c>
      <c r="I292" s="2">
        <v>9881</v>
      </c>
      <c r="J292" s="2">
        <v>167</v>
      </c>
      <c r="K292" s="2">
        <v>1072728</v>
      </c>
      <c r="L292" s="2">
        <v>31870</v>
      </c>
      <c r="M292" s="2">
        <v>1485</v>
      </c>
      <c r="N292" s="2">
        <v>2573.3000000000002</v>
      </c>
      <c r="O292" s="2">
        <v>102930</v>
      </c>
      <c r="P292" s="2">
        <v>44.5</v>
      </c>
      <c r="Q292" s="2" t="s">
        <v>5271</v>
      </c>
    </row>
    <row r="293" spans="1:17" ht="24.95" customHeight="1" x14ac:dyDescent="0.25">
      <c r="A293" s="17" t="s">
        <v>328</v>
      </c>
      <c r="B293" s="2">
        <v>244</v>
      </c>
      <c r="C293" s="2">
        <v>97</v>
      </c>
      <c r="D293" s="2">
        <v>16.600000000000001</v>
      </c>
      <c r="E293" s="2">
        <v>79</v>
      </c>
      <c r="F293" s="2">
        <v>1.4</v>
      </c>
      <c r="H293" s="2">
        <v>102.5</v>
      </c>
      <c r="I293" s="2">
        <v>1794</v>
      </c>
      <c r="J293" s="2">
        <v>160</v>
      </c>
      <c r="K293" s="2">
        <v>183835</v>
      </c>
      <c r="L293" s="2">
        <v>6227</v>
      </c>
      <c r="M293" s="2">
        <v>234.3</v>
      </c>
      <c r="N293" s="2">
        <v>475.7</v>
      </c>
      <c r="O293" s="2">
        <v>19900</v>
      </c>
      <c r="P293" s="2">
        <v>49.1</v>
      </c>
      <c r="Q293" s="2" t="s">
        <v>5271</v>
      </c>
    </row>
    <row r="294" spans="1:17" ht="24.95" customHeight="1" x14ac:dyDescent="0.25">
      <c r="A294" s="17" t="s">
        <v>329</v>
      </c>
      <c r="B294" s="2">
        <v>254</v>
      </c>
      <c r="C294" s="2">
        <v>102</v>
      </c>
      <c r="D294" s="2">
        <v>22.4</v>
      </c>
      <c r="E294" s="2">
        <v>79</v>
      </c>
      <c r="F294" s="2">
        <v>0.6</v>
      </c>
      <c r="H294" s="2">
        <v>103.1</v>
      </c>
      <c r="I294" s="2">
        <v>6641</v>
      </c>
      <c r="J294" s="2">
        <v>136</v>
      </c>
      <c r="K294" s="2">
        <v>684742</v>
      </c>
      <c r="L294" s="2">
        <v>11683</v>
      </c>
      <c r="M294" s="2">
        <v>663.4</v>
      </c>
      <c r="N294" s="2">
        <v>1583</v>
      </c>
      <c r="O294" s="2">
        <v>39110</v>
      </c>
      <c r="P294" s="2">
        <v>4.9000000000000004</v>
      </c>
      <c r="Q294" s="2" t="s">
        <v>5271</v>
      </c>
    </row>
    <row r="295" spans="1:17" ht="24.95" customHeight="1" x14ac:dyDescent="0.25">
      <c r="A295" s="17" t="s">
        <v>330</v>
      </c>
      <c r="B295" s="2">
        <v>238</v>
      </c>
      <c r="C295" s="2">
        <v>94</v>
      </c>
      <c r="D295" s="2">
        <v>15</v>
      </c>
      <c r="E295" s="2">
        <v>79</v>
      </c>
      <c r="H295" s="2">
        <v>98.1</v>
      </c>
      <c r="I295" s="2">
        <v>12981</v>
      </c>
      <c r="J295" s="2">
        <v>178</v>
      </c>
      <c r="K295" s="2">
        <v>1273892</v>
      </c>
      <c r="L295" s="2">
        <v>32413</v>
      </c>
      <c r="M295" s="2">
        <v>2078</v>
      </c>
      <c r="N295" s="2">
        <v>3200.7</v>
      </c>
      <c r="O295" s="2">
        <v>99140</v>
      </c>
      <c r="P295" s="2">
        <v>29.1</v>
      </c>
      <c r="Q295" s="2" t="s">
        <v>5271</v>
      </c>
    </row>
    <row r="296" spans="1:17" ht="24.95" customHeight="1" x14ac:dyDescent="0.25">
      <c r="A296" s="17" t="s">
        <v>6741</v>
      </c>
      <c r="B296" s="2">
        <v>188</v>
      </c>
      <c r="C296" s="2">
        <v>81</v>
      </c>
      <c r="I296" s="2">
        <v>76000</v>
      </c>
      <c r="J296" s="2">
        <v>143</v>
      </c>
      <c r="K296" s="2">
        <v>6156000</v>
      </c>
      <c r="L296" s="2">
        <v>177989</v>
      </c>
      <c r="M296" s="2">
        <v>11390.6</v>
      </c>
      <c r="N296" s="2">
        <v>18704.7</v>
      </c>
      <c r="O296" s="2">
        <v>536490</v>
      </c>
      <c r="P296" s="2">
        <v>20.9</v>
      </c>
    </row>
    <row r="297" spans="1:17" ht="24.95" customHeight="1" x14ac:dyDescent="0.25">
      <c r="A297" s="17" t="s">
        <v>333</v>
      </c>
      <c r="B297" s="2">
        <v>270</v>
      </c>
      <c r="C297" s="2">
        <v>116</v>
      </c>
      <c r="D297" s="2">
        <v>30.7</v>
      </c>
      <c r="E297" s="2">
        <v>84</v>
      </c>
      <c r="F297" s="2">
        <v>1.3</v>
      </c>
      <c r="I297" s="2">
        <v>2529</v>
      </c>
      <c r="J297" s="2">
        <v>114</v>
      </c>
      <c r="K297" s="2">
        <v>293364</v>
      </c>
      <c r="L297" s="2">
        <v>4958</v>
      </c>
      <c r="M297" s="2">
        <v>279</v>
      </c>
      <c r="N297" s="2">
        <v>623.79999999999995</v>
      </c>
      <c r="O297" s="2">
        <v>15650</v>
      </c>
      <c r="P297" s="2">
        <v>9.9</v>
      </c>
      <c r="Q297" s="2" t="s">
        <v>5268</v>
      </c>
    </row>
    <row r="298" spans="1:17" ht="24.95" customHeight="1" x14ac:dyDescent="0.25">
      <c r="A298" s="17" t="s">
        <v>334</v>
      </c>
      <c r="B298" s="2">
        <v>288</v>
      </c>
      <c r="C298" s="2">
        <v>126</v>
      </c>
      <c r="D298" s="2">
        <v>41</v>
      </c>
      <c r="E298" s="2">
        <v>83.5</v>
      </c>
      <c r="F298" s="2">
        <v>1.5</v>
      </c>
      <c r="I298" s="2">
        <v>1231</v>
      </c>
      <c r="J298" s="2">
        <v>100</v>
      </c>
      <c r="K298" s="2">
        <v>155106</v>
      </c>
      <c r="L298" s="2">
        <v>3378</v>
      </c>
      <c r="M298" s="2">
        <v>164.6</v>
      </c>
      <c r="N298" s="2">
        <v>311.10000000000002</v>
      </c>
      <c r="O298" s="2">
        <v>10820</v>
      </c>
      <c r="P298" s="2">
        <v>35.5</v>
      </c>
      <c r="Q298" s="2" t="s">
        <v>5268</v>
      </c>
    </row>
    <row r="299" spans="1:17" ht="24.95" customHeight="1" x14ac:dyDescent="0.25">
      <c r="A299" s="17" t="s">
        <v>5318</v>
      </c>
      <c r="B299" s="2">
        <v>276</v>
      </c>
      <c r="C299" s="2">
        <v>114</v>
      </c>
      <c r="D299" s="2">
        <v>26.4</v>
      </c>
      <c r="E299" s="2">
        <v>86</v>
      </c>
      <c r="F299" s="2">
        <v>1.6</v>
      </c>
      <c r="I299" s="2">
        <v>789</v>
      </c>
      <c r="J299" s="2">
        <v>114</v>
      </c>
      <c r="K299" s="2">
        <v>89946</v>
      </c>
      <c r="L299" s="2">
        <v>1912</v>
      </c>
      <c r="M299" s="2">
        <v>107.6</v>
      </c>
      <c r="N299" s="2">
        <v>182.3</v>
      </c>
      <c r="O299" s="2">
        <v>6360</v>
      </c>
      <c r="P299" s="2">
        <v>31.3</v>
      </c>
      <c r="Q299" s="2" t="s">
        <v>5268</v>
      </c>
    </row>
    <row r="300" spans="1:17" ht="24.95" customHeight="1" x14ac:dyDescent="0.25">
      <c r="A300" s="17" t="s">
        <v>6742</v>
      </c>
      <c r="B300" s="2">
        <v>264</v>
      </c>
      <c r="C300" s="2">
        <v>114</v>
      </c>
      <c r="D300" s="2">
        <v>26.5</v>
      </c>
      <c r="E300" s="2">
        <v>86</v>
      </c>
      <c r="F300" s="2">
        <v>1.5</v>
      </c>
      <c r="I300" s="2">
        <v>355</v>
      </c>
      <c r="J300" s="2">
        <v>137</v>
      </c>
      <c r="K300" s="2">
        <v>40470</v>
      </c>
      <c r="L300" s="2">
        <v>939</v>
      </c>
      <c r="M300" s="2">
        <v>36.6</v>
      </c>
      <c r="N300" s="2">
        <v>87.8</v>
      </c>
      <c r="O300" s="2">
        <v>2880</v>
      </c>
      <c r="P300" s="2">
        <v>31.5</v>
      </c>
      <c r="Q300" s="2" t="s">
        <v>5268</v>
      </c>
    </row>
    <row r="301" spans="1:17" ht="24.95" customHeight="1" x14ac:dyDescent="0.25">
      <c r="A301" s="17" t="s">
        <v>337</v>
      </c>
      <c r="B301" s="2">
        <v>286</v>
      </c>
      <c r="C301" s="2">
        <v>126</v>
      </c>
      <c r="D301" s="2">
        <v>38.5</v>
      </c>
      <c r="E301" s="2">
        <v>86</v>
      </c>
      <c r="F301" s="2">
        <v>1.5</v>
      </c>
      <c r="I301" s="2">
        <v>672</v>
      </c>
      <c r="J301" s="2">
        <v>138</v>
      </c>
      <c r="K301" s="2">
        <v>84672</v>
      </c>
      <c r="L301" s="2">
        <v>1230</v>
      </c>
      <c r="M301" s="2">
        <v>74.599999999999994</v>
      </c>
      <c r="N301" s="2">
        <v>166</v>
      </c>
      <c r="O301" s="2">
        <v>4550</v>
      </c>
      <c r="P301" s="2">
        <v>11.6</v>
      </c>
      <c r="Q301" s="2" t="s">
        <v>5268</v>
      </c>
    </row>
    <row r="302" spans="1:17" ht="24.95" customHeight="1" x14ac:dyDescent="0.25">
      <c r="A302" s="17" t="s">
        <v>338</v>
      </c>
      <c r="B302" s="2">
        <v>284</v>
      </c>
      <c r="C302" s="2">
        <v>124</v>
      </c>
      <c r="D302" s="2">
        <v>35.9</v>
      </c>
      <c r="E302" s="2">
        <v>86</v>
      </c>
      <c r="F302" s="2">
        <v>2.1</v>
      </c>
      <c r="I302" s="2">
        <v>437</v>
      </c>
      <c r="J302" s="2">
        <v>111</v>
      </c>
      <c r="K302" s="2">
        <v>54188</v>
      </c>
      <c r="L302" s="2">
        <v>1260</v>
      </c>
      <c r="M302" s="2">
        <v>61</v>
      </c>
      <c r="N302" s="2">
        <v>108.2</v>
      </c>
      <c r="O302" s="2">
        <v>3800</v>
      </c>
      <c r="P302" s="2">
        <v>41.9</v>
      </c>
      <c r="Q302" s="2" t="s">
        <v>5268</v>
      </c>
    </row>
    <row r="303" spans="1:17" ht="24.95" customHeight="1" x14ac:dyDescent="0.25">
      <c r="A303" s="17" t="s">
        <v>339</v>
      </c>
      <c r="B303" s="2">
        <v>276</v>
      </c>
      <c r="C303" s="2">
        <v>122</v>
      </c>
      <c r="D303" s="2">
        <v>34.299999999999997</v>
      </c>
      <c r="E303" s="2">
        <v>86</v>
      </c>
      <c r="F303" s="2">
        <v>1.7</v>
      </c>
      <c r="I303" s="2">
        <v>305</v>
      </c>
      <c r="J303" s="2">
        <v>82</v>
      </c>
      <c r="K303" s="2">
        <v>37210</v>
      </c>
      <c r="L303" s="2">
        <v>947</v>
      </c>
      <c r="M303" s="2">
        <v>39.5</v>
      </c>
      <c r="N303" s="2">
        <v>78.3</v>
      </c>
      <c r="O303" s="2">
        <v>2950</v>
      </c>
      <c r="P303" s="2">
        <v>40.5</v>
      </c>
      <c r="Q303" s="2" t="s">
        <v>5268</v>
      </c>
    </row>
    <row r="304" spans="1:17" ht="24.95" customHeight="1" x14ac:dyDescent="0.25">
      <c r="A304" s="17" t="s">
        <v>5319</v>
      </c>
      <c r="B304" s="2">
        <v>288</v>
      </c>
      <c r="C304" s="2">
        <v>120</v>
      </c>
      <c r="D304" s="2">
        <v>33.200000000000003</v>
      </c>
      <c r="E304" s="2">
        <v>85.5</v>
      </c>
      <c r="F304" s="2">
        <v>1.3</v>
      </c>
      <c r="I304" s="2">
        <v>1860</v>
      </c>
      <c r="J304" s="2">
        <v>142</v>
      </c>
      <c r="K304" s="2">
        <v>223200</v>
      </c>
      <c r="L304" s="2">
        <v>4219</v>
      </c>
      <c r="M304" s="2">
        <v>221.1</v>
      </c>
      <c r="N304" s="2">
        <v>452.9</v>
      </c>
      <c r="O304" s="2">
        <v>12770</v>
      </c>
      <c r="P304" s="2">
        <v>21.9</v>
      </c>
      <c r="Q304" s="2" t="s">
        <v>5268</v>
      </c>
    </row>
    <row r="305" spans="1:17" ht="24.95" customHeight="1" x14ac:dyDescent="0.25">
      <c r="A305" s="17" t="s">
        <v>341</v>
      </c>
      <c r="B305" s="2">
        <v>290</v>
      </c>
      <c r="C305" s="2">
        <v>124</v>
      </c>
      <c r="D305" s="2">
        <v>40.6</v>
      </c>
      <c r="E305" s="2">
        <v>82</v>
      </c>
      <c r="F305" s="2">
        <v>1.4</v>
      </c>
      <c r="I305" s="2">
        <v>10350</v>
      </c>
      <c r="J305" s="2">
        <v>135</v>
      </c>
      <c r="K305" s="2">
        <v>1283400</v>
      </c>
      <c r="L305" s="2">
        <v>16116</v>
      </c>
      <c r="M305" s="2">
        <v>1397.7</v>
      </c>
      <c r="N305" s="2">
        <v>2530</v>
      </c>
      <c r="O305" s="2">
        <v>51700</v>
      </c>
      <c r="Q305" s="2" t="s">
        <v>5268</v>
      </c>
    </row>
    <row r="306" spans="1:17" ht="24.95" customHeight="1" x14ac:dyDescent="0.25">
      <c r="A306" s="17" t="s">
        <v>342</v>
      </c>
      <c r="B306" s="2">
        <v>300</v>
      </c>
      <c r="C306" s="2">
        <v>128</v>
      </c>
      <c r="D306" s="2">
        <v>40.700000000000003</v>
      </c>
      <c r="E306" s="2">
        <v>86</v>
      </c>
      <c r="F306" s="2">
        <v>1.4</v>
      </c>
      <c r="I306" s="2">
        <v>800</v>
      </c>
      <c r="J306" s="2">
        <v>144</v>
      </c>
      <c r="K306" s="2">
        <v>102400</v>
      </c>
      <c r="L306" s="2">
        <v>1871</v>
      </c>
      <c r="M306" s="2">
        <v>105.5</v>
      </c>
      <c r="N306" s="2">
        <v>199.1</v>
      </c>
      <c r="O306" s="2">
        <v>5880</v>
      </c>
      <c r="P306" s="2">
        <v>24.5</v>
      </c>
      <c r="Q306" s="2" t="s">
        <v>5268</v>
      </c>
    </row>
    <row r="307" spans="1:17" ht="24.95" customHeight="1" x14ac:dyDescent="0.25">
      <c r="A307" s="17" t="s">
        <v>343</v>
      </c>
      <c r="B307" s="2">
        <v>304</v>
      </c>
      <c r="C307" s="2">
        <v>130</v>
      </c>
      <c r="D307" s="2">
        <v>40.9</v>
      </c>
      <c r="E307" s="2">
        <v>86</v>
      </c>
      <c r="F307" s="2">
        <v>3.1</v>
      </c>
      <c r="I307" s="2">
        <v>285</v>
      </c>
      <c r="J307" s="2">
        <v>138</v>
      </c>
      <c r="K307" s="2">
        <v>37050</v>
      </c>
      <c r="L307" s="2">
        <v>886</v>
      </c>
      <c r="M307" s="2">
        <v>43.8</v>
      </c>
      <c r="N307" s="2">
        <v>75.8</v>
      </c>
      <c r="O307" s="2">
        <v>2720</v>
      </c>
      <c r="P307" s="2">
        <v>39.1</v>
      </c>
      <c r="Q307" s="2" t="s">
        <v>5270</v>
      </c>
    </row>
    <row r="308" spans="1:17" ht="24.95" customHeight="1" x14ac:dyDescent="0.25">
      <c r="A308" s="17" t="s">
        <v>344</v>
      </c>
      <c r="B308" s="2">
        <v>270</v>
      </c>
      <c r="C308" s="2">
        <v>109</v>
      </c>
      <c r="D308" s="2">
        <v>22.5</v>
      </c>
      <c r="E308" s="2">
        <v>85.5</v>
      </c>
      <c r="F308" s="2">
        <v>1</v>
      </c>
      <c r="I308" s="2">
        <v>1857</v>
      </c>
      <c r="J308" s="2">
        <v>179</v>
      </c>
      <c r="K308" s="2">
        <v>202413</v>
      </c>
      <c r="L308" s="2">
        <v>4242</v>
      </c>
      <c r="M308" s="2">
        <v>291.89999999999998</v>
      </c>
      <c r="N308" s="2">
        <v>451.6</v>
      </c>
      <c r="O308" s="2">
        <v>10870</v>
      </c>
      <c r="P308" s="2">
        <v>7.1</v>
      </c>
      <c r="Q308" s="2" t="s">
        <v>5270</v>
      </c>
    </row>
    <row r="309" spans="1:17" ht="24.95" customHeight="1" x14ac:dyDescent="0.25">
      <c r="A309" s="17" t="s">
        <v>345</v>
      </c>
      <c r="B309" s="2">
        <v>256</v>
      </c>
      <c r="C309" s="2">
        <v>106</v>
      </c>
      <c r="D309" s="2">
        <v>18.5</v>
      </c>
      <c r="E309" s="2">
        <v>86</v>
      </c>
      <c r="F309" s="2">
        <v>1.5</v>
      </c>
      <c r="I309" s="2">
        <v>355</v>
      </c>
      <c r="J309" s="2">
        <v>129</v>
      </c>
      <c r="K309" s="2">
        <v>37630</v>
      </c>
      <c r="L309" s="2">
        <v>904</v>
      </c>
      <c r="M309" s="2">
        <v>41.5</v>
      </c>
      <c r="N309" s="2">
        <v>90.2</v>
      </c>
      <c r="O309" s="2">
        <v>2520</v>
      </c>
      <c r="P309" s="2">
        <v>21</v>
      </c>
      <c r="Q309" s="2" t="s">
        <v>5270</v>
      </c>
    </row>
    <row r="310" spans="1:17" ht="24.95" customHeight="1" x14ac:dyDescent="0.25">
      <c r="A310" s="17" t="s">
        <v>346</v>
      </c>
      <c r="B310" s="2">
        <v>264</v>
      </c>
      <c r="C310" s="2">
        <v>112</v>
      </c>
      <c r="D310" s="2">
        <v>24.8</v>
      </c>
      <c r="E310" s="2">
        <v>86</v>
      </c>
      <c r="F310" s="2">
        <v>1.2</v>
      </c>
      <c r="I310" s="2">
        <v>901</v>
      </c>
      <c r="J310" s="2">
        <v>172</v>
      </c>
      <c r="K310" s="2">
        <v>100912</v>
      </c>
      <c r="L310" s="2">
        <v>1482</v>
      </c>
      <c r="M310" s="2">
        <v>168.4</v>
      </c>
      <c r="N310" s="2">
        <v>221.9</v>
      </c>
      <c r="O310" s="2">
        <v>3720</v>
      </c>
      <c r="Q310" s="2" t="s">
        <v>5270</v>
      </c>
    </row>
    <row r="311" spans="1:17" ht="24.95" customHeight="1" x14ac:dyDescent="0.25">
      <c r="A311" s="17" t="s">
        <v>347</v>
      </c>
      <c r="B311" s="2">
        <v>272</v>
      </c>
      <c r="C311" s="2">
        <v>114</v>
      </c>
      <c r="D311" s="2">
        <v>26.9</v>
      </c>
      <c r="E311" s="2">
        <v>86</v>
      </c>
      <c r="F311" s="2">
        <v>1.1000000000000001</v>
      </c>
      <c r="I311" s="2">
        <v>676</v>
      </c>
      <c r="J311" s="2">
        <v>168</v>
      </c>
      <c r="K311" s="2">
        <v>77064</v>
      </c>
      <c r="L311" s="2">
        <v>1456</v>
      </c>
      <c r="M311" s="2">
        <v>76.2</v>
      </c>
      <c r="N311" s="2">
        <v>166.4</v>
      </c>
      <c r="O311" s="2">
        <v>4420</v>
      </c>
      <c r="P311" s="2">
        <v>16</v>
      </c>
      <c r="Q311" s="2" t="s">
        <v>5270</v>
      </c>
    </row>
    <row r="312" spans="1:17" ht="24.95" customHeight="1" x14ac:dyDescent="0.25">
      <c r="A312" s="17" t="s">
        <v>348</v>
      </c>
      <c r="B312" s="2">
        <v>288</v>
      </c>
      <c r="C312" s="2">
        <v>116</v>
      </c>
      <c r="D312" s="2">
        <v>28.9</v>
      </c>
      <c r="E312" s="2">
        <v>86</v>
      </c>
      <c r="F312" s="2">
        <v>1.1000000000000001</v>
      </c>
      <c r="I312" s="2">
        <v>1117</v>
      </c>
      <c r="J312" s="2">
        <v>149</v>
      </c>
      <c r="K312" s="2">
        <v>129572</v>
      </c>
      <c r="L312" s="2">
        <v>2414</v>
      </c>
      <c r="M312" s="2">
        <v>166.4</v>
      </c>
      <c r="N312" s="2">
        <v>266.3</v>
      </c>
      <c r="O312" s="2">
        <v>7530</v>
      </c>
      <c r="P312" s="2">
        <v>17.3</v>
      </c>
      <c r="Q312" s="2" t="s">
        <v>5270</v>
      </c>
    </row>
    <row r="313" spans="1:17" ht="24.95" customHeight="1" x14ac:dyDescent="0.25">
      <c r="A313" s="17" t="s">
        <v>349</v>
      </c>
      <c r="B313" s="2">
        <v>296</v>
      </c>
      <c r="C313" s="2">
        <v>130</v>
      </c>
      <c r="D313" s="2">
        <v>42.6</v>
      </c>
      <c r="E313" s="2">
        <v>86</v>
      </c>
      <c r="F313" s="2">
        <v>1.4</v>
      </c>
      <c r="I313" s="2">
        <v>3730</v>
      </c>
      <c r="J313" s="2">
        <v>141</v>
      </c>
      <c r="K313" s="2">
        <v>484900</v>
      </c>
      <c r="L313" s="2">
        <v>7249</v>
      </c>
      <c r="M313" s="2">
        <v>598.70000000000005</v>
      </c>
      <c r="N313" s="2">
        <v>925.8</v>
      </c>
      <c r="O313" s="2">
        <v>19890</v>
      </c>
      <c r="Q313" s="2" t="s">
        <v>5270</v>
      </c>
    </row>
    <row r="314" spans="1:17" ht="24.95" customHeight="1" x14ac:dyDescent="0.25">
      <c r="A314" s="17" t="s">
        <v>350</v>
      </c>
      <c r="B314" s="2">
        <v>306</v>
      </c>
      <c r="C314" s="2">
        <v>130</v>
      </c>
      <c r="D314" s="2">
        <v>42.4</v>
      </c>
      <c r="E314" s="2">
        <v>86</v>
      </c>
      <c r="F314" s="2">
        <v>1.6</v>
      </c>
      <c r="I314" s="2">
        <v>196</v>
      </c>
      <c r="J314" s="2">
        <v>92</v>
      </c>
      <c r="K314" s="2">
        <v>25480</v>
      </c>
      <c r="L314" s="2">
        <v>503</v>
      </c>
      <c r="M314" s="2">
        <v>23.2</v>
      </c>
      <c r="N314" s="2">
        <v>48.5</v>
      </c>
      <c r="O314" s="2">
        <v>1580</v>
      </c>
      <c r="P314" s="2">
        <v>29.1</v>
      </c>
      <c r="Q314" s="2" t="s">
        <v>5270</v>
      </c>
    </row>
    <row r="315" spans="1:17" ht="24.95" customHeight="1" x14ac:dyDescent="0.25">
      <c r="A315" s="17" t="s">
        <v>351</v>
      </c>
      <c r="B315" s="2">
        <v>312</v>
      </c>
      <c r="C315" s="2">
        <v>140</v>
      </c>
      <c r="D315" s="2">
        <v>52.6</v>
      </c>
      <c r="E315" s="2">
        <v>86</v>
      </c>
      <c r="F315" s="2">
        <v>1.4</v>
      </c>
      <c r="I315" s="2">
        <v>1276</v>
      </c>
      <c r="J315" s="2">
        <v>100</v>
      </c>
      <c r="K315" s="2">
        <v>178640</v>
      </c>
      <c r="L315" s="2">
        <v>2580</v>
      </c>
      <c r="M315" s="2">
        <v>147.19999999999999</v>
      </c>
      <c r="N315" s="2">
        <v>321</v>
      </c>
      <c r="O315" s="2">
        <v>8510</v>
      </c>
      <c r="P315" s="2">
        <v>15.1</v>
      </c>
      <c r="Q315" s="2" t="s">
        <v>5270</v>
      </c>
    </row>
    <row r="316" spans="1:17" ht="24.95" customHeight="1" x14ac:dyDescent="0.25">
      <c r="A316" s="17" t="s">
        <v>352</v>
      </c>
      <c r="B316" s="2">
        <v>274</v>
      </c>
      <c r="C316" s="2">
        <v>124</v>
      </c>
      <c r="D316" s="2">
        <v>36.9</v>
      </c>
      <c r="E316" s="2">
        <v>86</v>
      </c>
      <c r="F316" s="2">
        <v>1.1000000000000001</v>
      </c>
      <c r="I316" s="2">
        <v>494</v>
      </c>
      <c r="J316" s="2">
        <v>141</v>
      </c>
      <c r="K316" s="2">
        <v>61256</v>
      </c>
      <c r="L316" s="2">
        <v>1049</v>
      </c>
      <c r="M316" s="2">
        <v>59.6</v>
      </c>
      <c r="N316" s="2">
        <v>120.1</v>
      </c>
      <c r="O316" s="2">
        <v>3210</v>
      </c>
      <c r="P316" s="2">
        <v>15.7</v>
      </c>
      <c r="Q316" s="2" t="s">
        <v>5270</v>
      </c>
    </row>
    <row r="317" spans="1:17" ht="24.95" customHeight="1" x14ac:dyDescent="0.25">
      <c r="A317" s="17" t="s">
        <v>353</v>
      </c>
      <c r="B317" s="2">
        <v>306</v>
      </c>
      <c r="C317" s="2">
        <v>127</v>
      </c>
      <c r="D317" s="2">
        <v>41</v>
      </c>
      <c r="E317" s="2">
        <v>86</v>
      </c>
      <c r="I317" s="2">
        <v>226</v>
      </c>
      <c r="J317" s="2">
        <v>100</v>
      </c>
      <c r="K317" s="2">
        <v>28702</v>
      </c>
      <c r="L317" s="2">
        <v>501</v>
      </c>
      <c r="M317" s="2">
        <v>22.3</v>
      </c>
      <c r="N317" s="2">
        <v>57.3</v>
      </c>
      <c r="O317" s="2">
        <v>1700</v>
      </c>
      <c r="P317" s="2">
        <v>23.9</v>
      </c>
      <c r="Q317" s="2" t="s">
        <v>5270</v>
      </c>
    </row>
    <row r="318" spans="1:17" ht="24.95" customHeight="1" x14ac:dyDescent="0.25">
      <c r="A318" s="17" t="s">
        <v>354</v>
      </c>
      <c r="B318" s="2">
        <v>286</v>
      </c>
      <c r="C318" s="2">
        <v>126</v>
      </c>
      <c r="D318" s="2">
        <v>41.2</v>
      </c>
      <c r="E318" s="2">
        <v>83.5</v>
      </c>
      <c r="F318" s="2">
        <v>1.3</v>
      </c>
      <c r="I318" s="2">
        <v>2800</v>
      </c>
      <c r="J318" s="2">
        <v>130</v>
      </c>
      <c r="K318" s="2">
        <v>352800</v>
      </c>
      <c r="L318" s="2">
        <v>5622</v>
      </c>
      <c r="M318" s="2">
        <v>369.7</v>
      </c>
      <c r="N318" s="2">
        <v>686</v>
      </c>
      <c r="O318" s="2">
        <v>18080</v>
      </c>
      <c r="P318" s="2">
        <v>13.1</v>
      </c>
      <c r="Q318" s="2" t="s">
        <v>5270</v>
      </c>
    </row>
    <row r="319" spans="1:17" ht="24.95" customHeight="1" x14ac:dyDescent="0.25">
      <c r="A319" s="17" t="s">
        <v>355</v>
      </c>
      <c r="B319" s="2">
        <v>274</v>
      </c>
      <c r="C319" s="2">
        <v>114</v>
      </c>
      <c r="D319" s="2">
        <v>26.5</v>
      </c>
      <c r="E319" s="2">
        <v>86</v>
      </c>
      <c r="F319" s="2">
        <v>1.5</v>
      </c>
      <c r="I319" s="2">
        <v>800</v>
      </c>
      <c r="J319" s="2">
        <v>134</v>
      </c>
      <c r="K319" s="2">
        <v>91200</v>
      </c>
      <c r="L319" s="2">
        <v>2365</v>
      </c>
      <c r="M319" s="2">
        <v>138.9</v>
      </c>
      <c r="N319" s="2">
        <v>199.2</v>
      </c>
      <c r="O319" s="2">
        <v>6530</v>
      </c>
      <c r="P319" s="2">
        <v>32.4</v>
      </c>
      <c r="Q319" s="2" t="s">
        <v>5270</v>
      </c>
    </row>
    <row r="320" spans="1:17" ht="24.95" customHeight="1" x14ac:dyDescent="0.25">
      <c r="A320" s="17" t="s">
        <v>5350</v>
      </c>
      <c r="B320" s="2">
        <v>270</v>
      </c>
      <c r="C320" s="2">
        <v>114</v>
      </c>
      <c r="D320" s="2">
        <v>26.6</v>
      </c>
      <c r="E320" s="2">
        <v>86</v>
      </c>
      <c r="F320" s="2">
        <v>1.4</v>
      </c>
      <c r="I320" s="2">
        <v>580</v>
      </c>
      <c r="J320" s="2">
        <v>190</v>
      </c>
      <c r="K320" s="2">
        <v>66120</v>
      </c>
      <c r="L320" s="2">
        <v>1499</v>
      </c>
      <c r="M320" s="2">
        <v>97.6</v>
      </c>
      <c r="N320" s="2">
        <v>142.6</v>
      </c>
      <c r="O320" s="2">
        <v>4080</v>
      </c>
      <c r="P320" s="2">
        <v>23.2</v>
      </c>
      <c r="Q320" s="2" t="s">
        <v>5270</v>
      </c>
    </row>
    <row r="321" spans="1:17" ht="24.95" customHeight="1" x14ac:dyDescent="0.25">
      <c r="A321" s="17" t="s">
        <v>357</v>
      </c>
      <c r="B321" s="2">
        <v>288</v>
      </c>
      <c r="C321" s="2">
        <v>124</v>
      </c>
      <c r="D321" s="2">
        <v>37.4</v>
      </c>
      <c r="E321" s="2">
        <v>85.5</v>
      </c>
      <c r="F321" s="2">
        <v>1.1000000000000001</v>
      </c>
      <c r="I321" s="2">
        <v>6380</v>
      </c>
      <c r="J321" s="2">
        <v>165</v>
      </c>
      <c r="K321" s="2">
        <v>791120</v>
      </c>
      <c r="L321" s="2">
        <v>10579</v>
      </c>
      <c r="M321" s="2">
        <v>949.6</v>
      </c>
      <c r="N321" s="2">
        <v>1542.1</v>
      </c>
      <c r="O321" s="2">
        <v>29810</v>
      </c>
      <c r="Q321" s="2" t="s">
        <v>5270</v>
      </c>
    </row>
    <row r="322" spans="1:17" ht="24.95" customHeight="1" x14ac:dyDescent="0.25">
      <c r="A322" s="17" t="s">
        <v>358</v>
      </c>
      <c r="B322" s="2">
        <v>294</v>
      </c>
      <c r="C322" s="2">
        <v>128</v>
      </c>
      <c r="D322" s="2">
        <v>41</v>
      </c>
      <c r="E322" s="2">
        <v>86</v>
      </c>
      <c r="F322" s="2">
        <v>1</v>
      </c>
      <c r="I322" s="2">
        <v>430</v>
      </c>
      <c r="J322" s="2">
        <v>151</v>
      </c>
      <c r="K322" s="2">
        <v>55040</v>
      </c>
      <c r="L322" s="2">
        <v>939</v>
      </c>
      <c r="M322" s="2">
        <v>71.599999999999994</v>
      </c>
      <c r="N322" s="2">
        <v>108.6</v>
      </c>
      <c r="O322" s="2">
        <v>2370</v>
      </c>
      <c r="Q322" s="2" t="s">
        <v>5270</v>
      </c>
    </row>
    <row r="323" spans="1:17" ht="24.95" customHeight="1" x14ac:dyDescent="0.25">
      <c r="A323" s="17" t="s">
        <v>359</v>
      </c>
      <c r="B323" s="2">
        <v>312</v>
      </c>
      <c r="C323" s="2">
        <v>131</v>
      </c>
      <c r="D323" s="2">
        <v>44</v>
      </c>
      <c r="E323" s="2">
        <v>86</v>
      </c>
      <c r="F323" s="2">
        <v>1</v>
      </c>
      <c r="I323" s="2">
        <v>755</v>
      </c>
      <c r="J323" s="2">
        <v>178</v>
      </c>
      <c r="K323" s="2">
        <v>98905</v>
      </c>
      <c r="L323" s="2">
        <v>1303</v>
      </c>
      <c r="M323" s="2">
        <v>119.1</v>
      </c>
      <c r="N323" s="2">
        <v>185.3</v>
      </c>
      <c r="O323" s="2">
        <v>3360</v>
      </c>
      <c r="Q323" s="2" t="s">
        <v>5270</v>
      </c>
    </row>
    <row r="324" spans="1:17" ht="24.95" customHeight="1" x14ac:dyDescent="0.25">
      <c r="A324" s="17" t="s">
        <v>360</v>
      </c>
      <c r="B324" s="2">
        <v>301</v>
      </c>
      <c r="C324" s="2">
        <v>128</v>
      </c>
      <c r="D324" s="2">
        <v>40.799999999999997</v>
      </c>
      <c r="E324" s="2">
        <v>86</v>
      </c>
      <c r="F324" s="2">
        <v>1.2</v>
      </c>
      <c r="I324" s="2">
        <v>2276</v>
      </c>
      <c r="J324" s="2">
        <v>163</v>
      </c>
      <c r="K324" s="2">
        <v>291328</v>
      </c>
      <c r="L324" s="2">
        <v>3968</v>
      </c>
      <c r="M324" s="2">
        <v>364.8</v>
      </c>
      <c r="N324" s="2">
        <v>556.9</v>
      </c>
      <c r="O324" s="2">
        <v>10220</v>
      </c>
      <c r="Q324" s="2" t="s">
        <v>5270</v>
      </c>
    </row>
    <row r="325" spans="1:17" ht="24.95" customHeight="1" x14ac:dyDescent="0.25">
      <c r="A325" s="17" t="s">
        <v>361</v>
      </c>
      <c r="B325" s="2">
        <v>254</v>
      </c>
      <c r="C325" s="2">
        <v>107</v>
      </c>
      <c r="D325" s="2">
        <v>19.899999999999999</v>
      </c>
      <c r="E325" s="2">
        <v>86</v>
      </c>
      <c r="F325" s="2">
        <v>1.1000000000000001</v>
      </c>
      <c r="I325" s="2">
        <v>949</v>
      </c>
      <c r="J325" s="2">
        <v>148</v>
      </c>
      <c r="K325" s="2">
        <v>101543</v>
      </c>
      <c r="L325" s="2">
        <v>2069</v>
      </c>
      <c r="M325" s="2">
        <v>133.4</v>
      </c>
      <c r="N325" s="2">
        <v>236.4</v>
      </c>
      <c r="O325" s="2">
        <v>6310</v>
      </c>
      <c r="P325" s="2">
        <v>14.8</v>
      </c>
      <c r="Q325" s="2" t="s">
        <v>5270</v>
      </c>
    </row>
    <row r="326" spans="1:17" ht="24.95" customHeight="1" x14ac:dyDescent="0.25">
      <c r="A326" s="17" t="s">
        <v>362</v>
      </c>
      <c r="B326" s="2">
        <v>304</v>
      </c>
      <c r="C326" s="2">
        <v>130</v>
      </c>
      <c r="D326" s="2">
        <v>43</v>
      </c>
      <c r="E326" s="2">
        <v>86</v>
      </c>
      <c r="F326" s="2">
        <v>1</v>
      </c>
      <c r="I326" s="2">
        <v>1707</v>
      </c>
      <c r="J326" s="2">
        <v>145</v>
      </c>
      <c r="K326" s="2">
        <v>221910</v>
      </c>
      <c r="L326" s="2">
        <v>3746</v>
      </c>
      <c r="M326" s="2">
        <v>270.10000000000002</v>
      </c>
      <c r="N326" s="2">
        <v>419.1</v>
      </c>
      <c r="O326" s="2">
        <v>11230</v>
      </c>
      <c r="P326" s="2">
        <v>11.4</v>
      </c>
      <c r="Q326" s="2" t="s">
        <v>5270</v>
      </c>
    </row>
    <row r="327" spans="1:17" ht="24.95" customHeight="1" x14ac:dyDescent="0.25">
      <c r="A327" s="17" t="s">
        <v>364</v>
      </c>
      <c r="B327" s="2">
        <v>255</v>
      </c>
      <c r="C327" s="2">
        <v>106</v>
      </c>
      <c r="D327" s="2">
        <v>17.899999999999999</v>
      </c>
      <c r="E327" s="2">
        <v>86</v>
      </c>
      <c r="F327" s="2">
        <v>2.1</v>
      </c>
      <c r="H327" s="2">
        <v>110.7</v>
      </c>
      <c r="I327" s="2">
        <v>1997</v>
      </c>
      <c r="J327" s="2">
        <v>175</v>
      </c>
      <c r="K327" s="2">
        <v>221040</v>
      </c>
      <c r="L327" s="2">
        <v>5027</v>
      </c>
      <c r="M327" s="2">
        <v>316.60000000000002</v>
      </c>
      <c r="N327" s="2">
        <v>490.6</v>
      </c>
      <c r="O327" s="2">
        <v>14510</v>
      </c>
      <c r="P327" s="2">
        <v>24.4</v>
      </c>
      <c r="Q327" s="2" t="s">
        <v>5271</v>
      </c>
    </row>
    <row r="328" spans="1:17" ht="24.95" customHeight="1" x14ac:dyDescent="0.25">
      <c r="A328" s="17" t="s">
        <v>333</v>
      </c>
      <c r="B328" s="2">
        <v>260</v>
      </c>
      <c r="C328" s="2">
        <v>110</v>
      </c>
      <c r="D328" s="2">
        <v>21.8</v>
      </c>
      <c r="E328" s="2">
        <v>86</v>
      </c>
      <c r="F328" s="2">
        <v>2.2000000000000002</v>
      </c>
      <c r="H328" s="2">
        <v>112.5</v>
      </c>
      <c r="I328" s="2">
        <v>3089</v>
      </c>
      <c r="J328" s="2">
        <v>133</v>
      </c>
      <c r="K328" s="2">
        <v>347652</v>
      </c>
      <c r="L328" s="2">
        <v>8263</v>
      </c>
      <c r="M328" s="2">
        <v>440.6</v>
      </c>
      <c r="N328" s="2">
        <v>745.1</v>
      </c>
      <c r="O328" s="2">
        <v>25580</v>
      </c>
      <c r="P328" s="2">
        <v>33</v>
      </c>
      <c r="Q328" s="2" t="s">
        <v>5271</v>
      </c>
    </row>
    <row r="329" spans="1:17" ht="24.95" customHeight="1" x14ac:dyDescent="0.25">
      <c r="A329" s="17" t="s">
        <v>334</v>
      </c>
      <c r="B329" s="2">
        <v>234</v>
      </c>
      <c r="C329" s="2">
        <v>108</v>
      </c>
      <c r="D329" s="2">
        <v>18.600000000000001</v>
      </c>
      <c r="E329" s="2">
        <v>86</v>
      </c>
      <c r="F329" s="2">
        <v>3.4</v>
      </c>
      <c r="H329" s="2">
        <v>110.3</v>
      </c>
      <c r="I329" s="2">
        <v>308</v>
      </c>
      <c r="J329" s="2">
        <v>128</v>
      </c>
      <c r="K329" s="2">
        <v>33970</v>
      </c>
      <c r="L329" s="2">
        <v>1691</v>
      </c>
      <c r="M329" s="2">
        <v>55.3</v>
      </c>
      <c r="N329" s="2">
        <v>76.8</v>
      </c>
      <c r="O329" s="2">
        <v>4800</v>
      </c>
      <c r="P329" s="2">
        <v>63.9</v>
      </c>
      <c r="Q329" s="2" t="s">
        <v>5271</v>
      </c>
    </row>
    <row r="330" spans="1:17" ht="24.95" customHeight="1" x14ac:dyDescent="0.25">
      <c r="A330" s="17" t="s">
        <v>365</v>
      </c>
      <c r="B330" s="2">
        <v>228</v>
      </c>
      <c r="C330" s="2">
        <v>92</v>
      </c>
      <c r="D330" s="2">
        <v>3.6</v>
      </c>
      <c r="E330" s="2">
        <v>86</v>
      </c>
      <c r="F330" s="2">
        <v>2.4</v>
      </c>
      <c r="H330" s="2">
        <v>92.5</v>
      </c>
      <c r="I330" s="2">
        <v>88</v>
      </c>
      <c r="J330" s="2">
        <v>151</v>
      </c>
      <c r="K330" s="2">
        <v>8092</v>
      </c>
      <c r="L330" s="2">
        <v>609</v>
      </c>
      <c r="M330" s="2">
        <v>19.3</v>
      </c>
      <c r="N330" s="2">
        <v>22.2</v>
      </c>
      <c r="O330" s="2">
        <v>2020</v>
      </c>
      <c r="P330" s="2">
        <v>75.3</v>
      </c>
      <c r="Q330" s="2" t="s">
        <v>5271</v>
      </c>
    </row>
    <row r="331" spans="1:17" ht="24.95" customHeight="1" x14ac:dyDescent="0.25">
      <c r="A331" s="17" t="s">
        <v>347</v>
      </c>
      <c r="B331" s="2">
        <v>240</v>
      </c>
      <c r="C331" s="2">
        <v>98</v>
      </c>
      <c r="D331" s="2">
        <v>9.3000000000000007</v>
      </c>
      <c r="E331" s="2">
        <v>86</v>
      </c>
      <c r="F331" s="2">
        <v>2.7</v>
      </c>
      <c r="H331" s="2">
        <v>99.9</v>
      </c>
      <c r="I331" s="2">
        <v>773</v>
      </c>
      <c r="J331" s="2">
        <v>171</v>
      </c>
      <c r="K331" s="2">
        <v>77260</v>
      </c>
      <c r="L331" s="2">
        <v>3196</v>
      </c>
      <c r="M331" s="2">
        <v>150.5</v>
      </c>
      <c r="N331" s="2">
        <v>196.8</v>
      </c>
      <c r="O331" s="2">
        <v>9710</v>
      </c>
      <c r="P331" s="2">
        <v>55.8</v>
      </c>
      <c r="Q331" s="2" t="s">
        <v>5271</v>
      </c>
    </row>
    <row r="332" spans="1:17" ht="24.95" customHeight="1" x14ac:dyDescent="0.25">
      <c r="A332" s="17" t="s">
        <v>350</v>
      </c>
      <c r="B332" s="2">
        <v>249</v>
      </c>
      <c r="C332" s="2">
        <v>102</v>
      </c>
      <c r="D332" s="2">
        <v>12</v>
      </c>
      <c r="E332" s="2">
        <v>86</v>
      </c>
      <c r="F332" s="2">
        <v>4</v>
      </c>
      <c r="H332" s="2">
        <v>102.8</v>
      </c>
      <c r="I332" s="2">
        <v>308</v>
      </c>
      <c r="J332" s="2">
        <v>146</v>
      </c>
      <c r="K332" s="2">
        <v>31670</v>
      </c>
      <c r="L332" s="2">
        <v>1917</v>
      </c>
      <c r="M332" s="2">
        <v>61.7</v>
      </c>
      <c r="N332" s="2">
        <v>77.900000000000006</v>
      </c>
      <c r="O332" s="2">
        <v>5780</v>
      </c>
      <c r="P332" s="2">
        <v>70.099999999999994</v>
      </c>
      <c r="Q332" s="2" t="s">
        <v>5271</v>
      </c>
    </row>
    <row r="333" spans="1:17" ht="24.95" customHeight="1" x14ac:dyDescent="0.25">
      <c r="A333" s="17" t="s">
        <v>337</v>
      </c>
      <c r="B333" s="2">
        <v>234</v>
      </c>
      <c r="C333" s="2">
        <v>98</v>
      </c>
      <c r="D333" s="2">
        <v>9.8000000000000007</v>
      </c>
      <c r="E333" s="2">
        <v>86</v>
      </c>
      <c r="F333" s="2">
        <v>2.2000000000000002</v>
      </c>
      <c r="H333" s="2">
        <v>98.3</v>
      </c>
      <c r="I333" s="2">
        <v>570</v>
      </c>
      <c r="J333" s="2">
        <v>152</v>
      </c>
      <c r="K333" s="2">
        <v>56038</v>
      </c>
      <c r="L333" s="2">
        <v>2387</v>
      </c>
      <c r="M333" s="2">
        <v>119</v>
      </c>
      <c r="N333" s="2">
        <v>152.1</v>
      </c>
      <c r="O333" s="2">
        <v>6970</v>
      </c>
      <c r="P333" s="2">
        <v>52.2</v>
      </c>
      <c r="Q333" s="2" t="s">
        <v>5271</v>
      </c>
    </row>
    <row r="334" spans="1:17" ht="24.95" customHeight="1" x14ac:dyDescent="0.25">
      <c r="A334" s="17" t="s">
        <v>352</v>
      </c>
      <c r="B334" s="2">
        <v>274</v>
      </c>
      <c r="C334" s="2">
        <v>118</v>
      </c>
      <c r="D334" s="2">
        <v>29.2</v>
      </c>
      <c r="E334" s="2">
        <v>86</v>
      </c>
      <c r="F334" s="2">
        <v>2.8</v>
      </c>
      <c r="H334" s="2">
        <v>119.2</v>
      </c>
      <c r="I334" s="2">
        <v>1245</v>
      </c>
      <c r="J334" s="2">
        <v>126</v>
      </c>
      <c r="K334" s="2">
        <v>148344</v>
      </c>
      <c r="L334" s="2">
        <v>4203</v>
      </c>
      <c r="M334" s="2">
        <v>222.5</v>
      </c>
      <c r="N334" s="2">
        <v>308.60000000000002</v>
      </c>
      <c r="O334" s="2">
        <v>11350</v>
      </c>
      <c r="P334" s="2">
        <v>40.200000000000003</v>
      </c>
      <c r="Q334" s="2" t="s">
        <v>5271</v>
      </c>
    </row>
    <row r="335" spans="1:17" ht="24.95" customHeight="1" x14ac:dyDescent="0.25">
      <c r="A335" s="17" t="s">
        <v>354</v>
      </c>
      <c r="B335" s="2">
        <v>243</v>
      </c>
      <c r="C335" s="2">
        <v>107</v>
      </c>
      <c r="D335" s="2">
        <v>18.8</v>
      </c>
      <c r="E335" s="2">
        <v>86</v>
      </c>
      <c r="F335" s="2">
        <v>2.2999999999999998</v>
      </c>
      <c r="H335" s="2">
        <v>107.2</v>
      </c>
      <c r="I335" s="2">
        <v>2852</v>
      </c>
      <c r="J335" s="2">
        <v>151</v>
      </c>
      <c r="K335" s="2">
        <v>314420</v>
      </c>
      <c r="L335" s="2">
        <v>8949</v>
      </c>
      <c r="M335" s="2">
        <v>479.9</v>
      </c>
      <c r="N335" s="2">
        <v>710</v>
      </c>
      <c r="O335" s="2">
        <v>26280</v>
      </c>
      <c r="P335" s="2">
        <v>39.4</v>
      </c>
      <c r="Q335" s="2" t="s">
        <v>5271</v>
      </c>
    </row>
    <row r="336" spans="1:17" ht="24.95" customHeight="1" x14ac:dyDescent="0.25">
      <c r="A336" s="17" t="s">
        <v>338</v>
      </c>
      <c r="B336" s="2">
        <v>240</v>
      </c>
      <c r="C336" s="2">
        <v>102</v>
      </c>
      <c r="D336" s="2">
        <v>13</v>
      </c>
      <c r="E336" s="2">
        <v>86</v>
      </c>
      <c r="F336" s="2">
        <v>3</v>
      </c>
      <c r="H336" s="2">
        <v>104.2</v>
      </c>
      <c r="I336" s="2">
        <v>894</v>
      </c>
      <c r="J336" s="2">
        <v>136</v>
      </c>
      <c r="K336" s="2">
        <v>93096</v>
      </c>
      <c r="L336" s="2">
        <v>3900</v>
      </c>
      <c r="M336" s="2">
        <v>159.4</v>
      </c>
      <c r="N336" s="2">
        <v>226</v>
      </c>
      <c r="O336" s="2">
        <v>11270</v>
      </c>
      <c r="P336" s="2">
        <v>54.9</v>
      </c>
      <c r="Q336" s="2" t="s">
        <v>5271</v>
      </c>
    </row>
    <row r="337" spans="1:17" ht="24.95" customHeight="1" x14ac:dyDescent="0.25">
      <c r="A337" s="17" t="s">
        <v>6743</v>
      </c>
      <c r="B337" s="2">
        <v>246</v>
      </c>
      <c r="C337" s="2">
        <v>105</v>
      </c>
      <c r="D337" s="2">
        <v>17.600000000000001</v>
      </c>
      <c r="E337" s="2">
        <v>86</v>
      </c>
      <c r="F337" s="2">
        <v>1.4</v>
      </c>
      <c r="H337" s="2">
        <v>105.6</v>
      </c>
      <c r="I337" s="2">
        <v>6265</v>
      </c>
      <c r="J337" s="2">
        <v>161</v>
      </c>
      <c r="K337" s="2">
        <v>661700</v>
      </c>
      <c r="L337" s="2">
        <v>13509</v>
      </c>
      <c r="M337" s="2">
        <v>1019</v>
      </c>
      <c r="N337" s="2">
        <v>1525.7</v>
      </c>
      <c r="O337" s="2">
        <v>40450</v>
      </c>
      <c r="P337" s="2">
        <v>11.2</v>
      </c>
      <c r="Q337" s="2" t="s">
        <v>5271</v>
      </c>
    </row>
    <row r="338" spans="1:17" ht="24.95" customHeight="1" x14ac:dyDescent="0.25">
      <c r="A338" s="17" t="s">
        <v>5352</v>
      </c>
      <c r="B338" s="2">
        <v>252</v>
      </c>
      <c r="C338" s="2">
        <v>110</v>
      </c>
      <c r="D338" s="2">
        <v>22.1</v>
      </c>
      <c r="E338" s="2">
        <v>86</v>
      </c>
      <c r="F338" s="2">
        <v>1.9</v>
      </c>
      <c r="H338" s="2">
        <v>112.6</v>
      </c>
      <c r="I338" s="2">
        <v>4368</v>
      </c>
      <c r="J338" s="2">
        <v>162</v>
      </c>
      <c r="K338" s="2">
        <v>491871</v>
      </c>
      <c r="L338" s="2">
        <v>10541</v>
      </c>
      <c r="M338" s="2">
        <v>679.1</v>
      </c>
      <c r="N338" s="2">
        <v>1050.5999999999999</v>
      </c>
      <c r="O338" s="2">
        <v>35940</v>
      </c>
      <c r="P338" s="2">
        <v>32.200000000000003</v>
      </c>
      <c r="Q338" s="2" t="s">
        <v>5271</v>
      </c>
    </row>
    <row r="339" spans="1:17" ht="24.95" customHeight="1" x14ac:dyDescent="0.25">
      <c r="A339" s="17" t="s">
        <v>339</v>
      </c>
      <c r="B339" s="2">
        <v>240</v>
      </c>
      <c r="C339" s="2">
        <v>96</v>
      </c>
      <c r="D339" s="2">
        <v>6.9</v>
      </c>
      <c r="E339" s="2">
        <v>86</v>
      </c>
      <c r="F339" s="2">
        <v>3.1</v>
      </c>
      <c r="H339" s="2">
        <v>98.6</v>
      </c>
      <c r="I339" s="2">
        <v>469</v>
      </c>
      <c r="J339" s="2">
        <v>116</v>
      </c>
      <c r="K339" s="2">
        <v>46224</v>
      </c>
      <c r="L339" s="2">
        <v>2688</v>
      </c>
      <c r="M339" s="2">
        <v>84.4</v>
      </c>
      <c r="N339" s="2">
        <v>122.6</v>
      </c>
      <c r="O339" s="2">
        <v>8400</v>
      </c>
      <c r="P339" s="2">
        <v>67.5</v>
      </c>
      <c r="Q339" s="2" t="s">
        <v>5271</v>
      </c>
    </row>
    <row r="340" spans="1:17" ht="24.95" customHeight="1" x14ac:dyDescent="0.25">
      <c r="A340" s="17" t="s">
        <v>361</v>
      </c>
      <c r="B340" s="2">
        <v>240</v>
      </c>
      <c r="C340" s="2">
        <v>102</v>
      </c>
      <c r="D340" s="2">
        <v>13.8</v>
      </c>
      <c r="E340" s="2">
        <v>86</v>
      </c>
      <c r="F340" s="2">
        <v>2.2000000000000002</v>
      </c>
      <c r="H340" s="2">
        <v>104.1</v>
      </c>
      <c r="I340" s="2">
        <v>1625</v>
      </c>
      <c r="J340" s="2">
        <v>136</v>
      </c>
      <c r="K340" s="2">
        <v>169084</v>
      </c>
      <c r="L340" s="2">
        <v>4907</v>
      </c>
      <c r="M340" s="2">
        <v>263.10000000000002</v>
      </c>
      <c r="N340" s="2">
        <v>404.5</v>
      </c>
      <c r="O340" s="2">
        <v>15250</v>
      </c>
      <c r="P340" s="2">
        <v>39.1</v>
      </c>
      <c r="Q340" s="2" t="s">
        <v>5271</v>
      </c>
    </row>
    <row r="341" spans="1:17" ht="24.95" customHeight="1" x14ac:dyDescent="0.25">
      <c r="A341" s="17" t="s">
        <v>5319</v>
      </c>
      <c r="B341" s="2">
        <v>248</v>
      </c>
      <c r="C341" s="2">
        <v>102</v>
      </c>
      <c r="D341" s="2">
        <v>13.6</v>
      </c>
      <c r="E341" s="2">
        <v>86</v>
      </c>
      <c r="F341" s="2">
        <v>2.4</v>
      </c>
      <c r="H341" s="2">
        <v>104.6</v>
      </c>
      <c r="I341" s="2">
        <v>2000</v>
      </c>
      <c r="J341" s="2">
        <v>156</v>
      </c>
      <c r="K341" s="2">
        <v>209239</v>
      </c>
      <c r="L341" s="2">
        <v>6601</v>
      </c>
      <c r="M341" s="2">
        <v>309.7</v>
      </c>
      <c r="N341" s="2">
        <v>500.3</v>
      </c>
      <c r="O341" s="2">
        <v>20660</v>
      </c>
      <c r="P341" s="2">
        <v>46</v>
      </c>
      <c r="Q341" s="2" t="s">
        <v>5271</v>
      </c>
    </row>
    <row r="342" spans="1:17" ht="24.95" customHeight="1" x14ac:dyDescent="0.25">
      <c r="A342" s="17" t="s">
        <v>368</v>
      </c>
      <c r="B342" s="2">
        <v>240</v>
      </c>
      <c r="C342" s="2">
        <v>96</v>
      </c>
      <c r="D342" s="2">
        <v>6.5</v>
      </c>
      <c r="E342" s="2">
        <v>86</v>
      </c>
      <c r="F342" s="2">
        <v>3.5</v>
      </c>
      <c r="H342" s="2">
        <v>98.5</v>
      </c>
      <c r="I342" s="2">
        <v>415</v>
      </c>
      <c r="J342" s="2">
        <v>147</v>
      </c>
      <c r="K342" s="2">
        <v>40852</v>
      </c>
      <c r="L342" s="2">
        <v>2366</v>
      </c>
      <c r="M342" s="2">
        <v>72.8</v>
      </c>
      <c r="N342" s="2">
        <v>102.5</v>
      </c>
      <c r="O342" s="2">
        <v>7190</v>
      </c>
      <c r="P342" s="2">
        <v>68.8</v>
      </c>
      <c r="Q342" s="2" t="s">
        <v>5271</v>
      </c>
    </row>
    <row r="343" spans="1:17" ht="24.95" customHeight="1" x14ac:dyDescent="0.25">
      <c r="A343" s="17" t="s">
        <v>342</v>
      </c>
      <c r="B343" s="2">
        <v>252</v>
      </c>
      <c r="C343" s="2">
        <v>109</v>
      </c>
      <c r="D343" s="2">
        <v>20.9</v>
      </c>
      <c r="E343" s="2">
        <v>86</v>
      </c>
      <c r="F343" s="2">
        <v>2.1</v>
      </c>
      <c r="H343" s="2">
        <v>111</v>
      </c>
      <c r="I343" s="2">
        <v>1791</v>
      </c>
      <c r="J343" s="2">
        <v>121</v>
      </c>
      <c r="K343" s="2">
        <v>198830</v>
      </c>
      <c r="L343" s="2">
        <v>5049</v>
      </c>
      <c r="M343" s="2">
        <v>296.5</v>
      </c>
      <c r="N343" s="2">
        <v>431.8</v>
      </c>
      <c r="O343" s="2">
        <v>14310</v>
      </c>
      <c r="P343" s="2">
        <v>31</v>
      </c>
      <c r="Q343" s="2" t="s">
        <v>5271</v>
      </c>
    </row>
    <row r="344" spans="1:17" ht="24.95" customHeight="1" x14ac:dyDescent="0.25">
      <c r="A344" s="17" t="s">
        <v>369</v>
      </c>
      <c r="B344" s="2">
        <v>213</v>
      </c>
      <c r="C344" s="2">
        <v>87</v>
      </c>
      <c r="I344" s="2">
        <v>49394</v>
      </c>
      <c r="J344" s="2">
        <v>185</v>
      </c>
      <c r="K344" s="2">
        <v>4297278</v>
      </c>
      <c r="L344" s="2">
        <v>101275</v>
      </c>
      <c r="M344" s="2">
        <v>7566.3</v>
      </c>
      <c r="N344" s="2">
        <v>12146</v>
      </c>
      <c r="O344" s="2">
        <v>319800</v>
      </c>
      <c r="P344" s="2">
        <v>12.8</v>
      </c>
    </row>
    <row r="345" spans="1:17" ht="24.95" customHeight="1" x14ac:dyDescent="0.25">
      <c r="A345" s="17" t="s">
        <v>372</v>
      </c>
      <c r="B345" s="2">
        <v>302</v>
      </c>
      <c r="C345" s="2">
        <v>126</v>
      </c>
      <c r="D345" s="2">
        <v>32</v>
      </c>
      <c r="E345" s="2">
        <v>93</v>
      </c>
      <c r="F345" s="2">
        <v>1</v>
      </c>
      <c r="I345" s="2">
        <v>587</v>
      </c>
      <c r="J345" s="2">
        <v>196</v>
      </c>
      <c r="K345" s="2">
        <v>73962</v>
      </c>
      <c r="L345" s="2">
        <v>1190</v>
      </c>
      <c r="M345" s="2">
        <v>72.8</v>
      </c>
      <c r="N345" s="2">
        <v>143.9</v>
      </c>
      <c r="O345" s="2">
        <v>3490</v>
      </c>
      <c r="P345" s="2">
        <v>6.2</v>
      </c>
      <c r="Q345" s="2" t="s">
        <v>5268</v>
      </c>
    </row>
    <row r="346" spans="1:17" ht="24.95" customHeight="1" x14ac:dyDescent="0.25">
      <c r="A346" s="17" t="s">
        <v>373</v>
      </c>
      <c r="B346" s="2">
        <v>324</v>
      </c>
      <c r="C346" s="2">
        <v>141</v>
      </c>
      <c r="D346" s="2">
        <v>49.3</v>
      </c>
      <c r="E346" s="2">
        <v>93</v>
      </c>
      <c r="F346" s="2">
        <v>-1.3</v>
      </c>
      <c r="I346" s="2">
        <v>999</v>
      </c>
      <c r="J346" s="2">
        <v>146</v>
      </c>
      <c r="K346" s="2">
        <v>140859</v>
      </c>
      <c r="L346" s="2">
        <v>2258</v>
      </c>
      <c r="M346" s="2">
        <v>124.2</v>
      </c>
      <c r="N346" s="2">
        <v>258.5</v>
      </c>
      <c r="O346" s="2">
        <v>6520</v>
      </c>
      <c r="P346" s="2">
        <v>11.1</v>
      </c>
      <c r="Q346" s="2" t="s">
        <v>5268</v>
      </c>
    </row>
    <row r="347" spans="1:17" ht="24.95" customHeight="1" x14ac:dyDescent="0.25">
      <c r="A347" s="17" t="s">
        <v>374</v>
      </c>
      <c r="B347" s="2">
        <v>308</v>
      </c>
      <c r="C347" s="2">
        <v>124</v>
      </c>
      <c r="D347" s="2">
        <v>32.299999999999997</v>
      </c>
      <c r="E347" s="2">
        <v>93</v>
      </c>
      <c r="F347" s="2">
        <v>-1.3</v>
      </c>
      <c r="I347" s="2">
        <v>2280</v>
      </c>
      <c r="J347" s="2">
        <v>187</v>
      </c>
      <c r="K347" s="2">
        <v>282720</v>
      </c>
      <c r="L347" s="2">
        <v>3727</v>
      </c>
      <c r="M347" s="2">
        <v>298.39999999999998</v>
      </c>
      <c r="N347" s="2">
        <v>593.70000000000005</v>
      </c>
      <c r="O347" s="2">
        <v>12750</v>
      </c>
      <c r="Q347" s="2" t="s">
        <v>5268</v>
      </c>
    </row>
    <row r="348" spans="1:17" ht="24.95" customHeight="1" x14ac:dyDescent="0.25">
      <c r="A348" s="17" t="s">
        <v>375</v>
      </c>
      <c r="B348" s="2">
        <v>308</v>
      </c>
      <c r="C348" s="2">
        <v>134</v>
      </c>
      <c r="D348" s="2">
        <v>42.4</v>
      </c>
      <c r="E348" s="2">
        <v>93</v>
      </c>
      <c r="F348" s="2">
        <v>-1.4</v>
      </c>
      <c r="I348" s="2">
        <v>530</v>
      </c>
      <c r="J348" s="2">
        <v>143</v>
      </c>
      <c r="K348" s="2">
        <v>71020</v>
      </c>
      <c r="L348" s="2">
        <v>1226</v>
      </c>
      <c r="M348" s="2">
        <v>93.9</v>
      </c>
      <c r="N348" s="2">
        <v>136.69999999999999</v>
      </c>
      <c r="O348" s="2">
        <v>3510</v>
      </c>
      <c r="P348" s="2">
        <v>14.4</v>
      </c>
      <c r="Q348" s="2" t="s">
        <v>5268</v>
      </c>
    </row>
    <row r="349" spans="1:17" ht="24.95" customHeight="1" x14ac:dyDescent="0.25">
      <c r="A349" s="17" t="s">
        <v>376</v>
      </c>
      <c r="B349" s="2">
        <v>308</v>
      </c>
      <c r="C349" s="2">
        <v>120</v>
      </c>
      <c r="D349" s="2">
        <v>33.5</v>
      </c>
      <c r="E349" s="2">
        <v>87</v>
      </c>
      <c r="F349" s="2">
        <v>-0.5</v>
      </c>
      <c r="I349" s="2">
        <v>19200</v>
      </c>
      <c r="J349" s="2">
        <v>200</v>
      </c>
      <c r="K349" s="2">
        <v>2304000</v>
      </c>
      <c r="L349" s="2">
        <v>30562</v>
      </c>
      <c r="M349" s="2">
        <v>3031</v>
      </c>
      <c r="N349" s="2">
        <v>4738.2</v>
      </c>
      <c r="O349" s="2">
        <v>92920</v>
      </c>
      <c r="Q349" s="2" t="s">
        <v>5268</v>
      </c>
    </row>
    <row r="350" spans="1:17" ht="24.95" customHeight="1" x14ac:dyDescent="0.25">
      <c r="A350" s="17" t="s">
        <v>377</v>
      </c>
      <c r="B350" s="2">
        <v>312</v>
      </c>
      <c r="C350" s="2">
        <v>125</v>
      </c>
      <c r="D350" s="2">
        <v>31.9</v>
      </c>
      <c r="E350" s="2">
        <v>93</v>
      </c>
      <c r="F350" s="2">
        <v>0.1</v>
      </c>
      <c r="I350" s="2">
        <v>481</v>
      </c>
      <c r="J350" s="2">
        <v>180</v>
      </c>
      <c r="K350" s="2">
        <v>60125</v>
      </c>
      <c r="L350" s="2">
        <v>1119</v>
      </c>
      <c r="M350" s="2">
        <v>71.5</v>
      </c>
      <c r="N350" s="2">
        <v>124.8</v>
      </c>
      <c r="O350" s="2">
        <v>3280</v>
      </c>
      <c r="P350" s="2">
        <v>13.7</v>
      </c>
      <c r="Q350" s="2" t="s">
        <v>5268</v>
      </c>
    </row>
    <row r="351" spans="1:17" ht="24.95" customHeight="1" x14ac:dyDescent="0.25">
      <c r="A351" s="17" t="s">
        <v>378</v>
      </c>
      <c r="B351" s="2">
        <v>284</v>
      </c>
      <c r="C351" s="2">
        <v>113</v>
      </c>
      <c r="D351" s="2">
        <v>19.8</v>
      </c>
      <c r="E351" s="2">
        <v>93</v>
      </c>
      <c r="F351" s="2">
        <v>0.3</v>
      </c>
      <c r="I351" s="2">
        <v>451</v>
      </c>
      <c r="J351" s="2">
        <v>211</v>
      </c>
      <c r="K351" s="2">
        <v>50963</v>
      </c>
      <c r="L351" s="2">
        <v>984</v>
      </c>
      <c r="M351" s="2">
        <v>65.099999999999994</v>
      </c>
      <c r="N351" s="2">
        <v>108.4</v>
      </c>
      <c r="O351" s="2">
        <v>3110</v>
      </c>
      <c r="P351" s="2">
        <v>24.2</v>
      </c>
      <c r="Q351" s="2" t="s">
        <v>5268</v>
      </c>
    </row>
    <row r="352" spans="1:17" ht="24.95" customHeight="1" x14ac:dyDescent="0.25">
      <c r="A352" s="17" t="s">
        <v>379</v>
      </c>
      <c r="B352" s="2">
        <v>312</v>
      </c>
      <c r="C352" s="2">
        <v>126</v>
      </c>
      <c r="D352" s="2">
        <v>38.200000000000003</v>
      </c>
      <c r="E352" s="2">
        <v>89</v>
      </c>
      <c r="F352" s="2">
        <v>-1.2</v>
      </c>
      <c r="I352" s="2">
        <v>6970</v>
      </c>
      <c r="J352" s="2">
        <v>163</v>
      </c>
      <c r="K352" s="2">
        <v>878220</v>
      </c>
      <c r="L352" s="2">
        <v>13117</v>
      </c>
      <c r="M352" s="2">
        <v>1035.4000000000001</v>
      </c>
      <c r="N352" s="2">
        <v>1729.5</v>
      </c>
      <c r="O352" s="2">
        <v>41390</v>
      </c>
      <c r="P352" s="2">
        <v>5.6</v>
      </c>
      <c r="Q352" s="2" t="s">
        <v>5268</v>
      </c>
    </row>
    <row r="353" spans="1:17" ht="24.95" customHeight="1" x14ac:dyDescent="0.25">
      <c r="A353" s="17" t="s">
        <v>380</v>
      </c>
      <c r="B353" s="2">
        <v>268</v>
      </c>
      <c r="C353" s="2">
        <v>120</v>
      </c>
      <c r="D353" s="2">
        <v>26.3</v>
      </c>
      <c r="E353" s="2">
        <v>93</v>
      </c>
      <c r="F353" s="2">
        <v>0.7</v>
      </c>
      <c r="I353" s="2">
        <v>1336</v>
      </c>
      <c r="J353" s="2">
        <v>164</v>
      </c>
      <c r="K353" s="2">
        <v>160320</v>
      </c>
      <c r="L353" s="2">
        <v>2589</v>
      </c>
      <c r="M353" s="2">
        <v>109.3</v>
      </c>
      <c r="N353" s="2">
        <v>274.39999999999998</v>
      </c>
      <c r="O353" s="2">
        <v>12120</v>
      </c>
      <c r="P353" s="2">
        <v>39.4</v>
      </c>
      <c r="Q353" s="2" t="s">
        <v>5270</v>
      </c>
    </row>
    <row r="354" spans="1:17" ht="24.95" customHeight="1" x14ac:dyDescent="0.25">
      <c r="A354" s="17" t="s">
        <v>381</v>
      </c>
      <c r="B354" s="2">
        <v>318</v>
      </c>
      <c r="C354" s="2">
        <v>132</v>
      </c>
      <c r="D354" s="2">
        <v>39</v>
      </c>
      <c r="E354" s="2">
        <v>93</v>
      </c>
      <c r="I354" s="2">
        <v>923</v>
      </c>
      <c r="J354" s="2">
        <v>144</v>
      </c>
      <c r="K354" s="2">
        <v>121836</v>
      </c>
      <c r="L354" s="2">
        <v>2020</v>
      </c>
      <c r="M354" s="2">
        <v>119.3</v>
      </c>
      <c r="N354" s="2">
        <v>240.2</v>
      </c>
      <c r="O354" s="2">
        <v>7140</v>
      </c>
      <c r="P354" s="2">
        <v>24.4</v>
      </c>
      <c r="Q354" s="2" t="s">
        <v>5270</v>
      </c>
    </row>
    <row r="355" spans="1:17" ht="24.95" customHeight="1" x14ac:dyDescent="0.25">
      <c r="A355" s="17" t="s">
        <v>382</v>
      </c>
      <c r="B355" s="2">
        <v>288</v>
      </c>
      <c r="C355" s="2">
        <v>114</v>
      </c>
      <c r="D355" s="2">
        <v>21.8</v>
      </c>
      <c r="E355" s="2">
        <v>93</v>
      </c>
      <c r="F355" s="2">
        <v>-0.8</v>
      </c>
      <c r="I355" s="2">
        <v>1710</v>
      </c>
      <c r="J355" s="2">
        <v>174</v>
      </c>
      <c r="K355" s="2">
        <v>194940</v>
      </c>
      <c r="L355" s="2">
        <v>2495</v>
      </c>
      <c r="M355" s="2">
        <v>245.8</v>
      </c>
      <c r="N355" s="2">
        <v>419.2</v>
      </c>
      <c r="O355" s="2">
        <v>7410</v>
      </c>
      <c r="Q355" s="2" t="s">
        <v>5270</v>
      </c>
    </row>
    <row r="356" spans="1:17" ht="24.95" customHeight="1" x14ac:dyDescent="0.25">
      <c r="A356" s="17" t="s">
        <v>383</v>
      </c>
      <c r="B356" s="2">
        <v>348</v>
      </c>
      <c r="C356" s="2">
        <v>140</v>
      </c>
      <c r="D356" s="2">
        <v>48</v>
      </c>
      <c r="E356" s="2">
        <v>93</v>
      </c>
      <c r="F356" s="2">
        <v>-1</v>
      </c>
      <c r="I356" s="2">
        <v>658</v>
      </c>
      <c r="J356" s="2">
        <v>153</v>
      </c>
      <c r="K356" s="2">
        <v>92120</v>
      </c>
      <c r="L356" s="2">
        <v>1354</v>
      </c>
      <c r="M356" s="2">
        <v>90.8</v>
      </c>
      <c r="N356" s="2">
        <v>170.2</v>
      </c>
      <c r="O356" s="2">
        <v>4140</v>
      </c>
      <c r="P356" s="2">
        <v>6.1</v>
      </c>
      <c r="Q356" s="2" t="s">
        <v>5270</v>
      </c>
    </row>
    <row r="357" spans="1:17" ht="24.95" customHeight="1" x14ac:dyDescent="0.25">
      <c r="A357" s="17" t="s">
        <v>384</v>
      </c>
      <c r="B357" s="2">
        <v>271</v>
      </c>
      <c r="C357" s="2">
        <v>114</v>
      </c>
      <c r="D357" s="2">
        <v>19.8</v>
      </c>
      <c r="E357" s="2">
        <v>93</v>
      </c>
      <c r="F357" s="2">
        <v>1.3</v>
      </c>
      <c r="H357" s="2">
        <v>115.1</v>
      </c>
      <c r="I357" s="2">
        <v>644</v>
      </c>
      <c r="J357" s="2">
        <v>115</v>
      </c>
      <c r="K357" s="2">
        <v>74132</v>
      </c>
      <c r="L357" s="2">
        <v>2772</v>
      </c>
      <c r="M357" s="2">
        <v>102.8</v>
      </c>
      <c r="N357" s="2">
        <v>165.3</v>
      </c>
      <c r="O357" s="2">
        <v>8270</v>
      </c>
      <c r="P357" s="2">
        <v>57.7</v>
      </c>
      <c r="Q357" s="2" t="s">
        <v>5271</v>
      </c>
    </row>
    <row r="358" spans="1:17" ht="24.95" customHeight="1" x14ac:dyDescent="0.25">
      <c r="A358" s="17" t="s">
        <v>5320</v>
      </c>
      <c r="B358" s="2">
        <v>264</v>
      </c>
      <c r="C358" s="2">
        <v>105</v>
      </c>
      <c r="D358" s="2">
        <v>10.5</v>
      </c>
      <c r="E358" s="2">
        <v>93</v>
      </c>
      <c r="F358" s="2">
        <v>1.5</v>
      </c>
      <c r="H358" s="2">
        <v>105.3</v>
      </c>
      <c r="I358" s="2">
        <v>1010</v>
      </c>
      <c r="J358" s="2">
        <v>153</v>
      </c>
      <c r="K358" s="2">
        <v>106628</v>
      </c>
      <c r="L358" s="2">
        <v>3143</v>
      </c>
      <c r="M358" s="2">
        <v>163.5</v>
      </c>
      <c r="N358" s="2">
        <v>271.39999999999998</v>
      </c>
      <c r="O358" s="2">
        <v>11360</v>
      </c>
      <c r="P358" s="2">
        <v>43.3</v>
      </c>
      <c r="Q358" s="2" t="s">
        <v>5271</v>
      </c>
    </row>
    <row r="359" spans="1:17" ht="24.95" customHeight="1" x14ac:dyDescent="0.25">
      <c r="A359" s="17" t="s">
        <v>373</v>
      </c>
      <c r="B359" s="2">
        <v>320</v>
      </c>
      <c r="C359" s="2">
        <v>135</v>
      </c>
      <c r="D359" s="2">
        <v>40.5</v>
      </c>
      <c r="E359" s="2">
        <v>93</v>
      </c>
      <c r="F359" s="2">
        <v>1.5</v>
      </c>
      <c r="H359" s="2">
        <v>135.80000000000001</v>
      </c>
      <c r="I359" s="2">
        <v>800</v>
      </c>
      <c r="J359" s="2">
        <v>150</v>
      </c>
      <c r="K359" s="2">
        <v>108654</v>
      </c>
      <c r="L359" s="2">
        <v>3038</v>
      </c>
      <c r="M359" s="2">
        <v>160.30000000000001</v>
      </c>
      <c r="N359" s="2">
        <v>204.5</v>
      </c>
      <c r="O359" s="2">
        <v>7800</v>
      </c>
      <c r="P359" s="2">
        <v>41.9</v>
      </c>
      <c r="Q359" s="2" t="s">
        <v>5271</v>
      </c>
    </row>
    <row r="360" spans="1:17" ht="24.95" customHeight="1" x14ac:dyDescent="0.25">
      <c r="A360" s="17" t="s">
        <v>374</v>
      </c>
      <c r="B360" s="2">
        <v>284</v>
      </c>
      <c r="C360" s="2">
        <v>119</v>
      </c>
      <c r="D360" s="2">
        <v>24.5</v>
      </c>
      <c r="E360" s="2">
        <v>93</v>
      </c>
      <c r="F360" s="2">
        <v>1.5</v>
      </c>
      <c r="H360" s="2">
        <v>119.4</v>
      </c>
      <c r="I360" s="2">
        <v>1730</v>
      </c>
      <c r="J360" s="2">
        <v>168</v>
      </c>
      <c r="K360" s="2">
        <v>206480</v>
      </c>
      <c r="L360" s="2">
        <v>5454</v>
      </c>
      <c r="M360" s="2">
        <v>255.2</v>
      </c>
      <c r="N360" s="2">
        <v>407.7</v>
      </c>
      <c r="O360" s="2">
        <v>18110</v>
      </c>
      <c r="P360" s="2">
        <v>45.1</v>
      </c>
      <c r="Q360" s="2" t="s">
        <v>5271</v>
      </c>
    </row>
    <row r="361" spans="1:17" ht="24.95" customHeight="1" x14ac:dyDescent="0.25">
      <c r="A361" s="17" t="s">
        <v>377</v>
      </c>
      <c r="B361" s="2">
        <v>252</v>
      </c>
      <c r="C361" s="2">
        <v>104</v>
      </c>
      <c r="D361" s="2">
        <v>9.5</v>
      </c>
      <c r="E361" s="2">
        <v>93</v>
      </c>
      <c r="F361" s="2">
        <v>1.5</v>
      </c>
      <c r="H361" s="2">
        <v>107.3</v>
      </c>
      <c r="I361" s="2">
        <v>938</v>
      </c>
      <c r="J361" s="2">
        <v>213</v>
      </c>
      <c r="K361" s="2">
        <v>100686</v>
      </c>
      <c r="L361" s="2">
        <v>3169</v>
      </c>
      <c r="M361" s="2">
        <v>164.9</v>
      </c>
      <c r="N361" s="2">
        <v>246.5</v>
      </c>
      <c r="O361" s="2">
        <v>9600</v>
      </c>
      <c r="P361" s="2">
        <v>42.4</v>
      </c>
      <c r="Q361" s="2" t="s">
        <v>5271</v>
      </c>
    </row>
    <row r="362" spans="1:17" ht="24.95" customHeight="1" x14ac:dyDescent="0.25">
      <c r="A362" s="17" t="s">
        <v>381</v>
      </c>
      <c r="B362" s="2">
        <v>266</v>
      </c>
      <c r="C362" s="2">
        <v>110</v>
      </c>
      <c r="D362" s="2">
        <v>14.5</v>
      </c>
      <c r="E362" s="2">
        <v>93</v>
      </c>
      <c r="F362" s="2">
        <v>2.5</v>
      </c>
      <c r="H362" s="2">
        <v>110.2</v>
      </c>
      <c r="I362" s="2">
        <v>451</v>
      </c>
      <c r="J362" s="2">
        <v>173</v>
      </c>
      <c r="K362" s="2">
        <v>49678</v>
      </c>
      <c r="L362" s="2">
        <v>1989</v>
      </c>
      <c r="M362" s="2">
        <v>92.6</v>
      </c>
      <c r="N362" s="2">
        <v>111.5</v>
      </c>
      <c r="O362" s="2">
        <v>6090</v>
      </c>
      <c r="P362" s="2">
        <v>59.1</v>
      </c>
      <c r="Q362" s="2" t="s">
        <v>5271</v>
      </c>
    </row>
    <row r="363" spans="1:17" ht="24.95" customHeight="1" x14ac:dyDescent="0.25">
      <c r="A363" s="17" t="s">
        <v>386</v>
      </c>
      <c r="B363" s="2">
        <v>284</v>
      </c>
      <c r="C363" s="2">
        <v>115</v>
      </c>
      <c r="D363" s="2">
        <v>19.5</v>
      </c>
      <c r="E363" s="2">
        <v>93</v>
      </c>
      <c r="F363" s="2">
        <v>2.5</v>
      </c>
      <c r="H363" s="2">
        <v>118.4</v>
      </c>
      <c r="I363" s="2">
        <v>804</v>
      </c>
      <c r="J363" s="2">
        <v>149</v>
      </c>
      <c r="K363" s="2">
        <v>95176</v>
      </c>
      <c r="L363" s="2">
        <v>3289</v>
      </c>
      <c r="M363" s="2">
        <v>149.9</v>
      </c>
      <c r="N363" s="2">
        <v>210.3</v>
      </c>
      <c r="O363" s="2">
        <v>9930</v>
      </c>
      <c r="P363" s="2">
        <v>53</v>
      </c>
      <c r="Q363" s="2" t="s">
        <v>5271</v>
      </c>
    </row>
    <row r="364" spans="1:17" ht="24.95" customHeight="1" x14ac:dyDescent="0.25">
      <c r="A364" s="17" t="s">
        <v>387</v>
      </c>
      <c r="B364" s="2">
        <v>274</v>
      </c>
      <c r="C364" s="2">
        <v>112</v>
      </c>
      <c r="D364" s="2">
        <v>18</v>
      </c>
      <c r="E364" s="2">
        <v>93</v>
      </c>
      <c r="F364" s="2">
        <v>1</v>
      </c>
      <c r="H364" s="2">
        <v>114</v>
      </c>
      <c r="I364" s="2">
        <v>2794</v>
      </c>
      <c r="J364" s="2">
        <v>187</v>
      </c>
      <c r="K364" s="2">
        <v>318443</v>
      </c>
      <c r="L364" s="2">
        <v>6017</v>
      </c>
      <c r="M364" s="2">
        <v>350</v>
      </c>
      <c r="N364" s="2">
        <v>606.79999999999995</v>
      </c>
      <c r="O364" s="2">
        <v>22170</v>
      </c>
      <c r="P364" s="2">
        <v>29.1</v>
      </c>
      <c r="Q364" s="2" t="s">
        <v>5271</v>
      </c>
    </row>
    <row r="365" spans="1:17" ht="24.95" customHeight="1" x14ac:dyDescent="0.25">
      <c r="A365" s="17" t="s">
        <v>388</v>
      </c>
      <c r="B365" s="2">
        <v>284</v>
      </c>
      <c r="C365" s="2">
        <v>116</v>
      </c>
      <c r="D365" s="2">
        <v>22.8</v>
      </c>
      <c r="E365" s="2">
        <v>93</v>
      </c>
      <c r="F365" s="2">
        <v>0.3</v>
      </c>
      <c r="H365" s="2">
        <v>117.9</v>
      </c>
      <c r="I365" s="2">
        <v>4109</v>
      </c>
      <c r="J365" s="2">
        <v>257</v>
      </c>
      <c r="K365" s="2">
        <v>484353</v>
      </c>
      <c r="L365" s="2">
        <v>9763</v>
      </c>
      <c r="M365" s="2">
        <v>769.5</v>
      </c>
      <c r="N365" s="2">
        <v>984.3</v>
      </c>
      <c r="O365" s="2">
        <v>28690</v>
      </c>
      <c r="P365" s="2">
        <v>22.2</v>
      </c>
      <c r="Q365" s="2" t="s">
        <v>5271</v>
      </c>
    </row>
    <row r="366" spans="1:17" ht="24.95" customHeight="1" x14ac:dyDescent="0.25">
      <c r="A366" s="17" t="s">
        <v>6744</v>
      </c>
      <c r="B366" s="2">
        <v>183</v>
      </c>
      <c r="C366" s="2">
        <v>77.400000000000006</v>
      </c>
      <c r="I366" s="2">
        <v>109594</v>
      </c>
      <c r="J366" s="2">
        <v>163</v>
      </c>
      <c r="K366" s="2">
        <v>8482576</v>
      </c>
      <c r="L366" s="2">
        <v>303635</v>
      </c>
      <c r="M366" s="2">
        <v>13138.4</v>
      </c>
      <c r="N366" s="2">
        <v>28237</v>
      </c>
      <c r="O366" s="2">
        <v>964550</v>
      </c>
      <c r="P366" s="2">
        <v>34.5</v>
      </c>
    </row>
    <row r="367" spans="1:17" ht="24.95" customHeight="1" x14ac:dyDescent="0.25">
      <c r="A367" s="17" t="s">
        <v>26</v>
      </c>
      <c r="B367" s="2">
        <v>280</v>
      </c>
      <c r="C367" s="2">
        <v>120</v>
      </c>
      <c r="D367" s="2">
        <v>39.4</v>
      </c>
      <c r="E367" s="2">
        <v>84</v>
      </c>
      <c r="F367" s="2">
        <v>-3.5</v>
      </c>
      <c r="I367" s="2">
        <v>3640</v>
      </c>
      <c r="J367" s="2">
        <v>160</v>
      </c>
      <c r="K367" s="2">
        <v>436800</v>
      </c>
      <c r="L367" s="2">
        <v>6290</v>
      </c>
      <c r="M367" s="2">
        <v>354.1</v>
      </c>
      <c r="N367" s="2">
        <v>850.1</v>
      </c>
      <c r="O367" s="2">
        <v>22010</v>
      </c>
      <c r="P367" s="2">
        <v>11.3</v>
      </c>
      <c r="Q367" s="2" t="s">
        <v>5268</v>
      </c>
    </row>
    <row r="368" spans="1:17" ht="24.95" customHeight="1" x14ac:dyDescent="0.25">
      <c r="A368" s="17" t="s">
        <v>390</v>
      </c>
      <c r="B368" s="2">
        <v>258</v>
      </c>
      <c r="C368" s="2">
        <v>114</v>
      </c>
      <c r="D368" s="2">
        <v>37.9</v>
      </c>
      <c r="E368" s="2">
        <v>77.900000000000006</v>
      </c>
      <c r="F368" s="2">
        <v>-1.8</v>
      </c>
      <c r="I368" s="2">
        <v>2260</v>
      </c>
      <c r="J368" s="2">
        <v>161</v>
      </c>
      <c r="K368" s="2">
        <v>257640</v>
      </c>
      <c r="L368" s="2">
        <v>5204</v>
      </c>
      <c r="M368" s="2">
        <v>248</v>
      </c>
      <c r="N368" s="2">
        <v>593.70000000000005</v>
      </c>
      <c r="O368" s="2">
        <v>17990</v>
      </c>
      <c r="P368" s="2">
        <v>26.7</v>
      </c>
      <c r="Q368" s="2" t="s">
        <v>5268</v>
      </c>
    </row>
    <row r="369" spans="1:17" ht="24.95" customHeight="1" x14ac:dyDescent="0.25">
      <c r="A369" s="17" t="s">
        <v>391</v>
      </c>
      <c r="B369" s="2">
        <v>300</v>
      </c>
      <c r="C369" s="2">
        <v>122</v>
      </c>
      <c r="D369" s="2">
        <v>37.799999999999997</v>
      </c>
      <c r="E369" s="2">
        <v>83.6</v>
      </c>
      <c r="F369" s="2">
        <v>0.6</v>
      </c>
      <c r="I369" s="2">
        <v>3360</v>
      </c>
      <c r="J369" s="2">
        <v>165</v>
      </c>
      <c r="K369" s="2">
        <v>409920</v>
      </c>
      <c r="L369" s="2">
        <v>8728</v>
      </c>
      <c r="M369" s="2">
        <v>373.1</v>
      </c>
      <c r="N369" s="2">
        <v>871.1</v>
      </c>
      <c r="O369" s="2">
        <v>28370</v>
      </c>
      <c r="P369" s="2">
        <v>28.6</v>
      </c>
      <c r="Q369" s="2" t="s">
        <v>5268</v>
      </c>
    </row>
    <row r="370" spans="1:17" ht="24.95" customHeight="1" x14ac:dyDescent="0.25">
      <c r="A370" s="17" t="s">
        <v>392</v>
      </c>
      <c r="B370" s="2">
        <v>278</v>
      </c>
      <c r="C370" s="2">
        <v>116</v>
      </c>
      <c r="D370" s="2">
        <v>38.9</v>
      </c>
      <c r="E370" s="2">
        <v>77.400000000000006</v>
      </c>
      <c r="F370" s="2">
        <v>-0.3</v>
      </c>
      <c r="I370" s="2">
        <v>10080</v>
      </c>
      <c r="J370" s="2">
        <v>147</v>
      </c>
      <c r="K370" s="2">
        <v>1169280</v>
      </c>
      <c r="L370" s="2">
        <v>25530</v>
      </c>
      <c r="M370" s="2">
        <v>1380.4</v>
      </c>
      <c r="N370" s="2">
        <v>2617.3000000000002</v>
      </c>
      <c r="O370" s="2">
        <v>82890</v>
      </c>
      <c r="P370" s="2">
        <v>29.9</v>
      </c>
      <c r="Q370" s="2" t="s">
        <v>5268</v>
      </c>
    </row>
    <row r="371" spans="1:17" ht="24.95" customHeight="1" x14ac:dyDescent="0.25">
      <c r="A371" s="17" t="s">
        <v>393</v>
      </c>
      <c r="B371" s="2">
        <v>270</v>
      </c>
      <c r="C371" s="2">
        <v>117</v>
      </c>
      <c r="D371" s="2">
        <v>31</v>
      </c>
      <c r="E371" s="2">
        <v>84</v>
      </c>
      <c r="F371" s="2">
        <v>2</v>
      </c>
      <c r="I371" s="2">
        <v>515</v>
      </c>
      <c r="J371" s="2">
        <v>143</v>
      </c>
      <c r="K371" s="2">
        <v>60255</v>
      </c>
      <c r="L371" s="2">
        <v>1524</v>
      </c>
      <c r="M371" s="2">
        <v>73.599999999999994</v>
      </c>
      <c r="N371" s="2">
        <v>13.9</v>
      </c>
      <c r="O371" s="2">
        <v>5280</v>
      </c>
      <c r="P371" s="2">
        <v>42.6</v>
      </c>
      <c r="Q371" s="2" t="s">
        <v>5270</v>
      </c>
    </row>
    <row r="372" spans="1:17" ht="24.95" customHeight="1" x14ac:dyDescent="0.25">
      <c r="A372" s="17" t="s">
        <v>394</v>
      </c>
      <c r="B372" s="2">
        <v>254</v>
      </c>
      <c r="C372" s="2">
        <v>108</v>
      </c>
      <c r="D372" s="2">
        <v>23.9</v>
      </c>
      <c r="E372" s="2">
        <v>84</v>
      </c>
      <c r="F372" s="2">
        <v>0.2</v>
      </c>
      <c r="I372" s="2">
        <v>11375</v>
      </c>
      <c r="J372" s="2">
        <v>184</v>
      </c>
      <c r="K372" s="2">
        <v>1228500</v>
      </c>
      <c r="L372" s="2">
        <v>9767</v>
      </c>
      <c r="M372" s="2">
        <v>549.20000000000005</v>
      </c>
      <c r="N372" s="2">
        <v>2787.3</v>
      </c>
      <c r="O372" s="2">
        <v>32480</v>
      </c>
      <c r="Q372" s="2" t="s">
        <v>5270</v>
      </c>
    </row>
    <row r="373" spans="1:17" ht="24.95" customHeight="1" x14ac:dyDescent="0.25">
      <c r="A373" s="17" t="s">
        <v>395</v>
      </c>
      <c r="B373" s="2">
        <v>280</v>
      </c>
      <c r="C373" s="2">
        <v>120</v>
      </c>
      <c r="D373" s="2">
        <v>35.1</v>
      </c>
      <c r="E373" s="2">
        <v>84</v>
      </c>
      <c r="F373" s="2">
        <v>0.9</v>
      </c>
      <c r="I373" s="2">
        <v>3450</v>
      </c>
      <c r="J373" s="2">
        <v>158</v>
      </c>
      <c r="K373" s="2">
        <v>414000</v>
      </c>
      <c r="L373" s="2">
        <v>11161</v>
      </c>
      <c r="M373" s="2">
        <v>403.6</v>
      </c>
      <c r="N373" s="2">
        <v>911.3</v>
      </c>
      <c r="O373" s="2">
        <v>35410</v>
      </c>
      <c r="P373" s="2">
        <v>42.7</v>
      </c>
      <c r="Q373" s="2" t="s">
        <v>5270</v>
      </c>
    </row>
    <row r="374" spans="1:17" ht="24.95" customHeight="1" x14ac:dyDescent="0.25">
      <c r="A374" s="17" t="s">
        <v>396</v>
      </c>
      <c r="B374" s="2">
        <v>312</v>
      </c>
      <c r="C374" s="2">
        <v>112</v>
      </c>
      <c r="D374" s="2">
        <v>24</v>
      </c>
      <c r="E374" s="2">
        <v>84</v>
      </c>
      <c r="F374" s="2">
        <v>4</v>
      </c>
      <c r="I374" s="2">
        <v>2750</v>
      </c>
      <c r="J374" s="2">
        <v>174</v>
      </c>
      <c r="K374" s="2">
        <v>308000</v>
      </c>
      <c r="L374" s="2">
        <v>10017</v>
      </c>
      <c r="M374" s="2">
        <v>404.2</v>
      </c>
      <c r="N374" s="2">
        <v>728</v>
      </c>
      <c r="O374" s="2">
        <v>31120</v>
      </c>
      <c r="P374" s="2">
        <v>48.5</v>
      </c>
      <c r="Q374" s="2" t="s">
        <v>5270</v>
      </c>
    </row>
    <row r="375" spans="1:17" ht="24.95" customHeight="1" x14ac:dyDescent="0.25">
      <c r="A375" s="17" t="s">
        <v>397</v>
      </c>
      <c r="B375" s="2">
        <v>264</v>
      </c>
      <c r="C375" s="2">
        <v>112</v>
      </c>
      <c r="D375" s="2">
        <v>28.8</v>
      </c>
      <c r="E375" s="2">
        <v>83.6</v>
      </c>
      <c r="F375" s="2">
        <v>-0.4</v>
      </c>
      <c r="I375" s="2">
        <v>2360</v>
      </c>
      <c r="J375" s="2">
        <v>157</v>
      </c>
      <c r="K375" s="2">
        <v>264320</v>
      </c>
      <c r="L375" s="2">
        <v>7829</v>
      </c>
      <c r="M375" s="2">
        <v>457.7</v>
      </c>
      <c r="N375" s="2">
        <v>630.20000000000005</v>
      </c>
      <c r="O375" s="2">
        <v>23280</v>
      </c>
      <c r="P375" s="2">
        <v>38.799999999999997</v>
      </c>
      <c r="Q375" s="2" t="s">
        <v>5270</v>
      </c>
    </row>
    <row r="376" spans="1:17" ht="24.95" customHeight="1" x14ac:dyDescent="0.25">
      <c r="A376" s="17" t="s">
        <v>398</v>
      </c>
      <c r="B376" s="2">
        <v>318</v>
      </c>
      <c r="C376" s="2">
        <v>132</v>
      </c>
      <c r="D376" s="2">
        <v>44.8</v>
      </c>
      <c r="E376" s="2">
        <v>84</v>
      </c>
      <c r="F376" s="2">
        <v>3.2</v>
      </c>
      <c r="I376" s="2">
        <v>1320</v>
      </c>
      <c r="J376" s="2">
        <v>146</v>
      </c>
      <c r="K376" s="2">
        <v>174240</v>
      </c>
      <c r="L376" s="2">
        <v>6406</v>
      </c>
      <c r="M376" s="2">
        <v>224.1</v>
      </c>
      <c r="N376" s="2">
        <v>356.8</v>
      </c>
      <c r="O376" s="2">
        <v>19920</v>
      </c>
      <c r="P376" s="2">
        <v>60.7</v>
      </c>
      <c r="Q376" s="2" t="s">
        <v>5270</v>
      </c>
    </row>
    <row r="377" spans="1:17" ht="24.95" customHeight="1" x14ac:dyDescent="0.25">
      <c r="A377" s="17" t="s">
        <v>399</v>
      </c>
      <c r="B377" s="2">
        <v>292</v>
      </c>
      <c r="C377" s="2">
        <v>116</v>
      </c>
      <c r="D377" s="2">
        <v>30.4</v>
      </c>
      <c r="E377" s="2">
        <v>84</v>
      </c>
      <c r="F377" s="2">
        <v>1.6</v>
      </c>
      <c r="I377" s="2">
        <v>1992</v>
      </c>
      <c r="J377" s="2">
        <v>172</v>
      </c>
      <c r="K377" s="2">
        <v>231072</v>
      </c>
      <c r="L377" s="2">
        <v>6410</v>
      </c>
      <c r="M377" s="2">
        <v>311.39999999999998</v>
      </c>
      <c r="N377" s="2">
        <v>525.5</v>
      </c>
      <c r="O377" s="2">
        <v>19070</v>
      </c>
      <c r="P377" s="2">
        <v>39.200000000000003</v>
      </c>
      <c r="Q377" s="2" t="s">
        <v>5270</v>
      </c>
    </row>
    <row r="378" spans="1:17" ht="24.95" customHeight="1" x14ac:dyDescent="0.25">
      <c r="A378" s="17" t="s">
        <v>400</v>
      </c>
      <c r="B378" s="2">
        <v>288</v>
      </c>
      <c r="C378" s="2">
        <v>126</v>
      </c>
      <c r="D378" s="2">
        <v>43.1</v>
      </c>
      <c r="E378" s="2">
        <v>84</v>
      </c>
      <c r="F378" s="2">
        <v>-1.1000000000000001</v>
      </c>
      <c r="I378" s="2">
        <v>5900</v>
      </c>
      <c r="J378" s="2">
        <v>143</v>
      </c>
      <c r="K378" s="2">
        <v>743400</v>
      </c>
      <c r="L378" s="2">
        <v>12069</v>
      </c>
      <c r="M378" s="2">
        <v>505.4</v>
      </c>
      <c r="N378" s="2">
        <v>1579.7</v>
      </c>
      <c r="O378" s="2">
        <v>38780</v>
      </c>
      <c r="P378" s="2">
        <v>7.8</v>
      </c>
      <c r="Q378" s="2" t="s">
        <v>5270</v>
      </c>
    </row>
    <row r="379" spans="1:17" ht="24.95" customHeight="1" x14ac:dyDescent="0.25">
      <c r="A379" s="17" t="s">
        <v>403</v>
      </c>
      <c r="B379" s="2">
        <v>306</v>
      </c>
      <c r="C379" s="2">
        <v>126</v>
      </c>
      <c r="D379" s="2">
        <v>39.299999999999997</v>
      </c>
      <c r="E379" s="2">
        <v>84</v>
      </c>
      <c r="F379" s="2">
        <v>2.7</v>
      </c>
      <c r="I379" s="2">
        <v>1975</v>
      </c>
      <c r="J379" s="2">
        <v>150</v>
      </c>
      <c r="K379" s="2">
        <v>248850</v>
      </c>
      <c r="L379" s="2">
        <v>8566</v>
      </c>
      <c r="M379" s="2">
        <v>278.60000000000002</v>
      </c>
      <c r="N379" s="2">
        <v>537.6</v>
      </c>
      <c r="O379" s="2">
        <v>25050</v>
      </c>
      <c r="P379" s="2">
        <v>51.9</v>
      </c>
      <c r="Q379" s="2" t="s">
        <v>5270</v>
      </c>
    </row>
    <row r="380" spans="1:17" ht="24.95" customHeight="1" x14ac:dyDescent="0.25">
      <c r="A380" s="17" t="s">
        <v>404</v>
      </c>
      <c r="B380" s="2">
        <v>324</v>
      </c>
      <c r="C380" s="2">
        <v>135</v>
      </c>
      <c r="D380" s="2">
        <v>50.2</v>
      </c>
      <c r="E380" s="2">
        <v>83.6</v>
      </c>
      <c r="F380" s="2">
        <v>1.2</v>
      </c>
      <c r="I380" s="2">
        <v>3600</v>
      </c>
      <c r="J380" s="2">
        <v>177</v>
      </c>
      <c r="K380" s="2">
        <v>486000</v>
      </c>
      <c r="L380" s="2">
        <v>11931</v>
      </c>
      <c r="M380" s="2">
        <v>565.5</v>
      </c>
      <c r="N380" s="2">
        <v>919.4</v>
      </c>
      <c r="O380" s="2">
        <v>37100</v>
      </c>
      <c r="P380" s="2">
        <v>44.1</v>
      </c>
      <c r="Q380" s="2" t="s">
        <v>5270</v>
      </c>
    </row>
    <row r="381" spans="1:17" ht="24.95" customHeight="1" x14ac:dyDescent="0.25">
      <c r="A381" s="17" t="s">
        <v>405</v>
      </c>
      <c r="B381" s="2">
        <v>292</v>
      </c>
      <c r="C381" s="2">
        <v>122</v>
      </c>
      <c r="D381" s="2">
        <v>38.4</v>
      </c>
      <c r="E381" s="2">
        <v>83.6</v>
      </c>
      <c r="I381" s="2">
        <v>4038</v>
      </c>
      <c r="J381" s="2">
        <v>189</v>
      </c>
      <c r="K381" s="2">
        <v>492636</v>
      </c>
      <c r="L381" s="2">
        <v>8057</v>
      </c>
      <c r="M381" s="2">
        <v>338.2</v>
      </c>
      <c r="N381" s="2">
        <v>1022.1</v>
      </c>
      <c r="O381" s="2">
        <v>25020</v>
      </c>
      <c r="P381" s="2">
        <v>5.8</v>
      </c>
      <c r="Q381" s="2" t="s">
        <v>5270</v>
      </c>
    </row>
    <row r="382" spans="1:17" ht="24.95" customHeight="1" x14ac:dyDescent="0.25">
      <c r="A382" s="17" t="s">
        <v>406</v>
      </c>
      <c r="B382" s="2">
        <v>264</v>
      </c>
      <c r="C382" s="2">
        <v>112</v>
      </c>
      <c r="D382" s="2">
        <v>24.6</v>
      </c>
      <c r="E382" s="2">
        <v>84</v>
      </c>
      <c r="F382" s="2">
        <v>3.4</v>
      </c>
      <c r="I382" s="2">
        <v>1190</v>
      </c>
      <c r="J382" s="2">
        <v>162</v>
      </c>
      <c r="K382" s="2">
        <v>133280</v>
      </c>
      <c r="L382" s="2">
        <v>5501</v>
      </c>
      <c r="M382" s="2">
        <v>204</v>
      </c>
      <c r="N382" s="2">
        <v>321.5</v>
      </c>
      <c r="O382" s="2">
        <v>17470</v>
      </c>
      <c r="P382" s="2">
        <v>59.6</v>
      </c>
      <c r="Q382" s="2" t="s">
        <v>5270</v>
      </c>
    </row>
    <row r="383" spans="1:17" ht="24.95" customHeight="1" x14ac:dyDescent="0.25">
      <c r="A383" s="17" t="s">
        <v>407</v>
      </c>
      <c r="B383" s="2">
        <v>284</v>
      </c>
      <c r="C383" s="2">
        <v>116</v>
      </c>
      <c r="D383" s="2">
        <v>31.1</v>
      </c>
      <c r="E383" s="2">
        <v>84</v>
      </c>
      <c r="F383" s="2">
        <v>0.9</v>
      </c>
      <c r="I383" s="2">
        <v>2460</v>
      </c>
      <c r="J383" s="2">
        <v>162</v>
      </c>
      <c r="K383" s="2">
        <v>285360</v>
      </c>
      <c r="L383" s="2">
        <v>9925</v>
      </c>
      <c r="M383" s="2">
        <v>396.6</v>
      </c>
      <c r="N383" s="2">
        <v>655.7</v>
      </c>
      <c r="O383" s="2">
        <v>3760</v>
      </c>
      <c r="P383" s="2">
        <v>52.1</v>
      </c>
      <c r="Q383" s="2" t="s">
        <v>5270</v>
      </c>
    </row>
    <row r="384" spans="1:17" ht="24.95" customHeight="1" x14ac:dyDescent="0.25">
      <c r="A384" s="17" t="s">
        <v>408</v>
      </c>
      <c r="B384" s="2">
        <v>286</v>
      </c>
      <c r="C384" s="2">
        <v>116</v>
      </c>
      <c r="D384" s="2">
        <v>28.9</v>
      </c>
      <c r="E384" s="2">
        <v>84</v>
      </c>
      <c r="F384" s="2">
        <v>3.1</v>
      </c>
      <c r="I384" s="2">
        <v>1630</v>
      </c>
      <c r="J384" s="2">
        <v>124</v>
      </c>
      <c r="K384" s="2">
        <v>189080</v>
      </c>
      <c r="L384" s="2">
        <v>4680</v>
      </c>
      <c r="M384" s="2">
        <v>188.5</v>
      </c>
      <c r="N384" s="2">
        <v>427.8</v>
      </c>
      <c r="O384" s="2">
        <v>13920</v>
      </c>
      <c r="P384" s="2">
        <v>32.9</v>
      </c>
      <c r="Q384" s="2" t="s">
        <v>5270</v>
      </c>
    </row>
    <row r="385" spans="1:17" ht="24.95" customHeight="1" x14ac:dyDescent="0.25">
      <c r="A385" s="17" t="s">
        <v>409</v>
      </c>
      <c r="B385" s="2">
        <v>288</v>
      </c>
      <c r="C385" s="2">
        <v>120</v>
      </c>
      <c r="D385" s="2">
        <v>35</v>
      </c>
      <c r="E385" s="2">
        <v>84</v>
      </c>
      <c r="F385" s="2">
        <v>1</v>
      </c>
      <c r="I385" s="2">
        <v>1925</v>
      </c>
      <c r="J385" s="2">
        <v>142</v>
      </c>
      <c r="K385" s="2">
        <v>213000</v>
      </c>
      <c r="L385" s="2">
        <v>7914</v>
      </c>
      <c r="M385" s="2">
        <v>313.5</v>
      </c>
      <c r="N385" s="2">
        <v>518.20000000000005</v>
      </c>
      <c r="O385" s="2">
        <v>25630</v>
      </c>
      <c r="P385" s="2">
        <v>55.1</v>
      </c>
      <c r="Q385" s="2" t="s">
        <v>5270</v>
      </c>
    </row>
    <row r="386" spans="1:17" ht="24.95" customHeight="1" x14ac:dyDescent="0.25">
      <c r="A386" s="17" t="s">
        <v>410</v>
      </c>
      <c r="B386" s="2">
        <v>292</v>
      </c>
      <c r="C386" s="2">
        <v>124</v>
      </c>
      <c r="D386" s="2">
        <v>38</v>
      </c>
      <c r="E386" s="2">
        <v>84</v>
      </c>
      <c r="F386" s="2">
        <v>2</v>
      </c>
      <c r="I386" s="2">
        <v>1010</v>
      </c>
      <c r="J386" s="2">
        <v>156</v>
      </c>
      <c r="K386" s="2">
        <v>125240</v>
      </c>
      <c r="L386" s="2">
        <v>4646</v>
      </c>
      <c r="M386" s="2">
        <v>156.1</v>
      </c>
      <c r="N386" s="2">
        <v>270.10000000000002</v>
      </c>
      <c r="O386" s="2">
        <v>14130</v>
      </c>
      <c r="P386" s="2">
        <v>58.6</v>
      </c>
      <c r="Q386" s="2" t="s">
        <v>5270</v>
      </c>
    </row>
    <row r="387" spans="1:17" ht="24.95" customHeight="1" x14ac:dyDescent="0.25">
      <c r="A387" s="17" t="s">
        <v>411</v>
      </c>
      <c r="B387" s="2">
        <v>300</v>
      </c>
      <c r="C387" s="2">
        <v>124</v>
      </c>
      <c r="D387" s="2">
        <v>38.9</v>
      </c>
      <c r="E387" s="2">
        <v>84</v>
      </c>
      <c r="F387" s="2">
        <v>1.1000000000000001</v>
      </c>
      <c r="I387" s="2">
        <v>1720</v>
      </c>
      <c r="J387" s="2">
        <v>173</v>
      </c>
      <c r="K387" s="2">
        <v>213280</v>
      </c>
      <c r="L387" s="2">
        <v>5975</v>
      </c>
      <c r="M387" s="2">
        <v>221.9</v>
      </c>
      <c r="N387" s="2">
        <v>460.5</v>
      </c>
      <c r="O387" s="2">
        <v>19000</v>
      </c>
      <c r="P387" s="2">
        <v>46.8</v>
      </c>
      <c r="Q387" s="2" t="s">
        <v>5270</v>
      </c>
    </row>
    <row r="388" spans="1:17" ht="24.95" customHeight="1" x14ac:dyDescent="0.25">
      <c r="A388" s="17" t="s">
        <v>412</v>
      </c>
      <c r="B388" s="2">
        <v>294</v>
      </c>
      <c r="C388" s="2">
        <v>120</v>
      </c>
      <c r="D388" s="2">
        <v>34.1</v>
      </c>
      <c r="E388" s="2">
        <v>84</v>
      </c>
      <c r="F388" s="2">
        <v>1.9</v>
      </c>
      <c r="I388" s="2">
        <v>3400</v>
      </c>
      <c r="J388" s="2">
        <v>156</v>
      </c>
      <c r="K388" s="2">
        <v>408000</v>
      </c>
      <c r="L388" s="2">
        <v>14622</v>
      </c>
      <c r="M388" s="2">
        <v>518.6</v>
      </c>
      <c r="N388" s="2">
        <v>888.1</v>
      </c>
      <c r="O388" s="2">
        <v>46480</v>
      </c>
      <c r="P388" s="2">
        <v>58.5</v>
      </c>
      <c r="Q388" s="2" t="s">
        <v>5270</v>
      </c>
    </row>
    <row r="389" spans="1:17" ht="24.95" customHeight="1" x14ac:dyDescent="0.25">
      <c r="A389" s="17" t="s">
        <v>413</v>
      </c>
      <c r="B389" s="2">
        <v>240</v>
      </c>
      <c r="C389" s="2">
        <v>108</v>
      </c>
      <c r="D389" s="2">
        <v>26.4</v>
      </c>
      <c r="E389" s="2">
        <v>84</v>
      </c>
      <c r="F389" s="2">
        <v>-2.4</v>
      </c>
      <c r="I389" s="2">
        <v>163</v>
      </c>
      <c r="J389" s="2">
        <v>155</v>
      </c>
      <c r="K389" s="2">
        <v>17604</v>
      </c>
      <c r="L389" s="2">
        <v>956</v>
      </c>
      <c r="M389" s="2">
        <v>27</v>
      </c>
      <c r="N389" s="2">
        <v>44</v>
      </c>
      <c r="O389" s="2">
        <v>2930</v>
      </c>
      <c r="P389" s="2">
        <v>68.3</v>
      </c>
      <c r="Q389" s="2" t="s">
        <v>5270</v>
      </c>
    </row>
    <row r="390" spans="1:17" ht="24.95" customHeight="1" x14ac:dyDescent="0.25">
      <c r="A390" s="17" t="s">
        <v>414</v>
      </c>
      <c r="B390" s="2">
        <v>270</v>
      </c>
      <c r="C390" s="2">
        <v>111</v>
      </c>
      <c r="D390" s="2">
        <v>26.7</v>
      </c>
      <c r="E390" s="2">
        <v>84</v>
      </c>
      <c r="F390" s="2">
        <v>0.3</v>
      </c>
      <c r="I390" s="2">
        <v>2001</v>
      </c>
      <c r="J390" s="2">
        <v>163</v>
      </c>
      <c r="K390" s="2">
        <v>222111</v>
      </c>
      <c r="L390" s="2">
        <v>6017</v>
      </c>
      <c r="M390" s="2">
        <v>238.3</v>
      </c>
      <c r="N390" s="2">
        <v>525</v>
      </c>
      <c r="O390" s="2">
        <v>19220</v>
      </c>
      <c r="P390" s="2">
        <v>40.9</v>
      </c>
      <c r="Q390" s="2" t="s">
        <v>5270</v>
      </c>
    </row>
    <row r="391" spans="1:17" ht="24.95" customHeight="1" x14ac:dyDescent="0.25">
      <c r="A391" s="17" t="s">
        <v>415</v>
      </c>
      <c r="B391" s="2">
        <v>262</v>
      </c>
      <c r="C391" s="2">
        <v>112</v>
      </c>
      <c r="D391" s="2">
        <v>26.2</v>
      </c>
      <c r="E391" s="2">
        <v>84</v>
      </c>
      <c r="F391" s="2">
        <v>1.8</v>
      </c>
      <c r="I391" s="2">
        <v>3044</v>
      </c>
      <c r="J391" s="2">
        <v>153</v>
      </c>
      <c r="K391" s="2">
        <v>340928</v>
      </c>
      <c r="L391" s="2">
        <v>8245</v>
      </c>
      <c r="M391" s="2">
        <v>399.8</v>
      </c>
      <c r="N391" s="2">
        <v>766.1</v>
      </c>
      <c r="O391" s="2">
        <v>25360</v>
      </c>
      <c r="P391" s="2">
        <v>32.5</v>
      </c>
      <c r="Q391" s="2" t="s">
        <v>5270</v>
      </c>
    </row>
    <row r="392" spans="1:17" ht="24.95" customHeight="1" x14ac:dyDescent="0.25">
      <c r="A392" s="17" t="s">
        <v>393</v>
      </c>
      <c r="B392" s="2">
        <v>258</v>
      </c>
      <c r="C392" s="2">
        <v>110</v>
      </c>
      <c r="D392" s="2">
        <v>22.9</v>
      </c>
      <c r="E392" s="2">
        <v>84</v>
      </c>
      <c r="F392" s="2">
        <v>3.2</v>
      </c>
      <c r="H392" s="2">
        <v>112.5</v>
      </c>
      <c r="I392" s="2">
        <v>1250</v>
      </c>
      <c r="J392" s="2">
        <v>149</v>
      </c>
      <c r="K392" s="2">
        <v>140606</v>
      </c>
      <c r="L392" s="2">
        <v>5846</v>
      </c>
      <c r="M392" s="2">
        <v>174.6</v>
      </c>
      <c r="N392" s="2">
        <v>314.89999999999998</v>
      </c>
      <c r="O392" s="2">
        <v>16780</v>
      </c>
      <c r="P392" s="2">
        <v>57.2</v>
      </c>
      <c r="Q392" s="2" t="s">
        <v>5271</v>
      </c>
    </row>
    <row r="393" spans="1:17" ht="24.95" customHeight="1" x14ac:dyDescent="0.25">
      <c r="A393" s="17" t="s">
        <v>399</v>
      </c>
      <c r="B393" s="2">
        <v>256</v>
      </c>
      <c r="C393" s="2">
        <v>112</v>
      </c>
      <c r="D393" s="2">
        <v>26</v>
      </c>
      <c r="E393" s="2">
        <v>84</v>
      </c>
      <c r="F393" s="2">
        <v>2</v>
      </c>
      <c r="H393" s="2">
        <v>126.7</v>
      </c>
      <c r="I393" s="2">
        <v>4880</v>
      </c>
      <c r="J393" s="2">
        <v>176</v>
      </c>
      <c r="K393" s="2">
        <v>618378</v>
      </c>
      <c r="L393" s="2">
        <v>13632</v>
      </c>
      <c r="M393" s="2">
        <v>570</v>
      </c>
      <c r="N393" s="2">
        <v>1247</v>
      </c>
      <c r="O393" s="2">
        <v>41980</v>
      </c>
      <c r="P393" s="2">
        <v>32.200000000000003</v>
      </c>
      <c r="Q393" s="2" t="s">
        <v>5271</v>
      </c>
    </row>
    <row r="394" spans="1:17" ht="24.95" customHeight="1" x14ac:dyDescent="0.25">
      <c r="A394" s="17" t="s">
        <v>116</v>
      </c>
      <c r="B394" s="2">
        <v>246</v>
      </c>
      <c r="C394" s="2">
        <v>104.2</v>
      </c>
      <c r="D394" s="2">
        <v>23.1</v>
      </c>
      <c r="E394" s="2">
        <v>84</v>
      </c>
      <c r="F394" s="2">
        <v>-3.1</v>
      </c>
      <c r="H394" s="2">
        <v>109.6</v>
      </c>
      <c r="I394" s="2">
        <v>3800</v>
      </c>
      <c r="J394" s="2">
        <v>155</v>
      </c>
      <c r="K394" s="2">
        <v>416504</v>
      </c>
      <c r="L394" s="2">
        <v>7314</v>
      </c>
      <c r="M394" s="2">
        <v>428.3</v>
      </c>
      <c r="N394" s="2">
        <v>906.5</v>
      </c>
      <c r="O394" s="2">
        <v>25440</v>
      </c>
      <c r="P394" s="2">
        <v>18.7</v>
      </c>
      <c r="Q394" s="2" t="s">
        <v>5271</v>
      </c>
    </row>
    <row r="395" spans="1:17" ht="24.95" customHeight="1" x14ac:dyDescent="0.25">
      <c r="A395" s="17" t="s">
        <v>26</v>
      </c>
      <c r="B395" s="2">
        <v>264</v>
      </c>
      <c r="C395" s="2">
        <v>110</v>
      </c>
      <c r="D395" s="2">
        <v>22.8</v>
      </c>
      <c r="E395" s="2">
        <v>84</v>
      </c>
      <c r="F395" s="2">
        <v>3.3</v>
      </c>
      <c r="H395" s="2">
        <v>115.6</v>
      </c>
      <c r="I395" s="2">
        <v>3435</v>
      </c>
      <c r="J395" s="2">
        <v>172</v>
      </c>
      <c r="K395" s="2">
        <v>397154</v>
      </c>
      <c r="L395" s="2">
        <v>11222</v>
      </c>
      <c r="M395" s="2">
        <v>473.1</v>
      </c>
      <c r="N395" s="2">
        <v>877.1</v>
      </c>
      <c r="O395" s="2">
        <v>36710</v>
      </c>
      <c r="P395" s="2">
        <v>49.2</v>
      </c>
      <c r="Q395" s="2" t="s">
        <v>5271</v>
      </c>
    </row>
    <row r="396" spans="1:17" ht="24.95" customHeight="1" x14ac:dyDescent="0.25">
      <c r="A396" s="17" t="s">
        <v>416</v>
      </c>
      <c r="B396" s="2">
        <v>258</v>
      </c>
      <c r="C396" s="2">
        <v>108</v>
      </c>
      <c r="D396" s="2">
        <v>21.1</v>
      </c>
      <c r="E396" s="2">
        <v>84</v>
      </c>
      <c r="F396" s="2">
        <v>2.9</v>
      </c>
      <c r="H396" s="2">
        <v>116.8</v>
      </c>
      <c r="I396" s="2">
        <v>7025</v>
      </c>
      <c r="J396" s="2">
        <v>160</v>
      </c>
      <c r="K396" s="2">
        <v>820179</v>
      </c>
      <c r="L396" s="2">
        <v>27029</v>
      </c>
      <c r="M396" s="2">
        <v>1076.0999999999999</v>
      </c>
      <c r="N396" s="2">
        <v>1862.6</v>
      </c>
      <c r="O396" s="2">
        <v>86410</v>
      </c>
      <c r="P396" s="2">
        <v>53.8</v>
      </c>
      <c r="Q396" s="2" t="s">
        <v>5271</v>
      </c>
    </row>
    <row r="397" spans="1:17" ht="24.95" customHeight="1" x14ac:dyDescent="0.25">
      <c r="A397" s="17" t="s">
        <v>417</v>
      </c>
      <c r="B397" s="2">
        <v>268</v>
      </c>
      <c r="C397" s="2">
        <v>103</v>
      </c>
      <c r="D397" s="2">
        <v>18.100000000000001</v>
      </c>
      <c r="E397" s="2">
        <v>84</v>
      </c>
      <c r="F397" s="2">
        <v>0.9</v>
      </c>
      <c r="H397" s="2">
        <v>104</v>
      </c>
      <c r="I397" s="2">
        <v>1227</v>
      </c>
      <c r="J397" s="2">
        <v>128</v>
      </c>
      <c r="K397" s="2">
        <v>127651</v>
      </c>
      <c r="L397" s="2">
        <v>4488</v>
      </c>
      <c r="M397" s="2">
        <v>170</v>
      </c>
      <c r="N397" s="2">
        <v>325.7</v>
      </c>
      <c r="O397" s="2">
        <v>14620</v>
      </c>
      <c r="P397" s="2">
        <v>50.8</v>
      </c>
      <c r="Q397" s="2" t="s">
        <v>5271</v>
      </c>
    </row>
    <row r="398" spans="1:17" ht="24.95" customHeight="1" x14ac:dyDescent="0.25">
      <c r="A398" s="17" t="s">
        <v>418</v>
      </c>
      <c r="B398" s="2">
        <v>258</v>
      </c>
      <c r="C398" s="2">
        <v>108</v>
      </c>
      <c r="D398" s="2">
        <v>21.9</v>
      </c>
      <c r="E398" s="2">
        <v>84</v>
      </c>
      <c r="F398" s="2">
        <v>2.2000000000000002</v>
      </c>
      <c r="H398" s="2">
        <v>116</v>
      </c>
      <c r="I398" s="2">
        <v>3244</v>
      </c>
      <c r="J398" s="2">
        <v>152</v>
      </c>
      <c r="K398" s="2">
        <v>376222</v>
      </c>
      <c r="L398" s="2">
        <v>10831</v>
      </c>
      <c r="M398" s="2">
        <v>416.8</v>
      </c>
      <c r="N398" s="2">
        <v>835.3</v>
      </c>
      <c r="O398" s="2">
        <v>37030</v>
      </c>
      <c r="P398" s="2">
        <v>50.1</v>
      </c>
      <c r="Q398" s="2" t="s">
        <v>5271</v>
      </c>
    </row>
    <row r="399" spans="1:17" ht="24.95" customHeight="1" x14ac:dyDescent="0.25">
      <c r="A399" s="17" t="s">
        <v>419</v>
      </c>
      <c r="B399" s="2">
        <v>222</v>
      </c>
      <c r="C399" s="2">
        <v>94</v>
      </c>
      <c r="D399" s="2">
        <v>11.4</v>
      </c>
      <c r="E399" s="2">
        <v>84</v>
      </c>
      <c r="F399" s="2">
        <v>-1.4</v>
      </c>
      <c r="H399" s="2">
        <v>95.1</v>
      </c>
      <c r="I399" s="2">
        <v>4165</v>
      </c>
      <c r="J399" s="2">
        <v>209</v>
      </c>
      <c r="K399" s="2">
        <v>396183</v>
      </c>
      <c r="L399" s="2">
        <v>3302</v>
      </c>
      <c r="M399" s="2">
        <v>189.2</v>
      </c>
      <c r="N399" s="2">
        <v>1046.7</v>
      </c>
      <c r="O399" s="2">
        <v>10200</v>
      </c>
      <c r="Q399" s="2" t="s">
        <v>5271</v>
      </c>
    </row>
    <row r="400" spans="1:17" ht="24.95" customHeight="1" x14ac:dyDescent="0.25">
      <c r="A400" s="17" t="s">
        <v>160</v>
      </c>
      <c r="B400" s="2">
        <v>246</v>
      </c>
      <c r="C400" s="2">
        <v>100</v>
      </c>
      <c r="D400" s="2">
        <v>15</v>
      </c>
      <c r="E400" s="2">
        <v>94</v>
      </c>
      <c r="F400" s="2">
        <v>1</v>
      </c>
      <c r="H400" s="2">
        <v>101.4</v>
      </c>
      <c r="I400" s="2">
        <v>2448</v>
      </c>
      <c r="J400" s="2">
        <v>159</v>
      </c>
      <c r="K400" s="2">
        <v>248318</v>
      </c>
      <c r="L400" s="2">
        <v>8839</v>
      </c>
      <c r="M400" s="2">
        <v>421.7</v>
      </c>
      <c r="N400" s="2">
        <v>625.79999999999995</v>
      </c>
      <c r="O400" s="2">
        <v>28450</v>
      </c>
      <c r="P400" s="2">
        <v>50.5</v>
      </c>
      <c r="Q400" s="2" t="s">
        <v>5271</v>
      </c>
    </row>
    <row r="401" spans="1:17" ht="24.95" customHeight="1" x14ac:dyDescent="0.25">
      <c r="A401" s="17" t="s">
        <v>420</v>
      </c>
      <c r="B401" s="2">
        <v>250</v>
      </c>
      <c r="C401" s="2">
        <v>126</v>
      </c>
      <c r="D401" s="2">
        <v>39.1</v>
      </c>
      <c r="E401" s="2">
        <v>84</v>
      </c>
      <c r="F401" s="2">
        <v>2.7</v>
      </c>
      <c r="H401" s="2">
        <v>131</v>
      </c>
      <c r="I401" s="2">
        <v>1002</v>
      </c>
      <c r="J401" s="2">
        <v>139</v>
      </c>
      <c r="K401" s="2">
        <v>131244</v>
      </c>
      <c r="L401" s="2">
        <v>3162</v>
      </c>
      <c r="M401" s="2">
        <v>87.2</v>
      </c>
      <c r="N401" s="2">
        <v>250.5</v>
      </c>
      <c r="O401" s="2">
        <v>8160</v>
      </c>
      <c r="P401" s="2">
        <v>33.1</v>
      </c>
      <c r="Q401" s="2" t="s">
        <v>5271</v>
      </c>
    </row>
    <row r="402" spans="1:17" ht="24.95" customHeight="1" x14ac:dyDescent="0.25">
      <c r="A402" s="17" t="s">
        <v>6745</v>
      </c>
      <c r="B402" s="2">
        <v>171</v>
      </c>
      <c r="C402" s="2">
        <v>66.3</v>
      </c>
      <c r="I402" s="2">
        <v>346012</v>
      </c>
      <c r="J402" s="2">
        <v>200</v>
      </c>
      <c r="K402" s="2">
        <v>22940596</v>
      </c>
      <c r="L402" s="2">
        <v>593404</v>
      </c>
      <c r="M402" s="2">
        <v>46163.3</v>
      </c>
      <c r="N402" s="2">
        <v>85109.5</v>
      </c>
      <c r="O402" s="2">
        <v>1895600</v>
      </c>
    </row>
    <row r="403" spans="1:17" ht="24.95" customHeight="1" x14ac:dyDescent="0.25">
      <c r="A403" s="17" t="s">
        <v>422</v>
      </c>
      <c r="B403" s="2">
        <v>322</v>
      </c>
      <c r="C403" s="2">
        <v>128</v>
      </c>
      <c r="D403" s="2">
        <v>60</v>
      </c>
      <c r="E403" s="2">
        <v>67.099999999999994</v>
      </c>
      <c r="F403" s="2">
        <v>0.8</v>
      </c>
      <c r="I403" s="2">
        <v>16440</v>
      </c>
      <c r="J403" s="2">
        <v>174</v>
      </c>
      <c r="K403" s="2">
        <v>2104320</v>
      </c>
      <c r="L403" s="2">
        <v>22794</v>
      </c>
      <c r="M403" s="2">
        <v>1641.4</v>
      </c>
      <c r="N403" s="2">
        <v>4073.7</v>
      </c>
      <c r="O403" s="2">
        <v>72440</v>
      </c>
      <c r="Q403" s="2" t="s">
        <v>5268</v>
      </c>
    </row>
    <row r="404" spans="1:17" ht="24.95" customHeight="1" x14ac:dyDescent="0.25">
      <c r="A404" s="17" t="s">
        <v>423</v>
      </c>
      <c r="B404" s="2">
        <v>288</v>
      </c>
      <c r="C404" s="2">
        <v>108</v>
      </c>
      <c r="D404" s="2">
        <v>34</v>
      </c>
      <c r="E404" s="2">
        <v>74.5</v>
      </c>
      <c r="F404" s="2">
        <v>-0.5</v>
      </c>
      <c r="I404" s="2">
        <v>12135</v>
      </c>
      <c r="J404" s="2">
        <v>205</v>
      </c>
      <c r="K404" s="2">
        <v>1310580</v>
      </c>
      <c r="L404" s="2">
        <v>16570</v>
      </c>
      <c r="M404" s="2">
        <v>1262.9000000000001</v>
      </c>
      <c r="N404" s="2">
        <v>3003.3</v>
      </c>
      <c r="O404" s="2">
        <v>51180</v>
      </c>
      <c r="Q404" s="2" t="s">
        <v>5268</v>
      </c>
    </row>
    <row r="405" spans="1:17" ht="24.95" customHeight="1" x14ac:dyDescent="0.25">
      <c r="A405" s="17" t="s">
        <v>424</v>
      </c>
      <c r="B405" s="2">
        <v>304</v>
      </c>
      <c r="C405" s="2">
        <v>114</v>
      </c>
      <c r="D405" s="2">
        <v>44.9</v>
      </c>
      <c r="E405" s="2">
        <v>70.599999999999994</v>
      </c>
      <c r="F405" s="2">
        <v>-1.6</v>
      </c>
      <c r="I405" s="2">
        <v>8640</v>
      </c>
      <c r="J405" s="2">
        <v>178</v>
      </c>
      <c r="K405" s="2">
        <v>984960</v>
      </c>
      <c r="L405" s="2">
        <v>14406</v>
      </c>
      <c r="M405" s="2">
        <v>1522.7</v>
      </c>
      <c r="N405" s="2">
        <v>2130.6</v>
      </c>
      <c r="O405" s="2">
        <v>46350</v>
      </c>
      <c r="Q405" s="2" t="s">
        <v>5268</v>
      </c>
    </row>
    <row r="406" spans="1:17" ht="24.95" customHeight="1" x14ac:dyDescent="0.25">
      <c r="A406" s="17" t="s">
        <v>425</v>
      </c>
      <c r="B406" s="2">
        <v>299</v>
      </c>
      <c r="C406" s="2">
        <v>115</v>
      </c>
      <c r="D406" s="2">
        <v>41</v>
      </c>
      <c r="E406" s="2">
        <v>73.599999999999994</v>
      </c>
      <c r="F406" s="2">
        <v>0.4</v>
      </c>
      <c r="I406" s="2">
        <v>10200</v>
      </c>
      <c r="J406" s="2">
        <v>173</v>
      </c>
      <c r="K406" s="2">
        <v>1173000</v>
      </c>
      <c r="L406" s="2">
        <v>19319</v>
      </c>
      <c r="M406" s="2">
        <v>1155.0999999999999</v>
      </c>
      <c r="N406" s="2">
        <v>2365.1</v>
      </c>
      <c r="O406" s="2">
        <v>67010</v>
      </c>
      <c r="P406" s="2">
        <v>12.1</v>
      </c>
      <c r="Q406" s="2" t="s">
        <v>5268</v>
      </c>
    </row>
    <row r="407" spans="1:17" ht="24.95" customHeight="1" x14ac:dyDescent="0.25">
      <c r="A407" s="17" t="s">
        <v>426</v>
      </c>
      <c r="B407" s="2">
        <v>306</v>
      </c>
      <c r="C407" s="2">
        <v>112</v>
      </c>
      <c r="D407" s="2">
        <v>44.6</v>
      </c>
      <c r="E407" s="2">
        <v>67.099999999999994</v>
      </c>
      <c r="F407" s="2">
        <v>0.3</v>
      </c>
      <c r="I407" s="2">
        <v>25500</v>
      </c>
      <c r="J407" s="2">
        <v>242</v>
      </c>
      <c r="K407" s="2">
        <v>2856000</v>
      </c>
      <c r="L407" s="2">
        <v>31881</v>
      </c>
      <c r="M407" s="2">
        <v>2311</v>
      </c>
      <c r="N407" s="2">
        <v>6289.6</v>
      </c>
      <c r="O407" s="2">
        <v>109470</v>
      </c>
      <c r="Q407" s="2" t="s">
        <v>5268</v>
      </c>
    </row>
    <row r="408" spans="1:17" ht="24.95" customHeight="1" x14ac:dyDescent="0.25">
      <c r="A408" s="17" t="s">
        <v>427</v>
      </c>
      <c r="B408" s="2">
        <v>322</v>
      </c>
      <c r="C408" s="2">
        <v>122</v>
      </c>
      <c r="D408" s="2">
        <v>42.7</v>
      </c>
      <c r="E408" s="2">
        <v>77.900000000000006</v>
      </c>
      <c r="F408" s="2">
        <v>1.4</v>
      </c>
      <c r="I408" s="2">
        <v>1615</v>
      </c>
      <c r="J408" s="2">
        <v>160</v>
      </c>
      <c r="K408" s="2">
        <v>197030</v>
      </c>
      <c r="L408" s="2">
        <v>4342</v>
      </c>
      <c r="M408" s="2">
        <v>272.39999999999998</v>
      </c>
      <c r="N408" s="2">
        <v>413.6</v>
      </c>
      <c r="O408" s="2">
        <v>13570</v>
      </c>
      <c r="P408" s="2">
        <v>36.200000000000003</v>
      </c>
      <c r="Q408" s="2" t="s">
        <v>5268</v>
      </c>
    </row>
    <row r="409" spans="1:17" ht="24.95" customHeight="1" x14ac:dyDescent="0.25">
      <c r="A409" s="17" t="s">
        <v>5400</v>
      </c>
      <c r="B409" s="2">
        <v>300</v>
      </c>
      <c r="C409" s="2">
        <v>114</v>
      </c>
      <c r="D409" s="2">
        <v>48.2</v>
      </c>
      <c r="E409" s="2">
        <v>67</v>
      </c>
      <c r="F409" s="2">
        <v>-1.2</v>
      </c>
      <c r="I409" s="2">
        <v>36200</v>
      </c>
      <c r="J409" s="2">
        <v>181</v>
      </c>
      <c r="K409" s="2">
        <v>4126800</v>
      </c>
      <c r="L409" s="2">
        <v>52378</v>
      </c>
      <c r="M409" s="2">
        <v>5541.8</v>
      </c>
      <c r="N409" s="2">
        <v>8761</v>
      </c>
      <c r="O409" s="2">
        <v>177460</v>
      </c>
      <c r="Q409" s="2" t="s">
        <v>5268</v>
      </c>
    </row>
    <row r="410" spans="1:17" ht="24.95" customHeight="1" x14ac:dyDescent="0.25">
      <c r="A410" s="17" t="s">
        <v>429</v>
      </c>
      <c r="B410" s="2">
        <v>326</v>
      </c>
      <c r="C410" s="2">
        <v>131</v>
      </c>
      <c r="D410" s="2">
        <v>63.6</v>
      </c>
      <c r="E410" s="2">
        <v>67.099999999999994</v>
      </c>
      <c r="F410" s="2">
        <v>0.3</v>
      </c>
      <c r="I410" s="2">
        <v>15065</v>
      </c>
      <c r="J410" s="2">
        <v>170</v>
      </c>
      <c r="K410" s="2">
        <v>1973515</v>
      </c>
      <c r="L410" s="2">
        <v>27736</v>
      </c>
      <c r="M410" s="2">
        <v>2209.6</v>
      </c>
      <c r="N410" s="2">
        <v>3727.7</v>
      </c>
      <c r="O410" s="2">
        <v>92970</v>
      </c>
      <c r="P410" s="2">
        <v>8.9</v>
      </c>
      <c r="Q410" s="2" t="s">
        <v>5268</v>
      </c>
    </row>
    <row r="411" spans="1:17" ht="24.95" customHeight="1" x14ac:dyDescent="0.25">
      <c r="A411" s="17" t="s">
        <v>430</v>
      </c>
      <c r="B411" s="2">
        <v>296</v>
      </c>
      <c r="C411" s="2">
        <v>111</v>
      </c>
      <c r="D411" s="2">
        <v>32.6</v>
      </c>
      <c r="E411" s="2">
        <v>77.900000000000006</v>
      </c>
      <c r="F411" s="2">
        <v>0.5</v>
      </c>
      <c r="I411" s="2">
        <v>1880</v>
      </c>
      <c r="J411" s="2">
        <v>230</v>
      </c>
      <c r="K411" s="2">
        <v>208680</v>
      </c>
      <c r="L411" s="2">
        <v>3754</v>
      </c>
      <c r="M411" s="2">
        <v>212.6</v>
      </c>
      <c r="N411" s="2">
        <v>464.3</v>
      </c>
      <c r="O411" s="2">
        <v>10720</v>
      </c>
      <c r="P411" s="2">
        <v>2.7</v>
      </c>
      <c r="Q411" s="2" t="s">
        <v>5268</v>
      </c>
    </row>
    <row r="412" spans="1:17" ht="24.95" customHeight="1" x14ac:dyDescent="0.25">
      <c r="A412" s="17" t="s">
        <v>431</v>
      </c>
      <c r="B412" s="2">
        <v>308</v>
      </c>
      <c r="C412" s="2">
        <v>118</v>
      </c>
      <c r="D412" s="2">
        <v>41.3</v>
      </c>
      <c r="E412" s="2">
        <v>77.400000000000006</v>
      </c>
      <c r="F412" s="2">
        <v>-0.7</v>
      </c>
      <c r="I412" s="2">
        <v>21300</v>
      </c>
      <c r="J412" s="2">
        <v>204</v>
      </c>
      <c r="K412" s="2">
        <v>2513400</v>
      </c>
      <c r="L412" s="2">
        <v>33437</v>
      </c>
      <c r="M412" s="2">
        <v>2830.2</v>
      </c>
      <c r="N412" s="2">
        <v>5233.8</v>
      </c>
      <c r="O412" s="2">
        <v>115600</v>
      </c>
      <c r="Q412" s="2" t="s">
        <v>5268</v>
      </c>
    </row>
    <row r="413" spans="1:17" ht="24.95" customHeight="1" x14ac:dyDescent="0.25">
      <c r="A413" s="17" t="s">
        <v>432</v>
      </c>
      <c r="B413" s="2">
        <v>262</v>
      </c>
      <c r="C413" s="2">
        <v>103</v>
      </c>
      <c r="D413" s="2">
        <v>26.4</v>
      </c>
      <c r="E413" s="2">
        <v>77.900000000000006</v>
      </c>
      <c r="F413" s="2">
        <v>-1.3</v>
      </c>
      <c r="I413" s="2">
        <v>1500</v>
      </c>
      <c r="J413" s="2">
        <v>201</v>
      </c>
      <c r="K413" s="2">
        <v>154500</v>
      </c>
      <c r="L413" s="2">
        <v>2755</v>
      </c>
      <c r="M413" s="2">
        <v>179.1</v>
      </c>
      <c r="N413" s="2">
        <v>391.6</v>
      </c>
      <c r="O413" s="2">
        <v>8110</v>
      </c>
      <c r="Q413" s="2" t="s">
        <v>5268</v>
      </c>
    </row>
    <row r="414" spans="1:17" ht="24.95" customHeight="1" x14ac:dyDescent="0.25">
      <c r="A414" s="17" t="s">
        <v>433</v>
      </c>
      <c r="B414" s="2">
        <v>332</v>
      </c>
      <c r="C414" s="2">
        <v>124</v>
      </c>
      <c r="D414" s="2">
        <v>57.5</v>
      </c>
      <c r="E414" s="2">
        <v>67.099999999999994</v>
      </c>
      <c r="F414" s="2">
        <v>-0.6</v>
      </c>
      <c r="I414" s="2">
        <v>22170</v>
      </c>
      <c r="J414" s="2">
        <v>205</v>
      </c>
      <c r="K414" s="2">
        <v>2749080</v>
      </c>
      <c r="L414" s="2">
        <v>34587</v>
      </c>
      <c r="M414" s="2">
        <v>2828.1</v>
      </c>
      <c r="N414" s="2">
        <v>5582.9</v>
      </c>
      <c r="O414" s="2">
        <v>108190</v>
      </c>
      <c r="Q414" s="2" t="s">
        <v>5268</v>
      </c>
    </row>
    <row r="415" spans="1:17" ht="24.95" customHeight="1" x14ac:dyDescent="0.25">
      <c r="A415" s="17" t="s">
        <v>434</v>
      </c>
      <c r="B415" s="2">
        <v>292</v>
      </c>
      <c r="C415" s="2">
        <v>114</v>
      </c>
      <c r="D415" s="2">
        <v>45.3</v>
      </c>
      <c r="E415" s="2">
        <v>70.3</v>
      </c>
      <c r="F415" s="2">
        <v>-1.7</v>
      </c>
      <c r="I415" s="2">
        <v>11937</v>
      </c>
      <c r="J415" s="2">
        <v>169</v>
      </c>
      <c r="K415" s="2">
        <v>1360818</v>
      </c>
      <c r="L415" s="2">
        <v>19567</v>
      </c>
      <c r="M415" s="2">
        <v>2259.5</v>
      </c>
      <c r="N415" s="2">
        <v>2985.2</v>
      </c>
      <c r="O415" s="2">
        <v>61410</v>
      </c>
      <c r="Q415" s="2" t="s">
        <v>5268</v>
      </c>
    </row>
    <row r="416" spans="1:17" ht="24.95" customHeight="1" x14ac:dyDescent="0.25">
      <c r="A416" s="17" t="s">
        <v>435</v>
      </c>
      <c r="B416" s="2">
        <v>286</v>
      </c>
      <c r="C416" s="2">
        <v>111</v>
      </c>
      <c r="D416" s="2">
        <v>32.700000000000003</v>
      </c>
      <c r="E416" s="2">
        <v>77.7</v>
      </c>
      <c r="F416" s="2">
        <v>0.6</v>
      </c>
      <c r="I416" s="2">
        <v>15250</v>
      </c>
      <c r="J416" s="2">
        <v>232</v>
      </c>
      <c r="K416" s="2">
        <v>1692750</v>
      </c>
      <c r="L416" s="2">
        <v>30035</v>
      </c>
      <c r="M416" s="2">
        <v>1955.2</v>
      </c>
      <c r="N416" s="2">
        <v>3605.5</v>
      </c>
      <c r="O416" s="2">
        <v>95360</v>
      </c>
      <c r="P416" s="2">
        <v>13.6</v>
      </c>
      <c r="Q416" s="2" t="s">
        <v>5270</v>
      </c>
    </row>
    <row r="417" spans="1:17" ht="24.95" customHeight="1" x14ac:dyDescent="0.25">
      <c r="A417" s="17" t="s">
        <v>436</v>
      </c>
      <c r="B417" s="2">
        <v>278</v>
      </c>
      <c r="C417" s="2">
        <v>112</v>
      </c>
      <c r="D417" s="2">
        <v>34</v>
      </c>
      <c r="E417" s="2">
        <v>77.900000000000006</v>
      </c>
      <c r="F417" s="2">
        <v>0.2</v>
      </c>
      <c r="I417" s="2">
        <v>4660</v>
      </c>
      <c r="J417" s="2">
        <v>180</v>
      </c>
      <c r="K417" s="2">
        <v>521920</v>
      </c>
      <c r="L417" s="2">
        <v>12251</v>
      </c>
      <c r="M417" s="2">
        <v>880.8</v>
      </c>
      <c r="N417" s="2">
        <v>1151.3</v>
      </c>
      <c r="O417" s="2">
        <v>34520</v>
      </c>
      <c r="P417" s="2">
        <v>25.3</v>
      </c>
      <c r="Q417" s="2" t="s">
        <v>5270</v>
      </c>
    </row>
    <row r="418" spans="1:17" ht="24.95" customHeight="1" x14ac:dyDescent="0.25">
      <c r="A418" s="17" t="s">
        <v>437</v>
      </c>
      <c r="B418" s="2">
        <v>298</v>
      </c>
      <c r="C418" s="2">
        <v>114</v>
      </c>
      <c r="D418" s="2">
        <v>36.5</v>
      </c>
      <c r="E418" s="2">
        <v>77.900000000000006</v>
      </c>
      <c r="F418" s="2">
        <v>-0.4</v>
      </c>
      <c r="I418" s="2">
        <v>3833</v>
      </c>
      <c r="J418" s="2">
        <v>203</v>
      </c>
      <c r="K418" s="2">
        <v>436962</v>
      </c>
      <c r="L418" s="2">
        <v>6788</v>
      </c>
      <c r="M418" s="2">
        <v>461.3</v>
      </c>
      <c r="N418" s="2">
        <v>943.4</v>
      </c>
      <c r="O418" s="2">
        <v>20760</v>
      </c>
      <c r="Q418" s="2" t="s">
        <v>5270</v>
      </c>
    </row>
    <row r="419" spans="1:17" ht="24.95" customHeight="1" x14ac:dyDescent="0.25">
      <c r="A419" s="17" t="s">
        <v>438</v>
      </c>
      <c r="B419" s="2">
        <v>300</v>
      </c>
      <c r="C419" s="2">
        <v>114</v>
      </c>
      <c r="D419" s="2">
        <v>35.799999999999997</v>
      </c>
      <c r="E419" s="2">
        <v>77.900000000000006</v>
      </c>
      <c r="F419" s="2">
        <v>0.3</v>
      </c>
      <c r="I419" s="2">
        <v>8494</v>
      </c>
      <c r="J419" s="2">
        <v>219</v>
      </c>
      <c r="K419" s="2">
        <v>968316</v>
      </c>
      <c r="L419" s="2">
        <v>15320</v>
      </c>
      <c r="M419" s="2">
        <v>1238.8</v>
      </c>
      <c r="N419" s="2">
        <v>2015.9</v>
      </c>
      <c r="O419" s="2">
        <v>51450</v>
      </c>
      <c r="P419" s="2">
        <v>9.4</v>
      </c>
      <c r="Q419" s="2" t="s">
        <v>5270</v>
      </c>
    </row>
    <row r="420" spans="1:17" ht="24.95" customHeight="1" x14ac:dyDescent="0.25">
      <c r="A420" s="17" t="s">
        <v>439</v>
      </c>
      <c r="B420" s="2">
        <v>256</v>
      </c>
      <c r="C420" s="2">
        <v>102</v>
      </c>
      <c r="D420" s="2">
        <v>23.3</v>
      </c>
      <c r="E420" s="2">
        <v>77.900000000000006</v>
      </c>
      <c r="F420" s="2">
        <v>0.8</v>
      </c>
      <c r="I420" s="2">
        <v>510</v>
      </c>
      <c r="J420" s="2">
        <v>144</v>
      </c>
      <c r="K420" s="2">
        <v>52020</v>
      </c>
      <c r="L420" s="2">
        <v>1890</v>
      </c>
      <c r="M420" s="2">
        <v>88.7</v>
      </c>
      <c r="N420" s="2">
        <v>130</v>
      </c>
      <c r="O420" s="2">
        <v>4770</v>
      </c>
      <c r="P420" s="2">
        <v>39</v>
      </c>
      <c r="Q420" s="2" t="s">
        <v>5270</v>
      </c>
    </row>
    <row r="421" spans="1:17" ht="24.95" customHeight="1" x14ac:dyDescent="0.25">
      <c r="A421" s="17" t="s">
        <v>440</v>
      </c>
      <c r="B421" s="2">
        <v>280</v>
      </c>
      <c r="C421" s="2">
        <v>102</v>
      </c>
      <c r="D421" s="2">
        <v>23.8</v>
      </c>
      <c r="E421" s="2">
        <v>77.900000000000006</v>
      </c>
      <c r="F421" s="2">
        <v>0.3</v>
      </c>
      <c r="I421" s="2">
        <v>570</v>
      </c>
      <c r="J421" s="2">
        <v>198</v>
      </c>
      <c r="K421" s="2">
        <v>58140</v>
      </c>
      <c r="L421" s="2">
        <v>1528</v>
      </c>
      <c r="M421" s="2">
        <v>90.9</v>
      </c>
      <c r="N421" s="2">
        <v>141.4</v>
      </c>
      <c r="O421" s="2">
        <v>4180</v>
      </c>
      <c r="P421" s="2">
        <v>23.3</v>
      </c>
      <c r="Q421" s="2" t="s">
        <v>5270</v>
      </c>
    </row>
    <row r="422" spans="1:17" ht="24.95" customHeight="1" x14ac:dyDescent="0.25">
      <c r="A422" s="17" t="s">
        <v>441</v>
      </c>
      <c r="B422" s="2">
        <v>276</v>
      </c>
      <c r="C422" s="2">
        <v>110</v>
      </c>
      <c r="D422" s="2">
        <v>31.9</v>
      </c>
      <c r="E422" s="2">
        <v>77.900000000000006</v>
      </c>
      <c r="F422" s="2">
        <v>0.2</v>
      </c>
      <c r="I422" s="2">
        <v>2150</v>
      </c>
      <c r="J422" s="2">
        <v>179</v>
      </c>
      <c r="K422" s="2">
        <v>236500</v>
      </c>
      <c r="L422" s="2">
        <v>6179</v>
      </c>
      <c r="M422" s="2">
        <v>321.7</v>
      </c>
      <c r="N422" s="2">
        <v>534.5</v>
      </c>
      <c r="O422" s="2">
        <v>16890</v>
      </c>
      <c r="P422" s="2">
        <v>30.8</v>
      </c>
      <c r="Q422" s="2" t="s">
        <v>5270</v>
      </c>
    </row>
    <row r="423" spans="1:17" ht="24.95" customHeight="1" x14ac:dyDescent="0.25">
      <c r="A423" s="17" t="s">
        <v>442</v>
      </c>
      <c r="B423" s="2">
        <v>276</v>
      </c>
      <c r="C423" s="2">
        <v>106</v>
      </c>
      <c r="D423" s="2">
        <v>36.799999999999997</v>
      </c>
      <c r="E423" s="2">
        <v>70.599999999999994</v>
      </c>
      <c r="F423" s="2">
        <v>-1.5</v>
      </c>
      <c r="I423" s="2">
        <v>11700</v>
      </c>
      <c r="J423" s="2">
        <v>177</v>
      </c>
      <c r="K423" s="2">
        <v>1240200</v>
      </c>
      <c r="L423" s="2">
        <v>18121</v>
      </c>
      <c r="M423" s="2">
        <v>1887.5</v>
      </c>
      <c r="N423" s="2">
        <v>2903.7</v>
      </c>
      <c r="O423" s="2">
        <v>62070</v>
      </c>
      <c r="Q423" s="2" t="s">
        <v>5270</v>
      </c>
    </row>
    <row r="424" spans="1:17" ht="24.95" customHeight="1" x14ac:dyDescent="0.25">
      <c r="A424" s="17" t="s">
        <v>443</v>
      </c>
      <c r="B424" s="2">
        <v>304</v>
      </c>
      <c r="C424" s="2">
        <v>128</v>
      </c>
      <c r="D424" s="2">
        <v>51.3</v>
      </c>
      <c r="E424" s="2">
        <v>77.900000000000006</v>
      </c>
      <c r="F424" s="2">
        <v>-1.1000000000000001</v>
      </c>
      <c r="I424" s="2">
        <v>5770</v>
      </c>
      <c r="J424" s="2">
        <v>157</v>
      </c>
      <c r="K424" s="2">
        <v>738560</v>
      </c>
      <c r="L424" s="2">
        <v>12423</v>
      </c>
      <c r="M424" s="2">
        <v>899.6</v>
      </c>
      <c r="N424" s="2">
        <v>1474.7</v>
      </c>
      <c r="O424" s="2">
        <v>28390</v>
      </c>
      <c r="Q424" s="2" t="s">
        <v>5270</v>
      </c>
    </row>
    <row r="425" spans="1:17" ht="24.95" customHeight="1" x14ac:dyDescent="0.25">
      <c r="A425" s="17" t="s">
        <v>444</v>
      </c>
      <c r="B425" s="2">
        <v>266</v>
      </c>
      <c r="C425" s="2">
        <v>104</v>
      </c>
      <c r="D425" s="2">
        <v>26.9</v>
      </c>
      <c r="E425" s="2">
        <v>77.900000000000006</v>
      </c>
      <c r="F425" s="2">
        <v>-0.8</v>
      </c>
      <c r="I425" s="2">
        <v>1780</v>
      </c>
      <c r="J425" s="2">
        <v>215</v>
      </c>
      <c r="K425" s="2">
        <v>185120</v>
      </c>
      <c r="L425" s="2">
        <v>2997</v>
      </c>
      <c r="M425" s="2">
        <v>258.39999999999998</v>
      </c>
      <c r="N425" s="2">
        <v>440.7</v>
      </c>
      <c r="O425" s="2">
        <v>9970</v>
      </c>
      <c r="Q425" s="2" t="s">
        <v>5270</v>
      </c>
    </row>
    <row r="426" spans="1:17" ht="24.95" customHeight="1" x14ac:dyDescent="0.25">
      <c r="A426" s="17" t="s">
        <v>445</v>
      </c>
      <c r="B426" s="2">
        <v>306</v>
      </c>
      <c r="C426" s="2">
        <v>120</v>
      </c>
      <c r="D426" s="2">
        <v>43.4</v>
      </c>
      <c r="E426" s="2">
        <v>77.900000000000006</v>
      </c>
      <c r="F426" s="2">
        <v>-1.3</v>
      </c>
      <c r="I426" s="2">
        <v>2000</v>
      </c>
      <c r="J426" s="2">
        <v>168</v>
      </c>
      <c r="K426" s="2">
        <v>240000</v>
      </c>
      <c r="L426" s="2">
        <v>4559</v>
      </c>
      <c r="M426" s="2">
        <v>366.9</v>
      </c>
      <c r="N426" s="2">
        <v>506.9</v>
      </c>
      <c r="O426" s="2">
        <v>9550</v>
      </c>
      <c r="Q426" s="2" t="s">
        <v>5270</v>
      </c>
    </row>
    <row r="427" spans="1:17" ht="24.95" customHeight="1" x14ac:dyDescent="0.25">
      <c r="A427" s="17" t="s">
        <v>446</v>
      </c>
      <c r="B427" s="2">
        <v>285</v>
      </c>
      <c r="C427" s="2">
        <v>114</v>
      </c>
      <c r="D427" s="2">
        <v>35.5</v>
      </c>
      <c r="E427" s="2">
        <v>77.900000000000006</v>
      </c>
      <c r="F427" s="2">
        <v>0.6</v>
      </c>
      <c r="I427" s="2">
        <v>782</v>
      </c>
      <c r="J427" s="2">
        <v>138</v>
      </c>
      <c r="K427" s="2">
        <v>89148</v>
      </c>
      <c r="L427" s="2">
        <v>2347</v>
      </c>
      <c r="M427" s="2">
        <v>108</v>
      </c>
      <c r="N427" s="2">
        <v>195.1</v>
      </c>
      <c r="O427" s="2">
        <v>6580</v>
      </c>
      <c r="P427" s="2">
        <v>34.5</v>
      </c>
      <c r="Q427" s="2" t="s">
        <v>5270</v>
      </c>
    </row>
    <row r="428" spans="1:17" ht="24.95" customHeight="1" x14ac:dyDescent="0.25">
      <c r="A428" s="17" t="s">
        <v>447</v>
      </c>
      <c r="B428" s="2">
        <v>318</v>
      </c>
      <c r="C428" s="2">
        <v>120</v>
      </c>
      <c r="D428" s="2">
        <v>42.2</v>
      </c>
      <c r="E428" s="2">
        <v>77.900000000000006</v>
      </c>
      <c r="I428" s="2">
        <v>12750</v>
      </c>
      <c r="J428" s="2">
        <v>225</v>
      </c>
      <c r="K428" s="2">
        <v>1530000</v>
      </c>
      <c r="L428" s="2">
        <v>17361</v>
      </c>
      <c r="M428" s="2">
        <v>1417.7</v>
      </c>
      <c r="N428" s="2">
        <v>3112.1</v>
      </c>
      <c r="O428" s="2">
        <v>58180</v>
      </c>
      <c r="Q428" s="2" t="s">
        <v>5270</v>
      </c>
    </row>
    <row r="429" spans="1:17" ht="24.95" customHeight="1" x14ac:dyDescent="0.25">
      <c r="A429" s="17" t="s">
        <v>448</v>
      </c>
      <c r="B429" s="2">
        <v>298</v>
      </c>
      <c r="C429" s="2">
        <v>114</v>
      </c>
      <c r="D429" s="2">
        <v>37.200000000000003</v>
      </c>
      <c r="E429" s="2">
        <v>77.400000000000006</v>
      </c>
      <c r="F429" s="2">
        <v>-0.5</v>
      </c>
      <c r="I429" s="2">
        <v>24500</v>
      </c>
      <c r="J429" s="2">
        <v>217</v>
      </c>
      <c r="K429" s="2">
        <v>2793000</v>
      </c>
      <c r="L429" s="2">
        <v>40998</v>
      </c>
      <c r="M429" s="2">
        <v>3723.2</v>
      </c>
      <c r="N429" s="2">
        <v>6096.8</v>
      </c>
      <c r="O429" s="2">
        <v>132400</v>
      </c>
      <c r="Q429" s="2" t="s">
        <v>5270</v>
      </c>
    </row>
    <row r="430" spans="1:17" ht="24.95" customHeight="1" x14ac:dyDescent="0.25">
      <c r="A430" s="17" t="s">
        <v>449</v>
      </c>
      <c r="B430" s="2">
        <v>306</v>
      </c>
      <c r="C430" s="2">
        <v>114</v>
      </c>
      <c r="D430" s="2">
        <v>35.799999999999997</v>
      </c>
      <c r="E430" s="2">
        <v>77.900000000000006</v>
      </c>
      <c r="F430" s="2">
        <v>0.3</v>
      </c>
      <c r="I430" s="2">
        <v>3030</v>
      </c>
      <c r="J430" s="2">
        <v>197</v>
      </c>
      <c r="K430" s="2">
        <v>345420</v>
      </c>
      <c r="L430" s="2">
        <v>6595</v>
      </c>
      <c r="M430" s="2">
        <v>530</v>
      </c>
      <c r="N430" s="2">
        <v>731.4</v>
      </c>
      <c r="O430" s="2">
        <v>19840</v>
      </c>
      <c r="P430" s="2">
        <v>14.1</v>
      </c>
      <c r="Q430" s="2" t="s">
        <v>5270</v>
      </c>
    </row>
    <row r="431" spans="1:17" ht="24.95" customHeight="1" x14ac:dyDescent="0.25">
      <c r="A431" s="17" t="s">
        <v>450</v>
      </c>
      <c r="B431" s="2">
        <v>300</v>
      </c>
      <c r="C431" s="2">
        <v>114</v>
      </c>
      <c r="D431" s="2">
        <v>39</v>
      </c>
      <c r="E431" s="2">
        <v>74.5</v>
      </c>
      <c r="F431" s="2">
        <v>0.4</v>
      </c>
      <c r="I431" s="2">
        <v>26800</v>
      </c>
      <c r="J431" s="2">
        <v>244</v>
      </c>
      <c r="K431" s="2">
        <v>3055200</v>
      </c>
      <c r="L431" s="2">
        <v>32436</v>
      </c>
      <c r="M431" s="2">
        <v>1876</v>
      </c>
      <c r="N431" s="2">
        <v>6666.2</v>
      </c>
      <c r="O431" s="2">
        <v>115430</v>
      </c>
      <c r="Q431" s="2" t="s">
        <v>5270</v>
      </c>
    </row>
    <row r="432" spans="1:17" ht="24.95" customHeight="1" x14ac:dyDescent="0.25">
      <c r="A432" s="17" t="s">
        <v>451</v>
      </c>
      <c r="B432" s="2">
        <v>316</v>
      </c>
      <c r="C432" s="2">
        <v>114</v>
      </c>
      <c r="D432" s="2">
        <v>43</v>
      </c>
      <c r="E432" s="2">
        <v>70.8</v>
      </c>
      <c r="F432" s="2">
        <v>0.2</v>
      </c>
      <c r="I432" s="2">
        <v>2750</v>
      </c>
      <c r="J432" s="2">
        <v>211</v>
      </c>
      <c r="K432" s="2">
        <v>313500</v>
      </c>
      <c r="L432" s="2">
        <v>3255</v>
      </c>
      <c r="M432" s="2">
        <v>278.5</v>
      </c>
      <c r="N432" s="2">
        <v>625</v>
      </c>
      <c r="O432" s="2">
        <v>11900</v>
      </c>
      <c r="Q432" s="2" t="s">
        <v>5270</v>
      </c>
    </row>
    <row r="433" spans="1:17" ht="24.95" customHeight="1" x14ac:dyDescent="0.25">
      <c r="A433" s="17" t="s">
        <v>5321</v>
      </c>
      <c r="B433" s="2">
        <v>286</v>
      </c>
      <c r="C433" s="2">
        <v>107</v>
      </c>
      <c r="D433" s="2">
        <v>28.5</v>
      </c>
      <c r="E433" s="2">
        <v>78</v>
      </c>
      <c r="F433" s="2">
        <v>0.5</v>
      </c>
      <c r="I433" s="2">
        <v>482</v>
      </c>
      <c r="J433" s="2">
        <v>215</v>
      </c>
      <c r="K433" s="2">
        <v>51574</v>
      </c>
      <c r="L433" s="2">
        <v>1354</v>
      </c>
      <c r="M433" s="2">
        <v>90.3</v>
      </c>
      <c r="N433" s="2">
        <v>115.9</v>
      </c>
      <c r="O433" s="2">
        <v>3110</v>
      </c>
      <c r="P433" s="2">
        <v>17.399999999999999</v>
      </c>
      <c r="Q433" s="2" t="s">
        <v>5270</v>
      </c>
    </row>
    <row r="434" spans="1:17" ht="24.95" customHeight="1" x14ac:dyDescent="0.25">
      <c r="A434" s="17" t="s">
        <v>453</v>
      </c>
      <c r="B434" s="2">
        <v>306</v>
      </c>
      <c r="C434" s="2">
        <v>118</v>
      </c>
      <c r="D434" s="2">
        <v>39.5</v>
      </c>
      <c r="E434" s="2">
        <v>77.900000000000006</v>
      </c>
      <c r="F434" s="2">
        <v>0.6</v>
      </c>
      <c r="I434" s="2">
        <v>1769</v>
      </c>
      <c r="J434" s="2">
        <v>236</v>
      </c>
      <c r="K434" s="2">
        <v>208742</v>
      </c>
      <c r="L434" s="2">
        <v>3042</v>
      </c>
      <c r="M434" s="2">
        <v>193.1</v>
      </c>
      <c r="N434" s="2">
        <v>436.7</v>
      </c>
      <c r="O434" s="2">
        <v>9650</v>
      </c>
      <c r="Q434" s="2" t="s">
        <v>5270</v>
      </c>
    </row>
    <row r="435" spans="1:17" ht="24.95" customHeight="1" x14ac:dyDescent="0.25">
      <c r="A435" s="17" t="s">
        <v>454</v>
      </c>
      <c r="B435" s="2">
        <v>252</v>
      </c>
      <c r="C435" s="2">
        <v>98</v>
      </c>
      <c r="D435" s="2">
        <v>19.5</v>
      </c>
      <c r="E435" s="2">
        <v>78</v>
      </c>
      <c r="F435" s="2">
        <v>0.5</v>
      </c>
      <c r="I435" s="2">
        <v>300</v>
      </c>
      <c r="J435" s="2">
        <v>197</v>
      </c>
      <c r="K435" s="2">
        <v>29400</v>
      </c>
      <c r="L435" s="2">
        <v>1170</v>
      </c>
      <c r="M435" s="2">
        <v>58.6</v>
      </c>
      <c r="N435" s="2">
        <v>72.599999999999994</v>
      </c>
      <c r="O435" s="2">
        <v>3030</v>
      </c>
      <c r="P435" s="2">
        <v>47.5</v>
      </c>
      <c r="Q435" s="2" t="s">
        <v>5270</v>
      </c>
    </row>
    <row r="436" spans="1:17" ht="24.95" customHeight="1" x14ac:dyDescent="0.25">
      <c r="A436" s="17" t="s">
        <v>456</v>
      </c>
      <c r="B436" s="2">
        <v>240</v>
      </c>
      <c r="C436" s="2">
        <v>92</v>
      </c>
      <c r="D436" s="2">
        <v>12.3</v>
      </c>
      <c r="E436" s="2">
        <v>78</v>
      </c>
      <c r="F436" s="2">
        <v>1.8</v>
      </c>
      <c r="H436" s="2">
        <v>93.8</v>
      </c>
      <c r="I436" s="2">
        <v>2370</v>
      </c>
      <c r="J436" s="2">
        <v>182</v>
      </c>
      <c r="K436" s="2">
        <v>222330</v>
      </c>
      <c r="L436" s="2">
        <v>6912</v>
      </c>
      <c r="M436" s="2">
        <v>387.6</v>
      </c>
      <c r="N436" s="2">
        <v>552.6</v>
      </c>
      <c r="O436" s="2">
        <v>23140</v>
      </c>
      <c r="P436" s="2">
        <v>43.7</v>
      </c>
      <c r="Q436" s="2" t="s">
        <v>5271</v>
      </c>
    </row>
    <row r="437" spans="1:17" ht="24.95" customHeight="1" x14ac:dyDescent="0.25">
      <c r="A437" s="17" t="s">
        <v>423</v>
      </c>
      <c r="B437" s="2">
        <v>258</v>
      </c>
      <c r="C437" s="2">
        <v>102</v>
      </c>
      <c r="D437" s="2">
        <v>23</v>
      </c>
      <c r="E437" s="2">
        <v>78</v>
      </c>
      <c r="F437" s="2">
        <v>0.9</v>
      </c>
      <c r="H437" s="2">
        <v>104.8</v>
      </c>
      <c r="I437" s="2">
        <v>6433</v>
      </c>
      <c r="J437" s="2">
        <v>208</v>
      </c>
      <c r="K437" s="2">
        <v>674404</v>
      </c>
      <c r="L437" s="2">
        <v>16081</v>
      </c>
      <c r="M437" s="2">
        <v>1072.8</v>
      </c>
      <c r="N437" s="2">
        <v>1589.1</v>
      </c>
      <c r="O437" s="2">
        <v>49720</v>
      </c>
      <c r="P437" s="2">
        <v>27.9</v>
      </c>
      <c r="Q437" s="2" t="s">
        <v>5271</v>
      </c>
    </row>
    <row r="438" spans="1:17" ht="24.95" customHeight="1" x14ac:dyDescent="0.25">
      <c r="A438" s="17" t="s">
        <v>457</v>
      </c>
      <c r="B438" s="2">
        <v>262</v>
      </c>
      <c r="C438" s="2">
        <v>101</v>
      </c>
      <c r="D438" s="2">
        <v>22</v>
      </c>
      <c r="E438" s="2">
        <v>78</v>
      </c>
      <c r="F438" s="2">
        <v>1</v>
      </c>
      <c r="H438" s="2">
        <v>102</v>
      </c>
      <c r="I438" s="2">
        <v>2640</v>
      </c>
      <c r="J438" s="2">
        <v>205</v>
      </c>
      <c r="K438" s="2">
        <v>269164</v>
      </c>
      <c r="L438" s="2">
        <v>6841</v>
      </c>
      <c r="M438" s="2">
        <v>427.2</v>
      </c>
      <c r="N438" s="2">
        <v>671.3</v>
      </c>
      <c r="O438" s="2">
        <v>20760</v>
      </c>
      <c r="P438" s="2">
        <v>28.2</v>
      </c>
      <c r="Q438" s="2" t="s">
        <v>5271</v>
      </c>
    </row>
    <row r="439" spans="1:17" ht="24.95" customHeight="1" x14ac:dyDescent="0.25">
      <c r="A439" s="17" t="s">
        <v>458</v>
      </c>
      <c r="B439" s="2">
        <v>262</v>
      </c>
      <c r="C439" s="2">
        <v>99</v>
      </c>
      <c r="D439" s="2">
        <v>20</v>
      </c>
      <c r="E439" s="2">
        <v>78</v>
      </c>
      <c r="F439" s="2">
        <v>1</v>
      </c>
      <c r="H439" s="2">
        <v>100.6</v>
      </c>
      <c r="I439" s="2">
        <v>5450</v>
      </c>
      <c r="J439" s="2">
        <v>228</v>
      </c>
      <c r="K439" s="2">
        <v>548316</v>
      </c>
      <c r="L439" s="2">
        <v>12045</v>
      </c>
      <c r="M439" s="2">
        <v>903.6</v>
      </c>
      <c r="N439" s="2">
        <v>1322.9</v>
      </c>
      <c r="O439" s="2">
        <v>37790</v>
      </c>
      <c r="P439" s="2">
        <v>2</v>
      </c>
      <c r="Q439" s="2" t="s">
        <v>5271</v>
      </c>
    </row>
    <row r="440" spans="1:17" ht="24.95" customHeight="1" x14ac:dyDescent="0.25">
      <c r="A440" s="17" t="s">
        <v>446</v>
      </c>
      <c r="B440" s="2">
        <v>276</v>
      </c>
      <c r="C440" s="2">
        <v>108</v>
      </c>
      <c r="D440" s="2">
        <v>27.5</v>
      </c>
      <c r="E440" s="2">
        <v>78</v>
      </c>
      <c r="F440" s="2">
        <v>2.6</v>
      </c>
      <c r="H440" s="2">
        <v>110.3</v>
      </c>
      <c r="I440" s="2">
        <v>1390</v>
      </c>
      <c r="J440" s="2">
        <v>126</v>
      </c>
      <c r="K440" s="2">
        <v>153364</v>
      </c>
      <c r="L440" s="2">
        <v>6054</v>
      </c>
      <c r="M440" s="2">
        <v>240.1</v>
      </c>
      <c r="N440" s="2">
        <v>342.5</v>
      </c>
      <c r="O440" s="2">
        <v>16390</v>
      </c>
      <c r="P440" s="2">
        <v>53.5</v>
      </c>
      <c r="Q440" s="2" t="s">
        <v>5271</v>
      </c>
    </row>
    <row r="441" spans="1:17" ht="24.95" customHeight="1" x14ac:dyDescent="0.25">
      <c r="A441" s="17" t="s">
        <v>459</v>
      </c>
      <c r="B441" s="2">
        <v>232</v>
      </c>
      <c r="C441" s="2">
        <v>98</v>
      </c>
      <c r="D441" s="2">
        <v>18.8</v>
      </c>
      <c r="E441" s="2">
        <v>78</v>
      </c>
      <c r="F441" s="2">
        <v>1.2</v>
      </c>
      <c r="H441" s="2">
        <v>96.2</v>
      </c>
      <c r="I441" s="2">
        <v>2380</v>
      </c>
      <c r="J441" s="2">
        <v>157</v>
      </c>
      <c r="K441" s="2">
        <v>229033</v>
      </c>
      <c r="L441" s="2">
        <v>8153</v>
      </c>
      <c r="M441" s="2">
        <v>384.5</v>
      </c>
      <c r="N441" s="2">
        <v>616.29999999999995</v>
      </c>
      <c r="O441" s="2">
        <v>23230</v>
      </c>
      <c r="P441" s="2">
        <v>41.7</v>
      </c>
      <c r="Q441" s="2" t="s">
        <v>5271</v>
      </c>
    </row>
    <row r="442" spans="1:17" ht="24.95" customHeight="1" x14ac:dyDescent="0.25">
      <c r="A442" s="17" t="s">
        <v>430</v>
      </c>
      <c r="B442" s="2">
        <v>252</v>
      </c>
      <c r="C442" s="2">
        <v>96</v>
      </c>
      <c r="D442" s="2">
        <v>16.8</v>
      </c>
      <c r="E442" s="2">
        <v>78</v>
      </c>
      <c r="F442" s="2">
        <v>1.2</v>
      </c>
      <c r="H442" s="2">
        <v>97.4</v>
      </c>
      <c r="I442" s="2">
        <v>2005</v>
      </c>
      <c r="J442" s="2">
        <v>196</v>
      </c>
      <c r="K442" s="2">
        <v>195275</v>
      </c>
      <c r="L442" s="2">
        <v>6252</v>
      </c>
      <c r="M442" s="2">
        <v>336.7</v>
      </c>
      <c r="N442" s="2">
        <v>525.1</v>
      </c>
      <c r="O442" s="2">
        <v>16380</v>
      </c>
      <c r="P442" s="2">
        <v>30.3</v>
      </c>
      <c r="Q442" s="2" t="s">
        <v>5271</v>
      </c>
    </row>
    <row r="443" spans="1:17" ht="24.95" customHeight="1" x14ac:dyDescent="0.25">
      <c r="A443" s="17" t="s">
        <v>460</v>
      </c>
      <c r="B443" s="2">
        <v>250</v>
      </c>
      <c r="C443" s="2">
        <v>98</v>
      </c>
      <c r="D443" s="2">
        <v>19.600000000000001</v>
      </c>
      <c r="E443" s="2">
        <v>78</v>
      </c>
      <c r="F443" s="2">
        <v>0.4</v>
      </c>
      <c r="H443" s="2">
        <v>101.6</v>
      </c>
      <c r="I443" s="2">
        <v>4309</v>
      </c>
      <c r="J443" s="2">
        <v>199</v>
      </c>
      <c r="K443" s="2">
        <v>437814</v>
      </c>
      <c r="L443" s="2">
        <v>10809</v>
      </c>
      <c r="M443" s="2">
        <v>698.7</v>
      </c>
      <c r="N443" s="2">
        <v>1047.3</v>
      </c>
      <c r="O443" s="2">
        <v>32500</v>
      </c>
      <c r="P443" s="2">
        <v>25.3</v>
      </c>
      <c r="Q443" s="2" t="s">
        <v>5271</v>
      </c>
    </row>
    <row r="444" spans="1:17" ht="24.95" customHeight="1" x14ac:dyDescent="0.25">
      <c r="A444" s="17" t="s">
        <v>432</v>
      </c>
      <c r="B444" s="2">
        <v>248</v>
      </c>
      <c r="C444" s="2">
        <v>96</v>
      </c>
      <c r="D444" s="2">
        <v>16.600000000000001</v>
      </c>
      <c r="E444" s="2">
        <v>78</v>
      </c>
      <c r="F444" s="2">
        <v>1.4</v>
      </c>
      <c r="H444" s="2">
        <v>97.9</v>
      </c>
      <c r="I444" s="2">
        <v>2000</v>
      </c>
      <c r="J444" s="2">
        <v>186</v>
      </c>
      <c r="K444" s="2">
        <v>195894</v>
      </c>
      <c r="L444" s="2">
        <v>6200</v>
      </c>
      <c r="M444" s="2">
        <v>334.7</v>
      </c>
      <c r="N444" s="2">
        <v>492.4</v>
      </c>
      <c r="O444" s="2">
        <v>18160</v>
      </c>
      <c r="P444" s="2">
        <v>36.200000000000003</v>
      </c>
      <c r="Q444" s="2" t="s">
        <v>5271</v>
      </c>
    </row>
    <row r="445" spans="1:17" ht="24.95" customHeight="1" x14ac:dyDescent="0.25">
      <c r="A445" s="17" t="s">
        <v>2329</v>
      </c>
      <c r="B445" s="2">
        <v>268</v>
      </c>
      <c r="C445" s="2">
        <v>104</v>
      </c>
      <c r="D445" s="2">
        <v>24.4</v>
      </c>
      <c r="E445" s="2">
        <v>78</v>
      </c>
      <c r="F445" s="2">
        <v>1.6</v>
      </c>
      <c r="H445" s="2">
        <v>108.6</v>
      </c>
      <c r="I445" s="2">
        <v>2475</v>
      </c>
      <c r="J445" s="2">
        <v>196</v>
      </c>
      <c r="K445" s="2">
        <v>268680</v>
      </c>
      <c r="L445" s="2">
        <v>8982</v>
      </c>
      <c r="M445" s="2">
        <v>426</v>
      </c>
      <c r="N445" s="2">
        <v>627.79999999999995</v>
      </c>
      <c r="O445" s="2">
        <v>25020</v>
      </c>
      <c r="P445" s="2">
        <v>44</v>
      </c>
      <c r="Q445" s="2" t="s">
        <v>5271</v>
      </c>
    </row>
    <row r="446" spans="1:17" ht="24.95" customHeight="1" x14ac:dyDescent="0.25">
      <c r="A446" s="17" t="s">
        <v>6746</v>
      </c>
      <c r="B446" s="2">
        <v>223</v>
      </c>
      <c r="C446" s="2">
        <v>86</v>
      </c>
      <c r="I446" s="2">
        <v>67819</v>
      </c>
      <c r="J446" s="2">
        <v>153</v>
      </c>
      <c r="K446" s="2">
        <v>5832434</v>
      </c>
      <c r="L446" s="2">
        <v>156456</v>
      </c>
      <c r="M446" s="2">
        <v>9103.7000000000007</v>
      </c>
      <c r="N446" s="2">
        <v>16455.3</v>
      </c>
      <c r="O446" s="2">
        <v>5093300</v>
      </c>
      <c r="P446" s="2">
        <v>25.8</v>
      </c>
    </row>
    <row r="447" spans="1:17" ht="24.95" customHeight="1" x14ac:dyDescent="0.25">
      <c r="A447" s="17" t="s">
        <v>463</v>
      </c>
      <c r="B447" s="2">
        <v>296</v>
      </c>
      <c r="C447" s="2">
        <v>128</v>
      </c>
      <c r="D447" s="2">
        <v>43.4</v>
      </c>
      <c r="E447" s="2">
        <v>86</v>
      </c>
      <c r="F447" s="2">
        <v>-1.4</v>
      </c>
      <c r="I447" s="2">
        <v>13120</v>
      </c>
      <c r="J447" s="2">
        <v>134</v>
      </c>
      <c r="K447" s="2">
        <v>1679360</v>
      </c>
      <c r="L447" s="2">
        <v>22762</v>
      </c>
      <c r="M447" s="2">
        <v>1496.5</v>
      </c>
      <c r="N447" s="2">
        <v>3118</v>
      </c>
      <c r="O447" s="2">
        <v>73770</v>
      </c>
      <c r="P447" s="2">
        <v>2.1</v>
      </c>
      <c r="Q447" s="2" t="s">
        <v>5268</v>
      </c>
    </row>
    <row r="448" spans="1:17" ht="24.95" customHeight="1" x14ac:dyDescent="0.25">
      <c r="A448" s="17" t="s">
        <v>464</v>
      </c>
      <c r="B448" s="2">
        <v>326</v>
      </c>
      <c r="C448" s="2">
        <v>126</v>
      </c>
      <c r="D448" s="2">
        <v>36.200000000000003</v>
      </c>
      <c r="E448" s="2">
        <v>90</v>
      </c>
      <c r="F448" s="2">
        <v>-0.2</v>
      </c>
      <c r="I448" s="2">
        <v>792</v>
      </c>
      <c r="J448" s="2">
        <v>115</v>
      </c>
      <c r="K448" s="2">
        <v>99792</v>
      </c>
      <c r="L448" s="2">
        <v>1803</v>
      </c>
      <c r="M448" s="2">
        <v>85.7</v>
      </c>
      <c r="N448" s="2">
        <v>201</v>
      </c>
      <c r="O448" s="2">
        <v>5880</v>
      </c>
      <c r="P448" s="2">
        <v>23.6</v>
      </c>
      <c r="Q448" s="2" t="s">
        <v>5268</v>
      </c>
    </row>
    <row r="449" spans="1:17" ht="24.95" customHeight="1" x14ac:dyDescent="0.25">
      <c r="A449" s="17" t="s">
        <v>465</v>
      </c>
      <c r="B449" s="2">
        <v>288</v>
      </c>
      <c r="C449" s="2">
        <v>114</v>
      </c>
      <c r="D449" s="2">
        <v>25.6</v>
      </c>
      <c r="E449" s="2">
        <v>89.5</v>
      </c>
      <c r="F449" s="2">
        <v>-1.1000000000000001</v>
      </c>
      <c r="I449" s="2">
        <v>1040</v>
      </c>
      <c r="J449" s="2">
        <v>139</v>
      </c>
      <c r="K449" s="2">
        <v>118560</v>
      </c>
      <c r="L449" s="2">
        <v>2526</v>
      </c>
      <c r="M449" s="2">
        <v>210.2</v>
      </c>
      <c r="N449" s="2">
        <v>258</v>
      </c>
      <c r="O449" s="2">
        <v>7770</v>
      </c>
      <c r="P449" s="2">
        <v>24.7</v>
      </c>
      <c r="Q449" s="2" t="s">
        <v>5270</v>
      </c>
    </row>
    <row r="450" spans="1:17" ht="24.95" customHeight="1" x14ac:dyDescent="0.25">
      <c r="A450" s="17" t="s">
        <v>466</v>
      </c>
      <c r="B450" s="2">
        <v>316</v>
      </c>
      <c r="C450" s="2">
        <v>120</v>
      </c>
      <c r="D450" s="2">
        <v>31.4</v>
      </c>
      <c r="E450" s="2">
        <v>90</v>
      </c>
      <c r="F450" s="2">
        <v>-1.4</v>
      </c>
      <c r="I450" s="2">
        <v>1695</v>
      </c>
      <c r="J450" s="2">
        <v>145</v>
      </c>
      <c r="K450" s="2">
        <v>203400</v>
      </c>
      <c r="L450" s="2">
        <v>3746</v>
      </c>
      <c r="M450" s="2">
        <v>226.3</v>
      </c>
      <c r="N450" s="2">
        <v>433.6</v>
      </c>
      <c r="O450" s="2">
        <v>12600</v>
      </c>
      <c r="P450" s="2">
        <v>23.8</v>
      </c>
      <c r="Q450" s="2" t="s">
        <v>5270</v>
      </c>
    </row>
    <row r="451" spans="1:17" ht="24.95" customHeight="1" x14ac:dyDescent="0.25">
      <c r="A451" s="17" t="s">
        <v>467</v>
      </c>
      <c r="B451" s="2">
        <v>284</v>
      </c>
      <c r="C451" s="2">
        <v>120</v>
      </c>
      <c r="D451" s="2">
        <v>30.2</v>
      </c>
      <c r="E451" s="2">
        <v>89.5</v>
      </c>
      <c r="F451" s="2">
        <v>0.3</v>
      </c>
      <c r="I451" s="2">
        <v>3453</v>
      </c>
      <c r="J451" s="2">
        <v>174</v>
      </c>
      <c r="K451" s="2">
        <v>414360</v>
      </c>
      <c r="L451" s="2">
        <v>8439</v>
      </c>
      <c r="M451" s="2">
        <v>542.5</v>
      </c>
      <c r="N451" s="2">
        <v>849.5</v>
      </c>
      <c r="O451" s="2">
        <v>26410</v>
      </c>
      <c r="P451" s="2">
        <v>27</v>
      </c>
      <c r="Q451" s="2" t="s">
        <v>5270</v>
      </c>
    </row>
    <row r="452" spans="1:17" ht="24.95" customHeight="1" x14ac:dyDescent="0.25">
      <c r="A452" s="17" t="s">
        <v>5322</v>
      </c>
      <c r="B452" s="2">
        <v>288</v>
      </c>
      <c r="C452" s="2">
        <v>120</v>
      </c>
      <c r="D452" s="2">
        <v>30.4</v>
      </c>
      <c r="E452" s="2">
        <v>89.5</v>
      </c>
      <c r="F452" s="2">
        <v>0.1</v>
      </c>
      <c r="I452" s="2">
        <v>3124</v>
      </c>
      <c r="J452" s="2">
        <v>162</v>
      </c>
      <c r="K452" s="2">
        <v>374880</v>
      </c>
      <c r="L452" s="2">
        <v>7512</v>
      </c>
      <c r="M452" s="2">
        <v>569.20000000000005</v>
      </c>
      <c r="N452" s="2">
        <v>771.3</v>
      </c>
      <c r="O452" s="2">
        <v>24230</v>
      </c>
      <c r="P452" s="2">
        <v>27.8</v>
      </c>
      <c r="Q452" s="2" t="s">
        <v>5270</v>
      </c>
    </row>
    <row r="453" spans="1:17" ht="24.95" customHeight="1" x14ac:dyDescent="0.25">
      <c r="A453" s="17" t="s">
        <v>5323</v>
      </c>
      <c r="B453" s="2">
        <v>314</v>
      </c>
      <c r="C453" s="2">
        <v>122</v>
      </c>
      <c r="D453" s="2">
        <v>31.2</v>
      </c>
      <c r="E453" s="2">
        <v>90</v>
      </c>
      <c r="F453" s="2">
        <v>0.8</v>
      </c>
      <c r="I453" s="2">
        <v>454</v>
      </c>
      <c r="J453" s="2">
        <v>162</v>
      </c>
      <c r="K453" s="2">
        <v>55388</v>
      </c>
      <c r="L453" s="2">
        <v>1207</v>
      </c>
      <c r="M453" s="2">
        <v>63.2</v>
      </c>
      <c r="N453" s="2">
        <v>114.7</v>
      </c>
      <c r="O453" s="2">
        <v>3700</v>
      </c>
      <c r="P453" s="2">
        <v>30</v>
      </c>
      <c r="Q453" s="2" t="s">
        <v>5270</v>
      </c>
    </row>
    <row r="454" spans="1:17" ht="24.95" customHeight="1" x14ac:dyDescent="0.25">
      <c r="A454" s="17" t="s">
        <v>470</v>
      </c>
      <c r="B454" s="2">
        <v>324</v>
      </c>
      <c r="C454" s="2">
        <v>125</v>
      </c>
      <c r="D454" s="2">
        <v>36.299999999999997</v>
      </c>
      <c r="E454" s="2">
        <v>90</v>
      </c>
      <c r="F454" s="2">
        <v>-1.3</v>
      </c>
      <c r="I454" s="2">
        <v>2806</v>
      </c>
      <c r="J454" s="2">
        <v>153</v>
      </c>
      <c r="K454" s="2">
        <v>350750</v>
      </c>
      <c r="L454" s="2">
        <v>5949</v>
      </c>
      <c r="M454" s="2">
        <v>314.3</v>
      </c>
      <c r="N454" s="2">
        <v>682</v>
      </c>
      <c r="O454" s="2">
        <v>17620</v>
      </c>
      <c r="P454" s="2">
        <v>12.5</v>
      </c>
      <c r="Q454" s="2" t="s">
        <v>5270</v>
      </c>
    </row>
    <row r="455" spans="1:17" ht="24.95" customHeight="1" x14ac:dyDescent="0.25">
      <c r="A455" s="17" t="s">
        <v>463</v>
      </c>
      <c r="B455" s="2">
        <v>240</v>
      </c>
      <c r="C455" s="2">
        <v>108</v>
      </c>
      <c r="D455" s="2">
        <v>17.899999999999999</v>
      </c>
      <c r="E455" s="2">
        <v>90</v>
      </c>
      <c r="F455" s="2">
        <v>0.1</v>
      </c>
      <c r="H455" s="2">
        <v>110.4</v>
      </c>
      <c r="I455" s="2">
        <v>5054</v>
      </c>
      <c r="J455" s="2">
        <v>154</v>
      </c>
      <c r="K455" s="2">
        <v>557735</v>
      </c>
      <c r="L455" s="2">
        <v>9895</v>
      </c>
      <c r="M455" s="2">
        <v>665.7</v>
      </c>
      <c r="N455" s="2">
        <v>1123.7</v>
      </c>
      <c r="O455" s="2">
        <v>32440</v>
      </c>
      <c r="P455" s="2">
        <v>17.3</v>
      </c>
      <c r="Q455" s="2" t="s">
        <v>5271</v>
      </c>
    </row>
    <row r="456" spans="1:17" ht="24.95" customHeight="1" x14ac:dyDescent="0.25">
      <c r="A456" s="17" t="s">
        <v>466</v>
      </c>
      <c r="B456" s="2">
        <v>273</v>
      </c>
      <c r="C456" s="2">
        <v>111</v>
      </c>
      <c r="D456" s="2">
        <v>20.5</v>
      </c>
      <c r="E456" s="2">
        <v>90</v>
      </c>
      <c r="F456" s="2">
        <v>0.5</v>
      </c>
      <c r="H456" s="2">
        <v>112.5</v>
      </c>
      <c r="I456" s="2">
        <v>1973</v>
      </c>
      <c r="J456" s="2">
        <v>146</v>
      </c>
      <c r="K456" s="2">
        <v>221966</v>
      </c>
      <c r="L456" s="2">
        <v>4212</v>
      </c>
      <c r="M456" s="2">
        <v>222.8</v>
      </c>
      <c r="N456" s="2">
        <v>435.4</v>
      </c>
      <c r="O456" s="2">
        <v>15630</v>
      </c>
      <c r="P456" s="2">
        <v>31.6</v>
      </c>
      <c r="Q456" s="2" t="s">
        <v>5271</v>
      </c>
    </row>
    <row r="457" spans="1:17" ht="24.95" customHeight="1" x14ac:dyDescent="0.25">
      <c r="A457" s="17" t="s">
        <v>471</v>
      </c>
      <c r="B457" s="2">
        <v>285</v>
      </c>
      <c r="C457" s="2">
        <v>111</v>
      </c>
      <c r="D457" s="2">
        <v>20</v>
      </c>
      <c r="E457" s="2">
        <v>90</v>
      </c>
      <c r="F457" s="2">
        <v>1</v>
      </c>
      <c r="H457" s="2">
        <v>114.2</v>
      </c>
      <c r="I457" s="2">
        <v>2000</v>
      </c>
      <c r="J457" s="2">
        <v>144</v>
      </c>
      <c r="K457" s="2">
        <v>228382</v>
      </c>
      <c r="L457" s="2">
        <v>5857</v>
      </c>
      <c r="M457" s="2">
        <v>278.60000000000002</v>
      </c>
      <c r="N457" s="2">
        <v>489.6</v>
      </c>
      <c r="O457" s="2">
        <v>18650</v>
      </c>
      <c r="P457" s="2">
        <v>41.3</v>
      </c>
      <c r="Q457" s="2" t="s">
        <v>5271</v>
      </c>
    </row>
    <row r="458" spans="1:17" ht="24.95" customHeight="1" x14ac:dyDescent="0.25">
      <c r="A458" s="17" t="s">
        <v>472</v>
      </c>
      <c r="B458" s="2">
        <v>266</v>
      </c>
      <c r="C458" s="2">
        <v>108</v>
      </c>
      <c r="D458" s="2">
        <v>16.7</v>
      </c>
      <c r="E458" s="2">
        <v>90</v>
      </c>
      <c r="F458" s="2">
        <v>1.3</v>
      </c>
      <c r="H458" s="2">
        <v>112.8</v>
      </c>
      <c r="I458" s="2">
        <v>1546</v>
      </c>
      <c r="J458" s="2">
        <v>141</v>
      </c>
      <c r="K458" s="2">
        <v>174350</v>
      </c>
      <c r="L458" s="2">
        <v>6435</v>
      </c>
      <c r="M458" s="2">
        <v>227.7</v>
      </c>
      <c r="N458" s="2">
        <v>403.4</v>
      </c>
      <c r="O458" s="2">
        <v>20800</v>
      </c>
      <c r="P458" s="2">
        <v>57.6</v>
      </c>
      <c r="Q458" s="2" t="s">
        <v>5271</v>
      </c>
    </row>
    <row r="459" spans="1:17" ht="24.95" customHeight="1" x14ac:dyDescent="0.25">
      <c r="A459" s="17" t="s">
        <v>473</v>
      </c>
      <c r="B459" s="2">
        <v>275</v>
      </c>
      <c r="C459" s="2">
        <v>109</v>
      </c>
      <c r="D459" s="2">
        <v>18.8</v>
      </c>
      <c r="E459" s="2">
        <v>90</v>
      </c>
      <c r="F459" s="2">
        <v>0.2</v>
      </c>
      <c r="H459" s="2">
        <v>111.9</v>
      </c>
      <c r="I459" s="2">
        <v>6767</v>
      </c>
      <c r="J459" s="2">
        <v>152</v>
      </c>
      <c r="K459" s="2">
        <v>756950</v>
      </c>
      <c r="L459" s="2">
        <v>13926</v>
      </c>
      <c r="M459" s="2">
        <v>855.5</v>
      </c>
      <c r="N459" s="2">
        <v>1574.8</v>
      </c>
      <c r="O459" s="2">
        <v>48050</v>
      </c>
      <c r="P459" s="2">
        <v>20.5</v>
      </c>
      <c r="Q459" s="2" t="s">
        <v>5271</v>
      </c>
    </row>
    <row r="460" spans="1:17" ht="24.95" customHeight="1" x14ac:dyDescent="0.25">
      <c r="A460" s="17" t="s">
        <v>474</v>
      </c>
      <c r="B460" s="2">
        <v>271</v>
      </c>
      <c r="C460" s="2">
        <v>105</v>
      </c>
      <c r="D460" s="2">
        <v>14.2</v>
      </c>
      <c r="E460" s="2">
        <v>90</v>
      </c>
      <c r="F460" s="2">
        <v>0.8</v>
      </c>
      <c r="H460" s="2">
        <v>108.4</v>
      </c>
      <c r="I460" s="2">
        <v>1489</v>
      </c>
      <c r="J460" s="2">
        <v>161</v>
      </c>
      <c r="K460" s="2">
        <v>161434</v>
      </c>
      <c r="L460" s="2">
        <v>3731</v>
      </c>
      <c r="M460" s="2">
        <v>168.4</v>
      </c>
      <c r="N460" s="2">
        <v>363.3</v>
      </c>
      <c r="O460" s="2">
        <v>12930</v>
      </c>
      <c r="P460" s="2">
        <v>38.799999999999997</v>
      </c>
      <c r="Q460" s="2" t="s">
        <v>5271</v>
      </c>
    </row>
    <row r="461" spans="1:17" ht="24.95" customHeight="1" x14ac:dyDescent="0.25">
      <c r="A461" s="17" t="s">
        <v>475</v>
      </c>
      <c r="B461" s="2">
        <v>268</v>
      </c>
      <c r="C461" s="2">
        <v>112</v>
      </c>
      <c r="D461" s="2">
        <v>21.2</v>
      </c>
      <c r="E461" s="2">
        <v>90</v>
      </c>
      <c r="F461" s="2">
        <v>0.8</v>
      </c>
      <c r="H461" s="2">
        <v>115</v>
      </c>
      <c r="I461" s="2">
        <v>577</v>
      </c>
      <c r="J461" s="2">
        <v>123</v>
      </c>
      <c r="K461" s="2">
        <v>66362</v>
      </c>
      <c r="L461" s="2">
        <v>2773</v>
      </c>
      <c r="M461" s="2">
        <v>113.9</v>
      </c>
      <c r="N461" s="2">
        <v>148.19999999999999</v>
      </c>
      <c r="O461" s="2">
        <v>8850</v>
      </c>
      <c r="P461" s="2">
        <v>62</v>
      </c>
      <c r="Q461" s="2" t="s">
        <v>5271</v>
      </c>
    </row>
    <row r="462" spans="1:17" ht="24.95" customHeight="1" x14ac:dyDescent="0.25">
      <c r="A462" s="17" t="s">
        <v>476</v>
      </c>
      <c r="B462" s="2">
        <v>274</v>
      </c>
      <c r="C462" s="2">
        <v>108</v>
      </c>
      <c r="D462" s="2">
        <v>17.7</v>
      </c>
      <c r="E462" s="2">
        <v>90</v>
      </c>
      <c r="F462" s="2">
        <v>0.3</v>
      </c>
      <c r="H462" s="2">
        <v>110.9</v>
      </c>
      <c r="I462" s="2">
        <v>2405</v>
      </c>
      <c r="J462" s="2">
        <v>132</v>
      </c>
      <c r="K462" s="2">
        <v>266684</v>
      </c>
      <c r="L462" s="2">
        <v>6065</v>
      </c>
      <c r="M462" s="2">
        <v>376.7</v>
      </c>
      <c r="N462" s="2">
        <v>577.1</v>
      </c>
      <c r="O462" s="2">
        <v>20040</v>
      </c>
      <c r="P462" s="2">
        <v>32.700000000000003</v>
      </c>
      <c r="Q462" s="2" t="s">
        <v>5271</v>
      </c>
    </row>
    <row r="463" spans="1:17" ht="24.95" customHeight="1" x14ac:dyDescent="0.25">
      <c r="A463" s="17" t="s">
        <v>477</v>
      </c>
      <c r="B463" s="2">
        <v>278</v>
      </c>
      <c r="C463" s="2">
        <v>107</v>
      </c>
      <c r="D463" s="2">
        <v>15.6</v>
      </c>
      <c r="E463" s="2">
        <v>90</v>
      </c>
      <c r="F463" s="2">
        <v>1.4</v>
      </c>
      <c r="H463" s="2">
        <v>107.9</v>
      </c>
      <c r="I463" s="2">
        <v>713</v>
      </c>
      <c r="J463" s="2">
        <v>145</v>
      </c>
      <c r="K463" s="2">
        <v>76953</v>
      </c>
      <c r="L463" s="2">
        <v>2655</v>
      </c>
      <c r="M463" s="2">
        <v>144.30000000000001</v>
      </c>
      <c r="N463" s="2">
        <v>187.3</v>
      </c>
      <c r="O463" s="2">
        <v>7880</v>
      </c>
      <c r="P463" s="2">
        <v>46.9</v>
      </c>
      <c r="Q463" s="2" t="s">
        <v>5271</v>
      </c>
    </row>
    <row r="464" spans="1:17" ht="24.95" customHeight="1" x14ac:dyDescent="0.25">
      <c r="A464" s="17" t="s">
        <v>478</v>
      </c>
      <c r="B464" s="2">
        <v>274</v>
      </c>
      <c r="C464" s="2">
        <v>108</v>
      </c>
      <c r="D464" s="2">
        <v>17.600000000000001</v>
      </c>
      <c r="E464" s="2">
        <v>90</v>
      </c>
      <c r="F464" s="2">
        <v>0.4</v>
      </c>
      <c r="H464" s="2">
        <v>109.3</v>
      </c>
      <c r="I464" s="2">
        <v>7177</v>
      </c>
      <c r="J464" s="2">
        <v>187</v>
      </c>
      <c r="K464" s="2">
        <v>784349</v>
      </c>
      <c r="L464" s="2">
        <v>14108</v>
      </c>
      <c r="M464" s="2">
        <v>832</v>
      </c>
      <c r="N464" s="2">
        <v>1828.5</v>
      </c>
      <c r="O464" s="2">
        <v>46870</v>
      </c>
      <c r="P464" s="2">
        <v>10.9</v>
      </c>
      <c r="Q464" s="2" t="s">
        <v>5271</v>
      </c>
    </row>
    <row r="465" spans="1:17" ht="24.95" customHeight="1" x14ac:dyDescent="0.25">
      <c r="A465" s="17" t="s">
        <v>470</v>
      </c>
      <c r="B465" s="2">
        <v>281</v>
      </c>
      <c r="C465" s="2">
        <v>108</v>
      </c>
      <c r="D465" s="2">
        <v>17.100000000000001</v>
      </c>
      <c r="E465" s="2">
        <v>90</v>
      </c>
      <c r="F465" s="2">
        <v>0.9</v>
      </c>
      <c r="H465" s="2">
        <v>112</v>
      </c>
      <c r="I465" s="2">
        <v>3300</v>
      </c>
      <c r="J465" s="2">
        <v>159</v>
      </c>
      <c r="K465" s="2">
        <v>369539</v>
      </c>
      <c r="L465" s="2">
        <v>9433</v>
      </c>
      <c r="M465" s="2">
        <v>538.5</v>
      </c>
      <c r="N465" s="2">
        <v>826.7</v>
      </c>
      <c r="O465" s="2">
        <v>28200</v>
      </c>
      <c r="P465" s="2">
        <v>37</v>
      </c>
      <c r="Q465" s="2" t="s">
        <v>5271</v>
      </c>
    </row>
    <row r="466" spans="1:17" ht="24.95" customHeight="1" x14ac:dyDescent="0.25">
      <c r="A466" s="17" t="s">
        <v>480</v>
      </c>
      <c r="B466" s="2">
        <v>283</v>
      </c>
      <c r="C466" s="2">
        <v>108</v>
      </c>
      <c r="D466" s="2">
        <v>17</v>
      </c>
      <c r="E466" s="2">
        <v>90</v>
      </c>
      <c r="F466" s="2">
        <v>1</v>
      </c>
      <c r="H466" s="2">
        <v>110.9</v>
      </c>
      <c r="I466" s="2">
        <v>664</v>
      </c>
      <c r="J466" s="2">
        <v>153</v>
      </c>
      <c r="K466" s="2">
        <v>73636</v>
      </c>
      <c r="L466" s="2">
        <v>2025</v>
      </c>
      <c r="M466" s="2">
        <v>105</v>
      </c>
      <c r="N466" s="2">
        <v>169</v>
      </c>
      <c r="O466" s="2">
        <v>6920</v>
      </c>
      <c r="P466" s="2">
        <v>44.5</v>
      </c>
      <c r="Q466" s="2" t="s">
        <v>5271</v>
      </c>
    </row>
    <row r="467" spans="1:17" ht="24.95" customHeight="1" x14ac:dyDescent="0.25">
      <c r="A467" s="17" t="s">
        <v>481</v>
      </c>
      <c r="B467" s="2">
        <v>286</v>
      </c>
      <c r="C467" s="2">
        <v>110</v>
      </c>
      <c r="D467" s="2">
        <v>19.600000000000001</v>
      </c>
      <c r="E467" s="2">
        <v>90</v>
      </c>
      <c r="F467" s="2">
        <v>0.4</v>
      </c>
      <c r="H467" s="2">
        <v>112.6</v>
      </c>
      <c r="I467" s="2">
        <v>3650</v>
      </c>
      <c r="J467" s="2">
        <v>153</v>
      </c>
      <c r="K467" s="2">
        <v>410958</v>
      </c>
      <c r="L467" s="2">
        <v>9265</v>
      </c>
      <c r="M467" s="2">
        <v>452.7</v>
      </c>
      <c r="N467" s="2">
        <v>938.7</v>
      </c>
      <c r="O467" s="2">
        <v>30970</v>
      </c>
      <c r="P467" s="2">
        <v>32.5</v>
      </c>
      <c r="Q467" s="2" t="s">
        <v>5271</v>
      </c>
    </row>
    <row r="468" spans="1:17" ht="24.95" customHeight="1" x14ac:dyDescent="0.25">
      <c r="A468" s="17" t="s">
        <v>482</v>
      </c>
      <c r="B468" s="2">
        <v>288</v>
      </c>
      <c r="C468" s="2">
        <v>110</v>
      </c>
      <c r="D468" s="2">
        <v>19.8</v>
      </c>
      <c r="E468" s="2">
        <v>90</v>
      </c>
      <c r="F468" s="2">
        <v>0.2</v>
      </c>
      <c r="H468" s="2">
        <v>111</v>
      </c>
      <c r="I468" s="2">
        <v>2598</v>
      </c>
      <c r="J468" s="2">
        <v>193</v>
      </c>
      <c r="K468" s="2">
        <v>288435</v>
      </c>
      <c r="L468" s="2">
        <v>6593</v>
      </c>
      <c r="M468" s="2">
        <v>431</v>
      </c>
      <c r="N468" s="2">
        <v>604.5</v>
      </c>
      <c r="O468" s="2">
        <v>21500</v>
      </c>
      <c r="P468" s="2">
        <v>36.6</v>
      </c>
      <c r="Q468" s="2" t="s">
        <v>5271</v>
      </c>
    </row>
    <row r="469" spans="1:17" ht="24.95" customHeight="1" x14ac:dyDescent="0.25">
      <c r="A469" s="17" t="s">
        <v>483</v>
      </c>
      <c r="B469" s="2">
        <v>302</v>
      </c>
      <c r="C469" s="2">
        <v>119</v>
      </c>
      <c r="D469" s="2">
        <v>26.8</v>
      </c>
      <c r="E469" s="2">
        <v>90</v>
      </c>
      <c r="F469" s="2">
        <v>2.2000000000000002</v>
      </c>
      <c r="H469" s="2">
        <v>120.5</v>
      </c>
      <c r="I469" s="2">
        <v>1403</v>
      </c>
      <c r="J469" s="2">
        <v>148</v>
      </c>
      <c r="K469" s="2">
        <v>169029</v>
      </c>
      <c r="L469" s="2">
        <v>5539</v>
      </c>
      <c r="M469" s="2">
        <v>183.2</v>
      </c>
      <c r="N469" s="2">
        <v>357.2</v>
      </c>
      <c r="O469" s="2">
        <v>17590</v>
      </c>
      <c r="P469" s="2">
        <v>55.3</v>
      </c>
      <c r="Q469" s="2" t="s">
        <v>5271</v>
      </c>
    </row>
    <row r="470" spans="1:17" ht="24.95" customHeight="1" x14ac:dyDescent="0.25">
      <c r="A470" s="17" t="s">
        <v>484</v>
      </c>
      <c r="B470" s="2">
        <v>167</v>
      </c>
      <c r="C470" s="2">
        <v>69</v>
      </c>
      <c r="I470" s="2">
        <v>129209</v>
      </c>
      <c r="J470" s="2">
        <v>171</v>
      </c>
      <c r="K470" s="2">
        <v>8915421</v>
      </c>
      <c r="L470" s="2">
        <v>239779</v>
      </c>
      <c r="M470" s="2">
        <v>18093.099999999999</v>
      </c>
      <c r="N470" s="2">
        <v>30589.4</v>
      </c>
      <c r="O470" s="2">
        <v>801740</v>
      </c>
      <c r="P470" s="2">
        <v>11.1</v>
      </c>
    </row>
    <row r="471" spans="1:17" ht="24.95" customHeight="1" x14ac:dyDescent="0.25">
      <c r="A471" s="17" t="s">
        <v>485</v>
      </c>
      <c r="B471" s="2">
        <v>282</v>
      </c>
      <c r="C471" s="2">
        <v>112</v>
      </c>
      <c r="D471" s="2">
        <v>42.1</v>
      </c>
      <c r="E471" s="2">
        <v>69.5</v>
      </c>
      <c r="F471" s="2">
        <v>0.4</v>
      </c>
      <c r="I471" s="2">
        <v>5760</v>
      </c>
      <c r="J471" s="2">
        <v>150</v>
      </c>
      <c r="K471" s="2">
        <v>645120</v>
      </c>
      <c r="L471" s="2">
        <v>7530</v>
      </c>
      <c r="M471" s="2">
        <v>526.70000000000005</v>
      </c>
      <c r="N471" s="2">
        <v>1204.2</v>
      </c>
      <c r="O471" s="2">
        <v>32810</v>
      </c>
      <c r="P471" s="2">
        <v>4</v>
      </c>
      <c r="Q471" s="2" t="s">
        <v>5268</v>
      </c>
    </row>
    <row r="472" spans="1:17" ht="24.95" customHeight="1" x14ac:dyDescent="0.25">
      <c r="A472" s="17" t="s">
        <v>486</v>
      </c>
      <c r="B472" s="2">
        <v>286</v>
      </c>
      <c r="C472" s="2">
        <v>114</v>
      </c>
      <c r="D472" s="2">
        <v>44.2</v>
      </c>
      <c r="E472" s="2">
        <v>69.5</v>
      </c>
      <c r="F472" s="2">
        <v>0.3</v>
      </c>
      <c r="I472" s="2">
        <v>3190</v>
      </c>
      <c r="J472" s="2">
        <v>177</v>
      </c>
      <c r="K472" s="2">
        <v>363660</v>
      </c>
      <c r="L472" s="2">
        <v>5396</v>
      </c>
      <c r="M472" s="2">
        <v>408.1</v>
      </c>
      <c r="N472" s="2">
        <v>760.7</v>
      </c>
      <c r="O472" s="2">
        <v>17960</v>
      </c>
      <c r="Q472" s="2" t="s">
        <v>5268</v>
      </c>
    </row>
    <row r="473" spans="1:17" ht="24.95" customHeight="1" x14ac:dyDescent="0.25">
      <c r="A473" s="17" t="s">
        <v>501</v>
      </c>
      <c r="B473" s="2">
        <v>280</v>
      </c>
      <c r="C473" s="2">
        <v>112</v>
      </c>
      <c r="D473" s="2">
        <v>39.6</v>
      </c>
      <c r="E473" s="2">
        <v>72</v>
      </c>
      <c r="F473" s="2">
        <v>0.4</v>
      </c>
      <c r="I473" s="2">
        <v>5500</v>
      </c>
      <c r="J473" s="2">
        <v>209</v>
      </c>
      <c r="K473" s="2">
        <v>616000</v>
      </c>
      <c r="L473" s="2">
        <v>8994</v>
      </c>
      <c r="M473" s="2">
        <v>638.5</v>
      </c>
      <c r="N473" s="2">
        <v>1297.2</v>
      </c>
      <c r="O473" s="2">
        <v>26990</v>
      </c>
      <c r="Q473" s="2" t="s">
        <v>5268</v>
      </c>
    </row>
    <row r="474" spans="1:17" ht="24.95" customHeight="1" x14ac:dyDescent="0.25">
      <c r="A474" s="17" t="s">
        <v>488</v>
      </c>
      <c r="B474" s="2">
        <v>260</v>
      </c>
      <c r="C474" s="2">
        <v>106</v>
      </c>
      <c r="D474" s="2">
        <v>33.700000000000003</v>
      </c>
      <c r="E474" s="2">
        <v>72</v>
      </c>
      <c r="F474" s="2">
        <v>0.3</v>
      </c>
      <c r="I474" s="2">
        <v>5580</v>
      </c>
      <c r="J474" s="2">
        <v>198</v>
      </c>
      <c r="K474" s="2">
        <v>591480</v>
      </c>
      <c r="L474" s="2">
        <v>9064</v>
      </c>
      <c r="M474" s="2">
        <v>944.1</v>
      </c>
      <c r="N474" s="2">
        <v>1393.6</v>
      </c>
      <c r="O474" s="2">
        <v>26640</v>
      </c>
      <c r="Q474" s="2" t="s">
        <v>5268</v>
      </c>
    </row>
    <row r="475" spans="1:17" ht="24.95" customHeight="1" x14ac:dyDescent="0.25">
      <c r="A475" s="17" t="s">
        <v>489</v>
      </c>
      <c r="B475" s="2">
        <v>276</v>
      </c>
      <c r="C475" s="2">
        <v>112</v>
      </c>
      <c r="D475" s="2">
        <v>38.9</v>
      </c>
      <c r="E475" s="2">
        <v>72</v>
      </c>
      <c r="F475" s="2">
        <v>1.1000000000000001</v>
      </c>
      <c r="I475" s="2">
        <v>5940</v>
      </c>
      <c r="J475" s="2">
        <v>180</v>
      </c>
      <c r="K475" s="2">
        <v>665280</v>
      </c>
      <c r="L475" s="2">
        <v>12051</v>
      </c>
      <c r="M475" s="2">
        <v>943.7</v>
      </c>
      <c r="N475" s="2">
        <v>1500.3</v>
      </c>
      <c r="O475" s="2">
        <v>33080</v>
      </c>
      <c r="P475" s="2">
        <v>13.4</v>
      </c>
      <c r="Q475" s="2" t="s">
        <v>5268</v>
      </c>
    </row>
    <row r="476" spans="1:17" ht="24.95" customHeight="1" x14ac:dyDescent="0.25">
      <c r="A476" s="17" t="s">
        <v>490</v>
      </c>
      <c r="B476" s="2">
        <v>266</v>
      </c>
      <c r="C476" s="2">
        <v>108</v>
      </c>
      <c r="D476" s="2">
        <v>37.799999999999997</v>
      </c>
      <c r="E476" s="2">
        <v>69.5</v>
      </c>
      <c r="F476" s="2">
        <v>0.7</v>
      </c>
      <c r="I476" s="2">
        <v>9600</v>
      </c>
      <c r="J476" s="2">
        <v>161</v>
      </c>
      <c r="K476" s="2">
        <v>1036800</v>
      </c>
      <c r="L476" s="2">
        <v>18314</v>
      </c>
      <c r="M476" s="2">
        <v>1315.4</v>
      </c>
      <c r="N476" s="2">
        <v>2125.1</v>
      </c>
      <c r="O476" s="2">
        <v>68850</v>
      </c>
      <c r="P476" s="2">
        <v>23.8</v>
      </c>
      <c r="Q476" s="2" t="s">
        <v>5268</v>
      </c>
    </row>
    <row r="477" spans="1:17" ht="24.95" customHeight="1" x14ac:dyDescent="0.25">
      <c r="A477" s="17" t="s">
        <v>491</v>
      </c>
      <c r="B477" s="2">
        <v>261</v>
      </c>
      <c r="C477" s="2">
        <v>106</v>
      </c>
      <c r="D477" s="2">
        <v>33.700000000000003</v>
      </c>
      <c r="E477" s="2">
        <v>72</v>
      </c>
      <c r="F477" s="2">
        <v>0.3</v>
      </c>
      <c r="I477" s="2">
        <v>5650</v>
      </c>
      <c r="J477" s="2">
        <v>174</v>
      </c>
      <c r="K477" s="2">
        <v>598900</v>
      </c>
      <c r="L477" s="2">
        <v>11159</v>
      </c>
      <c r="M477" s="2">
        <v>983.9</v>
      </c>
      <c r="N477" s="2">
        <v>1393.7</v>
      </c>
      <c r="O477" s="2">
        <v>29220</v>
      </c>
      <c r="Q477" s="2" t="s">
        <v>5268</v>
      </c>
    </row>
    <row r="478" spans="1:17" ht="24.95" customHeight="1" x14ac:dyDescent="0.25">
      <c r="A478" s="17" t="s">
        <v>492</v>
      </c>
      <c r="B478" s="2">
        <v>258</v>
      </c>
      <c r="C478" s="2">
        <v>116</v>
      </c>
      <c r="D478" s="2">
        <v>43.4</v>
      </c>
      <c r="E478" s="2">
        <v>72</v>
      </c>
      <c r="F478" s="2">
        <v>0.6</v>
      </c>
      <c r="I478" s="2">
        <v>1053</v>
      </c>
      <c r="J478" s="2">
        <v>177</v>
      </c>
      <c r="K478" s="2">
        <v>122148</v>
      </c>
      <c r="L478" s="2">
        <v>1957</v>
      </c>
      <c r="M478" s="2">
        <v>129.30000000000001</v>
      </c>
      <c r="N478" s="2">
        <v>264</v>
      </c>
      <c r="O478" s="2">
        <v>6400</v>
      </c>
      <c r="P478" s="2">
        <v>6.8</v>
      </c>
      <c r="Q478" s="2" t="s">
        <v>5268</v>
      </c>
    </row>
    <row r="479" spans="1:17" ht="24.95" customHeight="1" x14ac:dyDescent="0.25">
      <c r="A479" s="17" t="s">
        <v>6747</v>
      </c>
      <c r="B479" s="2">
        <v>280</v>
      </c>
      <c r="C479" s="2">
        <v>114</v>
      </c>
      <c r="D479" s="2">
        <v>44.6</v>
      </c>
      <c r="E479" s="2">
        <v>69</v>
      </c>
      <c r="F479" s="2">
        <v>0.4</v>
      </c>
      <c r="I479" s="2">
        <v>5725</v>
      </c>
      <c r="J479" s="2">
        <v>157</v>
      </c>
      <c r="K479" s="2">
        <v>652650</v>
      </c>
      <c r="L479" s="2">
        <v>8666</v>
      </c>
      <c r="M479" s="2">
        <v>718.2</v>
      </c>
      <c r="N479" s="2">
        <v>1395.7</v>
      </c>
      <c r="O479" s="2">
        <v>28650</v>
      </c>
      <c r="Q479" s="2" t="s">
        <v>5268</v>
      </c>
    </row>
    <row r="480" spans="1:17" ht="24.95" customHeight="1" x14ac:dyDescent="0.25">
      <c r="A480" s="17" t="s">
        <v>494</v>
      </c>
      <c r="B480" s="2">
        <v>284</v>
      </c>
      <c r="C480" s="2">
        <v>118</v>
      </c>
      <c r="D480" s="2">
        <v>45.5</v>
      </c>
      <c r="E480" s="2">
        <v>72</v>
      </c>
      <c r="F480" s="2">
        <v>0.5</v>
      </c>
      <c r="I480" s="2">
        <v>1590</v>
      </c>
      <c r="J480" s="2">
        <v>203</v>
      </c>
      <c r="K480" s="2">
        <v>187620</v>
      </c>
      <c r="L480" s="2">
        <v>2802</v>
      </c>
      <c r="M480" s="2">
        <v>168.6</v>
      </c>
      <c r="N480" s="2">
        <v>356.8</v>
      </c>
      <c r="O480" s="2">
        <v>9080</v>
      </c>
      <c r="P480" s="2">
        <v>5.0999999999999996</v>
      </c>
      <c r="Q480" s="2" t="s">
        <v>5270</v>
      </c>
    </row>
    <row r="481" spans="1:17" ht="24.95" customHeight="1" x14ac:dyDescent="0.25">
      <c r="A481" s="17" t="s">
        <v>495</v>
      </c>
      <c r="B481" s="2">
        <v>266</v>
      </c>
      <c r="C481" s="2">
        <v>110</v>
      </c>
      <c r="D481" s="2">
        <v>37.4</v>
      </c>
      <c r="E481" s="2">
        <v>72</v>
      </c>
      <c r="F481" s="2">
        <v>0.6</v>
      </c>
      <c r="I481" s="2">
        <v>10040</v>
      </c>
      <c r="J481" s="2">
        <v>215</v>
      </c>
      <c r="K481" s="2">
        <v>1104400</v>
      </c>
      <c r="L481" s="2">
        <v>19703</v>
      </c>
      <c r="M481" s="2">
        <v>1580</v>
      </c>
      <c r="N481" s="2">
        <v>2335.1</v>
      </c>
      <c r="O481" s="2">
        <v>63170</v>
      </c>
      <c r="P481" s="2">
        <v>13.6</v>
      </c>
      <c r="Q481" s="2" t="s">
        <v>5270</v>
      </c>
    </row>
    <row r="482" spans="1:17" ht="24.95" customHeight="1" x14ac:dyDescent="0.25">
      <c r="A482" s="17" t="s">
        <v>496</v>
      </c>
      <c r="B482" s="2">
        <v>244</v>
      </c>
      <c r="C482" s="2">
        <v>104</v>
      </c>
      <c r="D482" s="2">
        <v>31.8</v>
      </c>
      <c r="E482" s="2">
        <v>72</v>
      </c>
      <c r="F482" s="2">
        <v>0.2</v>
      </c>
      <c r="I482" s="2">
        <v>5625</v>
      </c>
      <c r="J482" s="2">
        <v>148</v>
      </c>
      <c r="K482" s="2">
        <v>585000</v>
      </c>
      <c r="L482" s="2">
        <v>8493</v>
      </c>
      <c r="M482" s="2">
        <v>669.2</v>
      </c>
      <c r="N482" s="2">
        <v>1183.9000000000001</v>
      </c>
      <c r="O482" s="2">
        <v>33430</v>
      </c>
      <c r="P482" s="2">
        <v>9.6</v>
      </c>
      <c r="Q482" s="2" t="s">
        <v>5270</v>
      </c>
    </row>
    <row r="483" spans="1:17" ht="24.95" customHeight="1" x14ac:dyDescent="0.25">
      <c r="A483" s="17" t="s">
        <v>497</v>
      </c>
      <c r="B483" s="2">
        <v>282</v>
      </c>
      <c r="C483" s="2">
        <v>112</v>
      </c>
      <c r="D483" s="2">
        <v>39.700000000000003</v>
      </c>
      <c r="E483" s="2">
        <v>72</v>
      </c>
      <c r="F483" s="2">
        <v>0.3</v>
      </c>
      <c r="I483" s="2">
        <v>2176</v>
      </c>
      <c r="J483" s="2">
        <v>166</v>
      </c>
      <c r="K483" s="2">
        <v>243712</v>
      </c>
      <c r="L483" s="2">
        <v>452</v>
      </c>
      <c r="M483" s="2">
        <v>403.6</v>
      </c>
      <c r="N483" s="2">
        <v>554.29999999999995</v>
      </c>
      <c r="O483" s="2">
        <v>14180</v>
      </c>
      <c r="P483" s="2">
        <v>12.4</v>
      </c>
      <c r="Q483" s="2" t="s">
        <v>5270</v>
      </c>
    </row>
    <row r="484" spans="1:17" ht="24.95" customHeight="1" x14ac:dyDescent="0.25">
      <c r="A484" s="17" t="s">
        <v>498</v>
      </c>
      <c r="B484" s="2">
        <v>274</v>
      </c>
      <c r="C484" s="2">
        <v>108</v>
      </c>
      <c r="D484" s="2">
        <v>35.6</v>
      </c>
      <c r="E484" s="2">
        <v>72</v>
      </c>
      <c r="F484" s="2">
        <v>0.4</v>
      </c>
      <c r="I484" s="2">
        <v>11800</v>
      </c>
      <c r="J484" s="2">
        <v>161</v>
      </c>
      <c r="K484" s="2">
        <v>1274400</v>
      </c>
      <c r="L484" s="2">
        <v>25357</v>
      </c>
      <c r="M484" s="2">
        <v>1991</v>
      </c>
      <c r="N484" s="2">
        <v>2781.2</v>
      </c>
      <c r="O484" s="2">
        <v>78120</v>
      </c>
      <c r="P484" s="2">
        <v>21.6</v>
      </c>
      <c r="Q484" s="2" t="s">
        <v>5270</v>
      </c>
    </row>
    <row r="485" spans="1:17" ht="24.95" customHeight="1" x14ac:dyDescent="0.25">
      <c r="A485" s="17" t="s">
        <v>499</v>
      </c>
      <c r="B485" s="2">
        <v>258</v>
      </c>
      <c r="C485" s="2">
        <v>104</v>
      </c>
      <c r="D485" s="2">
        <v>31.6</v>
      </c>
      <c r="E485" s="2">
        <v>72</v>
      </c>
      <c r="F485" s="2">
        <v>0.4</v>
      </c>
      <c r="I485" s="2">
        <v>1390</v>
      </c>
      <c r="J485" s="2">
        <v>196</v>
      </c>
      <c r="K485" s="2">
        <v>144560</v>
      </c>
      <c r="L485" s="2">
        <v>2474</v>
      </c>
      <c r="M485" s="2">
        <v>193.7</v>
      </c>
      <c r="N485" s="2">
        <v>349.1</v>
      </c>
      <c r="O485" s="2">
        <v>7730</v>
      </c>
      <c r="Q485" s="2" t="s">
        <v>5270</v>
      </c>
    </row>
    <row r="486" spans="1:17" ht="24.95" customHeight="1" x14ac:dyDescent="0.25">
      <c r="A486" s="17" t="s">
        <v>494</v>
      </c>
      <c r="B486" s="2">
        <v>224</v>
      </c>
      <c r="C486" s="2">
        <v>90</v>
      </c>
      <c r="D486" s="2">
        <v>16.5</v>
      </c>
      <c r="E486" s="2">
        <v>72</v>
      </c>
      <c r="F486" s="2">
        <v>1.5</v>
      </c>
      <c r="H486" s="2">
        <v>91.2</v>
      </c>
      <c r="I486" s="2">
        <v>3130</v>
      </c>
      <c r="J486" s="2">
        <v>159</v>
      </c>
      <c r="K486" s="2">
        <v>285492</v>
      </c>
      <c r="L486" s="2">
        <v>6884</v>
      </c>
      <c r="M486" s="2">
        <v>441.7</v>
      </c>
      <c r="N486" s="2">
        <v>664.4</v>
      </c>
      <c r="O486" s="2">
        <v>25090</v>
      </c>
      <c r="P486" s="2">
        <v>32.700000000000003</v>
      </c>
      <c r="Q486" s="2" t="s">
        <v>5271</v>
      </c>
    </row>
    <row r="487" spans="1:17" ht="24.95" customHeight="1" x14ac:dyDescent="0.25">
      <c r="A487" s="17" t="s">
        <v>486</v>
      </c>
      <c r="B487" s="2">
        <v>236</v>
      </c>
      <c r="C487" s="2">
        <v>94</v>
      </c>
      <c r="D487" s="2">
        <v>20.6</v>
      </c>
      <c r="E487" s="2">
        <v>72</v>
      </c>
      <c r="F487" s="2">
        <v>1.4</v>
      </c>
      <c r="H487" s="2">
        <v>95.1</v>
      </c>
      <c r="I487" s="2">
        <v>2142</v>
      </c>
      <c r="J487" s="2">
        <v>155</v>
      </c>
      <c r="K487" s="2">
        <v>203808</v>
      </c>
      <c r="L487" s="2">
        <v>4090</v>
      </c>
      <c r="M487" s="2">
        <v>245.4</v>
      </c>
      <c r="N487" s="2">
        <v>421.8</v>
      </c>
      <c r="O487" s="2">
        <v>19760</v>
      </c>
      <c r="P487" s="2">
        <v>43.5</v>
      </c>
      <c r="Q487" s="2" t="s">
        <v>5271</v>
      </c>
    </row>
    <row r="488" spans="1:17" ht="24.95" customHeight="1" x14ac:dyDescent="0.25">
      <c r="A488" s="17" t="s">
        <v>501</v>
      </c>
      <c r="B488" s="2">
        <v>222</v>
      </c>
      <c r="C488" s="2">
        <v>90</v>
      </c>
      <c r="D488" s="2">
        <v>16.7</v>
      </c>
      <c r="E488" s="2">
        <v>72</v>
      </c>
      <c r="F488" s="2">
        <v>1.3</v>
      </c>
      <c r="H488" s="2">
        <v>92.4</v>
      </c>
      <c r="I488" s="2">
        <v>2270</v>
      </c>
      <c r="J488" s="2">
        <v>170</v>
      </c>
      <c r="K488" s="2">
        <v>290744</v>
      </c>
      <c r="L488" s="2">
        <v>5174</v>
      </c>
      <c r="M488" s="2">
        <v>353.2</v>
      </c>
      <c r="N488" s="2">
        <v>493.2</v>
      </c>
      <c r="O488" s="2">
        <v>19640</v>
      </c>
      <c r="P488" s="2">
        <v>36.4</v>
      </c>
      <c r="Q488" s="2" t="s">
        <v>5271</v>
      </c>
    </row>
    <row r="489" spans="1:17" ht="24.95" customHeight="1" x14ac:dyDescent="0.25">
      <c r="A489" s="17" t="s">
        <v>502</v>
      </c>
      <c r="B489" s="2">
        <v>228</v>
      </c>
      <c r="C489" s="2">
        <v>92</v>
      </c>
      <c r="D489" s="2">
        <v>18.8</v>
      </c>
      <c r="E489" s="2">
        <v>72</v>
      </c>
      <c r="F489" s="2">
        <v>1.2</v>
      </c>
      <c r="H489" s="2">
        <v>93.7</v>
      </c>
      <c r="I489" s="2">
        <v>2612</v>
      </c>
      <c r="J489" s="2">
        <v>159</v>
      </c>
      <c r="K489" s="2">
        <v>244711</v>
      </c>
      <c r="L489" s="2">
        <v>6753</v>
      </c>
      <c r="M489" s="2">
        <v>434.5</v>
      </c>
      <c r="N489" s="2">
        <v>611.6</v>
      </c>
      <c r="O489" s="2">
        <v>23300</v>
      </c>
      <c r="P489" s="2">
        <v>35.6</v>
      </c>
      <c r="Q489" s="2" t="s">
        <v>5271</v>
      </c>
    </row>
    <row r="490" spans="1:17" ht="24.95" customHeight="1" x14ac:dyDescent="0.25">
      <c r="A490" s="17" t="s">
        <v>503</v>
      </c>
      <c r="B490" s="2">
        <v>234</v>
      </c>
      <c r="C490" s="2">
        <v>90</v>
      </c>
      <c r="D490" s="2">
        <v>16.899999999999999</v>
      </c>
      <c r="E490" s="2">
        <v>72</v>
      </c>
      <c r="F490" s="2">
        <v>1.1000000000000001</v>
      </c>
      <c r="H490" s="2">
        <v>92.9</v>
      </c>
      <c r="I490" s="2">
        <v>3560</v>
      </c>
      <c r="J490" s="2">
        <v>159</v>
      </c>
      <c r="K490" s="2">
        <v>330875</v>
      </c>
      <c r="L490" s="2">
        <v>7208</v>
      </c>
      <c r="M490" s="2">
        <v>518.5</v>
      </c>
      <c r="N490" s="2">
        <v>787.4</v>
      </c>
      <c r="O490" s="2">
        <v>26950</v>
      </c>
      <c r="P490" s="2">
        <v>30.6</v>
      </c>
      <c r="Q490" s="2" t="s">
        <v>5271</v>
      </c>
    </row>
    <row r="491" spans="1:17" ht="24.95" customHeight="1" x14ac:dyDescent="0.25">
      <c r="A491" s="17" t="s">
        <v>504</v>
      </c>
      <c r="B491" s="2">
        <v>220</v>
      </c>
      <c r="C491" s="2">
        <v>89</v>
      </c>
      <c r="D491" s="2">
        <v>15.6</v>
      </c>
      <c r="E491" s="2">
        <v>72</v>
      </c>
      <c r="F491" s="2">
        <v>1.4</v>
      </c>
      <c r="H491" s="2">
        <v>90.6</v>
      </c>
      <c r="I491" s="2">
        <v>2846</v>
      </c>
      <c r="J491" s="2">
        <v>185</v>
      </c>
      <c r="K491" s="2">
        <v>257842</v>
      </c>
      <c r="L491" s="2">
        <v>7447</v>
      </c>
      <c r="M491" s="2">
        <v>485.2</v>
      </c>
      <c r="N491" s="2">
        <v>699.8</v>
      </c>
      <c r="O491" s="2">
        <v>23710</v>
      </c>
      <c r="P491" s="2">
        <v>33.200000000000003</v>
      </c>
      <c r="Q491" s="2" t="s">
        <v>5271</v>
      </c>
    </row>
    <row r="492" spans="1:17" ht="24.95" customHeight="1" x14ac:dyDescent="0.25">
      <c r="A492" s="17" t="s">
        <v>505</v>
      </c>
      <c r="B492" s="2">
        <v>210</v>
      </c>
      <c r="C492" s="2">
        <v>90</v>
      </c>
      <c r="D492" s="2">
        <v>16.600000000000001</v>
      </c>
      <c r="E492" s="2">
        <v>72</v>
      </c>
      <c r="F492" s="2">
        <v>1.5</v>
      </c>
      <c r="H492" s="2">
        <v>90.7</v>
      </c>
      <c r="I492" s="2">
        <v>14700</v>
      </c>
      <c r="J492" s="2">
        <v>148</v>
      </c>
      <c r="K492" s="2">
        <v>1333030</v>
      </c>
      <c r="L492" s="2">
        <v>18387</v>
      </c>
      <c r="M492" s="2">
        <v>1303.4000000000001</v>
      </c>
      <c r="N492" s="2">
        <v>3897.8</v>
      </c>
      <c r="O492" s="2">
        <v>59750</v>
      </c>
      <c r="Q492" s="2" t="s">
        <v>5271</v>
      </c>
    </row>
    <row r="493" spans="1:17" ht="24.95" customHeight="1" x14ac:dyDescent="0.25">
      <c r="A493" s="17" t="s">
        <v>499</v>
      </c>
      <c r="B493" s="2">
        <v>226</v>
      </c>
      <c r="C493" s="2">
        <v>92</v>
      </c>
      <c r="D493" s="2">
        <v>18.600000000000001</v>
      </c>
      <c r="E493" s="2">
        <v>72</v>
      </c>
      <c r="F493" s="2">
        <v>1.4</v>
      </c>
      <c r="H493" s="2">
        <v>93.3</v>
      </c>
      <c r="I493" s="2">
        <v>2800</v>
      </c>
      <c r="J493" s="2">
        <v>184</v>
      </c>
      <c r="K493" s="2">
        <v>261283</v>
      </c>
      <c r="L493" s="2">
        <v>7377</v>
      </c>
      <c r="M493" s="2">
        <v>533.1</v>
      </c>
      <c r="N493" s="2">
        <v>688.4</v>
      </c>
      <c r="O493" s="2">
        <v>23930</v>
      </c>
      <c r="P493" s="2">
        <v>32.1</v>
      </c>
      <c r="Q493" s="2" t="s">
        <v>5271</v>
      </c>
    </row>
    <row r="494" spans="1:17" ht="24.95" customHeight="1" x14ac:dyDescent="0.25">
      <c r="A494" s="17" t="s">
        <v>506</v>
      </c>
      <c r="B494" s="2">
        <v>212</v>
      </c>
      <c r="C494" s="2">
        <v>86</v>
      </c>
      <c r="D494" s="2">
        <v>13.2</v>
      </c>
      <c r="E494" s="2">
        <v>72</v>
      </c>
      <c r="F494" s="2">
        <v>0.8</v>
      </c>
      <c r="H494" s="2">
        <v>90.3</v>
      </c>
      <c r="I494" s="2">
        <v>4375</v>
      </c>
      <c r="J494" s="2">
        <v>187</v>
      </c>
      <c r="K494" s="2">
        <v>394994</v>
      </c>
      <c r="L494" s="2">
        <v>9097</v>
      </c>
      <c r="M494" s="2">
        <v>653.9</v>
      </c>
      <c r="N494" s="2">
        <v>1059.4000000000001</v>
      </c>
      <c r="O494" s="2">
        <v>27380</v>
      </c>
      <c r="P494" s="2">
        <v>11.4</v>
      </c>
      <c r="Q494" s="2" t="s">
        <v>5271</v>
      </c>
    </row>
    <row r="495" spans="1:17" ht="24.95" customHeight="1" x14ac:dyDescent="0.25">
      <c r="A495" s="17" t="s">
        <v>507</v>
      </c>
      <c r="B495" s="2">
        <v>216</v>
      </c>
      <c r="C495" s="2">
        <v>89</v>
      </c>
      <c r="D495" s="2">
        <v>15.9</v>
      </c>
      <c r="E495" s="2">
        <v>72</v>
      </c>
      <c r="F495" s="2">
        <v>1.1000000000000001</v>
      </c>
      <c r="H495" s="2">
        <v>90.6</v>
      </c>
      <c r="I495" s="2">
        <v>2925</v>
      </c>
      <c r="J495" s="2">
        <v>166</v>
      </c>
      <c r="K495" s="2">
        <v>264883</v>
      </c>
      <c r="L495" s="2">
        <v>6450</v>
      </c>
      <c r="M495" s="2">
        <v>450.3</v>
      </c>
      <c r="N495" s="2">
        <v>680.7</v>
      </c>
      <c r="O495" s="2">
        <v>22500</v>
      </c>
      <c r="P495" s="2">
        <v>25.2</v>
      </c>
      <c r="Q495" s="2" t="s">
        <v>5271</v>
      </c>
    </row>
    <row r="496" spans="1:17" ht="24.95" customHeight="1" x14ac:dyDescent="0.25">
      <c r="A496" s="17" t="s">
        <v>6747</v>
      </c>
      <c r="B496" s="2">
        <v>230</v>
      </c>
      <c r="C496" s="2">
        <v>90</v>
      </c>
      <c r="D496" s="2">
        <v>17.2</v>
      </c>
      <c r="E496" s="2">
        <v>72</v>
      </c>
      <c r="F496" s="2">
        <v>0.8</v>
      </c>
      <c r="H496" s="2">
        <v>92.6</v>
      </c>
      <c r="I496" s="2">
        <v>7000</v>
      </c>
      <c r="J496" s="2">
        <v>183</v>
      </c>
      <c r="K496" s="2">
        <v>648510</v>
      </c>
      <c r="L496" s="2">
        <v>14424</v>
      </c>
      <c r="M496" s="2">
        <v>1060</v>
      </c>
      <c r="N496" s="2">
        <v>1690</v>
      </c>
      <c r="O496" s="2">
        <v>48420</v>
      </c>
      <c r="P496" s="2">
        <v>18.899999999999999</v>
      </c>
      <c r="Q496" s="2" t="s">
        <v>5271</v>
      </c>
    </row>
    <row r="497" spans="1:17" ht="24.95" customHeight="1" x14ac:dyDescent="0.25">
      <c r="A497" s="17" t="s">
        <v>6748</v>
      </c>
      <c r="B497" s="2">
        <v>214</v>
      </c>
      <c r="C497" s="2">
        <v>83</v>
      </c>
      <c r="I497" s="2">
        <v>15724</v>
      </c>
      <c r="J497" s="2">
        <v>183</v>
      </c>
      <c r="K497" s="2">
        <v>1305092</v>
      </c>
      <c r="L497" s="2">
        <v>40202</v>
      </c>
      <c r="M497" s="2">
        <v>2043.5</v>
      </c>
      <c r="N497" s="2">
        <v>3975.7</v>
      </c>
      <c r="O497" s="2">
        <v>132670</v>
      </c>
      <c r="P497" s="2">
        <v>32.799999999999997</v>
      </c>
    </row>
    <row r="498" spans="1:17" ht="24.95" customHeight="1" x14ac:dyDescent="0.25">
      <c r="A498" s="17" t="s">
        <v>509</v>
      </c>
      <c r="B498" s="2">
        <v>356</v>
      </c>
      <c r="C498" s="2">
        <v>146</v>
      </c>
      <c r="D498" s="2">
        <v>64</v>
      </c>
      <c r="E498" s="2">
        <v>83</v>
      </c>
      <c r="F498" s="2">
        <v>-1.2</v>
      </c>
      <c r="I498" s="2">
        <v>7500</v>
      </c>
      <c r="J498" s="2">
        <v>188</v>
      </c>
      <c r="K498" s="2">
        <v>1095000</v>
      </c>
      <c r="L498" s="2">
        <v>12577</v>
      </c>
      <c r="M498" s="2">
        <v>753.8</v>
      </c>
      <c r="N498" s="2">
        <v>1939.6</v>
      </c>
      <c r="O498" s="2">
        <v>41300</v>
      </c>
      <c r="Q498" s="2" t="s">
        <v>5268</v>
      </c>
    </row>
    <row r="499" spans="1:17" ht="24.95" customHeight="1" x14ac:dyDescent="0.25">
      <c r="A499" s="17" t="s">
        <v>510</v>
      </c>
      <c r="B499" s="2">
        <v>330</v>
      </c>
      <c r="C499" s="2">
        <v>128</v>
      </c>
      <c r="D499" s="2">
        <v>39.200000000000003</v>
      </c>
      <c r="E499" s="2">
        <v>90</v>
      </c>
      <c r="F499" s="2">
        <v>-1.2</v>
      </c>
      <c r="I499" s="2">
        <v>820</v>
      </c>
      <c r="J499" s="2">
        <v>165</v>
      </c>
      <c r="K499" s="2">
        <v>104960</v>
      </c>
      <c r="L499" s="2">
        <v>2034</v>
      </c>
      <c r="M499" s="2">
        <v>104.2</v>
      </c>
      <c r="N499" s="2">
        <v>202.6</v>
      </c>
      <c r="O499" s="2">
        <v>6430</v>
      </c>
      <c r="P499" s="2">
        <v>30</v>
      </c>
      <c r="Q499" s="2" t="s">
        <v>5268</v>
      </c>
    </row>
    <row r="500" spans="1:17" ht="24.95" customHeight="1" x14ac:dyDescent="0.25">
      <c r="A500" s="17" t="s">
        <v>511</v>
      </c>
      <c r="B500" s="2">
        <v>336</v>
      </c>
      <c r="C500" s="2">
        <v>152</v>
      </c>
      <c r="D500" s="2">
        <v>62.2</v>
      </c>
      <c r="E500" s="2">
        <v>90</v>
      </c>
      <c r="F500" s="2">
        <v>-0.2</v>
      </c>
      <c r="I500" s="2">
        <v>200</v>
      </c>
      <c r="J500" s="2">
        <v>150</v>
      </c>
      <c r="K500" s="2">
        <v>30400</v>
      </c>
      <c r="L500" s="2">
        <v>531</v>
      </c>
      <c r="M500" s="2">
        <v>26.3</v>
      </c>
      <c r="N500" s="2">
        <v>49.8</v>
      </c>
      <c r="O500" s="2">
        <v>1670</v>
      </c>
      <c r="P500" s="2">
        <v>29.3</v>
      </c>
      <c r="Q500" s="2" t="s">
        <v>5270</v>
      </c>
    </row>
    <row r="501" spans="1:17" ht="24.95" customHeight="1" x14ac:dyDescent="0.25">
      <c r="A501" s="17" t="s">
        <v>512</v>
      </c>
      <c r="B501" s="2">
        <v>328</v>
      </c>
      <c r="C501" s="2">
        <v>144</v>
      </c>
      <c r="D501" s="2">
        <v>53.2</v>
      </c>
      <c r="E501" s="2">
        <v>90</v>
      </c>
      <c r="F501" s="2">
        <v>0.8</v>
      </c>
      <c r="I501" s="2">
        <v>226</v>
      </c>
      <c r="J501" s="2">
        <v>157</v>
      </c>
      <c r="K501" s="2">
        <v>32544</v>
      </c>
      <c r="L501" s="2">
        <v>614</v>
      </c>
      <c r="M501" s="2">
        <v>25.9</v>
      </c>
      <c r="N501" s="2">
        <v>58.4</v>
      </c>
      <c r="O501" s="2">
        <v>1890</v>
      </c>
      <c r="P501" s="2">
        <v>28.4</v>
      </c>
      <c r="Q501" s="2" t="s">
        <v>5270</v>
      </c>
    </row>
    <row r="502" spans="1:17" ht="24.95" customHeight="1" x14ac:dyDescent="0.25">
      <c r="A502" s="17" t="s">
        <v>513</v>
      </c>
      <c r="B502" s="2">
        <v>346</v>
      </c>
      <c r="C502" s="2">
        <v>134</v>
      </c>
      <c r="D502" s="2">
        <v>44.4</v>
      </c>
      <c r="E502" s="2">
        <v>90</v>
      </c>
      <c r="F502" s="2">
        <v>-0.4</v>
      </c>
      <c r="I502" s="2">
        <v>460</v>
      </c>
      <c r="J502" s="2">
        <v>182</v>
      </c>
      <c r="K502" s="2">
        <v>61640</v>
      </c>
      <c r="L502" s="2">
        <v>1157</v>
      </c>
      <c r="M502" s="2">
        <v>60.9</v>
      </c>
      <c r="N502" s="2">
        <v>113.4</v>
      </c>
      <c r="O502" s="2">
        <v>3630</v>
      </c>
      <c r="P502" s="2">
        <v>30.3</v>
      </c>
      <c r="Q502" s="2" t="s">
        <v>5270</v>
      </c>
    </row>
    <row r="503" spans="1:17" ht="24.95" customHeight="1" x14ac:dyDescent="0.25">
      <c r="A503" s="17" t="s">
        <v>514</v>
      </c>
      <c r="B503" s="2">
        <v>360</v>
      </c>
      <c r="C503" s="2">
        <v>144</v>
      </c>
      <c r="D503" s="2">
        <v>54.4</v>
      </c>
      <c r="E503" s="2">
        <v>90</v>
      </c>
      <c r="F503" s="2">
        <v>-0.4</v>
      </c>
      <c r="I503" s="2">
        <v>740</v>
      </c>
      <c r="J503" s="2">
        <v>161</v>
      </c>
      <c r="K503" s="2">
        <v>106560</v>
      </c>
      <c r="L503" s="2">
        <v>1681</v>
      </c>
      <c r="M503" s="2">
        <v>101.9</v>
      </c>
      <c r="N503" s="2">
        <v>201.4</v>
      </c>
      <c r="O503" s="2">
        <v>5700</v>
      </c>
      <c r="P503" s="2">
        <v>21.6</v>
      </c>
      <c r="Q503" s="2" t="s">
        <v>5270</v>
      </c>
    </row>
    <row r="504" spans="1:17" ht="24.95" customHeight="1" x14ac:dyDescent="0.25">
      <c r="A504" s="17" t="s">
        <v>511</v>
      </c>
      <c r="B504" s="2">
        <v>266</v>
      </c>
      <c r="C504" s="2">
        <v>107</v>
      </c>
      <c r="D504" s="2">
        <v>16.600000000000001</v>
      </c>
      <c r="E504" s="2">
        <v>90</v>
      </c>
      <c r="F504" s="2">
        <v>0.4</v>
      </c>
      <c r="H504" s="2">
        <v>107.4</v>
      </c>
      <c r="I504" s="2">
        <v>421</v>
      </c>
      <c r="J504" s="2">
        <v>219</v>
      </c>
      <c r="K504" s="2">
        <v>45228</v>
      </c>
      <c r="L504" s="2">
        <v>2181</v>
      </c>
      <c r="M504" s="2">
        <v>92.8</v>
      </c>
      <c r="N504" s="2">
        <v>113.8</v>
      </c>
      <c r="O504" s="2">
        <v>6810</v>
      </c>
      <c r="P504" s="2">
        <v>63.2</v>
      </c>
      <c r="Q504" s="2" t="s">
        <v>5271</v>
      </c>
    </row>
    <row r="505" spans="1:17" ht="24.95" customHeight="1" x14ac:dyDescent="0.25">
      <c r="A505" s="17" t="s">
        <v>515</v>
      </c>
      <c r="B505" s="2">
        <v>268</v>
      </c>
      <c r="C505" s="2">
        <v>108</v>
      </c>
      <c r="D505" s="2">
        <v>17.399999999999999</v>
      </c>
      <c r="E505" s="2">
        <v>90</v>
      </c>
      <c r="F505" s="2">
        <v>0.7</v>
      </c>
      <c r="H505" s="2">
        <v>108.9</v>
      </c>
      <c r="I505" s="2">
        <v>600</v>
      </c>
      <c r="J505" s="2">
        <v>199</v>
      </c>
      <c r="K505" s="2">
        <v>65338</v>
      </c>
      <c r="L505" s="2">
        <v>2434</v>
      </c>
      <c r="M505" s="2">
        <v>98.3</v>
      </c>
      <c r="N505" s="2">
        <v>139.5</v>
      </c>
      <c r="O505" s="2">
        <v>7890</v>
      </c>
      <c r="P505" s="2">
        <v>57</v>
      </c>
      <c r="Q505" s="2" t="s">
        <v>5271</v>
      </c>
    </row>
    <row r="506" spans="1:17" ht="24.95" customHeight="1" x14ac:dyDescent="0.25">
      <c r="A506" s="17" t="s">
        <v>509</v>
      </c>
      <c r="B506" s="2">
        <v>278</v>
      </c>
      <c r="C506" s="2">
        <v>108</v>
      </c>
      <c r="D506" s="2">
        <v>17.899999999999999</v>
      </c>
      <c r="E506" s="2">
        <v>90</v>
      </c>
      <c r="F506" s="2">
        <v>0.1</v>
      </c>
      <c r="H506" s="2">
        <v>108.2</v>
      </c>
      <c r="I506" s="2">
        <v>1800</v>
      </c>
      <c r="J506" s="2">
        <v>171</v>
      </c>
      <c r="K506" s="2">
        <v>194722</v>
      </c>
      <c r="L506" s="2">
        <v>4444</v>
      </c>
      <c r="M506" s="2">
        <v>239.4</v>
      </c>
      <c r="N506" s="2">
        <v>402.4</v>
      </c>
      <c r="O506" s="2">
        <v>18470</v>
      </c>
      <c r="P506" s="2">
        <v>44.7</v>
      </c>
      <c r="Q506" s="2" t="s">
        <v>5271</v>
      </c>
    </row>
    <row r="507" spans="1:17" ht="24.95" customHeight="1" x14ac:dyDescent="0.25">
      <c r="A507" s="17" t="s">
        <v>512</v>
      </c>
      <c r="B507" s="2">
        <v>270</v>
      </c>
      <c r="C507" s="2">
        <v>108</v>
      </c>
      <c r="D507" s="2">
        <v>17.8</v>
      </c>
      <c r="E507" s="2">
        <v>90</v>
      </c>
      <c r="F507" s="2">
        <v>0.4</v>
      </c>
      <c r="H507" s="2">
        <v>108</v>
      </c>
      <c r="I507" s="2">
        <v>308</v>
      </c>
      <c r="J507" s="2">
        <v>214</v>
      </c>
      <c r="K507" s="2">
        <v>33264</v>
      </c>
      <c r="L507" s="2">
        <v>1502</v>
      </c>
      <c r="M507" s="2">
        <v>56.8</v>
      </c>
      <c r="N507" s="2">
        <v>80.8</v>
      </c>
      <c r="O507" s="2">
        <v>4410</v>
      </c>
      <c r="P507" s="2">
        <v>61.3</v>
      </c>
      <c r="Q507" s="2" t="s">
        <v>5271</v>
      </c>
    </row>
    <row r="508" spans="1:17" ht="24.95" customHeight="1" x14ac:dyDescent="0.25">
      <c r="A508" s="17" t="s">
        <v>513</v>
      </c>
      <c r="B508" s="2">
        <v>248.5</v>
      </c>
      <c r="C508" s="2">
        <v>92.2</v>
      </c>
      <c r="D508" s="2">
        <v>5.3</v>
      </c>
      <c r="E508" s="2">
        <v>86.5</v>
      </c>
      <c r="F508" s="2">
        <v>0.3</v>
      </c>
      <c r="H508" s="2">
        <v>107.3</v>
      </c>
      <c r="I508" s="2">
        <v>705</v>
      </c>
      <c r="J508" s="2">
        <v>196</v>
      </c>
      <c r="K508" s="2">
        <v>75674</v>
      </c>
      <c r="L508" s="2">
        <v>2482</v>
      </c>
      <c r="M508" s="2">
        <v>127.1</v>
      </c>
      <c r="N508" s="2">
        <v>175.7</v>
      </c>
      <c r="O508" s="2">
        <v>7920</v>
      </c>
      <c r="P508" s="2">
        <v>50.7</v>
      </c>
      <c r="Q508" s="2" t="s">
        <v>5271</v>
      </c>
    </row>
    <row r="509" spans="1:17" ht="24.95" customHeight="1" x14ac:dyDescent="0.25">
      <c r="A509" s="17" t="s">
        <v>516</v>
      </c>
      <c r="B509" s="2">
        <v>268</v>
      </c>
      <c r="C509" s="2">
        <v>98</v>
      </c>
      <c r="D509" s="2">
        <v>7.3</v>
      </c>
      <c r="E509" s="2">
        <v>90</v>
      </c>
      <c r="F509" s="2">
        <v>0.7</v>
      </c>
      <c r="H509" s="2">
        <v>98.8</v>
      </c>
      <c r="I509" s="2">
        <v>740</v>
      </c>
      <c r="J509" s="2">
        <v>445</v>
      </c>
      <c r="K509" s="2">
        <v>73128</v>
      </c>
      <c r="L509" s="2">
        <v>3092</v>
      </c>
      <c r="M509" s="2">
        <v>113.3</v>
      </c>
      <c r="N509" s="2">
        <v>185.2</v>
      </c>
      <c r="O509" s="2">
        <v>9580</v>
      </c>
      <c r="P509" s="2">
        <v>61.5</v>
      </c>
      <c r="Q509" s="2" t="s">
        <v>5271</v>
      </c>
    </row>
    <row r="510" spans="1:17" ht="24.95" customHeight="1" x14ac:dyDescent="0.25">
      <c r="A510" s="17" t="s">
        <v>517</v>
      </c>
      <c r="B510" s="2">
        <v>280</v>
      </c>
      <c r="C510" s="2">
        <v>108</v>
      </c>
      <c r="D510" s="2">
        <v>17</v>
      </c>
      <c r="E510" s="2">
        <v>90</v>
      </c>
      <c r="F510" s="2">
        <v>1</v>
      </c>
      <c r="H510" s="2">
        <v>108</v>
      </c>
      <c r="I510" s="2">
        <v>874</v>
      </c>
      <c r="J510" s="2">
        <v>226</v>
      </c>
      <c r="K510" s="2">
        <v>94392</v>
      </c>
      <c r="L510" s="2">
        <v>3655</v>
      </c>
      <c r="M510" s="2">
        <v>174.9</v>
      </c>
      <c r="N510" s="2">
        <v>225.7</v>
      </c>
      <c r="O510" s="2">
        <v>11440</v>
      </c>
      <c r="P510" s="2">
        <v>56.7</v>
      </c>
      <c r="Q510" s="2" t="s">
        <v>5271</v>
      </c>
    </row>
    <row r="511" spans="1:17" ht="24.95" customHeight="1" x14ac:dyDescent="0.25">
      <c r="A511" s="17" t="s">
        <v>518</v>
      </c>
      <c r="B511" s="2">
        <v>272</v>
      </c>
      <c r="C511" s="2">
        <v>100</v>
      </c>
      <c r="D511" s="2">
        <v>8.6</v>
      </c>
      <c r="E511" s="2">
        <v>90</v>
      </c>
      <c r="F511" s="2">
        <v>1.4</v>
      </c>
      <c r="H511" s="2">
        <v>100.4</v>
      </c>
      <c r="I511" s="2">
        <v>330</v>
      </c>
      <c r="J511" s="2">
        <v>150</v>
      </c>
      <c r="K511" s="2">
        <v>33122</v>
      </c>
      <c r="L511" s="2">
        <v>1818</v>
      </c>
      <c r="M511" s="2">
        <v>67.900000000000006</v>
      </c>
      <c r="N511" s="2">
        <v>87.6</v>
      </c>
      <c r="O511" s="2">
        <v>5530</v>
      </c>
      <c r="P511" s="2">
        <v>65.3</v>
      </c>
      <c r="Q511" s="2" t="s">
        <v>5271</v>
      </c>
    </row>
    <row r="512" spans="1:17" ht="24.95" customHeight="1" x14ac:dyDescent="0.25">
      <c r="A512" s="17" t="s">
        <v>6749</v>
      </c>
      <c r="B512" s="2">
        <v>178.5</v>
      </c>
      <c r="C512" s="2">
        <v>66</v>
      </c>
      <c r="I512" s="2">
        <v>197445</v>
      </c>
      <c r="J512" s="2">
        <v>224</v>
      </c>
      <c r="K512" s="2">
        <v>13031370</v>
      </c>
      <c r="L512" s="2">
        <v>260078</v>
      </c>
      <c r="M512" s="2">
        <v>25258.2</v>
      </c>
      <c r="N512" s="2">
        <v>47615.8</v>
      </c>
      <c r="O512" s="2">
        <v>857200</v>
      </c>
    </row>
    <row r="513" spans="1:17" ht="24.95" customHeight="1" x14ac:dyDescent="0.25">
      <c r="A513" s="17" t="s">
        <v>5324</v>
      </c>
      <c r="B513" s="2">
        <v>300</v>
      </c>
      <c r="C513" s="2">
        <v>108</v>
      </c>
      <c r="D513" s="2">
        <v>34</v>
      </c>
      <c r="E513" s="2">
        <v>74</v>
      </c>
      <c r="I513" s="2">
        <v>14300</v>
      </c>
      <c r="J513" s="2">
        <v>227</v>
      </c>
      <c r="K513" s="2">
        <v>1544400</v>
      </c>
      <c r="L513" s="2">
        <v>18201</v>
      </c>
      <c r="M513" s="2">
        <v>1583.2</v>
      </c>
      <c r="N513" s="2">
        <v>3214.4</v>
      </c>
      <c r="O513" s="2">
        <v>58270</v>
      </c>
      <c r="Q513" s="2" t="s">
        <v>5268</v>
      </c>
    </row>
    <row r="514" spans="1:17" ht="24.95" customHeight="1" x14ac:dyDescent="0.25">
      <c r="A514" s="17" t="s">
        <v>521</v>
      </c>
      <c r="B514" s="2">
        <v>298</v>
      </c>
      <c r="C514" s="2">
        <v>105</v>
      </c>
      <c r="D514" s="2">
        <v>33.799999999999997</v>
      </c>
      <c r="E514" s="2">
        <v>71.8</v>
      </c>
      <c r="F514" s="2">
        <v>-0.6</v>
      </c>
      <c r="I514" s="2">
        <v>3800</v>
      </c>
      <c r="J514" s="2">
        <v>241</v>
      </c>
      <c r="K514" s="2">
        <v>399000</v>
      </c>
      <c r="L514" s="2">
        <v>5431</v>
      </c>
      <c r="M514" s="2">
        <v>432.4</v>
      </c>
      <c r="N514" s="2">
        <v>966.5</v>
      </c>
      <c r="O514" s="2">
        <v>16670</v>
      </c>
      <c r="Q514" s="2" t="s">
        <v>5268</v>
      </c>
    </row>
    <row r="515" spans="1:17" ht="24.95" customHeight="1" x14ac:dyDescent="0.25">
      <c r="A515" s="17" t="s">
        <v>2893</v>
      </c>
      <c r="B515" s="2">
        <v>292</v>
      </c>
      <c r="C515" s="2">
        <v>107</v>
      </c>
      <c r="D515" s="2">
        <v>36.6</v>
      </c>
      <c r="E515" s="2">
        <v>71.8</v>
      </c>
      <c r="F515" s="2">
        <v>-0.3</v>
      </c>
      <c r="I515" s="2">
        <v>11850</v>
      </c>
      <c r="J515" s="2">
        <v>193</v>
      </c>
      <c r="K515" s="2">
        <v>1279800</v>
      </c>
      <c r="L515" s="2">
        <v>15517</v>
      </c>
      <c r="M515" s="2">
        <v>1500.7</v>
      </c>
      <c r="N515" s="2">
        <v>2903.8</v>
      </c>
      <c r="O515" s="2">
        <v>50450</v>
      </c>
      <c r="Q515" s="2" t="s">
        <v>5268</v>
      </c>
    </row>
    <row r="516" spans="1:17" ht="24.95" customHeight="1" x14ac:dyDescent="0.25">
      <c r="A516" s="17" t="s">
        <v>523</v>
      </c>
      <c r="B516" s="2">
        <v>284</v>
      </c>
      <c r="C516" s="2">
        <v>103</v>
      </c>
      <c r="D516" s="2">
        <v>31.5</v>
      </c>
      <c r="E516" s="2">
        <v>71.5</v>
      </c>
      <c r="I516" s="2">
        <v>22200</v>
      </c>
      <c r="J516" s="2">
        <v>200</v>
      </c>
      <c r="K516" s="2">
        <v>2286600</v>
      </c>
      <c r="L516" s="2">
        <v>23947</v>
      </c>
      <c r="M516" s="2">
        <v>2419.6</v>
      </c>
      <c r="N516" s="2">
        <v>5419.3</v>
      </c>
      <c r="O516" s="2">
        <v>75540</v>
      </c>
      <c r="Q516" s="2" t="s">
        <v>5268</v>
      </c>
    </row>
    <row r="517" spans="1:17" ht="24.95" customHeight="1" x14ac:dyDescent="0.25">
      <c r="A517" s="17" t="s">
        <v>524</v>
      </c>
      <c r="B517" s="2">
        <v>276</v>
      </c>
      <c r="C517" s="2">
        <v>102</v>
      </c>
      <c r="D517" s="2">
        <v>27.5</v>
      </c>
      <c r="E517" s="2">
        <v>74</v>
      </c>
      <c r="F517" s="2">
        <v>0.5</v>
      </c>
      <c r="I517" s="2">
        <v>1300</v>
      </c>
      <c r="J517" s="2">
        <v>282</v>
      </c>
      <c r="K517" s="2">
        <v>132600</v>
      </c>
      <c r="L517" s="2">
        <v>1908</v>
      </c>
      <c r="M517" s="2">
        <v>138.19999999999999</v>
      </c>
      <c r="N517" s="2">
        <v>320.39999999999998</v>
      </c>
      <c r="O517" s="2">
        <v>6780</v>
      </c>
      <c r="Q517" s="2" t="s">
        <v>5270</v>
      </c>
    </row>
    <row r="518" spans="1:17" ht="24.95" customHeight="1" x14ac:dyDescent="0.25">
      <c r="A518" s="17" t="s">
        <v>525</v>
      </c>
      <c r="B518" s="2">
        <v>304</v>
      </c>
      <c r="C518" s="2">
        <v>115</v>
      </c>
      <c r="D518" s="2">
        <v>46.8</v>
      </c>
      <c r="E518" s="2">
        <v>68.599999999999994</v>
      </c>
      <c r="F518" s="2">
        <v>-0.4</v>
      </c>
      <c r="I518" s="2">
        <v>6180</v>
      </c>
      <c r="J518" s="2">
        <v>189</v>
      </c>
      <c r="K518" s="2">
        <v>710700</v>
      </c>
      <c r="L518" s="2">
        <v>8474</v>
      </c>
      <c r="M518" s="2">
        <v>1083.5999999999999</v>
      </c>
      <c r="N518" s="2">
        <v>1520</v>
      </c>
      <c r="O518" s="2">
        <v>27460</v>
      </c>
      <c r="Q518" s="2" t="s">
        <v>5270</v>
      </c>
    </row>
    <row r="519" spans="1:17" ht="24.95" customHeight="1" x14ac:dyDescent="0.25">
      <c r="A519" s="17" t="s">
        <v>526</v>
      </c>
      <c r="B519" s="2">
        <v>292</v>
      </c>
      <c r="C519" s="2">
        <v>104</v>
      </c>
      <c r="D519" s="2">
        <v>30.7</v>
      </c>
      <c r="E519" s="2">
        <v>74</v>
      </c>
      <c r="F519" s="2">
        <v>-0.7</v>
      </c>
      <c r="I519" s="2">
        <v>2770</v>
      </c>
      <c r="J519" s="2">
        <v>183</v>
      </c>
      <c r="K519" s="2">
        <v>288080</v>
      </c>
      <c r="L519" s="2">
        <v>4398</v>
      </c>
      <c r="M519" s="2">
        <v>417.5</v>
      </c>
      <c r="N519" s="2">
        <v>684</v>
      </c>
      <c r="O519" s="2">
        <v>13760</v>
      </c>
      <c r="Q519" s="2" t="s">
        <v>5270</v>
      </c>
    </row>
    <row r="520" spans="1:17" ht="24.95" customHeight="1" x14ac:dyDescent="0.25">
      <c r="A520" s="17" t="s">
        <v>527</v>
      </c>
      <c r="B520" s="2">
        <v>288</v>
      </c>
      <c r="C520" s="2">
        <v>107</v>
      </c>
      <c r="D520" s="2">
        <v>33</v>
      </c>
      <c r="E520" s="2">
        <v>74</v>
      </c>
      <c r="I520" s="2">
        <v>3831</v>
      </c>
      <c r="J520" s="2">
        <v>243</v>
      </c>
      <c r="K520" s="2">
        <v>409917</v>
      </c>
      <c r="L520" s="2">
        <v>6064</v>
      </c>
      <c r="M520" s="2">
        <v>535.29999999999995</v>
      </c>
      <c r="N520" s="2">
        <v>932.6</v>
      </c>
      <c r="O520" s="2">
        <v>19590</v>
      </c>
      <c r="Q520" s="2" t="s">
        <v>5270</v>
      </c>
    </row>
    <row r="521" spans="1:17" ht="24.95" customHeight="1" x14ac:dyDescent="0.25">
      <c r="A521" s="17" t="s">
        <v>528</v>
      </c>
      <c r="B521" s="2">
        <v>280</v>
      </c>
      <c r="C521" s="2">
        <v>106</v>
      </c>
      <c r="D521" s="2">
        <v>37.9</v>
      </c>
      <c r="E521" s="2">
        <v>68.5</v>
      </c>
      <c r="F521" s="2">
        <v>-0.4</v>
      </c>
      <c r="I521" s="2">
        <v>5000</v>
      </c>
      <c r="J521" s="2">
        <v>192</v>
      </c>
      <c r="K521" s="2">
        <v>530000</v>
      </c>
      <c r="L521" s="2">
        <v>6275</v>
      </c>
      <c r="M521" s="2">
        <v>637.1</v>
      </c>
      <c r="N521" s="2">
        <v>1196.2</v>
      </c>
      <c r="O521" s="2">
        <v>22080</v>
      </c>
      <c r="Q521" s="2" t="s">
        <v>5270</v>
      </c>
    </row>
    <row r="522" spans="1:17" ht="24.95" customHeight="1" x14ac:dyDescent="0.25">
      <c r="A522" s="17" t="s">
        <v>529</v>
      </c>
      <c r="B522" s="2">
        <v>310</v>
      </c>
      <c r="C522" s="2">
        <v>116</v>
      </c>
      <c r="D522" s="2">
        <v>49.7</v>
      </c>
      <c r="E522" s="2">
        <v>66.3</v>
      </c>
      <c r="F522" s="2">
        <v>0.1</v>
      </c>
      <c r="I522" s="2">
        <v>7223</v>
      </c>
      <c r="J522" s="2">
        <v>236</v>
      </c>
      <c r="K522" s="2">
        <v>837868</v>
      </c>
      <c r="L522" s="2">
        <v>11196</v>
      </c>
      <c r="M522" s="2">
        <v>987</v>
      </c>
      <c r="N522" s="2">
        <v>1671.5</v>
      </c>
      <c r="O522" s="2">
        <v>36630</v>
      </c>
      <c r="Q522" s="2" t="s">
        <v>5270</v>
      </c>
    </row>
    <row r="523" spans="1:17" ht="24.95" customHeight="1" x14ac:dyDescent="0.25">
      <c r="A523" s="17" t="s">
        <v>530</v>
      </c>
      <c r="B523" s="2">
        <v>285</v>
      </c>
      <c r="C523" s="2">
        <v>103</v>
      </c>
      <c r="D523" s="2">
        <v>29.3</v>
      </c>
      <c r="E523" s="2">
        <v>74</v>
      </c>
      <c r="F523" s="2">
        <v>-0.3</v>
      </c>
      <c r="I523" s="2">
        <v>1785</v>
      </c>
      <c r="J523" s="2">
        <v>231</v>
      </c>
      <c r="K523" s="2">
        <v>183855</v>
      </c>
      <c r="L523" s="2">
        <v>2265</v>
      </c>
      <c r="M523" s="2">
        <v>383.6</v>
      </c>
      <c r="N523" s="2">
        <v>428.7</v>
      </c>
      <c r="O523" s="2">
        <v>7050</v>
      </c>
      <c r="Q523" s="2" t="s">
        <v>5270</v>
      </c>
    </row>
    <row r="524" spans="1:17" ht="24.95" customHeight="1" x14ac:dyDescent="0.25">
      <c r="A524" s="17" t="s">
        <v>531</v>
      </c>
      <c r="B524" s="2">
        <v>312</v>
      </c>
      <c r="C524" s="2">
        <v>116</v>
      </c>
      <c r="D524" s="2">
        <v>47.7</v>
      </c>
      <c r="E524" s="2">
        <v>68.5</v>
      </c>
      <c r="F524" s="2">
        <v>-0.2</v>
      </c>
      <c r="I524" s="2">
        <v>8530</v>
      </c>
      <c r="J524" s="2">
        <v>183</v>
      </c>
      <c r="K524" s="2">
        <v>989480</v>
      </c>
      <c r="L524" s="2">
        <v>12959</v>
      </c>
      <c r="M524" s="2">
        <v>1606.5</v>
      </c>
      <c r="N524" s="2">
        <v>2080.8000000000002</v>
      </c>
      <c r="O524" s="2">
        <v>40890</v>
      </c>
      <c r="Q524" s="2" t="s">
        <v>5270</v>
      </c>
    </row>
    <row r="525" spans="1:17" ht="24.95" customHeight="1" x14ac:dyDescent="0.25">
      <c r="A525" s="17" t="s">
        <v>532</v>
      </c>
      <c r="B525" s="2">
        <v>270</v>
      </c>
      <c r="C525" s="2">
        <v>98</v>
      </c>
      <c r="D525" s="2">
        <v>23.2</v>
      </c>
      <c r="E525" s="2">
        <v>74</v>
      </c>
      <c r="F525" s="2">
        <v>0.8</v>
      </c>
      <c r="I525" s="2">
        <v>4230</v>
      </c>
      <c r="J525" s="2">
        <v>208</v>
      </c>
      <c r="K525" s="2">
        <v>414540</v>
      </c>
      <c r="L525" s="2">
        <v>6343</v>
      </c>
      <c r="M525" s="2">
        <v>729.5</v>
      </c>
      <c r="N525" s="2">
        <v>1033.5999999999999</v>
      </c>
      <c r="O525" s="2">
        <v>18960</v>
      </c>
      <c r="Q525" s="2" t="s">
        <v>5270</v>
      </c>
    </row>
    <row r="526" spans="1:17" ht="24.95" customHeight="1" x14ac:dyDescent="0.25">
      <c r="A526" s="17" t="s">
        <v>533</v>
      </c>
      <c r="B526" s="2">
        <v>324</v>
      </c>
      <c r="C526" s="2">
        <v>108</v>
      </c>
      <c r="D526" s="2">
        <v>34.200000000000003</v>
      </c>
      <c r="E526" s="2">
        <v>74</v>
      </c>
      <c r="F526" s="2">
        <v>-0.2</v>
      </c>
      <c r="I526" s="2">
        <v>5420</v>
      </c>
      <c r="J526" s="2">
        <v>252</v>
      </c>
      <c r="K526" s="2">
        <v>585360</v>
      </c>
      <c r="L526" s="2">
        <v>7784</v>
      </c>
      <c r="M526" s="2">
        <v>651.1</v>
      </c>
      <c r="N526" s="2">
        <v>1293</v>
      </c>
      <c r="O526" s="2">
        <v>24070</v>
      </c>
      <c r="Q526" s="2" t="s">
        <v>5270</v>
      </c>
    </row>
    <row r="527" spans="1:17" ht="24.95" customHeight="1" x14ac:dyDescent="0.25">
      <c r="A527" s="17" t="s">
        <v>534</v>
      </c>
      <c r="B527" s="2">
        <v>326</v>
      </c>
      <c r="C527" s="2">
        <v>112</v>
      </c>
      <c r="D527" s="2">
        <v>37.6</v>
      </c>
      <c r="E527" s="2">
        <v>74.099999999999994</v>
      </c>
      <c r="F527" s="2">
        <v>0.4</v>
      </c>
      <c r="I527" s="2">
        <v>3850</v>
      </c>
      <c r="J527" s="2">
        <v>242</v>
      </c>
      <c r="K527" s="2">
        <v>431200</v>
      </c>
      <c r="L527" s="2">
        <v>5660</v>
      </c>
      <c r="M527" s="2">
        <v>495.1</v>
      </c>
      <c r="N527" s="2">
        <v>978.3</v>
      </c>
      <c r="O527" s="2">
        <v>18370</v>
      </c>
      <c r="Q527" s="2" t="s">
        <v>5270</v>
      </c>
    </row>
    <row r="528" spans="1:17" ht="24.95" customHeight="1" x14ac:dyDescent="0.25">
      <c r="A528" s="17" t="s">
        <v>535</v>
      </c>
      <c r="B528" s="2">
        <v>294</v>
      </c>
      <c r="C528" s="2">
        <v>106</v>
      </c>
      <c r="D528" s="2">
        <v>34.1</v>
      </c>
      <c r="E528" s="2">
        <v>71.8</v>
      </c>
      <c r="F528" s="2">
        <v>0.1</v>
      </c>
      <c r="I528" s="2">
        <v>8500</v>
      </c>
      <c r="J528" s="2">
        <v>284</v>
      </c>
      <c r="K528" s="2">
        <v>901000</v>
      </c>
      <c r="L528" s="2">
        <v>8130</v>
      </c>
      <c r="M528" s="2">
        <v>679.7</v>
      </c>
      <c r="N528" s="2">
        <v>2109.3000000000002</v>
      </c>
      <c r="O528" s="2">
        <v>26230</v>
      </c>
      <c r="Q528" s="2" t="s">
        <v>5270</v>
      </c>
    </row>
    <row r="529" spans="1:17" ht="24.95" customHeight="1" x14ac:dyDescent="0.25">
      <c r="A529" s="17" t="s">
        <v>536</v>
      </c>
      <c r="B529" s="2">
        <v>291</v>
      </c>
      <c r="C529" s="2">
        <v>104</v>
      </c>
      <c r="D529" s="2">
        <v>30</v>
      </c>
      <c r="E529" s="2">
        <v>74</v>
      </c>
      <c r="I529" s="2">
        <v>8525</v>
      </c>
      <c r="J529" s="2">
        <v>223</v>
      </c>
      <c r="K529" s="2">
        <v>886600</v>
      </c>
      <c r="L529" s="2">
        <v>8887</v>
      </c>
      <c r="M529" s="2">
        <v>1205.5</v>
      </c>
      <c r="N529" s="2">
        <v>2040.1</v>
      </c>
      <c r="O529" s="2">
        <v>29320</v>
      </c>
      <c r="Q529" s="2" t="s">
        <v>5270</v>
      </c>
    </row>
    <row r="530" spans="1:17" ht="24.95" customHeight="1" x14ac:dyDescent="0.25">
      <c r="A530" s="17" t="s">
        <v>537</v>
      </c>
      <c r="B530" s="2">
        <v>306</v>
      </c>
      <c r="C530" s="2">
        <v>106</v>
      </c>
      <c r="D530" s="2">
        <v>32</v>
      </c>
      <c r="E530" s="2">
        <v>74</v>
      </c>
      <c r="I530" s="2">
        <v>1385</v>
      </c>
      <c r="J530" s="2">
        <v>274</v>
      </c>
      <c r="K530" s="2">
        <v>146810</v>
      </c>
      <c r="L530" s="2">
        <v>2025</v>
      </c>
      <c r="M530" s="2">
        <v>159.69999999999999</v>
      </c>
      <c r="N530" s="2">
        <v>350.8</v>
      </c>
      <c r="O530" s="2">
        <v>6450</v>
      </c>
      <c r="Q530" s="2" t="s">
        <v>5270</v>
      </c>
    </row>
    <row r="531" spans="1:17" ht="24.95" customHeight="1" x14ac:dyDescent="0.25">
      <c r="A531" s="17" t="s">
        <v>538</v>
      </c>
      <c r="B531" s="2">
        <v>264</v>
      </c>
      <c r="C531" s="2">
        <v>98</v>
      </c>
      <c r="D531" s="2">
        <v>23.8</v>
      </c>
      <c r="E531" s="2">
        <v>74</v>
      </c>
      <c r="F531" s="2">
        <v>0.2</v>
      </c>
      <c r="I531" s="2">
        <v>821</v>
      </c>
      <c r="J531" s="2">
        <v>252</v>
      </c>
      <c r="K531" s="2">
        <v>80458</v>
      </c>
      <c r="L531" s="2">
        <v>1546</v>
      </c>
      <c r="M531" s="2">
        <v>141.5</v>
      </c>
      <c r="N531" s="2">
        <v>207.2</v>
      </c>
      <c r="O531" s="2">
        <v>4770</v>
      </c>
      <c r="P531" s="2">
        <v>3.9</v>
      </c>
      <c r="Q531" s="2" t="s">
        <v>5270</v>
      </c>
    </row>
    <row r="532" spans="1:17" ht="24.95" customHeight="1" x14ac:dyDescent="0.25">
      <c r="A532" s="17" t="s">
        <v>539</v>
      </c>
      <c r="B532" s="2">
        <v>294</v>
      </c>
      <c r="C532" s="2">
        <v>104</v>
      </c>
      <c r="D532" s="2">
        <v>29.8</v>
      </c>
      <c r="E532" s="2">
        <v>74.2</v>
      </c>
      <c r="I532" s="2">
        <v>11900</v>
      </c>
      <c r="J532" s="2">
        <v>247</v>
      </c>
      <c r="K532" s="2">
        <v>1237600</v>
      </c>
      <c r="L532" s="2">
        <v>14166</v>
      </c>
      <c r="M532" s="2">
        <v>1210</v>
      </c>
      <c r="N532" s="2">
        <v>2974.9</v>
      </c>
      <c r="O532" s="2">
        <v>46710</v>
      </c>
      <c r="Q532" s="2" t="s">
        <v>5270</v>
      </c>
    </row>
    <row r="533" spans="1:17" ht="24.95" customHeight="1" x14ac:dyDescent="0.25">
      <c r="A533" s="17" t="s">
        <v>540</v>
      </c>
      <c r="B533" s="2">
        <v>288</v>
      </c>
      <c r="C533" s="2">
        <v>106</v>
      </c>
      <c r="D533" s="2">
        <v>31.7</v>
      </c>
      <c r="E533" s="2">
        <v>74</v>
      </c>
      <c r="F533" s="2">
        <v>0.3</v>
      </c>
      <c r="I533" s="2">
        <v>1014</v>
      </c>
      <c r="J533" s="2">
        <v>224</v>
      </c>
      <c r="K533" s="2">
        <v>107484</v>
      </c>
      <c r="L533" s="2">
        <v>2260</v>
      </c>
      <c r="M533" s="2">
        <v>172.7</v>
      </c>
      <c r="N533" s="2">
        <v>247.3</v>
      </c>
      <c r="O533" s="2">
        <v>6740</v>
      </c>
      <c r="P533" s="2">
        <v>17.8</v>
      </c>
      <c r="Q533" s="2" t="s">
        <v>5270</v>
      </c>
    </row>
    <row r="534" spans="1:17" ht="24.95" customHeight="1" x14ac:dyDescent="0.25">
      <c r="A534" s="17" t="s">
        <v>6750</v>
      </c>
      <c r="B534" s="2">
        <v>298</v>
      </c>
      <c r="C534" s="2">
        <v>104</v>
      </c>
      <c r="D534" s="2">
        <v>29.6</v>
      </c>
      <c r="E534" s="2">
        <v>74</v>
      </c>
      <c r="F534" s="2">
        <v>0.4</v>
      </c>
      <c r="I534" s="2">
        <v>2475</v>
      </c>
      <c r="J534" s="2">
        <v>302</v>
      </c>
      <c r="K534" s="2">
        <v>257400</v>
      </c>
      <c r="L534" s="2">
        <v>3689</v>
      </c>
      <c r="M534" s="2">
        <v>280.7</v>
      </c>
      <c r="N534" s="2">
        <v>624.9</v>
      </c>
      <c r="O534" s="2">
        <v>10850</v>
      </c>
      <c r="Q534" s="2" t="s">
        <v>5270</v>
      </c>
    </row>
    <row r="535" spans="1:17" ht="24.95" customHeight="1" x14ac:dyDescent="0.25">
      <c r="A535" s="17" t="s">
        <v>542</v>
      </c>
      <c r="B535" s="2">
        <v>266</v>
      </c>
      <c r="C535" s="2">
        <v>92</v>
      </c>
      <c r="D535" s="2">
        <v>18</v>
      </c>
      <c r="E535" s="2">
        <v>74</v>
      </c>
      <c r="I535" s="2">
        <v>13170</v>
      </c>
      <c r="J535" s="2">
        <v>267</v>
      </c>
      <c r="K535" s="2">
        <v>1211640</v>
      </c>
      <c r="L535" s="2">
        <v>11235</v>
      </c>
      <c r="M535" s="2">
        <v>1110.5999999999999</v>
      </c>
      <c r="N535" s="2">
        <v>2987.5</v>
      </c>
      <c r="O535" s="2">
        <v>36860</v>
      </c>
      <c r="Q535" s="2" t="s">
        <v>5270</v>
      </c>
    </row>
    <row r="536" spans="1:17" ht="24.95" customHeight="1" x14ac:dyDescent="0.25">
      <c r="A536" s="17" t="s">
        <v>526</v>
      </c>
      <c r="B536" s="2">
        <v>252</v>
      </c>
      <c r="C536" s="2">
        <v>92</v>
      </c>
      <c r="D536" s="2">
        <v>17.3</v>
      </c>
      <c r="E536" s="2">
        <v>74</v>
      </c>
      <c r="F536" s="2">
        <v>0.7</v>
      </c>
      <c r="H536" s="2">
        <v>93.2</v>
      </c>
      <c r="I536" s="2">
        <v>940</v>
      </c>
      <c r="J536" s="2">
        <v>194</v>
      </c>
      <c r="K536" s="2">
        <v>87609</v>
      </c>
      <c r="L536" s="2">
        <v>2006</v>
      </c>
      <c r="M536" s="2">
        <v>194.6</v>
      </c>
      <c r="N536" s="2">
        <v>233.9</v>
      </c>
      <c r="O536" s="2">
        <v>6400</v>
      </c>
      <c r="P536" s="2">
        <v>16</v>
      </c>
      <c r="Q536" s="2" t="s">
        <v>5271</v>
      </c>
    </row>
    <row r="537" spans="1:17" ht="24.95" customHeight="1" x14ac:dyDescent="0.25">
      <c r="A537" s="17" t="s">
        <v>544</v>
      </c>
      <c r="B537" s="2">
        <v>240</v>
      </c>
      <c r="C537" s="2">
        <v>90</v>
      </c>
      <c r="D537" s="2">
        <v>14.5</v>
      </c>
      <c r="E537" s="2">
        <v>74</v>
      </c>
      <c r="F537" s="2">
        <v>1.5</v>
      </c>
      <c r="H537" s="2">
        <v>91.7</v>
      </c>
      <c r="I537" s="2">
        <v>1371</v>
      </c>
      <c r="J537" s="2">
        <v>245</v>
      </c>
      <c r="K537" s="2">
        <v>125716</v>
      </c>
      <c r="L537" s="2">
        <v>3398</v>
      </c>
      <c r="M537" s="2">
        <v>239.6</v>
      </c>
      <c r="N537" s="2">
        <v>340.8</v>
      </c>
      <c r="O537" s="2">
        <v>10150</v>
      </c>
      <c r="P537" s="2">
        <v>24.5</v>
      </c>
      <c r="Q537" s="2" t="s">
        <v>5271</v>
      </c>
    </row>
    <row r="538" spans="1:17" ht="24.95" customHeight="1" x14ac:dyDescent="0.25">
      <c r="A538" s="17" t="s">
        <v>545</v>
      </c>
      <c r="B538" s="2">
        <v>280</v>
      </c>
      <c r="C538" s="2">
        <v>100.5</v>
      </c>
      <c r="D538" s="2">
        <v>31.6</v>
      </c>
      <c r="E538" s="2">
        <v>68.5</v>
      </c>
      <c r="F538" s="2">
        <v>0.4</v>
      </c>
      <c r="H538" s="2">
        <v>103.8</v>
      </c>
      <c r="I538" s="2">
        <v>7600</v>
      </c>
      <c r="J538" s="2">
        <v>251</v>
      </c>
      <c r="K538" s="2">
        <v>788900</v>
      </c>
      <c r="L538" s="2">
        <v>7468</v>
      </c>
      <c r="M538" s="2">
        <v>735.8</v>
      </c>
      <c r="N538" s="2">
        <v>1766.1</v>
      </c>
      <c r="O538" s="2">
        <v>29490</v>
      </c>
      <c r="Q538" s="2" t="s">
        <v>5271</v>
      </c>
    </row>
    <row r="539" spans="1:17" ht="24.95" customHeight="1" x14ac:dyDescent="0.25">
      <c r="A539" s="20" t="s">
        <v>6751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 t="s">
        <v>5271</v>
      </c>
    </row>
    <row r="540" spans="1:17" ht="24.95" customHeight="1" x14ac:dyDescent="0.25">
      <c r="A540" s="20" t="s">
        <v>6752</v>
      </c>
      <c r="B540" s="5">
        <v>270</v>
      </c>
      <c r="C540" s="5">
        <v>96.5</v>
      </c>
      <c r="D540" s="5">
        <v>27.1</v>
      </c>
      <c r="E540" s="5">
        <v>69</v>
      </c>
      <c r="F540" s="21">
        <v>0.3</v>
      </c>
      <c r="G540" s="5"/>
      <c r="H540" s="21">
        <v>94.3</v>
      </c>
      <c r="I540" s="5">
        <v>10540</v>
      </c>
      <c r="J540" s="5">
        <v>255</v>
      </c>
      <c r="K540" s="5">
        <v>993901</v>
      </c>
      <c r="L540" s="5">
        <v>12339</v>
      </c>
      <c r="M540" s="5">
        <v>1237.9000000000001</v>
      </c>
      <c r="N540" s="5">
        <v>2536.1</v>
      </c>
      <c r="O540" s="5">
        <v>41350</v>
      </c>
      <c r="P540" s="5"/>
      <c r="Q540" s="5"/>
    </row>
    <row r="541" spans="1:17" ht="24.95" customHeight="1" x14ac:dyDescent="0.25">
      <c r="A541" s="20" t="s">
        <v>6753</v>
      </c>
      <c r="B541" s="5">
        <v>263</v>
      </c>
      <c r="C541" s="5">
        <v>92.5</v>
      </c>
      <c r="D541" s="5">
        <v>17.600000000000001</v>
      </c>
      <c r="E541" s="5">
        <v>74.5</v>
      </c>
      <c r="F541" s="21"/>
      <c r="G541" s="5"/>
      <c r="H541" s="21"/>
      <c r="I541" s="5"/>
      <c r="J541" s="5"/>
      <c r="K541" s="5"/>
      <c r="L541" s="5"/>
      <c r="M541" s="5"/>
      <c r="N541" s="5"/>
      <c r="O541" s="5"/>
      <c r="P541" s="5"/>
      <c r="Q541" s="5"/>
    </row>
    <row r="542" spans="1:17" ht="24.95" customHeight="1" x14ac:dyDescent="0.25">
      <c r="A542" s="17" t="s">
        <v>5324</v>
      </c>
      <c r="B542" s="2">
        <v>276</v>
      </c>
      <c r="C542" s="2">
        <v>98</v>
      </c>
      <c r="D542" s="2">
        <v>22.9</v>
      </c>
      <c r="E542" s="2">
        <v>74</v>
      </c>
      <c r="F542" s="2">
        <v>1.1000000000000001</v>
      </c>
      <c r="H542" s="2">
        <v>99.9</v>
      </c>
      <c r="I542" s="2">
        <v>2050</v>
      </c>
      <c r="J542" s="2">
        <v>212</v>
      </c>
      <c r="K542" s="2">
        <v>204702</v>
      </c>
      <c r="L542" s="2">
        <v>4291</v>
      </c>
      <c r="M542" s="2">
        <v>361.2</v>
      </c>
      <c r="N542" s="2">
        <v>486.6</v>
      </c>
      <c r="O542" s="2">
        <v>13870</v>
      </c>
      <c r="P542" s="2">
        <v>19.899999999999999</v>
      </c>
    </row>
    <row r="543" spans="1:17" ht="24.95" customHeight="1" x14ac:dyDescent="0.25">
      <c r="A543" s="17" t="s">
        <v>521</v>
      </c>
      <c r="B543" s="2">
        <v>256</v>
      </c>
      <c r="C543" s="2">
        <v>96</v>
      </c>
      <c r="D543" s="2">
        <v>20.8</v>
      </c>
      <c r="E543" s="2">
        <v>74</v>
      </c>
      <c r="F543" s="2">
        <v>1.3</v>
      </c>
      <c r="H543" s="2">
        <v>97.5</v>
      </c>
      <c r="I543" s="2">
        <v>1405</v>
      </c>
      <c r="J543" s="2">
        <v>235</v>
      </c>
      <c r="K543" s="2">
        <v>136973</v>
      </c>
      <c r="L543" s="2">
        <v>3182</v>
      </c>
      <c r="M543" s="2">
        <v>246.2</v>
      </c>
      <c r="N543" s="2">
        <v>343.3</v>
      </c>
      <c r="O543" s="2">
        <v>10270</v>
      </c>
      <c r="P543" s="2">
        <v>26.1</v>
      </c>
    </row>
    <row r="544" spans="1:17" ht="24.95" customHeight="1" x14ac:dyDescent="0.25">
      <c r="A544" s="17" t="s">
        <v>533</v>
      </c>
      <c r="B544" s="2">
        <v>258</v>
      </c>
      <c r="C544" s="2">
        <v>92</v>
      </c>
      <c r="D544" s="2">
        <v>16.2</v>
      </c>
      <c r="E544" s="2">
        <v>74</v>
      </c>
      <c r="F544" s="2">
        <v>1.8</v>
      </c>
      <c r="H544" s="2">
        <v>94.1</v>
      </c>
      <c r="I544" s="2">
        <v>3006</v>
      </c>
      <c r="J544" s="2">
        <v>280</v>
      </c>
      <c r="K544" s="2">
        <v>282725</v>
      </c>
      <c r="L544" s="2">
        <v>7455</v>
      </c>
      <c r="M544" s="2">
        <v>580.9</v>
      </c>
      <c r="N544" s="2">
        <v>754.1</v>
      </c>
      <c r="O544" s="2">
        <v>23060</v>
      </c>
      <c r="P544" s="2">
        <v>26.4</v>
      </c>
    </row>
    <row r="545" spans="1:16" ht="24.95" customHeight="1" x14ac:dyDescent="0.25">
      <c r="A545" s="17" t="s">
        <v>2893</v>
      </c>
      <c r="B545" s="2">
        <v>267</v>
      </c>
      <c r="C545" s="2">
        <v>100</v>
      </c>
      <c r="D545" s="2">
        <v>25.2</v>
      </c>
      <c r="E545" s="2">
        <v>74</v>
      </c>
      <c r="F545" s="2">
        <v>0.8</v>
      </c>
      <c r="H545" s="2">
        <v>101.6</v>
      </c>
      <c r="I545" s="2">
        <v>7060</v>
      </c>
      <c r="J545" s="2">
        <v>228</v>
      </c>
      <c r="K545" s="2">
        <v>717117</v>
      </c>
      <c r="L545" s="2">
        <v>10433</v>
      </c>
      <c r="M545" s="2">
        <v>959.6</v>
      </c>
      <c r="N545" s="2">
        <v>1543.5</v>
      </c>
      <c r="O545" s="2">
        <v>39210</v>
      </c>
      <c r="P545" s="2">
        <v>0.9</v>
      </c>
    </row>
    <row r="546" spans="1:16" ht="24.95" customHeight="1" x14ac:dyDescent="0.25">
      <c r="A546" s="17" t="s">
        <v>541</v>
      </c>
      <c r="B546" s="2">
        <v>254</v>
      </c>
      <c r="C546" s="2">
        <v>91</v>
      </c>
      <c r="D546" s="2">
        <v>16</v>
      </c>
      <c r="E546" s="2">
        <v>74</v>
      </c>
      <c r="F546" s="2">
        <v>1</v>
      </c>
      <c r="H546" s="2">
        <v>92.7</v>
      </c>
      <c r="I546" s="2">
        <v>1830</v>
      </c>
      <c r="J546" s="2">
        <v>191</v>
      </c>
      <c r="K546" s="2">
        <v>169629</v>
      </c>
      <c r="L546" s="2">
        <v>3419</v>
      </c>
      <c r="M546" s="2">
        <v>241.6</v>
      </c>
      <c r="N546" s="2">
        <v>469.9</v>
      </c>
      <c r="O546" s="2">
        <v>12300</v>
      </c>
      <c r="P546" s="2">
        <v>13.2</v>
      </c>
    </row>
    <row r="547" spans="1:16" ht="24.95" customHeight="1" x14ac:dyDescent="0.25">
      <c r="A547" s="17" t="s">
        <v>523</v>
      </c>
    </row>
    <row r="548" spans="1:16" ht="24.95" customHeight="1" x14ac:dyDescent="0.25">
      <c r="A548" s="17" t="s">
        <v>6752</v>
      </c>
      <c r="B548" s="2">
        <v>271</v>
      </c>
      <c r="C548" s="2">
        <v>112.6</v>
      </c>
      <c r="D548" s="2">
        <v>43.6</v>
      </c>
      <c r="E548" s="2">
        <v>68.5</v>
      </c>
      <c r="F548" s="15">
        <v>0.5</v>
      </c>
      <c r="H548" s="15">
        <v>104.7</v>
      </c>
      <c r="I548" s="2">
        <v>10360</v>
      </c>
      <c r="J548" s="2">
        <v>192</v>
      </c>
      <c r="K548" s="2">
        <v>1084693</v>
      </c>
      <c r="L548" s="2">
        <v>15588</v>
      </c>
      <c r="M548" s="2">
        <v>1686.6</v>
      </c>
      <c r="N548" s="2">
        <v>2574.4</v>
      </c>
      <c r="O548" s="2">
        <v>59560</v>
      </c>
      <c r="P548" s="2">
        <v>1.1000000000000001</v>
      </c>
    </row>
    <row r="549" spans="1:16" ht="24.95" customHeight="1" x14ac:dyDescent="0.25">
      <c r="A549" s="17" t="s">
        <v>6753</v>
      </c>
      <c r="B549" s="2">
        <v>264</v>
      </c>
      <c r="C549" s="2">
        <v>104.4</v>
      </c>
      <c r="D549" s="2">
        <v>24.5</v>
      </c>
      <c r="E549" s="2">
        <v>79.400000000000006</v>
      </c>
      <c r="F549" s="15"/>
      <c r="H549" s="15"/>
    </row>
    <row r="550" spans="1:16" ht="24.95" customHeight="1" x14ac:dyDescent="0.25">
      <c r="A550" s="17" t="s">
        <v>547</v>
      </c>
      <c r="B550" s="2">
        <v>270</v>
      </c>
      <c r="C550" s="2">
        <v>100</v>
      </c>
      <c r="D550" s="2">
        <v>25.5</v>
      </c>
      <c r="E550" s="2">
        <v>74</v>
      </c>
      <c r="F550" s="2">
        <v>0.5</v>
      </c>
      <c r="H550" s="2">
        <v>107.6</v>
      </c>
      <c r="I550" s="2">
        <v>1222</v>
      </c>
      <c r="J550" s="2">
        <v>220</v>
      </c>
      <c r="K550" s="2">
        <v>131536</v>
      </c>
      <c r="L550" s="2">
        <v>2239</v>
      </c>
      <c r="M550" s="2">
        <v>213.6</v>
      </c>
      <c r="N550" s="2">
        <v>310.2</v>
      </c>
      <c r="O550" s="2">
        <v>7040</v>
      </c>
      <c r="P550" s="2">
        <v>0.2</v>
      </c>
    </row>
    <row r="551" spans="1:16" ht="24.95" customHeight="1" x14ac:dyDescent="0.25">
      <c r="A551" s="17" t="s">
        <v>6754</v>
      </c>
      <c r="B551" s="2">
        <v>202</v>
      </c>
      <c r="C551" s="2">
        <v>81</v>
      </c>
      <c r="I551" s="2">
        <v>11601</v>
      </c>
      <c r="J551" s="2">
        <v>176</v>
      </c>
      <c r="K551" s="2">
        <v>939681</v>
      </c>
      <c r="L551" s="2">
        <v>23659</v>
      </c>
      <c r="M551" s="2">
        <v>1258.2</v>
      </c>
      <c r="N551" s="2">
        <v>2734</v>
      </c>
      <c r="O551" s="2">
        <v>85520</v>
      </c>
      <c r="P551" s="2">
        <v>24.5</v>
      </c>
    </row>
    <row r="552" spans="1:16" ht="24.95" customHeight="1" x14ac:dyDescent="0.25">
      <c r="A552" s="17" t="s">
        <v>6755</v>
      </c>
      <c r="B552" s="2">
        <v>312</v>
      </c>
      <c r="C552" s="2">
        <v>122</v>
      </c>
      <c r="D552" s="2">
        <v>41</v>
      </c>
      <c r="E552" s="2">
        <v>81</v>
      </c>
      <c r="I552" s="2">
        <v>1665</v>
      </c>
      <c r="J552" s="2">
        <v>204</v>
      </c>
      <c r="K552" s="2">
        <v>203130</v>
      </c>
      <c r="L552" s="2">
        <v>3062</v>
      </c>
      <c r="M552" s="2">
        <v>180.1</v>
      </c>
      <c r="N552" s="2">
        <v>397.7</v>
      </c>
      <c r="O552" s="2">
        <v>9800</v>
      </c>
      <c r="P552" s="2">
        <v>8.1999999999999993</v>
      </c>
    </row>
    <row r="553" spans="1:16" ht="24.95" customHeight="1" x14ac:dyDescent="0.25">
      <c r="A553" s="17" t="s">
        <v>550</v>
      </c>
      <c r="B553" s="2">
        <v>262</v>
      </c>
      <c r="C553" s="2">
        <v>102</v>
      </c>
      <c r="D553" s="2">
        <v>21</v>
      </c>
      <c r="E553" s="2">
        <v>81</v>
      </c>
      <c r="I553" s="2">
        <v>750</v>
      </c>
      <c r="J553" s="2">
        <v>183</v>
      </c>
      <c r="K553" s="2">
        <v>76500</v>
      </c>
      <c r="L553" s="2">
        <v>1469</v>
      </c>
      <c r="M553" s="2">
        <v>101.7</v>
      </c>
      <c r="N553" s="2">
        <v>194.6</v>
      </c>
      <c r="O553" s="2">
        <v>4320</v>
      </c>
      <c r="P553" s="2">
        <v>0.4</v>
      </c>
    </row>
    <row r="554" spans="1:16" ht="24.95" customHeight="1" x14ac:dyDescent="0.25">
      <c r="A554" s="17" t="s">
        <v>551</v>
      </c>
      <c r="B554" s="2">
        <v>246</v>
      </c>
      <c r="C554" s="2">
        <v>98</v>
      </c>
      <c r="D554" s="2">
        <v>17.5</v>
      </c>
      <c r="E554" s="2">
        <v>81</v>
      </c>
      <c r="F554" s="2">
        <v>-0.5</v>
      </c>
      <c r="I554" s="2">
        <v>2300</v>
      </c>
      <c r="J554" s="2">
        <v>201</v>
      </c>
      <c r="K554" s="2">
        <v>225400</v>
      </c>
      <c r="L554" s="2">
        <v>3628</v>
      </c>
      <c r="M554" s="2">
        <v>224.8</v>
      </c>
      <c r="N554" s="2">
        <v>572.79999999999995</v>
      </c>
      <c r="O554" s="2">
        <v>11890</v>
      </c>
    </row>
    <row r="555" spans="1:16" ht="24.95" customHeight="1" x14ac:dyDescent="0.25">
      <c r="A555" s="17" t="s">
        <v>552</v>
      </c>
      <c r="B555" s="2">
        <v>288</v>
      </c>
      <c r="C555" s="2">
        <v>108</v>
      </c>
      <c r="D555" s="2">
        <v>25.9</v>
      </c>
      <c r="E555" s="2">
        <v>81</v>
      </c>
      <c r="F555" s="2">
        <v>1.1000000000000001</v>
      </c>
      <c r="I555" s="2">
        <v>570</v>
      </c>
      <c r="J555" s="2">
        <v>179</v>
      </c>
      <c r="K555" s="2">
        <v>61560</v>
      </c>
      <c r="L555" s="2">
        <v>1820</v>
      </c>
      <c r="M555" s="2">
        <v>93.9</v>
      </c>
      <c r="N555" s="2">
        <v>148.4</v>
      </c>
      <c r="O555" s="2">
        <v>5700</v>
      </c>
      <c r="P555" s="2">
        <v>40.700000000000003</v>
      </c>
    </row>
    <row r="556" spans="1:16" ht="24.95" customHeight="1" x14ac:dyDescent="0.25">
      <c r="A556" s="17" t="s">
        <v>5353</v>
      </c>
      <c r="B556" s="2">
        <v>306</v>
      </c>
      <c r="C556" s="2">
        <v>118</v>
      </c>
      <c r="D556" s="2">
        <v>37</v>
      </c>
      <c r="E556" s="2">
        <v>81</v>
      </c>
      <c r="I556" s="2">
        <v>1182</v>
      </c>
      <c r="J556" s="2">
        <v>218</v>
      </c>
      <c r="K556" s="2">
        <v>139476</v>
      </c>
      <c r="L556" s="2">
        <v>2001</v>
      </c>
      <c r="M556" s="2">
        <v>114.3</v>
      </c>
      <c r="N556" s="2">
        <v>286.10000000000002</v>
      </c>
      <c r="O556" s="2">
        <v>5990</v>
      </c>
    </row>
    <row r="557" spans="1:16" ht="24.95" customHeight="1" x14ac:dyDescent="0.25">
      <c r="A557" s="17" t="s">
        <v>554</v>
      </c>
      <c r="B557" s="2">
        <v>234</v>
      </c>
      <c r="C557" s="2">
        <v>92</v>
      </c>
      <c r="D557" s="2">
        <v>11.8</v>
      </c>
      <c r="E557" s="2">
        <v>81</v>
      </c>
      <c r="F557" s="2">
        <v>-0.8</v>
      </c>
      <c r="H557" s="2">
        <v>94.5</v>
      </c>
      <c r="I557" s="2">
        <v>1300</v>
      </c>
      <c r="J557" s="2">
        <v>120</v>
      </c>
      <c r="K557" s="2">
        <v>122860</v>
      </c>
      <c r="L557" s="2">
        <v>2605</v>
      </c>
      <c r="M557" s="2">
        <v>109.8</v>
      </c>
      <c r="N557" s="2">
        <v>241.3</v>
      </c>
      <c r="O557" s="2">
        <v>15490</v>
      </c>
      <c r="P557" s="2">
        <v>52.6</v>
      </c>
    </row>
    <row r="558" spans="1:16" ht="24.95" customHeight="1" x14ac:dyDescent="0.25">
      <c r="A558" s="17" t="s">
        <v>555</v>
      </c>
      <c r="B558" s="2">
        <v>256</v>
      </c>
      <c r="C558" s="2">
        <v>102</v>
      </c>
      <c r="D558" s="2">
        <v>19.3</v>
      </c>
      <c r="E558" s="2">
        <v>81</v>
      </c>
      <c r="F558" s="2">
        <v>1.7</v>
      </c>
      <c r="H558" s="2">
        <v>106.5</v>
      </c>
      <c r="I558" s="2">
        <v>1250</v>
      </c>
      <c r="J558" s="2">
        <v>163</v>
      </c>
      <c r="K558" s="2">
        <v>132526</v>
      </c>
      <c r="L558" s="2">
        <v>2824</v>
      </c>
      <c r="M558" s="2">
        <v>148.80000000000001</v>
      </c>
      <c r="N558" s="2">
        <v>319.7</v>
      </c>
      <c r="O558" s="2">
        <v>8920</v>
      </c>
      <c r="P558" s="2">
        <v>20.3</v>
      </c>
    </row>
    <row r="559" spans="1:16" ht="24.95" customHeight="1" x14ac:dyDescent="0.25">
      <c r="A559" s="17" t="s">
        <v>550</v>
      </c>
      <c r="B559" s="2">
        <v>262</v>
      </c>
      <c r="C559" s="2">
        <v>112</v>
      </c>
      <c r="D559" s="2">
        <v>28.5</v>
      </c>
      <c r="E559" s="2">
        <v>81</v>
      </c>
      <c r="F559" s="2">
        <v>2.5</v>
      </c>
      <c r="H559" s="2">
        <v>112.5</v>
      </c>
      <c r="I559" s="2">
        <v>1850</v>
      </c>
      <c r="J559" s="2">
        <v>150</v>
      </c>
      <c r="K559" s="2">
        <v>208086</v>
      </c>
      <c r="L559" s="2">
        <v>3928</v>
      </c>
      <c r="M559" s="2">
        <v>190.2</v>
      </c>
      <c r="N559" s="2">
        <v>399.7</v>
      </c>
      <c r="O559" s="2">
        <v>15570</v>
      </c>
      <c r="P559" s="2">
        <v>35</v>
      </c>
    </row>
    <row r="560" spans="1:16" ht="24.95" customHeight="1" x14ac:dyDescent="0.25">
      <c r="A560" s="17" t="s">
        <v>5353</v>
      </c>
      <c r="B560" s="2">
        <v>262</v>
      </c>
      <c r="C560" s="2">
        <v>100</v>
      </c>
      <c r="D560" s="2">
        <v>17.600000000000001</v>
      </c>
      <c r="E560" s="2">
        <v>81</v>
      </c>
      <c r="F560" s="2">
        <v>1.4</v>
      </c>
      <c r="H560" s="2">
        <v>110.5</v>
      </c>
      <c r="I560" s="2">
        <v>675</v>
      </c>
      <c r="J560" s="2">
        <v>170</v>
      </c>
      <c r="K560" s="2">
        <v>69710</v>
      </c>
      <c r="L560" s="2">
        <v>2322</v>
      </c>
      <c r="M560" s="2">
        <v>94.5</v>
      </c>
      <c r="N560" s="2">
        <v>173.7</v>
      </c>
      <c r="O560" s="2">
        <v>7840</v>
      </c>
      <c r="P560" s="2">
        <v>49</v>
      </c>
    </row>
    <row r="561" spans="1:16" ht="24.95" customHeight="1" x14ac:dyDescent="0.25">
      <c r="A561" s="17" t="s">
        <v>6756</v>
      </c>
      <c r="B561" s="2">
        <v>207</v>
      </c>
      <c r="C561" s="2">
        <v>87</v>
      </c>
      <c r="I561" s="2">
        <v>10936</v>
      </c>
      <c r="J561" s="2">
        <v>173</v>
      </c>
      <c r="K561" s="2">
        <v>951432</v>
      </c>
      <c r="L561" s="2">
        <v>29150</v>
      </c>
      <c r="M561" s="2">
        <v>1518.5</v>
      </c>
      <c r="N561" s="2">
        <v>2764.7</v>
      </c>
      <c r="O561" s="2">
        <v>89420</v>
      </c>
      <c r="P561" s="2">
        <v>29.8</v>
      </c>
    </row>
    <row r="562" spans="1:16" ht="24.95" customHeight="1" x14ac:dyDescent="0.25">
      <c r="A562" s="17" t="s">
        <v>558</v>
      </c>
      <c r="B562" s="2">
        <v>334</v>
      </c>
      <c r="C562" s="2">
        <v>132</v>
      </c>
      <c r="D562" s="2">
        <v>45.8</v>
      </c>
      <c r="E562" s="2">
        <v>87</v>
      </c>
      <c r="F562" s="2">
        <v>-0.8</v>
      </c>
      <c r="I562" s="2">
        <v>3350</v>
      </c>
      <c r="J562" s="2">
        <v>194</v>
      </c>
      <c r="K562" s="2">
        <v>442200</v>
      </c>
      <c r="L562" s="2">
        <v>5672</v>
      </c>
      <c r="M562" s="2">
        <v>348.6</v>
      </c>
      <c r="N562" s="2">
        <v>833.6</v>
      </c>
      <c r="O562" s="2">
        <v>17550</v>
      </c>
    </row>
    <row r="563" spans="1:16" ht="24.95" customHeight="1" x14ac:dyDescent="0.25">
      <c r="A563" s="17" t="s">
        <v>559</v>
      </c>
      <c r="B563" s="2">
        <v>258</v>
      </c>
      <c r="C563" s="2">
        <v>110</v>
      </c>
      <c r="D563" s="2">
        <v>23.3</v>
      </c>
      <c r="E563" s="2">
        <v>87</v>
      </c>
      <c r="F563" s="2">
        <v>-0.3</v>
      </c>
      <c r="I563" s="2">
        <v>553</v>
      </c>
      <c r="J563" s="2">
        <v>140</v>
      </c>
      <c r="K563" s="2">
        <v>60830</v>
      </c>
      <c r="L563" s="2">
        <v>1833</v>
      </c>
      <c r="M563" s="2">
        <v>102</v>
      </c>
      <c r="N563" s="2">
        <v>154.9</v>
      </c>
      <c r="O563" s="2">
        <v>5520</v>
      </c>
      <c r="P563" s="2">
        <v>37.1</v>
      </c>
    </row>
    <row r="564" spans="1:16" ht="24.95" customHeight="1" x14ac:dyDescent="0.25">
      <c r="A564" s="17" t="s">
        <v>560</v>
      </c>
      <c r="B564" s="2">
        <v>288</v>
      </c>
      <c r="C564" s="2">
        <v>128</v>
      </c>
      <c r="D564" s="2">
        <v>42.1</v>
      </c>
      <c r="E564" s="2">
        <v>87</v>
      </c>
      <c r="F564" s="2">
        <v>-1.1000000000000001</v>
      </c>
      <c r="I564" s="2">
        <v>1612</v>
      </c>
      <c r="J564" s="2">
        <v>174</v>
      </c>
      <c r="K564" s="2">
        <v>206336</v>
      </c>
      <c r="L564" s="2">
        <v>3023</v>
      </c>
      <c r="M564" s="2">
        <v>161.6</v>
      </c>
      <c r="N564" s="2">
        <v>406.2</v>
      </c>
      <c r="O564" s="2">
        <v>9800</v>
      </c>
    </row>
    <row r="565" spans="1:16" ht="24.95" customHeight="1" x14ac:dyDescent="0.25">
      <c r="A565" s="17" t="s">
        <v>561</v>
      </c>
      <c r="B565" s="2">
        <v>306</v>
      </c>
      <c r="C565" s="2">
        <v>126</v>
      </c>
      <c r="D565" s="2">
        <v>38.6</v>
      </c>
      <c r="E565" s="2">
        <v>87</v>
      </c>
      <c r="F565" s="2">
        <v>0.4</v>
      </c>
      <c r="I565" s="2">
        <v>1618</v>
      </c>
      <c r="J565" s="2">
        <v>154</v>
      </c>
      <c r="K565" s="2">
        <v>203868</v>
      </c>
      <c r="L565" s="2">
        <v>4534</v>
      </c>
      <c r="M565" s="2">
        <v>265.3</v>
      </c>
      <c r="N565" s="2">
        <v>398.3</v>
      </c>
      <c r="O565" s="2">
        <v>13230</v>
      </c>
      <c r="P565" s="2">
        <v>32.299999999999997</v>
      </c>
    </row>
    <row r="566" spans="1:16" ht="24.95" customHeight="1" x14ac:dyDescent="0.25">
      <c r="A566" s="17" t="s">
        <v>562</v>
      </c>
      <c r="B566" s="2">
        <v>292</v>
      </c>
      <c r="C566" s="2">
        <v>118</v>
      </c>
      <c r="D566" s="2">
        <v>30.7</v>
      </c>
      <c r="E566" s="2">
        <v>87</v>
      </c>
      <c r="F566" s="2">
        <v>0.3</v>
      </c>
      <c r="I566" s="2">
        <v>1286</v>
      </c>
      <c r="J566" s="2">
        <v>173</v>
      </c>
      <c r="K566" s="2">
        <v>151748</v>
      </c>
      <c r="L566" s="2">
        <v>2921</v>
      </c>
      <c r="M566" s="2">
        <v>153.30000000000001</v>
      </c>
      <c r="N566" s="2">
        <v>304.10000000000002</v>
      </c>
      <c r="O566" s="2">
        <v>9460</v>
      </c>
      <c r="P566" s="2">
        <v>25.5</v>
      </c>
    </row>
    <row r="567" spans="1:16" ht="24.95" customHeight="1" x14ac:dyDescent="0.25">
      <c r="A567" s="17" t="s">
        <v>560</v>
      </c>
      <c r="B567" s="2">
        <v>252</v>
      </c>
      <c r="C567" s="2">
        <v>98</v>
      </c>
      <c r="D567" s="2">
        <v>10.1</v>
      </c>
      <c r="E567" s="2">
        <v>87</v>
      </c>
      <c r="F567" s="2">
        <v>0.9</v>
      </c>
      <c r="H567" s="2">
        <v>104.5</v>
      </c>
      <c r="I567" s="2">
        <v>1125</v>
      </c>
      <c r="J567" s="2">
        <v>165</v>
      </c>
      <c r="K567" s="2">
        <v>117596</v>
      </c>
      <c r="L567" s="2">
        <v>4720</v>
      </c>
      <c r="M567" s="2">
        <v>207.8</v>
      </c>
      <c r="N567" s="2">
        <v>295.7</v>
      </c>
      <c r="O567" s="2">
        <v>14370</v>
      </c>
      <c r="P567" s="2">
        <v>53.7</v>
      </c>
    </row>
    <row r="568" spans="1:16" ht="24.95" customHeight="1" x14ac:dyDescent="0.25">
      <c r="A568" s="17" t="s">
        <v>563</v>
      </c>
      <c r="B568" s="2">
        <v>252</v>
      </c>
      <c r="C568" s="2">
        <v>109</v>
      </c>
      <c r="D568" s="2">
        <v>21.1</v>
      </c>
      <c r="E568" s="2">
        <v>87</v>
      </c>
      <c r="F568" s="2">
        <v>0.9</v>
      </c>
      <c r="H568" s="2">
        <v>114.2</v>
      </c>
      <c r="I568" s="2">
        <v>320</v>
      </c>
      <c r="J568" s="2">
        <v>130</v>
      </c>
      <c r="K568" s="2">
        <v>36543</v>
      </c>
      <c r="L568" s="2">
        <v>1616</v>
      </c>
      <c r="M568" s="2">
        <v>70.7</v>
      </c>
      <c r="N568" s="2">
        <v>95.5</v>
      </c>
      <c r="O568" s="2">
        <v>4650</v>
      </c>
      <c r="P568" s="2">
        <v>54.9</v>
      </c>
    </row>
    <row r="569" spans="1:16" ht="24.95" customHeight="1" x14ac:dyDescent="0.25">
      <c r="A569" s="17" t="s">
        <v>564</v>
      </c>
      <c r="B569" s="2">
        <v>254</v>
      </c>
      <c r="C569" s="2">
        <v>110</v>
      </c>
      <c r="D569" s="2">
        <v>21.5</v>
      </c>
      <c r="E569" s="2">
        <v>87</v>
      </c>
      <c r="F569" s="2">
        <v>1.5</v>
      </c>
      <c r="H569" s="2">
        <v>112</v>
      </c>
      <c r="I569" s="2">
        <v>169</v>
      </c>
      <c r="J569" s="2">
        <v>152</v>
      </c>
      <c r="K569" s="2">
        <v>18922</v>
      </c>
      <c r="L569" s="2">
        <v>679</v>
      </c>
      <c r="M569" s="2">
        <v>28</v>
      </c>
      <c r="N569" s="2">
        <v>44.9</v>
      </c>
      <c r="O569" s="2">
        <v>2170</v>
      </c>
      <c r="P569" s="2">
        <v>53.9</v>
      </c>
    </row>
    <row r="570" spans="1:16" ht="24.95" customHeight="1" x14ac:dyDescent="0.25">
      <c r="A570" s="17" t="s">
        <v>558</v>
      </c>
      <c r="B570" s="2">
        <v>236</v>
      </c>
      <c r="C570" s="2">
        <v>98</v>
      </c>
      <c r="D570" s="2">
        <v>10.8</v>
      </c>
      <c r="E570" s="2">
        <v>87</v>
      </c>
      <c r="F570" s="2">
        <v>0.2</v>
      </c>
      <c r="H570" s="2">
        <v>100.8</v>
      </c>
      <c r="I570" s="2">
        <v>903</v>
      </c>
      <c r="J570" s="2">
        <v>178</v>
      </c>
      <c r="K570" s="2">
        <v>91064</v>
      </c>
      <c r="L570" s="2">
        <v>4152</v>
      </c>
      <c r="M570" s="2">
        <v>181.1</v>
      </c>
      <c r="N570" s="2">
        <v>231.5</v>
      </c>
      <c r="O570" s="2">
        <v>12670</v>
      </c>
      <c r="P570" s="2">
        <v>59.8</v>
      </c>
    </row>
    <row r="571" spans="1:16" ht="24.95" customHeight="1" x14ac:dyDescent="0.25">
      <c r="A571" s="17" t="s">
        <v>291</v>
      </c>
      <c r="B571" s="2">
        <v>193</v>
      </c>
      <c r="C571" s="2">
        <v>80</v>
      </c>
      <c r="D571" s="2">
        <v>78.5</v>
      </c>
      <c r="F571" s="2">
        <v>1.5</v>
      </c>
      <c r="H571" s="2">
        <v>101</v>
      </c>
      <c r="I571" s="2">
        <v>256</v>
      </c>
      <c r="J571" s="2">
        <v>205</v>
      </c>
      <c r="K571" s="2">
        <v>25863</v>
      </c>
      <c r="L571" s="2">
        <v>568</v>
      </c>
      <c r="M571" s="2">
        <v>30.3</v>
      </c>
      <c r="N571" s="2">
        <v>63.9</v>
      </c>
      <c r="O571" s="2">
        <v>1770</v>
      </c>
      <c r="P571" s="2">
        <v>42.4</v>
      </c>
    </row>
    <row r="572" spans="1:16" ht="24.95" customHeight="1" x14ac:dyDescent="0.25">
      <c r="A572" s="17" t="s">
        <v>6757</v>
      </c>
      <c r="B572" s="2">
        <v>227</v>
      </c>
      <c r="C572" s="2">
        <v>89</v>
      </c>
      <c r="I572" s="2">
        <v>13916</v>
      </c>
      <c r="J572" s="2">
        <v>126</v>
      </c>
      <c r="K572" s="2">
        <v>1238524</v>
      </c>
      <c r="L572" s="2">
        <v>31474</v>
      </c>
      <c r="M572" s="2">
        <v>1967.4</v>
      </c>
      <c r="N572" s="2">
        <v>3446.4</v>
      </c>
      <c r="O572" s="2">
        <v>93090</v>
      </c>
      <c r="P572" s="2">
        <v>15.6</v>
      </c>
    </row>
    <row r="573" spans="1:16" ht="24.95" customHeight="1" x14ac:dyDescent="0.25">
      <c r="A573" s="17" t="s">
        <v>566</v>
      </c>
      <c r="B573" s="2">
        <v>312</v>
      </c>
      <c r="C573" s="2">
        <v>126</v>
      </c>
      <c r="D573" s="2">
        <v>37</v>
      </c>
      <c r="E573" s="2">
        <v>92</v>
      </c>
      <c r="F573" s="2">
        <v>-3</v>
      </c>
      <c r="I573" s="2">
        <v>2800</v>
      </c>
      <c r="J573" s="2">
        <v>122</v>
      </c>
      <c r="K573" s="2">
        <v>352800</v>
      </c>
      <c r="L573" s="2">
        <v>5531</v>
      </c>
      <c r="M573" s="2">
        <v>313.5</v>
      </c>
      <c r="N573" s="2">
        <v>658.2</v>
      </c>
      <c r="O573" s="2">
        <v>18950</v>
      </c>
      <c r="P573" s="2">
        <v>16.399999999999999</v>
      </c>
    </row>
    <row r="574" spans="1:16" ht="24.95" customHeight="1" x14ac:dyDescent="0.25">
      <c r="A574" s="17" t="s">
        <v>567</v>
      </c>
      <c r="B574" s="2">
        <v>330</v>
      </c>
      <c r="C574" s="2">
        <v>134</v>
      </c>
      <c r="D574" s="2">
        <v>44</v>
      </c>
      <c r="E574" s="2">
        <v>92</v>
      </c>
      <c r="F574" s="2">
        <v>-2</v>
      </c>
      <c r="I574" s="2">
        <v>2750</v>
      </c>
      <c r="J574" s="2">
        <v>126</v>
      </c>
      <c r="K574" s="2">
        <v>368500</v>
      </c>
      <c r="L574" s="2">
        <v>7064</v>
      </c>
      <c r="M574" s="2">
        <v>451.3</v>
      </c>
      <c r="N574" s="2">
        <v>700.3</v>
      </c>
      <c r="O574" s="2">
        <v>19690</v>
      </c>
      <c r="P574" s="2">
        <v>20.6</v>
      </c>
    </row>
    <row r="575" spans="1:16" ht="24.95" customHeight="1" x14ac:dyDescent="0.25">
      <c r="A575" s="17" t="s">
        <v>568</v>
      </c>
      <c r="B575" s="2">
        <v>306</v>
      </c>
      <c r="C575" s="2">
        <v>122</v>
      </c>
      <c r="D575" s="2">
        <v>30.5</v>
      </c>
      <c r="E575" s="2">
        <v>92</v>
      </c>
      <c r="F575" s="2">
        <v>-0.5</v>
      </c>
      <c r="I575" s="2">
        <v>2350</v>
      </c>
      <c r="J575" s="2">
        <v>130</v>
      </c>
      <c r="K575" s="2">
        <v>286700</v>
      </c>
      <c r="L575" s="2">
        <v>5712</v>
      </c>
      <c r="M575" s="2">
        <v>330.7</v>
      </c>
      <c r="N575" s="2">
        <v>580.4</v>
      </c>
      <c r="O575" s="2">
        <v>17000</v>
      </c>
      <c r="P575" s="2">
        <v>22.9</v>
      </c>
    </row>
    <row r="576" spans="1:16" ht="24.95" customHeight="1" x14ac:dyDescent="0.25">
      <c r="A576" s="17" t="s">
        <v>6758</v>
      </c>
      <c r="B576" s="2">
        <v>326</v>
      </c>
      <c r="C576" s="2">
        <v>136</v>
      </c>
      <c r="D576" s="2">
        <v>48.5</v>
      </c>
      <c r="E576" s="2">
        <v>89</v>
      </c>
      <c r="F576" s="2">
        <v>-1.5</v>
      </c>
      <c r="I576" s="2">
        <v>2694</v>
      </c>
      <c r="J576" s="2">
        <v>119</v>
      </c>
      <c r="K576" s="2">
        <v>366384</v>
      </c>
      <c r="L576" s="2">
        <v>4246</v>
      </c>
      <c r="M576" s="2">
        <v>341.5</v>
      </c>
      <c r="N576" s="2">
        <v>674.1</v>
      </c>
      <c r="O576" s="2">
        <v>13250</v>
      </c>
    </row>
    <row r="577" spans="1:16" ht="24.95" customHeight="1" x14ac:dyDescent="0.25">
      <c r="A577" s="17" t="s">
        <v>570</v>
      </c>
      <c r="B577" s="2">
        <v>337</v>
      </c>
      <c r="C577" s="2">
        <v>136</v>
      </c>
      <c r="D577" s="2">
        <v>47.1</v>
      </c>
      <c r="E577" s="2">
        <v>92</v>
      </c>
      <c r="F577" s="2">
        <v>-3.1</v>
      </c>
      <c r="I577" s="2">
        <v>910</v>
      </c>
      <c r="J577" s="2">
        <v>116</v>
      </c>
      <c r="K577" s="2">
        <v>123760</v>
      </c>
      <c r="L577" s="2">
        <v>2123</v>
      </c>
      <c r="M577" s="2">
        <v>127.6</v>
      </c>
      <c r="N577" s="2">
        <v>230.7</v>
      </c>
      <c r="O577" s="2">
        <v>6100</v>
      </c>
      <c r="P577" s="2">
        <v>16.100000000000001</v>
      </c>
    </row>
    <row r="578" spans="1:16" ht="24.95" customHeight="1" x14ac:dyDescent="0.25">
      <c r="A578" s="17" t="s">
        <v>572</v>
      </c>
      <c r="B578" s="2">
        <v>284</v>
      </c>
      <c r="C578" s="2">
        <v>114</v>
      </c>
      <c r="D578" s="2">
        <v>21.9</v>
      </c>
      <c r="E578" s="2">
        <v>92</v>
      </c>
      <c r="F578" s="2">
        <v>0.1</v>
      </c>
      <c r="H578" s="2">
        <v>117</v>
      </c>
      <c r="I578" s="2">
        <v>2412</v>
      </c>
      <c r="J578" s="2">
        <v>138</v>
      </c>
      <c r="K578" s="2">
        <v>282304</v>
      </c>
      <c r="L578" s="2">
        <v>6798</v>
      </c>
      <c r="M578" s="2">
        <v>402.8</v>
      </c>
      <c r="N578" s="2">
        <v>602.6</v>
      </c>
      <c r="O578" s="2">
        <v>18100</v>
      </c>
      <c r="P578" s="2">
        <v>25.6</v>
      </c>
    </row>
    <row r="579" spans="1:16" ht="24.95" customHeight="1" x14ac:dyDescent="0.25">
      <c r="A579" s="17" t="s">
        <v>6759</v>
      </c>
      <c r="B579" s="2">
        <v>164</v>
      </c>
      <c r="C579" s="2">
        <v>69.599999999999994</v>
      </c>
      <c r="I579" s="2">
        <v>285896</v>
      </c>
      <c r="J579" s="2">
        <v>160</v>
      </c>
      <c r="K579" s="2">
        <v>19898362</v>
      </c>
      <c r="L579" s="2">
        <v>546623</v>
      </c>
      <c r="M579" s="2">
        <v>41634.5</v>
      </c>
      <c r="N579" s="2">
        <v>69719.5</v>
      </c>
      <c r="O579" s="2">
        <v>1695560</v>
      </c>
    </row>
    <row r="580" spans="1:16" ht="24.95" customHeight="1" x14ac:dyDescent="0.25">
      <c r="A580" s="17" t="s">
        <v>574</v>
      </c>
      <c r="B580" s="2">
        <v>270</v>
      </c>
      <c r="C580" s="2">
        <v>113</v>
      </c>
      <c r="D580" s="2">
        <v>42.2</v>
      </c>
      <c r="E580" s="2">
        <v>70.7</v>
      </c>
      <c r="F580" s="2">
        <v>0.1</v>
      </c>
      <c r="I580" s="2">
        <v>17650</v>
      </c>
      <c r="J580" s="2">
        <v>184</v>
      </c>
      <c r="K580" s="2">
        <v>1994450</v>
      </c>
      <c r="L580" s="2">
        <v>24887</v>
      </c>
      <c r="M580" s="2">
        <v>3017</v>
      </c>
      <c r="N580" s="2">
        <v>4282</v>
      </c>
      <c r="O580" s="2">
        <v>76930</v>
      </c>
    </row>
    <row r="581" spans="1:16" ht="24.95" customHeight="1" x14ac:dyDescent="0.25">
      <c r="A581" s="17" t="s">
        <v>575</v>
      </c>
      <c r="B581" s="2">
        <v>280</v>
      </c>
      <c r="C581" s="2">
        <v>108</v>
      </c>
      <c r="D581" s="2">
        <v>37.299999999999997</v>
      </c>
      <c r="E581" s="2">
        <v>70.7</v>
      </c>
      <c r="I581" s="2">
        <v>15060</v>
      </c>
      <c r="J581" s="2">
        <v>171</v>
      </c>
      <c r="K581" s="2">
        <v>1626480</v>
      </c>
      <c r="L581" s="2">
        <v>28997</v>
      </c>
      <c r="M581" s="2">
        <v>2726.6</v>
      </c>
      <c r="N581" s="2">
        <v>3643</v>
      </c>
      <c r="O581" s="2">
        <v>89910</v>
      </c>
      <c r="P581" s="2">
        <v>7.9</v>
      </c>
    </row>
    <row r="582" spans="1:16" ht="24.95" customHeight="1" x14ac:dyDescent="0.25">
      <c r="A582" s="17" t="s">
        <v>576</v>
      </c>
      <c r="B582" s="2">
        <v>286</v>
      </c>
      <c r="C582" s="2">
        <v>111</v>
      </c>
      <c r="D582" s="2">
        <v>40.1</v>
      </c>
      <c r="E582" s="2">
        <v>70.7</v>
      </c>
      <c r="F582" s="2">
        <v>0.2</v>
      </c>
      <c r="I582" s="2">
        <v>16620</v>
      </c>
      <c r="J582" s="2">
        <v>182</v>
      </c>
      <c r="K582" s="2">
        <v>1844820</v>
      </c>
      <c r="L582" s="2">
        <v>22205</v>
      </c>
      <c r="M582" s="2">
        <v>2524.1999999999998</v>
      </c>
      <c r="N582" s="2">
        <v>4012.9</v>
      </c>
      <c r="O582" s="2">
        <v>68730</v>
      </c>
    </row>
    <row r="583" spans="1:16" ht="24.95" customHeight="1" x14ac:dyDescent="0.25">
      <c r="A583" s="17" t="s">
        <v>577</v>
      </c>
      <c r="B583" s="2">
        <v>300</v>
      </c>
      <c r="C583" s="2">
        <v>126</v>
      </c>
      <c r="D583" s="2">
        <v>45.2</v>
      </c>
      <c r="E583" s="2">
        <v>80</v>
      </c>
      <c r="F583" s="2">
        <v>0.8</v>
      </c>
      <c r="I583" s="2">
        <v>6585</v>
      </c>
      <c r="J583" s="2">
        <v>127</v>
      </c>
      <c r="K583" s="2">
        <v>829710</v>
      </c>
      <c r="L583" s="2">
        <v>14824</v>
      </c>
      <c r="M583" s="2">
        <v>805.2</v>
      </c>
      <c r="N583" s="2">
        <v>1577.8</v>
      </c>
      <c r="O583" s="2">
        <v>49520</v>
      </c>
      <c r="P583" s="2">
        <v>24.2</v>
      </c>
    </row>
    <row r="584" spans="1:16" ht="24.95" customHeight="1" x14ac:dyDescent="0.25">
      <c r="A584" s="17" t="s">
        <v>578</v>
      </c>
      <c r="B584" s="2">
        <v>282</v>
      </c>
      <c r="C584" s="2">
        <v>120</v>
      </c>
      <c r="D584" s="2">
        <v>39.4</v>
      </c>
      <c r="E584" s="2">
        <v>80.3</v>
      </c>
      <c r="F584" s="2">
        <v>0.3</v>
      </c>
      <c r="I584" s="2">
        <v>7150</v>
      </c>
      <c r="J584" s="2">
        <v>131</v>
      </c>
      <c r="K584" s="2">
        <v>858000</v>
      </c>
      <c r="L584" s="2">
        <v>13865</v>
      </c>
      <c r="M584" s="2">
        <v>933.3</v>
      </c>
      <c r="N584" s="2">
        <v>1811.7</v>
      </c>
      <c r="O584" s="2">
        <v>46180</v>
      </c>
      <c r="P584" s="2">
        <v>8</v>
      </c>
    </row>
    <row r="585" spans="1:16" ht="24.95" customHeight="1" x14ac:dyDescent="0.25">
      <c r="A585" s="17" t="s">
        <v>579</v>
      </c>
      <c r="B585" s="2">
        <v>280</v>
      </c>
      <c r="C585" s="2">
        <v>116</v>
      </c>
      <c r="D585" s="2">
        <v>31.2</v>
      </c>
      <c r="E585" s="2">
        <v>83.8</v>
      </c>
      <c r="F585" s="2">
        <v>1</v>
      </c>
      <c r="I585" s="2">
        <v>2925</v>
      </c>
      <c r="J585" s="2">
        <v>137</v>
      </c>
      <c r="K585" s="2">
        <v>339300</v>
      </c>
      <c r="L585" s="2">
        <v>7992</v>
      </c>
      <c r="M585" s="2">
        <v>495.6</v>
      </c>
      <c r="N585" s="2">
        <v>717.7</v>
      </c>
      <c r="O585" s="2">
        <v>25510</v>
      </c>
      <c r="P585" s="2">
        <v>34.6</v>
      </c>
    </row>
    <row r="586" spans="1:16" ht="24.95" customHeight="1" x14ac:dyDescent="0.25">
      <c r="A586" s="17" t="s">
        <v>580</v>
      </c>
      <c r="B586" s="2">
        <v>278</v>
      </c>
      <c r="C586" s="2">
        <v>118</v>
      </c>
      <c r="D586" s="2">
        <v>38.299999999999997</v>
      </c>
      <c r="E586" s="2">
        <v>79.2</v>
      </c>
      <c r="F586" s="2">
        <v>0.5</v>
      </c>
      <c r="I586" s="2">
        <v>4875</v>
      </c>
      <c r="J586" s="2">
        <v>136</v>
      </c>
      <c r="K586" s="2">
        <v>575250</v>
      </c>
      <c r="L586" s="2">
        <v>11100</v>
      </c>
      <c r="M586" s="2">
        <v>659.7</v>
      </c>
      <c r="N586" s="2">
        <v>1219.5999999999999</v>
      </c>
      <c r="O586" s="2">
        <v>35650</v>
      </c>
      <c r="P586" s="2">
        <v>23.4</v>
      </c>
    </row>
    <row r="587" spans="1:16" ht="24.95" customHeight="1" x14ac:dyDescent="0.25">
      <c r="A587" s="17" t="s">
        <v>581</v>
      </c>
      <c r="B587" s="2">
        <v>268</v>
      </c>
      <c r="C587" s="2">
        <v>107</v>
      </c>
      <c r="D587" s="2">
        <v>35.799999999999997</v>
      </c>
      <c r="E587" s="2">
        <v>70.7</v>
      </c>
      <c r="F587" s="2">
        <v>0.6</v>
      </c>
      <c r="I587" s="2">
        <v>11530</v>
      </c>
      <c r="J587" s="2">
        <v>189</v>
      </c>
      <c r="K587" s="2">
        <v>1233710</v>
      </c>
      <c r="L587" s="2">
        <v>13746</v>
      </c>
      <c r="M587" s="2">
        <v>1100.4000000000001</v>
      </c>
      <c r="N587" s="2">
        <v>2676.1</v>
      </c>
      <c r="O587" s="2">
        <v>45300</v>
      </c>
    </row>
    <row r="588" spans="1:16" ht="24.95" customHeight="1" x14ac:dyDescent="0.25">
      <c r="A588" s="17" t="s">
        <v>582</v>
      </c>
      <c r="B588" s="2">
        <v>292</v>
      </c>
      <c r="C588" s="2">
        <v>126</v>
      </c>
      <c r="D588" s="2">
        <v>41.5</v>
      </c>
      <c r="E588" s="2">
        <v>83.8</v>
      </c>
      <c r="F588" s="2">
        <v>0.7</v>
      </c>
      <c r="I588" s="2">
        <v>1755</v>
      </c>
      <c r="J588" s="2">
        <v>152</v>
      </c>
      <c r="K588" s="2">
        <v>221130</v>
      </c>
      <c r="L588" s="2">
        <v>4480</v>
      </c>
      <c r="M588" s="2">
        <v>208.8</v>
      </c>
      <c r="N588" s="2">
        <v>449.6</v>
      </c>
      <c r="O588" s="2">
        <v>13130</v>
      </c>
      <c r="P588" s="2">
        <v>23.4</v>
      </c>
    </row>
    <row r="589" spans="1:16" ht="24.95" customHeight="1" x14ac:dyDescent="0.25">
      <c r="A589" s="17" t="s">
        <v>583</v>
      </c>
      <c r="B589" s="2">
        <v>293</v>
      </c>
      <c r="C589" s="2">
        <v>131</v>
      </c>
      <c r="D589" s="2">
        <v>51.6</v>
      </c>
      <c r="E589" s="2">
        <v>79.2</v>
      </c>
      <c r="F589" s="2">
        <v>0.2</v>
      </c>
      <c r="I589" s="2">
        <v>7715</v>
      </c>
      <c r="J589" s="2">
        <v>124</v>
      </c>
      <c r="K589" s="2">
        <v>1010665</v>
      </c>
      <c r="L589" s="2">
        <v>14038</v>
      </c>
      <c r="M589" s="2">
        <v>1121.9000000000001</v>
      </c>
      <c r="N589" s="2">
        <v>1915.6</v>
      </c>
      <c r="O589" s="2">
        <v>44390</v>
      </c>
      <c r="P589" s="2">
        <v>0.4</v>
      </c>
    </row>
    <row r="590" spans="1:16" ht="24.95" customHeight="1" x14ac:dyDescent="0.25">
      <c r="A590" s="17" t="s">
        <v>584</v>
      </c>
      <c r="B590" s="2">
        <v>258</v>
      </c>
      <c r="C590" s="2">
        <v>112</v>
      </c>
      <c r="D590" s="2">
        <v>31.4</v>
      </c>
      <c r="E590" s="2">
        <v>80</v>
      </c>
      <c r="F590" s="2">
        <v>0.6</v>
      </c>
      <c r="I590" s="2">
        <v>9450</v>
      </c>
      <c r="J590" s="2">
        <v>133</v>
      </c>
      <c r="K590" s="2">
        <v>1058400</v>
      </c>
      <c r="L590" s="2">
        <v>23639</v>
      </c>
      <c r="M590" s="2">
        <v>1385.6</v>
      </c>
      <c r="N590" s="2">
        <v>2162.1</v>
      </c>
      <c r="O590" s="2">
        <v>73970</v>
      </c>
      <c r="P590" s="2">
        <v>28.6</v>
      </c>
    </row>
    <row r="591" spans="1:16" ht="24.95" customHeight="1" x14ac:dyDescent="0.25">
      <c r="A591" s="17" t="s">
        <v>585</v>
      </c>
      <c r="B591" s="2">
        <v>270</v>
      </c>
      <c r="C591" s="2">
        <v>116</v>
      </c>
      <c r="D591" s="2">
        <v>36.6</v>
      </c>
      <c r="E591" s="2">
        <v>79.2</v>
      </c>
      <c r="F591" s="2">
        <v>0.2</v>
      </c>
      <c r="I591" s="2">
        <v>7500</v>
      </c>
      <c r="J591" s="2">
        <v>144</v>
      </c>
      <c r="K591" s="2">
        <v>870000</v>
      </c>
      <c r="L591" s="2">
        <v>15736</v>
      </c>
      <c r="M591" s="2">
        <v>1119.2</v>
      </c>
      <c r="N591" s="2">
        <v>1841.1</v>
      </c>
      <c r="O591" s="2">
        <v>51950</v>
      </c>
      <c r="P591" s="2">
        <v>19.600000000000001</v>
      </c>
    </row>
    <row r="592" spans="1:16" ht="24.95" customHeight="1" x14ac:dyDescent="0.25">
      <c r="A592" s="17" t="s">
        <v>586</v>
      </c>
      <c r="B592" s="2">
        <v>280</v>
      </c>
      <c r="C592" s="2">
        <v>123</v>
      </c>
      <c r="D592" s="2">
        <v>42.4</v>
      </c>
      <c r="E592" s="2">
        <v>80.5</v>
      </c>
      <c r="F592" s="2">
        <v>0.1</v>
      </c>
      <c r="I592" s="2">
        <v>1790</v>
      </c>
      <c r="J592" s="2">
        <v>128</v>
      </c>
      <c r="K592" s="2">
        <v>220170</v>
      </c>
      <c r="L592" s="2">
        <v>3766</v>
      </c>
      <c r="M592" s="2">
        <v>313.5</v>
      </c>
      <c r="N592" s="2">
        <v>435.2</v>
      </c>
      <c r="O592" s="2">
        <v>10000</v>
      </c>
      <c r="P592" s="2">
        <v>0.6</v>
      </c>
    </row>
    <row r="593" spans="1:16" ht="24.95" customHeight="1" x14ac:dyDescent="0.25">
      <c r="A593" s="17" t="s">
        <v>587</v>
      </c>
      <c r="B593" s="2">
        <v>256</v>
      </c>
      <c r="C593" s="2">
        <v>110</v>
      </c>
      <c r="D593" s="2">
        <v>26.1</v>
      </c>
      <c r="E593" s="2">
        <v>84</v>
      </c>
      <c r="F593" s="2">
        <v>-0.1</v>
      </c>
      <c r="I593" s="2">
        <v>600</v>
      </c>
      <c r="J593" s="2">
        <v>167</v>
      </c>
      <c r="K593" s="2">
        <v>66000</v>
      </c>
      <c r="L593" s="2">
        <v>1068</v>
      </c>
      <c r="M593" s="2">
        <v>51.4</v>
      </c>
      <c r="N593" s="2">
        <v>147.6</v>
      </c>
      <c r="O593" s="2">
        <v>3440</v>
      </c>
      <c r="P593" s="2">
        <v>3.7</v>
      </c>
    </row>
    <row r="594" spans="1:16" ht="24.95" customHeight="1" x14ac:dyDescent="0.25">
      <c r="A594" s="17" t="s">
        <v>588</v>
      </c>
      <c r="B594" s="2">
        <v>288</v>
      </c>
      <c r="C594" s="2">
        <v>125</v>
      </c>
      <c r="D594" s="2">
        <v>45.7</v>
      </c>
      <c r="E594" s="2">
        <v>79.2</v>
      </c>
      <c r="F594" s="2">
        <v>0.2</v>
      </c>
      <c r="I594" s="2">
        <v>10600</v>
      </c>
      <c r="J594" s="2">
        <v>145</v>
      </c>
      <c r="K594" s="2">
        <v>1325000</v>
      </c>
      <c r="L594" s="2">
        <v>18348</v>
      </c>
      <c r="M594" s="2">
        <v>1310.5</v>
      </c>
      <c r="N594" s="2">
        <v>2545.1</v>
      </c>
      <c r="O594" s="2">
        <v>60570</v>
      </c>
      <c r="P594" s="2">
        <v>3.6</v>
      </c>
    </row>
    <row r="595" spans="1:16" ht="24.95" customHeight="1" x14ac:dyDescent="0.25">
      <c r="A595" s="17" t="s">
        <v>589</v>
      </c>
      <c r="B595" s="2">
        <v>308</v>
      </c>
      <c r="C595" s="2">
        <v>138</v>
      </c>
      <c r="D595" s="2">
        <v>58.5</v>
      </c>
      <c r="E595" s="2">
        <v>79.2</v>
      </c>
      <c r="F595" s="2">
        <v>0.3</v>
      </c>
      <c r="I595" s="2">
        <v>8385</v>
      </c>
      <c r="J595" s="2">
        <v>128</v>
      </c>
      <c r="K595" s="2">
        <v>1157130</v>
      </c>
      <c r="L595" s="2">
        <v>15697</v>
      </c>
      <c r="M595" s="2">
        <v>1301.4000000000001</v>
      </c>
      <c r="N595" s="2">
        <v>2146.9</v>
      </c>
      <c r="O595" s="2">
        <v>44930</v>
      </c>
    </row>
    <row r="596" spans="1:16" ht="24.95" customHeight="1" x14ac:dyDescent="0.25">
      <c r="A596" s="17" t="s">
        <v>590</v>
      </c>
      <c r="B596" s="2">
        <v>285</v>
      </c>
      <c r="C596" s="2">
        <v>120</v>
      </c>
      <c r="D596" s="2">
        <v>36.4</v>
      </c>
      <c r="E596" s="2">
        <v>84</v>
      </c>
      <c r="F596" s="2">
        <v>-0.4</v>
      </c>
      <c r="I596" s="2">
        <v>442</v>
      </c>
      <c r="J596" s="2">
        <v>148</v>
      </c>
      <c r="K596" s="2">
        <v>53040</v>
      </c>
      <c r="L596" s="2">
        <v>1189</v>
      </c>
      <c r="M596" s="2">
        <v>77.5</v>
      </c>
      <c r="N596" s="2">
        <v>115.5</v>
      </c>
      <c r="O596" s="2">
        <v>2740</v>
      </c>
      <c r="P596" s="2">
        <v>10.1</v>
      </c>
    </row>
    <row r="597" spans="1:16" ht="24.95" customHeight="1" x14ac:dyDescent="0.25">
      <c r="A597" s="17" t="s">
        <v>591</v>
      </c>
      <c r="B597" s="2">
        <v>288</v>
      </c>
      <c r="C597" s="2">
        <v>120</v>
      </c>
      <c r="D597" s="2">
        <v>35</v>
      </c>
      <c r="E597" s="2">
        <v>84</v>
      </c>
      <c r="F597" s="2">
        <v>1</v>
      </c>
      <c r="I597" s="2">
        <v>760</v>
      </c>
      <c r="J597" s="2">
        <v>230</v>
      </c>
      <c r="K597" s="2">
        <v>91200</v>
      </c>
      <c r="L597" s="2">
        <v>968</v>
      </c>
      <c r="M597" s="2">
        <v>39.299999999999997</v>
      </c>
      <c r="N597" s="2">
        <v>204.9</v>
      </c>
      <c r="O597" s="2">
        <v>3080</v>
      </c>
    </row>
    <row r="598" spans="1:16" ht="24.95" customHeight="1" x14ac:dyDescent="0.25">
      <c r="A598" s="17" t="s">
        <v>592</v>
      </c>
      <c r="B598" s="2">
        <v>303</v>
      </c>
      <c r="C598" s="2">
        <v>132</v>
      </c>
      <c r="D598" s="2">
        <v>51.5</v>
      </c>
      <c r="E598" s="2">
        <v>80.3</v>
      </c>
      <c r="F598" s="2">
        <v>0.2</v>
      </c>
      <c r="I598" s="2">
        <v>5100</v>
      </c>
      <c r="J598" s="2">
        <v>134</v>
      </c>
      <c r="K598" s="2">
        <v>673200</v>
      </c>
      <c r="L598" s="2">
        <v>12363</v>
      </c>
      <c r="M598" s="2">
        <v>798.5</v>
      </c>
      <c r="N598" s="2">
        <v>1292.7</v>
      </c>
      <c r="O598" s="2">
        <v>37380</v>
      </c>
      <c r="P598" s="2">
        <v>22.7</v>
      </c>
    </row>
    <row r="599" spans="1:16" ht="24.95" customHeight="1" x14ac:dyDescent="0.25">
      <c r="A599" s="17" t="s">
        <v>593</v>
      </c>
      <c r="B599" s="2">
        <v>278</v>
      </c>
      <c r="C599" s="2">
        <v>116</v>
      </c>
      <c r="D599" s="2">
        <v>36.700000000000003</v>
      </c>
      <c r="E599" s="2">
        <v>78.900000000000006</v>
      </c>
      <c r="F599" s="2">
        <v>0.4</v>
      </c>
      <c r="I599" s="2">
        <v>7765</v>
      </c>
      <c r="J599" s="2">
        <v>169</v>
      </c>
      <c r="K599" s="2">
        <v>900740</v>
      </c>
      <c r="L599" s="2">
        <v>16013</v>
      </c>
      <c r="M599" s="2">
        <v>980.7</v>
      </c>
      <c r="N599" s="2">
        <v>1926.9</v>
      </c>
      <c r="O599" s="2">
        <v>51010</v>
      </c>
      <c r="P599" s="2">
        <v>13.9</v>
      </c>
    </row>
    <row r="600" spans="1:16" ht="24.95" customHeight="1" x14ac:dyDescent="0.25">
      <c r="A600" s="17" t="s">
        <v>594</v>
      </c>
      <c r="B600" s="2">
        <v>249</v>
      </c>
      <c r="C600" s="2">
        <v>106</v>
      </c>
      <c r="D600" s="2">
        <v>22.2</v>
      </c>
      <c r="E600" s="2">
        <v>83.8</v>
      </c>
      <c r="F600" s="2">
        <v>0.1</v>
      </c>
      <c r="I600" s="2">
        <v>1030</v>
      </c>
      <c r="J600" s="2">
        <v>196</v>
      </c>
      <c r="K600" s="2">
        <v>109180</v>
      </c>
      <c r="L600" s="2">
        <v>1450</v>
      </c>
      <c r="M600" s="2">
        <v>82.8</v>
      </c>
      <c r="N600" s="2">
        <v>260.89999999999998</v>
      </c>
      <c r="O600" s="2">
        <v>4370</v>
      </c>
    </row>
    <row r="601" spans="1:16" ht="24.95" customHeight="1" x14ac:dyDescent="0.25">
      <c r="A601" s="17" t="s">
        <v>595</v>
      </c>
      <c r="B601" s="2">
        <v>256</v>
      </c>
      <c r="C601" s="2">
        <v>114</v>
      </c>
      <c r="D601" s="2">
        <v>30.1</v>
      </c>
      <c r="E601" s="2">
        <v>83.8</v>
      </c>
      <c r="F601" s="2">
        <v>0.2</v>
      </c>
      <c r="I601" s="2">
        <v>650</v>
      </c>
      <c r="J601" s="2">
        <v>128</v>
      </c>
      <c r="K601" s="2">
        <v>74100</v>
      </c>
      <c r="L601" s="2">
        <v>1752</v>
      </c>
      <c r="M601" s="2">
        <v>109.9</v>
      </c>
      <c r="N601" s="2">
        <v>160.4</v>
      </c>
      <c r="O601" s="2">
        <v>4970</v>
      </c>
      <c r="P601" s="2">
        <v>27.6</v>
      </c>
    </row>
    <row r="602" spans="1:16" ht="24.95" customHeight="1" x14ac:dyDescent="0.25">
      <c r="A602" s="17" t="s">
        <v>6760</v>
      </c>
      <c r="B602" s="2">
        <v>300</v>
      </c>
      <c r="C602" s="2">
        <v>132</v>
      </c>
      <c r="D602" s="2">
        <v>52.2</v>
      </c>
      <c r="E602" s="2">
        <v>79.599999999999994</v>
      </c>
      <c r="F602" s="2">
        <v>0.1</v>
      </c>
      <c r="I602" s="2">
        <v>7200</v>
      </c>
      <c r="J602" s="2">
        <v>135</v>
      </c>
      <c r="K602" s="2">
        <v>950400</v>
      </c>
      <c r="L602" s="2">
        <v>12974</v>
      </c>
      <c r="M602" s="2">
        <v>1096.4000000000001</v>
      </c>
      <c r="N602" s="2">
        <v>1770.7</v>
      </c>
      <c r="O602" s="2">
        <v>40340</v>
      </c>
      <c r="P602" s="2">
        <v>0.2</v>
      </c>
    </row>
    <row r="603" spans="1:16" ht="24.95" customHeight="1" x14ac:dyDescent="0.25">
      <c r="A603" s="17" t="s">
        <v>597</v>
      </c>
      <c r="B603" s="2">
        <v>272</v>
      </c>
      <c r="C603" s="2">
        <v>114</v>
      </c>
      <c r="D603" s="2">
        <v>30</v>
      </c>
      <c r="E603" s="2">
        <v>83.8</v>
      </c>
      <c r="F603" s="2">
        <v>0.2</v>
      </c>
      <c r="I603" s="2">
        <v>4410</v>
      </c>
      <c r="J603" s="2">
        <v>151</v>
      </c>
      <c r="K603" s="2">
        <v>502740</v>
      </c>
      <c r="L603" s="2">
        <v>9322</v>
      </c>
      <c r="M603" s="2">
        <v>539.6</v>
      </c>
      <c r="N603" s="2">
        <v>1063</v>
      </c>
      <c r="O603" s="2">
        <v>28450</v>
      </c>
      <c r="P603" s="2">
        <v>14.7</v>
      </c>
    </row>
    <row r="604" spans="1:16" ht="24.95" customHeight="1" x14ac:dyDescent="0.25">
      <c r="A604" s="17" t="s">
        <v>6761</v>
      </c>
      <c r="B604" s="2">
        <v>270</v>
      </c>
      <c r="C604" s="2">
        <v>114</v>
      </c>
      <c r="D604" s="2">
        <v>30.2</v>
      </c>
      <c r="E604" s="2">
        <v>83.8</v>
      </c>
      <c r="I604" s="2">
        <v>3043</v>
      </c>
      <c r="J604" s="2">
        <v>138</v>
      </c>
      <c r="K604" s="2">
        <v>346902</v>
      </c>
      <c r="L604" s="2">
        <v>6295</v>
      </c>
      <c r="M604" s="2">
        <v>516.9</v>
      </c>
      <c r="N604" s="2">
        <v>761</v>
      </c>
      <c r="O604" s="2">
        <v>17630</v>
      </c>
      <c r="P604" s="2">
        <v>3.1</v>
      </c>
    </row>
    <row r="605" spans="1:16" ht="24.95" customHeight="1" x14ac:dyDescent="0.25">
      <c r="A605" s="17" t="s">
        <v>599</v>
      </c>
      <c r="B605" s="2">
        <v>278</v>
      </c>
      <c r="C605" s="2">
        <v>110</v>
      </c>
      <c r="D605" s="2">
        <v>39</v>
      </c>
      <c r="E605" s="2">
        <v>71</v>
      </c>
      <c r="I605" s="2">
        <v>16245</v>
      </c>
      <c r="J605" s="2">
        <v>188</v>
      </c>
      <c r="K605" s="2">
        <v>1786950</v>
      </c>
      <c r="L605" s="2">
        <v>27339</v>
      </c>
      <c r="M605" s="2">
        <v>2626.3</v>
      </c>
      <c r="N605" s="2">
        <v>3956.4</v>
      </c>
      <c r="O605" s="2">
        <v>88560</v>
      </c>
    </row>
    <row r="606" spans="1:16" ht="24.95" customHeight="1" x14ac:dyDescent="0.25">
      <c r="A606" s="17" t="s">
        <v>600</v>
      </c>
      <c r="B606" s="2">
        <v>303</v>
      </c>
      <c r="C606" s="2">
        <v>117</v>
      </c>
      <c r="D606" s="2">
        <v>42.4</v>
      </c>
      <c r="E606" s="2">
        <v>74.2</v>
      </c>
      <c r="F606" s="2">
        <v>0.4</v>
      </c>
      <c r="I606" s="2">
        <v>6030</v>
      </c>
      <c r="J606" s="2">
        <v>199</v>
      </c>
      <c r="K606" s="2">
        <v>705510</v>
      </c>
      <c r="L606" s="2">
        <v>10208</v>
      </c>
      <c r="M606" s="2">
        <v>803.3</v>
      </c>
      <c r="N606" s="2">
        <v>1464.9</v>
      </c>
      <c r="O606" s="2">
        <v>31980</v>
      </c>
    </row>
    <row r="607" spans="1:16" ht="24.95" customHeight="1" x14ac:dyDescent="0.25">
      <c r="A607" s="17" t="s">
        <v>601</v>
      </c>
      <c r="B607" s="2">
        <v>300</v>
      </c>
      <c r="C607" s="2">
        <v>124</v>
      </c>
      <c r="D607" s="2">
        <v>40.200000000000003</v>
      </c>
      <c r="E607" s="2">
        <v>83.8</v>
      </c>
      <c r="I607" s="2">
        <v>3300</v>
      </c>
      <c r="J607" s="2">
        <v>126</v>
      </c>
      <c r="K607" s="2">
        <v>409200</v>
      </c>
      <c r="L607" s="2">
        <v>8675</v>
      </c>
      <c r="M607" s="2">
        <v>628.5</v>
      </c>
      <c r="N607" s="2">
        <v>831.3</v>
      </c>
      <c r="O607" s="2">
        <v>21100</v>
      </c>
      <c r="P607" s="2">
        <v>11.7</v>
      </c>
    </row>
    <row r="608" spans="1:16" ht="24.95" customHeight="1" x14ac:dyDescent="0.25">
      <c r="A608" s="17" t="s">
        <v>602</v>
      </c>
      <c r="B608" s="2">
        <v>268</v>
      </c>
      <c r="C608" s="2">
        <v>112</v>
      </c>
      <c r="D608" s="2">
        <v>27.9</v>
      </c>
      <c r="E608" s="2">
        <v>83.8</v>
      </c>
      <c r="F608" s="2">
        <v>0.3</v>
      </c>
      <c r="I608" s="2">
        <v>5230</v>
      </c>
      <c r="J608" s="2">
        <v>170</v>
      </c>
      <c r="K608" s="2">
        <v>585760</v>
      </c>
      <c r="L608" s="2">
        <v>7309</v>
      </c>
      <c r="M608" s="2">
        <v>461.3</v>
      </c>
      <c r="N608" s="2">
        <v>1209.8</v>
      </c>
      <c r="O608" s="2">
        <v>22960</v>
      </c>
    </row>
    <row r="609" spans="1:16" ht="24.95" customHeight="1" x14ac:dyDescent="0.25">
      <c r="A609" s="17" t="s">
        <v>603</v>
      </c>
      <c r="B609" s="2">
        <v>256</v>
      </c>
      <c r="C609" s="2">
        <v>109</v>
      </c>
      <c r="D609" s="2">
        <v>38</v>
      </c>
      <c r="E609" s="2">
        <v>71</v>
      </c>
      <c r="F609" s="2">
        <v>0.1</v>
      </c>
      <c r="I609" s="2">
        <v>15950</v>
      </c>
      <c r="J609" s="2">
        <v>184</v>
      </c>
      <c r="K609" s="2">
        <v>1738550</v>
      </c>
      <c r="L609" s="2">
        <v>25204</v>
      </c>
      <c r="M609" s="2">
        <v>2751.3</v>
      </c>
      <c r="N609" s="2">
        <v>3821</v>
      </c>
      <c r="O609" s="2">
        <v>80950</v>
      </c>
    </row>
    <row r="610" spans="1:16" ht="24.95" customHeight="1" x14ac:dyDescent="0.25">
      <c r="A610" s="17" t="s">
        <v>604</v>
      </c>
      <c r="B610" s="2">
        <v>276</v>
      </c>
      <c r="C610" s="2">
        <v>115</v>
      </c>
      <c r="D610" s="2">
        <v>43.7</v>
      </c>
      <c r="E610" s="2">
        <v>70.900000000000006</v>
      </c>
      <c r="F610" s="2">
        <v>0.4</v>
      </c>
      <c r="I610" s="2">
        <v>3928</v>
      </c>
      <c r="J610" s="2">
        <v>169</v>
      </c>
      <c r="K610" s="2">
        <v>451720</v>
      </c>
      <c r="L610" s="2">
        <v>7475</v>
      </c>
      <c r="M610" s="2">
        <v>588</v>
      </c>
      <c r="N610" s="2">
        <v>960.2</v>
      </c>
      <c r="O610" s="2">
        <v>26020</v>
      </c>
      <c r="P610" s="2">
        <v>17.3</v>
      </c>
    </row>
    <row r="611" spans="1:16" ht="24.95" customHeight="1" x14ac:dyDescent="0.25">
      <c r="A611" s="17" t="s">
        <v>605</v>
      </c>
      <c r="B611" s="2">
        <v>278</v>
      </c>
      <c r="C611" s="2">
        <v>120</v>
      </c>
      <c r="D611" s="2">
        <v>39.4</v>
      </c>
      <c r="E611" s="2">
        <v>80.5</v>
      </c>
      <c r="F611" s="2">
        <v>0.1</v>
      </c>
      <c r="I611" s="2">
        <v>3241</v>
      </c>
      <c r="J611" s="2">
        <v>141</v>
      </c>
      <c r="K611" s="2">
        <v>388920</v>
      </c>
      <c r="L611" s="2">
        <v>5586</v>
      </c>
      <c r="M611" s="2">
        <v>545.1</v>
      </c>
      <c r="N611" s="2">
        <v>789.5</v>
      </c>
      <c r="O611" s="2">
        <v>17610</v>
      </c>
    </row>
    <row r="612" spans="1:16" ht="24.95" customHeight="1" x14ac:dyDescent="0.25">
      <c r="A612" s="17" t="s">
        <v>606</v>
      </c>
      <c r="B612" s="2">
        <v>293</v>
      </c>
      <c r="C612" s="2">
        <v>134</v>
      </c>
      <c r="D612" s="2">
        <v>48.7</v>
      </c>
      <c r="E612" s="2">
        <v>83.8</v>
      </c>
      <c r="F612" s="2">
        <v>1.5</v>
      </c>
      <c r="I612" s="2">
        <v>1565</v>
      </c>
      <c r="J612" s="2">
        <v>117</v>
      </c>
      <c r="K612" s="2">
        <v>209710</v>
      </c>
      <c r="L612" s="2">
        <v>4576</v>
      </c>
      <c r="M612" s="2">
        <v>213.8</v>
      </c>
      <c r="N612" s="2">
        <v>392.5</v>
      </c>
      <c r="O612" s="2">
        <v>13620</v>
      </c>
      <c r="P612" s="2">
        <v>34.799999999999997</v>
      </c>
    </row>
    <row r="613" spans="1:16" ht="24.95" customHeight="1" x14ac:dyDescent="0.25">
      <c r="A613" s="17" t="s">
        <v>607</v>
      </c>
      <c r="B613" s="2">
        <v>270</v>
      </c>
      <c r="C613" s="2">
        <v>114</v>
      </c>
      <c r="D613" s="2">
        <v>32.9</v>
      </c>
      <c r="E613" s="2">
        <v>80.5</v>
      </c>
      <c r="F613" s="2">
        <v>0.6</v>
      </c>
      <c r="I613" s="2">
        <v>4750</v>
      </c>
      <c r="J613" s="2">
        <v>174</v>
      </c>
      <c r="K613" s="2">
        <v>541500</v>
      </c>
      <c r="L613" s="2">
        <v>7919</v>
      </c>
      <c r="M613" s="2">
        <v>457.8</v>
      </c>
      <c r="N613" s="2">
        <v>1162.9000000000001</v>
      </c>
      <c r="O613" s="2">
        <v>24270</v>
      </c>
    </row>
    <row r="614" spans="1:16" ht="24.95" customHeight="1" x14ac:dyDescent="0.25">
      <c r="A614" s="17" t="s">
        <v>608</v>
      </c>
      <c r="B614" s="2">
        <v>282</v>
      </c>
      <c r="C614" s="2">
        <v>120</v>
      </c>
      <c r="D614" s="2">
        <v>35.6</v>
      </c>
      <c r="E614" s="2">
        <v>83.8</v>
      </c>
      <c r="F614" s="2">
        <v>0.6</v>
      </c>
      <c r="I614" s="2">
        <v>1300</v>
      </c>
      <c r="J614" s="2">
        <v>155</v>
      </c>
      <c r="K614" s="2">
        <v>156000</v>
      </c>
      <c r="L614" s="2">
        <v>3317</v>
      </c>
      <c r="M614" s="2">
        <v>246.3</v>
      </c>
      <c r="N614" s="2">
        <v>317</v>
      </c>
      <c r="O614" s="2">
        <v>9720</v>
      </c>
      <c r="P614" s="2">
        <v>26</v>
      </c>
    </row>
    <row r="615" spans="1:16" ht="24.95" customHeight="1" x14ac:dyDescent="0.25">
      <c r="A615" s="17" t="s">
        <v>609</v>
      </c>
      <c r="B615" s="2">
        <v>278</v>
      </c>
      <c r="C615" s="2">
        <v>114</v>
      </c>
      <c r="D615" s="2">
        <v>28.8</v>
      </c>
      <c r="E615" s="2">
        <v>83.8</v>
      </c>
      <c r="F615" s="2">
        <v>1.4</v>
      </c>
      <c r="I615" s="2">
        <v>2155</v>
      </c>
      <c r="J615" s="2">
        <v>176</v>
      </c>
      <c r="K615" s="2">
        <v>245670</v>
      </c>
      <c r="L615" s="2">
        <v>2728</v>
      </c>
      <c r="M615" s="2">
        <v>132.1</v>
      </c>
      <c r="N615" s="2">
        <v>563.79999999999995</v>
      </c>
      <c r="O615" s="2">
        <v>9040</v>
      </c>
    </row>
    <row r="616" spans="1:16" ht="24.95" customHeight="1" x14ac:dyDescent="0.25">
      <c r="A616" s="17" t="s">
        <v>610</v>
      </c>
      <c r="B616" s="2">
        <v>308</v>
      </c>
      <c r="C616" s="2">
        <v>132</v>
      </c>
      <c r="D616" s="2">
        <v>48.3</v>
      </c>
      <c r="E616" s="2">
        <v>83.8</v>
      </c>
      <c r="F616" s="2">
        <v>-0.1</v>
      </c>
      <c r="I616" s="2">
        <v>3775</v>
      </c>
      <c r="J616" s="2">
        <v>160</v>
      </c>
      <c r="K616" s="2">
        <v>498300</v>
      </c>
      <c r="L616" s="2">
        <v>8165</v>
      </c>
      <c r="M616" s="2">
        <v>599.70000000000005</v>
      </c>
      <c r="N616" s="2">
        <v>957.4</v>
      </c>
      <c r="O616" s="2">
        <v>23310</v>
      </c>
      <c r="P616" s="2">
        <v>8.1</v>
      </c>
    </row>
    <row r="617" spans="1:16" ht="24.95" customHeight="1" x14ac:dyDescent="0.25">
      <c r="A617" s="17" t="s">
        <v>611</v>
      </c>
      <c r="B617" s="2">
        <v>318</v>
      </c>
      <c r="C617" s="2">
        <v>132</v>
      </c>
      <c r="D617" s="2">
        <v>48.5</v>
      </c>
      <c r="E617" s="2">
        <v>83.8</v>
      </c>
      <c r="F617" s="2">
        <v>-0.3</v>
      </c>
      <c r="I617" s="2">
        <v>3000</v>
      </c>
      <c r="J617" s="2">
        <v>140</v>
      </c>
      <c r="K617" s="2">
        <v>396000</v>
      </c>
      <c r="L617" s="2">
        <v>8218</v>
      </c>
      <c r="M617" s="2">
        <v>538.20000000000005</v>
      </c>
      <c r="N617" s="2">
        <v>727.6</v>
      </c>
      <c r="O617" s="2">
        <v>19280</v>
      </c>
      <c r="P617" s="2">
        <v>14.9</v>
      </c>
    </row>
    <row r="618" spans="1:16" ht="24.95" customHeight="1" x14ac:dyDescent="0.25">
      <c r="A618" s="17" t="s">
        <v>612</v>
      </c>
      <c r="B618" s="2">
        <v>258</v>
      </c>
      <c r="C618" s="2">
        <v>107</v>
      </c>
      <c r="D618" s="2">
        <v>20.9</v>
      </c>
      <c r="E618" s="2">
        <v>84</v>
      </c>
      <c r="F618" s="2">
        <v>2.1</v>
      </c>
      <c r="H618" s="2">
        <v>109.1</v>
      </c>
      <c r="I618" s="2">
        <v>2210</v>
      </c>
      <c r="J618" s="2">
        <v>150</v>
      </c>
      <c r="K618" s="2">
        <v>241170</v>
      </c>
      <c r="L618" s="2">
        <v>6489</v>
      </c>
      <c r="M618" s="2">
        <v>359.7</v>
      </c>
      <c r="N618" s="2">
        <v>528.4</v>
      </c>
      <c r="O618" s="2">
        <v>20200</v>
      </c>
      <c r="P618" s="2">
        <v>39.799999999999997</v>
      </c>
    </row>
    <row r="619" spans="1:16" ht="24.95" customHeight="1" x14ac:dyDescent="0.25">
      <c r="A619" s="17" t="s">
        <v>613</v>
      </c>
      <c r="B619" s="2">
        <v>252</v>
      </c>
      <c r="C619" s="2">
        <v>111</v>
      </c>
      <c r="D619" s="2">
        <v>25.4</v>
      </c>
      <c r="E619" s="2">
        <v>84</v>
      </c>
      <c r="F619" s="2">
        <v>1.6</v>
      </c>
      <c r="H619" s="2">
        <v>114.4</v>
      </c>
      <c r="I619" s="2">
        <v>1655</v>
      </c>
      <c r="J619" s="2">
        <v>153</v>
      </c>
      <c r="K619" s="2">
        <v>189257</v>
      </c>
      <c r="L619" s="2">
        <v>4724</v>
      </c>
      <c r="M619" s="2">
        <v>317.2</v>
      </c>
      <c r="N619" s="2">
        <v>443.9</v>
      </c>
      <c r="O619" s="2">
        <v>15230</v>
      </c>
      <c r="P619" s="2">
        <v>34.799999999999997</v>
      </c>
    </row>
    <row r="620" spans="1:16" ht="24.95" customHeight="1" x14ac:dyDescent="0.25">
      <c r="A620" s="17" t="s">
        <v>578</v>
      </c>
      <c r="B620" s="2">
        <v>248</v>
      </c>
      <c r="C620" s="2">
        <v>100</v>
      </c>
      <c r="D620" s="2">
        <v>14.3</v>
      </c>
      <c r="E620" s="2">
        <v>84</v>
      </c>
      <c r="F620" s="2">
        <v>1.7</v>
      </c>
      <c r="H620" s="2">
        <v>117.5</v>
      </c>
      <c r="I620" s="2">
        <v>8200</v>
      </c>
      <c r="J620" s="2">
        <v>160</v>
      </c>
      <c r="K620" s="2">
        <v>963409</v>
      </c>
      <c r="L620" s="2">
        <v>16296</v>
      </c>
      <c r="M620" s="2">
        <v>1141.8</v>
      </c>
      <c r="N620" s="2">
        <v>2004.6</v>
      </c>
      <c r="O620" s="2">
        <v>55190</v>
      </c>
      <c r="P620" s="2">
        <v>16.600000000000001</v>
      </c>
    </row>
    <row r="621" spans="1:16" ht="24.95" customHeight="1" x14ac:dyDescent="0.25">
      <c r="A621" s="17" t="s">
        <v>580</v>
      </c>
      <c r="B621" s="2">
        <v>251</v>
      </c>
      <c r="C621" s="2">
        <v>111</v>
      </c>
      <c r="D621" s="2">
        <v>26.3</v>
      </c>
      <c r="E621" s="2">
        <v>84</v>
      </c>
      <c r="F621" s="2">
        <v>0.8</v>
      </c>
      <c r="H621" s="2">
        <v>111.7</v>
      </c>
      <c r="I621" s="2">
        <v>1541</v>
      </c>
      <c r="J621" s="2">
        <v>107</v>
      </c>
      <c r="K621" s="2">
        <v>172059</v>
      </c>
      <c r="L621" s="2">
        <v>3850</v>
      </c>
      <c r="M621" s="2">
        <v>276.2</v>
      </c>
      <c r="N621" s="2">
        <v>380.2</v>
      </c>
      <c r="O621" s="2">
        <v>11600</v>
      </c>
      <c r="P621" s="2">
        <v>20.9</v>
      </c>
    </row>
    <row r="622" spans="1:16" ht="24.95" customHeight="1" x14ac:dyDescent="0.25">
      <c r="A622" s="17" t="s">
        <v>614</v>
      </c>
      <c r="B622" s="2">
        <v>258</v>
      </c>
      <c r="C622" s="2">
        <v>108</v>
      </c>
      <c r="D622" s="2">
        <v>22.5</v>
      </c>
      <c r="E622" s="2">
        <v>84</v>
      </c>
      <c r="F622" s="2">
        <v>1.5</v>
      </c>
      <c r="H622" s="2">
        <v>110.5</v>
      </c>
      <c r="I622" s="2">
        <v>1020</v>
      </c>
      <c r="J622" s="2">
        <v>137</v>
      </c>
      <c r="K622" s="2">
        <v>112683</v>
      </c>
      <c r="L622" s="2">
        <v>3786</v>
      </c>
      <c r="M622" s="2">
        <v>197.8</v>
      </c>
      <c r="N622" s="2">
        <v>265.60000000000002</v>
      </c>
      <c r="O622" s="2">
        <v>10900</v>
      </c>
      <c r="P622" s="2">
        <v>45.8</v>
      </c>
    </row>
    <row r="623" spans="1:16" ht="24.95" customHeight="1" x14ac:dyDescent="0.25">
      <c r="A623" s="17" t="s">
        <v>615</v>
      </c>
      <c r="B623" s="2">
        <v>252</v>
      </c>
      <c r="C623" s="2">
        <v>108</v>
      </c>
      <c r="D623" s="2">
        <v>21.8</v>
      </c>
      <c r="E623" s="2">
        <v>84</v>
      </c>
      <c r="F623" s="2">
        <v>2.2000000000000002</v>
      </c>
      <c r="H623" s="2">
        <v>109.5</v>
      </c>
      <c r="I623" s="2">
        <v>2373</v>
      </c>
      <c r="J623" s="2">
        <v>150</v>
      </c>
      <c r="K623" s="2">
        <v>259818</v>
      </c>
      <c r="L623" s="2">
        <v>7228</v>
      </c>
      <c r="M623" s="2">
        <v>376.4</v>
      </c>
      <c r="N623" s="2">
        <v>600.1</v>
      </c>
      <c r="O623" s="2">
        <v>22540</v>
      </c>
      <c r="P623" s="2">
        <v>40.1</v>
      </c>
    </row>
    <row r="624" spans="1:16" ht="24.95" customHeight="1" x14ac:dyDescent="0.25">
      <c r="A624" s="17" t="s">
        <v>616</v>
      </c>
      <c r="B624" s="2">
        <v>247</v>
      </c>
      <c r="C624" s="2">
        <v>108</v>
      </c>
      <c r="D624" s="2">
        <v>23</v>
      </c>
      <c r="E624" s="2">
        <v>84</v>
      </c>
      <c r="F624" s="2">
        <v>1</v>
      </c>
      <c r="H624" s="2">
        <v>108.4</v>
      </c>
      <c r="I624" s="2">
        <v>1245</v>
      </c>
      <c r="J624" s="2">
        <v>152</v>
      </c>
      <c r="K624" s="2">
        <v>134908</v>
      </c>
      <c r="L624" s="2">
        <v>3329</v>
      </c>
      <c r="M624" s="2">
        <v>232.5</v>
      </c>
      <c r="N624" s="2">
        <v>306.8</v>
      </c>
      <c r="O624" s="2">
        <v>9900</v>
      </c>
      <c r="P624" s="2">
        <v>31.4</v>
      </c>
    </row>
    <row r="625" spans="1:16" ht="24.95" customHeight="1" x14ac:dyDescent="0.25">
      <c r="A625" s="17" t="s">
        <v>617</v>
      </c>
      <c r="B625" s="2">
        <v>247</v>
      </c>
      <c r="C625" s="2">
        <v>106</v>
      </c>
      <c r="D625" s="2">
        <v>20.8</v>
      </c>
      <c r="E625" s="2">
        <v>84</v>
      </c>
      <c r="F625" s="2">
        <v>1.3</v>
      </c>
      <c r="H625" s="2">
        <v>107.5</v>
      </c>
      <c r="I625" s="2">
        <v>2075</v>
      </c>
      <c r="J625" s="2">
        <v>161</v>
      </c>
      <c r="K625" s="2">
        <v>222980</v>
      </c>
      <c r="L625" s="2">
        <v>5762</v>
      </c>
      <c r="M625" s="2">
        <v>351.9</v>
      </c>
      <c r="N625" s="2">
        <v>529.1</v>
      </c>
      <c r="O625" s="2">
        <v>17330</v>
      </c>
      <c r="P625" s="2">
        <v>31.6</v>
      </c>
    </row>
    <row r="626" spans="1:16" ht="24.95" customHeight="1" x14ac:dyDescent="0.25">
      <c r="A626" s="17" t="s">
        <v>588</v>
      </c>
      <c r="B626" s="2">
        <v>243</v>
      </c>
      <c r="C626" s="2">
        <v>103</v>
      </c>
      <c r="D626" s="2">
        <v>17.399999999999999</v>
      </c>
      <c r="E626" s="2">
        <v>84</v>
      </c>
      <c r="F626" s="2">
        <v>1.6</v>
      </c>
      <c r="H626" s="2">
        <v>104.4</v>
      </c>
      <c r="I626" s="2">
        <v>2400</v>
      </c>
      <c r="J626" s="2">
        <v>158</v>
      </c>
      <c r="K626" s="2">
        <v>250660</v>
      </c>
      <c r="L626" s="2">
        <v>6938</v>
      </c>
      <c r="M626" s="2">
        <v>475.3</v>
      </c>
      <c r="N626" s="2">
        <v>606</v>
      </c>
      <c r="O626" s="2">
        <v>20890</v>
      </c>
      <c r="P626" s="2">
        <v>35.299999999999997</v>
      </c>
    </row>
    <row r="627" spans="1:16" ht="24.95" customHeight="1" x14ac:dyDescent="0.25">
      <c r="A627" s="17" t="s">
        <v>618</v>
      </c>
      <c r="B627" s="2">
        <v>249</v>
      </c>
      <c r="C627" s="2">
        <v>106</v>
      </c>
      <c r="D627" s="2">
        <v>21.2</v>
      </c>
      <c r="E627" s="2">
        <v>84</v>
      </c>
      <c r="F627" s="2">
        <v>0.8</v>
      </c>
      <c r="H627" s="2">
        <v>108.3</v>
      </c>
      <c r="I627" s="2">
        <v>7521</v>
      </c>
      <c r="J627" s="2">
        <v>170</v>
      </c>
      <c r="K627" s="2">
        <v>814849</v>
      </c>
      <c r="L627" s="2">
        <v>12902</v>
      </c>
      <c r="M627" s="2">
        <v>758.3</v>
      </c>
      <c r="N627" s="2">
        <v>1899.5</v>
      </c>
      <c r="O627" s="2">
        <v>42380</v>
      </c>
    </row>
    <row r="628" spans="1:16" ht="24.95" customHeight="1" x14ac:dyDescent="0.25">
      <c r="A628" s="17" t="s">
        <v>619</v>
      </c>
      <c r="B628" s="2">
        <v>252</v>
      </c>
      <c r="C628" s="2">
        <v>112</v>
      </c>
      <c r="D628" s="2">
        <v>27.1</v>
      </c>
      <c r="E628" s="2">
        <v>84</v>
      </c>
      <c r="F628" s="2">
        <v>0.9</v>
      </c>
      <c r="H628" s="2">
        <v>112</v>
      </c>
      <c r="I628" s="2">
        <v>590</v>
      </c>
      <c r="J628" s="2">
        <v>144</v>
      </c>
      <c r="K628" s="2">
        <v>66080</v>
      </c>
      <c r="L628" s="2">
        <v>1887</v>
      </c>
      <c r="M628" s="2">
        <v>98.3</v>
      </c>
      <c r="N628" s="2">
        <v>149</v>
      </c>
      <c r="O628" s="2">
        <v>4680</v>
      </c>
      <c r="P628" s="2">
        <v>30</v>
      </c>
    </row>
    <row r="629" spans="1:16" ht="24.95" customHeight="1" x14ac:dyDescent="0.25">
      <c r="A629" s="17" t="s">
        <v>605</v>
      </c>
      <c r="B629" s="2">
        <v>249</v>
      </c>
      <c r="C629" s="2">
        <v>103</v>
      </c>
      <c r="D629" s="2">
        <v>18.100000000000001</v>
      </c>
      <c r="E629" s="2">
        <v>84</v>
      </c>
      <c r="F629" s="2">
        <v>0.9</v>
      </c>
      <c r="H629" s="2">
        <v>105.3</v>
      </c>
      <c r="I629" s="2">
        <v>5850</v>
      </c>
      <c r="J629" s="2">
        <v>168</v>
      </c>
      <c r="K629" s="2">
        <v>616159</v>
      </c>
      <c r="L629" s="2">
        <v>12671</v>
      </c>
      <c r="M629" s="2">
        <v>979.4</v>
      </c>
      <c r="N629" s="2">
        <v>1393.6</v>
      </c>
      <c r="O629" s="2">
        <v>40640</v>
      </c>
      <c r="P629" s="2">
        <v>21.3</v>
      </c>
    </row>
    <row r="630" spans="1:16" ht="24.95" customHeight="1" x14ac:dyDescent="0.25">
      <c r="A630" s="17" t="s">
        <v>620</v>
      </c>
      <c r="B630" s="2">
        <v>280</v>
      </c>
      <c r="C630" s="2">
        <v>121</v>
      </c>
      <c r="D630" s="2">
        <v>36.5</v>
      </c>
      <c r="E630" s="2">
        <v>84</v>
      </c>
      <c r="F630" s="2">
        <v>0.5</v>
      </c>
      <c r="H630" s="2">
        <v>124.8</v>
      </c>
      <c r="I630" s="2">
        <v>1480</v>
      </c>
      <c r="J630" s="2">
        <v>124</v>
      </c>
      <c r="K630" s="2">
        <v>184738</v>
      </c>
      <c r="L630" s="2">
        <v>6110</v>
      </c>
      <c r="M630" s="2">
        <v>253</v>
      </c>
      <c r="N630" s="2">
        <v>357.7</v>
      </c>
      <c r="O630" s="2">
        <v>10590</v>
      </c>
      <c r="P630" s="2">
        <v>20.7</v>
      </c>
    </row>
    <row r="631" spans="1:16" ht="24.95" customHeight="1" x14ac:dyDescent="0.25">
      <c r="A631" s="17" t="s">
        <v>6762</v>
      </c>
      <c r="B631" s="2">
        <v>247</v>
      </c>
      <c r="C631" s="2">
        <v>101</v>
      </c>
      <c r="D631" s="2">
        <v>14</v>
      </c>
      <c r="E631" s="2">
        <v>84</v>
      </c>
      <c r="F631" s="2">
        <v>3</v>
      </c>
      <c r="H631" s="2">
        <v>103.2</v>
      </c>
      <c r="I631" s="2">
        <v>8653</v>
      </c>
      <c r="J631" s="2">
        <v>179</v>
      </c>
      <c r="K631" s="2">
        <v>893380</v>
      </c>
      <c r="L631" s="2">
        <v>9346</v>
      </c>
      <c r="M631" s="2">
        <v>574.6</v>
      </c>
      <c r="N631" s="2">
        <v>2162.1</v>
      </c>
      <c r="O631" s="2">
        <v>30270</v>
      </c>
    </row>
    <row r="632" spans="1:16" ht="24.95" customHeight="1" x14ac:dyDescent="0.25">
      <c r="A632" s="17" t="s">
        <v>622</v>
      </c>
      <c r="B632" s="2">
        <v>254</v>
      </c>
      <c r="C632" s="2">
        <v>108</v>
      </c>
      <c r="D632" s="2">
        <v>21.8</v>
      </c>
      <c r="E632" s="2">
        <v>84</v>
      </c>
      <c r="F632" s="2">
        <v>2.2999999999999998</v>
      </c>
      <c r="H632" s="2">
        <v>109.8</v>
      </c>
      <c r="I632" s="2">
        <v>1963</v>
      </c>
      <c r="J632" s="2">
        <v>116</v>
      </c>
      <c r="K632" s="2">
        <v>215586</v>
      </c>
      <c r="L632" s="2">
        <v>7136</v>
      </c>
      <c r="M632" s="2">
        <v>369.3</v>
      </c>
      <c r="N632" s="2">
        <v>506.5</v>
      </c>
      <c r="O632" s="2">
        <v>21150</v>
      </c>
      <c r="P632" s="2">
        <v>46.7</v>
      </c>
    </row>
    <row r="633" spans="1:16" ht="24.95" customHeight="1" x14ac:dyDescent="0.25">
      <c r="A633" s="17" t="s">
        <v>595</v>
      </c>
      <c r="B633" s="2">
        <v>250</v>
      </c>
      <c r="C633" s="2">
        <v>105</v>
      </c>
      <c r="D633" s="2">
        <v>19.399999999999999</v>
      </c>
      <c r="E633" s="2">
        <v>84</v>
      </c>
      <c r="F633" s="2">
        <v>1.7</v>
      </c>
      <c r="H633" s="2">
        <v>106.1</v>
      </c>
      <c r="I633" s="2">
        <v>695</v>
      </c>
      <c r="J633" s="2">
        <v>140</v>
      </c>
      <c r="K633" s="2">
        <v>73742</v>
      </c>
      <c r="L633" s="2">
        <v>2654</v>
      </c>
      <c r="M633" s="2">
        <v>143.9</v>
      </c>
      <c r="N633" s="2">
        <v>174.7</v>
      </c>
      <c r="O633" s="2">
        <v>7500</v>
      </c>
      <c r="P633" s="2">
        <v>48.5</v>
      </c>
    </row>
    <row r="634" spans="1:16" ht="24.95" customHeight="1" x14ac:dyDescent="0.25">
      <c r="A634" s="17" t="s">
        <v>610</v>
      </c>
      <c r="B634" s="2">
        <v>256</v>
      </c>
      <c r="C634" s="2">
        <v>111</v>
      </c>
      <c r="D634" s="2">
        <v>26</v>
      </c>
      <c r="E634" s="2">
        <v>84</v>
      </c>
      <c r="F634" s="2">
        <v>1</v>
      </c>
      <c r="H634" s="2">
        <v>114</v>
      </c>
      <c r="I634" s="2">
        <v>3370</v>
      </c>
      <c r="J634" s="2">
        <v>161</v>
      </c>
      <c r="K634" s="2">
        <v>384286</v>
      </c>
      <c r="L634" s="2">
        <v>8500</v>
      </c>
      <c r="M634" s="2">
        <v>631.70000000000005</v>
      </c>
      <c r="N634" s="2">
        <v>858.2</v>
      </c>
      <c r="O634" s="2">
        <v>25240</v>
      </c>
      <c r="P634" s="2">
        <v>24.3</v>
      </c>
    </row>
    <row r="635" spans="1:16" ht="24.95" customHeight="1" x14ac:dyDescent="0.25">
      <c r="A635" s="17" t="s">
        <v>623</v>
      </c>
      <c r="B635" s="2">
        <v>240</v>
      </c>
      <c r="C635" s="2">
        <v>102</v>
      </c>
      <c r="D635" s="2">
        <v>16.399999999999999</v>
      </c>
      <c r="E635" s="2">
        <v>84</v>
      </c>
      <c r="F635" s="2">
        <v>1.6</v>
      </c>
      <c r="H635" s="2">
        <v>103.8</v>
      </c>
      <c r="I635" s="2">
        <v>1000</v>
      </c>
      <c r="J635" s="2">
        <v>144</v>
      </c>
      <c r="K635" s="2">
        <v>103760</v>
      </c>
      <c r="L635" s="2">
        <v>3582</v>
      </c>
      <c r="M635" s="2">
        <v>189.5</v>
      </c>
      <c r="N635" s="2">
        <v>258.3</v>
      </c>
      <c r="O635" s="2">
        <v>10830</v>
      </c>
      <c r="P635" s="2">
        <v>47.9</v>
      </c>
    </row>
    <row r="636" spans="1:16" ht="24.95" customHeight="1" x14ac:dyDescent="0.25">
      <c r="A636" s="17" t="s">
        <v>6763</v>
      </c>
      <c r="B636" s="2">
        <v>182.5</v>
      </c>
      <c r="C636" s="2">
        <v>74.400000000000006</v>
      </c>
      <c r="I636" s="2">
        <v>286854</v>
      </c>
      <c r="J636" s="2">
        <v>167</v>
      </c>
      <c r="K636" s="2">
        <v>21341938</v>
      </c>
      <c r="L636" s="2">
        <v>729130</v>
      </c>
      <c r="M636" s="2">
        <v>39139.199999999997</v>
      </c>
      <c r="N636" s="2">
        <v>73093.3</v>
      </c>
      <c r="O636" s="2">
        <v>2237810</v>
      </c>
      <c r="P636" s="2">
        <v>26.4</v>
      </c>
    </row>
    <row r="637" spans="1:16" ht="24.95" customHeight="1" x14ac:dyDescent="0.25">
      <c r="A637" s="17" t="s">
        <v>625</v>
      </c>
      <c r="B637" s="2">
        <v>285</v>
      </c>
      <c r="C637" s="2">
        <v>118</v>
      </c>
      <c r="D637" s="2">
        <v>43</v>
      </c>
      <c r="E637" s="2">
        <v>74.400000000000006</v>
      </c>
      <c r="F637" s="2">
        <v>0.6</v>
      </c>
      <c r="I637" s="2">
        <v>4380</v>
      </c>
      <c r="J637" s="2">
        <v>134</v>
      </c>
      <c r="K637" s="2">
        <v>516840</v>
      </c>
      <c r="L637" s="2">
        <v>13943</v>
      </c>
      <c r="M637" s="2">
        <v>478.1</v>
      </c>
      <c r="N637" s="2">
        <v>1100.2</v>
      </c>
      <c r="O637" s="2">
        <v>38940</v>
      </c>
      <c r="P637" s="2">
        <v>36.4</v>
      </c>
    </row>
    <row r="638" spans="1:16" ht="24.95" customHeight="1" x14ac:dyDescent="0.25">
      <c r="A638" s="17" t="s">
        <v>626</v>
      </c>
      <c r="B638" s="2">
        <v>284</v>
      </c>
      <c r="C638" s="2">
        <v>117</v>
      </c>
      <c r="D638" s="2">
        <v>42.3</v>
      </c>
      <c r="E638" s="2">
        <v>74.400000000000006</v>
      </c>
      <c r="F638" s="2">
        <v>0.3</v>
      </c>
      <c r="I638" s="2">
        <v>5967</v>
      </c>
      <c r="J638" s="2">
        <v>156</v>
      </c>
      <c r="K638" s="2">
        <v>698139</v>
      </c>
      <c r="L638" s="2">
        <v>17262</v>
      </c>
      <c r="M638" s="2">
        <v>737.3</v>
      </c>
      <c r="N638" s="2">
        <v>1456.2</v>
      </c>
      <c r="O638" s="2">
        <v>49810</v>
      </c>
      <c r="P638" s="2">
        <v>34.5</v>
      </c>
    </row>
    <row r="639" spans="1:16" ht="24.95" customHeight="1" x14ac:dyDescent="0.25">
      <c r="A639" s="17" t="s">
        <v>627</v>
      </c>
      <c r="B639" s="2">
        <v>318</v>
      </c>
      <c r="C639" s="2">
        <v>144</v>
      </c>
      <c r="D639" s="2">
        <v>66.5</v>
      </c>
      <c r="E639" s="2">
        <v>74.599999999999994</v>
      </c>
      <c r="F639" s="2">
        <v>2.9</v>
      </c>
      <c r="I639" s="2">
        <v>1360</v>
      </c>
      <c r="J639" s="2">
        <v>120</v>
      </c>
      <c r="K639" s="2">
        <v>195840</v>
      </c>
      <c r="L639" s="2">
        <v>6306</v>
      </c>
      <c r="M639" s="2">
        <v>183.1</v>
      </c>
      <c r="N639" s="2">
        <v>364.5</v>
      </c>
      <c r="O639" s="2">
        <v>17240</v>
      </c>
      <c r="P639" s="2">
        <v>53.4</v>
      </c>
    </row>
    <row r="640" spans="1:16" ht="24.95" customHeight="1" x14ac:dyDescent="0.25">
      <c r="A640" s="17" t="s">
        <v>628</v>
      </c>
      <c r="B640" s="2">
        <v>282</v>
      </c>
      <c r="C640" s="2">
        <v>111</v>
      </c>
      <c r="D640" s="2">
        <v>36</v>
      </c>
      <c r="E640" s="2">
        <v>74.7</v>
      </c>
      <c r="F640" s="2">
        <v>0.3</v>
      </c>
      <c r="I640" s="2">
        <v>3550</v>
      </c>
      <c r="J640" s="2">
        <v>177</v>
      </c>
      <c r="K640" s="2">
        <v>394050</v>
      </c>
      <c r="L640" s="2">
        <v>10214</v>
      </c>
      <c r="M640" s="2">
        <v>468.3</v>
      </c>
      <c r="N640" s="2">
        <v>924.2</v>
      </c>
      <c r="O640" s="2">
        <v>31210</v>
      </c>
      <c r="P640" s="2">
        <v>33.4</v>
      </c>
    </row>
    <row r="641" spans="1:16" ht="24.95" customHeight="1" x14ac:dyDescent="0.25">
      <c r="A641" s="17" t="s">
        <v>629</v>
      </c>
      <c r="B641" s="2">
        <v>297</v>
      </c>
      <c r="C641" s="2">
        <v>117</v>
      </c>
      <c r="D641" s="2">
        <v>41.4</v>
      </c>
      <c r="E641" s="2">
        <v>75</v>
      </c>
      <c r="F641" s="2">
        <v>0.6</v>
      </c>
      <c r="I641" s="2">
        <v>1646</v>
      </c>
      <c r="J641" s="2">
        <v>173</v>
      </c>
      <c r="K641" s="2">
        <v>192582</v>
      </c>
      <c r="L641" s="2">
        <v>4401</v>
      </c>
      <c r="M641" s="2">
        <v>198.1</v>
      </c>
      <c r="N641" s="2">
        <v>433.1</v>
      </c>
      <c r="O641" s="2">
        <v>12300</v>
      </c>
      <c r="P641" s="2">
        <v>20.8</v>
      </c>
    </row>
    <row r="642" spans="1:16" ht="24.95" customHeight="1" x14ac:dyDescent="0.25">
      <c r="A642" s="17" t="s">
        <v>630</v>
      </c>
      <c r="B642" s="2">
        <v>282</v>
      </c>
      <c r="C642" s="2">
        <v>129</v>
      </c>
      <c r="D642" s="2">
        <v>55.9</v>
      </c>
      <c r="E642" s="2">
        <v>74.400000000000006</v>
      </c>
      <c r="F642" s="2">
        <v>-1.3</v>
      </c>
      <c r="I642" s="2">
        <v>1930</v>
      </c>
      <c r="J642" s="2">
        <v>116</v>
      </c>
      <c r="K642" s="2">
        <v>248970</v>
      </c>
      <c r="L642" s="2">
        <v>7295</v>
      </c>
      <c r="M642" s="2">
        <v>245.8</v>
      </c>
      <c r="N642" s="2">
        <v>501.6</v>
      </c>
      <c r="O642" s="2">
        <v>19410</v>
      </c>
      <c r="P642" s="2">
        <v>42.2</v>
      </c>
    </row>
    <row r="643" spans="1:16" ht="24.95" customHeight="1" x14ac:dyDescent="0.25">
      <c r="A643" s="17" t="s">
        <v>631</v>
      </c>
      <c r="B643" s="2">
        <v>286</v>
      </c>
      <c r="C643" s="2">
        <v>120</v>
      </c>
      <c r="D643" s="2">
        <v>47.9</v>
      </c>
      <c r="E643" s="2">
        <v>74.400000000000006</v>
      </c>
      <c r="F643" s="2">
        <v>-2.2999999999999998</v>
      </c>
      <c r="I643" s="2">
        <v>7408</v>
      </c>
      <c r="J643" s="2">
        <v>141</v>
      </c>
      <c r="K643" s="2">
        <v>888960</v>
      </c>
      <c r="L643" s="2">
        <v>18006</v>
      </c>
      <c r="M643" s="2">
        <v>1409.5</v>
      </c>
      <c r="N643" s="2">
        <v>1861.8</v>
      </c>
      <c r="O643" s="2">
        <v>59490</v>
      </c>
      <c r="P643" s="2">
        <v>30.1</v>
      </c>
    </row>
    <row r="644" spans="1:16" ht="24.95" customHeight="1" x14ac:dyDescent="0.25">
      <c r="A644" s="17" t="s">
        <v>632</v>
      </c>
      <c r="B644" s="2">
        <v>314</v>
      </c>
      <c r="C644" s="2">
        <v>126</v>
      </c>
      <c r="D644" s="2">
        <v>49.5</v>
      </c>
      <c r="E644" s="2">
        <v>74.7</v>
      </c>
      <c r="F644" s="2">
        <v>1.8</v>
      </c>
      <c r="I644" s="2">
        <v>3150</v>
      </c>
      <c r="J644" s="2">
        <v>160</v>
      </c>
      <c r="K644" s="2">
        <v>396900</v>
      </c>
      <c r="L644" s="2">
        <v>10627</v>
      </c>
      <c r="M644" s="2">
        <v>367.8</v>
      </c>
      <c r="N644" s="2">
        <v>810.6</v>
      </c>
      <c r="O644" s="2">
        <v>29570</v>
      </c>
      <c r="P644" s="2">
        <v>39.700000000000003</v>
      </c>
    </row>
    <row r="645" spans="1:16" ht="24.95" customHeight="1" x14ac:dyDescent="0.25">
      <c r="A645" s="17" t="s">
        <v>633</v>
      </c>
      <c r="B645" s="2">
        <v>300</v>
      </c>
      <c r="C645" s="2">
        <v>123</v>
      </c>
      <c r="D645" s="2">
        <v>48.3</v>
      </c>
      <c r="E645" s="2">
        <v>74.400000000000006</v>
      </c>
      <c r="F645" s="2">
        <v>0.4</v>
      </c>
      <c r="I645" s="2">
        <v>5500</v>
      </c>
      <c r="J645" s="2">
        <v>172</v>
      </c>
      <c r="K645" s="2">
        <v>676500</v>
      </c>
      <c r="L645" s="2">
        <v>13929</v>
      </c>
      <c r="M645" s="2">
        <v>727.3</v>
      </c>
      <c r="N645" s="2">
        <v>1383.8</v>
      </c>
      <c r="O645" s="2">
        <v>43060</v>
      </c>
      <c r="P645" s="2">
        <v>26.6</v>
      </c>
    </row>
    <row r="646" spans="1:16" ht="24.95" customHeight="1" x14ac:dyDescent="0.25">
      <c r="A646" s="17" t="s">
        <v>634</v>
      </c>
      <c r="B646" s="2">
        <v>282</v>
      </c>
      <c r="C646" s="2">
        <v>108</v>
      </c>
      <c r="D646" s="2">
        <v>32.5</v>
      </c>
      <c r="E646" s="2">
        <v>75</v>
      </c>
      <c r="F646" s="2">
        <v>0.7</v>
      </c>
      <c r="I646" s="2">
        <v>2900</v>
      </c>
      <c r="J646" s="2">
        <v>160</v>
      </c>
      <c r="K646" s="2">
        <v>313200</v>
      </c>
      <c r="L646" s="2">
        <v>9031</v>
      </c>
      <c r="M646" s="2">
        <v>389.1</v>
      </c>
      <c r="N646" s="2">
        <v>725.9</v>
      </c>
      <c r="O646" s="2">
        <v>27290</v>
      </c>
      <c r="P646" s="2">
        <v>41.2</v>
      </c>
    </row>
    <row r="647" spans="1:16" ht="24.95" customHeight="1" x14ac:dyDescent="0.25">
      <c r="A647" s="17" t="s">
        <v>635</v>
      </c>
      <c r="B647" s="2">
        <v>302</v>
      </c>
      <c r="C647" s="2">
        <v>135</v>
      </c>
      <c r="D647" s="2">
        <v>61.1</v>
      </c>
      <c r="E647" s="2">
        <v>75</v>
      </c>
      <c r="F647" s="2">
        <v>-1</v>
      </c>
      <c r="I647" s="2">
        <v>3310</v>
      </c>
      <c r="J647" s="2">
        <v>108</v>
      </c>
      <c r="K647" s="2">
        <v>446850</v>
      </c>
      <c r="L647" s="2">
        <v>8211</v>
      </c>
      <c r="M647" s="2">
        <v>503</v>
      </c>
      <c r="N647" s="2">
        <v>857.7</v>
      </c>
      <c r="O647" s="2">
        <v>28330</v>
      </c>
      <c r="P647" s="2">
        <v>32.5</v>
      </c>
    </row>
    <row r="648" spans="1:16" ht="24.95" customHeight="1" x14ac:dyDescent="0.25">
      <c r="A648" s="17" t="s">
        <v>636</v>
      </c>
      <c r="B648" s="2">
        <v>300</v>
      </c>
      <c r="C648" s="2">
        <v>114</v>
      </c>
      <c r="D648" s="2">
        <v>38.6</v>
      </c>
      <c r="E648" s="2">
        <v>74.599999999999994</v>
      </c>
      <c r="F648" s="2">
        <v>0.9</v>
      </c>
      <c r="I648" s="2">
        <v>1490</v>
      </c>
      <c r="J648" s="2">
        <v>122</v>
      </c>
      <c r="K648" s="2">
        <v>169860</v>
      </c>
      <c r="L648" s="2">
        <v>5311</v>
      </c>
      <c r="M648" s="2">
        <v>168.4</v>
      </c>
      <c r="N648" s="2">
        <v>380.7</v>
      </c>
      <c r="O648" s="2">
        <v>14300</v>
      </c>
      <c r="P648" s="2">
        <v>40.4</v>
      </c>
    </row>
    <row r="649" spans="1:16" ht="24.95" customHeight="1" x14ac:dyDescent="0.25">
      <c r="A649" s="17" t="s">
        <v>637</v>
      </c>
      <c r="B649" s="2">
        <v>303</v>
      </c>
      <c r="C649" s="2">
        <v>123</v>
      </c>
      <c r="D649" s="2">
        <v>47.6</v>
      </c>
      <c r="E649" s="2">
        <v>74.900000000000006</v>
      </c>
      <c r="F649" s="2">
        <v>0.5</v>
      </c>
      <c r="I649" s="2">
        <v>2800</v>
      </c>
      <c r="J649" s="2">
        <v>147</v>
      </c>
      <c r="K649" s="2">
        <v>344400</v>
      </c>
      <c r="L649" s="2">
        <v>8783</v>
      </c>
      <c r="M649" s="2">
        <v>327.2</v>
      </c>
      <c r="N649" s="2">
        <v>665.3</v>
      </c>
      <c r="O649" s="2">
        <v>24220</v>
      </c>
      <c r="P649" s="2">
        <v>36.200000000000003</v>
      </c>
    </row>
    <row r="650" spans="1:16" ht="24.95" customHeight="1" x14ac:dyDescent="0.25">
      <c r="A650" s="17" t="s">
        <v>36</v>
      </c>
      <c r="B650" s="2">
        <v>294</v>
      </c>
      <c r="C650" s="2">
        <v>120</v>
      </c>
      <c r="D650" s="2">
        <v>45.9</v>
      </c>
      <c r="E650" s="2">
        <v>74.7</v>
      </c>
      <c r="F650" s="2">
        <v>-0.6</v>
      </c>
      <c r="I650" s="2">
        <v>6423</v>
      </c>
      <c r="J650" s="2">
        <v>152</v>
      </c>
      <c r="K650" s="2">
        <v>770760</v>
      </c>
      <c r="L650" s="2">
        <v>14436</v>
      </c>
      <c r="M650" s="2">
        <v>763.8</v>
      </c>
      <c r="N650" s="2">
        <v>1615.2</v>
      </c>
      <c r="O650" s="2">
        <v>48480</v>
      </c>
      <c r="P650" s="2">
        <v>22.8</v>
      </c>
    </row>
    <row r="651" spans="1:16" ht="24.95" customHeight="1" x14ac:dyDescent="0.25">
      <c r="A651" s="17" t="s">
        <v>638</v>
      </c>
      <c r="B651" s="2">
        <v>288</v>
      </c>
      <c r="C651" s="2">
        <v>114</v>
      </c>
      <c r="D651" s="2">
        <v>38.9</v>
      </c>
      <c r="E651" s="2">
        <v>74.400000000000006</v>
      </c>
      <c r="F651" s="2">
        <v>0.8</v>
      </c>
      <c r="I651" s="2">
        <v>5333</v>
      </c>
      <c r="J651" s="2">
        <v>146</v>
      </c>
      <c r="K651" s="2">
        <v>607962</v>
      </c>
      <c r="L651" s="2">
        <v>15204</v>
      </c>
      <c r="M651" s="2">
        <v>644.6</v>
      </c>
      <c r="N651" s="2">
        <v>1345.5</v>
      </c>
      <c r="O651" s="2">
        <v>46500</v>
      </c>
      <c r="P651" s="2">
        <v>35.9</v>
      </c>
    </row>
    <row r="652" spans="1:16" ht="24.95" customHeight="1" x14ac:dyDescent="0.25">
      <c r="A652" s="17" t="s">
        <v>6764</v>
      </c>
      <c r="B652" s="2">
        <v>282</v>
      </c>
      <c r="C652" s="2">
        <v>114</v>
      </c>
      <c r="D652" s="2">
        <v>42</v>
      </c>
      <c r="E652" s="2">
        <v>75</v>
      </c>
      <c r="F652" s="2">
        <v>-3</v>
      </c>
      <c r="I652" s="2">
        <v>7650</v>
      </c>
      <c r="J652" s="2">
        <v>182</v>
      </c>
      <c r="K652" s="2">
        <v>872100</v>
      </c>
      <c r="L652" s="2">
        <v>12695</v>
      </c>
      <c r="M652" s="2">
        <v>1384.2</v>
      </c>
      <c r="N652" s="2">
        <v>1945.4</v>
      </c>
      <c r="O652" s="2">
        <v>36110</v>
      </c>
    </row>
    <row r="653" spans="1:16" ht="24.95" customHeight="1" x14ac:dyDescent="0.25">
      <c r="A653" s="17" t="s">
        <v>640</v>
      </c>
      <c r="B653" s="2">
        <v>288</v>
      </c>
      <c r="C653" s="2">
        <v>120</v>
      </c>
      <c r="D653" s="2">
        <v>45.3</v>
      </c>
      <c r="E653" s="2">
        <v>74.7</v>
      </c>
      <c r="F653" s="2">
        <v>-0.1</v>
      </c>
      <c r="I653" s="2">
        <v>5625</v>
      </c>
      <c r="J653" s="2">
        <v>150</v>
      </c>
      <c r="K653" s="2">
        <v>675000</v>
      </c>
      <c r="L653" s="2">
        <v>17845</v>
      </c>
      <c r="M653" s="2">
        <v>949.2</v>
      </c>
      <c r="N653" s="2">
        <v>1547.4</v>
      </c>
      <c r="O653" s="2">
        <v>58460</v>
      </c>
      <c r="P653" s="2">
        <v>42.3</v>
      </c>
    </row>
    <row r="654" spans="1:16" ht="24.95" customHeight="1" x14ac:dyDescent="0.25">
      <c r="A654" s="17" t="s">
        <v>6765</v>
      </c>
      <c r="B654" s="2">
        <v>330</v>
      </c>
      <c r="C654" s="2">
        <v>148</v>
      </c>
      <c r="D654" s="2">
        <v>72.400000000000006</v>
      </c>
      <c r="E654" s="2">
        <v>78.8</v>
      </c>
      <c r="F654" s="2">
        <v>-3.1</v>
      </c>
      <c r="I654" s="2">
        <v>6789</v>
      </c>
      <c r="J654" s="2">
        <v>146</v>
      </c>
      <c r="K654" s="2">
        <v>1004772</v>
      </c>
      <c r="L654" s="2">
        <v>13372</v>
      </c>
      <c r="M654" s="2">
        <v>1010.5</v>
      </c>
      <c r="N654" s="2">
        <v>1682.1</v>
      </c>
      <c r="O654" s="2">
        <v>40100</v>
      </c>
      <c r="P654" s="2">
        <v>9.9</v>
      </c>
    </row>
    <row r="655" spans="1:16" ht="24.95" customHeight="1" x14ac:dyDescent="0.25">
      <c r="A655" s="17" t="s">
        <v>642</v>
      </c>
      <c r="B655" s="2">
        <v>306</v>
      </c>
      <c r="C655" s="2">
        <v>129</v>
      </c>
      <c r="D655" s="2">
        <v>48.6</v>
      </c>
      <c r="E655" s="2">
        <v>78.599999999999994</v>
      </c>
      <c r="F655" s="2">
        <v>1.9</v>
      </c>
      <c r="I655" s="2">
        <v>920</v>
      </c>
      <c r="J655" s="2">
        <v>142</v>
      </c>
      <c r="K655" s="2">
        <v>118680</v>
      </c>
      <c r="L655" s="2">
        <v>3660</v>
      </c>
      <c r="M655" s="2">
        <v>124.5</v>
      </c>
      <c r="N655" s="2">
        <v>276.8</v>
      </c>
      <c r="O655" s="2">
        <v>9860</v>
      </c>
      <c r="P655" s="2">
        <v>40</v>
      </c>
    </row>
    <row r="656" spans="1:16" ht="24.95" customHeight="1" x14ac:dyDescent="0.25">
      <c r="A656" s="17" t="s">
        <v>643</v>
      </c>
      <c r="B656" s="2">
        <v>309</v>
      </c>
      <c r="C656" s="2">
        <v>132</v>
      </c>
      <c r="D656" s="2">
        <v>57.9</v>
      </c>
      <c r="E656" s="2">
        <v>74.599999999999994</v>
      </c>
      <c r="F656" s="2">
        <v>-0.4</v>
      </c>
      <c r="I656" s="2">
        <v>3150</v>
      </c>
      <c r="J656" s="2">
        <v>103</v>
      </c>
      <c r="K656" s="2">
        <v>415800</v>
      </c>
      <c r="L656" s="2">
        <v>12098</v>
      </c>
      <c r="M656" s="2">
        <v>397.6</v>
      </c>
      <c r="N656" s="2">
        <v>856.7</v>
      </c>
      <c r="O656" s="2">
        <v>32000</v>
      </c>
      <c r="P656" s="2">
        <v>41.2</v>
      </c>
    </row>
    <row r="657" spans="1:16" ht="24.95" customHeight="1" x14ac:dyDescent="0.25">
      <c r="A657" s="17" t="s">
        <v>644</v>
      </c>
      <c r="B657" s="2">
        <v>276</v>
      </c>
      <c r="C657" s="2">
        <v>112</v>
      </c>
      <c r="D657" s="2">
        <v>33.700000000000003</v>
      </c>
      <c r="E657" s="2">
        <v>79</v>
      </c>
      <c r="F657" s="2">
        <v>-0.7</v>
      </c>
      <c r="I657" s="2">
        <v>4150</v>
      </c>
      <c r="J657" s="2">
        <v>168</v>
      </c>
      <c r="K657" s="2">
        <v>464800</v>
      </c>
      <c r="L657" s="2">
        <v>10644</v>
      </c>
      <c r="M657" s="2">
        <v>786.5</v>
      </c>
      <c r="N657" s="2">
        <v>1052.5</v>
      </c>
      <c r="O657" s="2">
        <v>34160</v>
      </c>
      <c r="P657" s="2">
        <v>28.9</v>
      </c>
    </row>
    <row r="658" spans="1:16" ht="24.95" customHeight="1" x14ac:dyDescent="0.25">
      <c r="A658" s="17" t="s">
        <v>645</v>
      </c>
      <c r="B658" s="2">
        <v>300</v>
      </c>
      <c r="C658" s="2">
        <v>120</v>
      </c>
      <c r="D658" s="2">
        <v>45.3</v>
      </c>
      <c r="E658" s="2">
        <v>74.599999999999994</v>
      </c>
      <c r="F658" s="2">
        <v>0.1</v>
      </c>
      <c r="I658" s="2">
        <v>3400</v>
      </c>
      <c r="J658" s="2">
        <v>150</v>
      </c>
      <c r="K658" s="2">
        <v>408000</v>
      </c>
      <c r="L658" s="2">
        <v>9763</v>
      </c>
      <c r="M658" s="2">
        <v>404.2</v>
      </c>
      <c r="N658" s="2">
        <v>853</v>
      </c>
      <c r="O658" s="2">
        <v>26860</v>
      </c>
      <c r="P658" s="2">
        <v>29.2</v>
      </c>
    </row>
    <row r="659" spans="1:16" ht="24.95" customHeight="1" x14ac:dyDescent="0.25">
      <c r="A659" s="17" t="s">
        <v>646</v>
      </c>
      <c r="B659" s="2">
        <v>318</v>
      </c>
      <c r="C659" s="2">
        <v>132</v>
      </c>
      <c r="D659" s="2">
        <v>56.4</v>
      </c>
      <c r="E659" s="2">
        <v>74.599999999999994</v>
      </c>
      <c r="F659" s="2">
        <v>1.1000000000000001</v>
      </c>
      <c r="I659" s="2">
        <v>2275</v>
      </c>
      <c r="J659" s="2">
        <v>122</v>
      </c>
      <c r="K659" s="2">
        <v>300300</v>
      </c>
      <c r="L659" s="2">
        <v>8847</v>
      </c>
      <c r="M659" s="2">
        <v>296.3</v>
      </c>
      <c r="N659" s="2">
        <v>594.79999999999995</v>
      </c>
      <c r="O659" s="2">
        <v>23860</v>
      </c>
      <c r="P659" s="2">
        <v>44.3</v>
      </c>
    </row>
    <row r="660" spans="1:16" ht="24.95" customHeight="1" x14ac:dyDescent="0.25">
      <c r="A660" s="17" t="s">
        <v>647</v>
      </c>
      <c r="B660" s="2">
        <v>288</v>
      </c>
      <c r="C660" s="2">
        <v>117</v>
      </c>
      <c r="D660" s="2">
        <v>43.9</v>
      </c>
      <c r="E660" s="2">
        <v>74.400000000000006</v>
      </c>
      <c r="F660" s="2">
        <v>-1.4</v>
      </c>
      <c r="I660" s="2">
        <v>13500</v>
      </c>
      <c r="J660" s="2">
        <v>192</v>
      </c>
      <c r="K660" s="2">
        <v>1579500</v>
      </c>
      <c r="L660" s="2">
        <v>18438</v>
      </c>
      <c r="M660" s="2">
        <v>1133.4000000000001</v>
      </c>
      <c r="N660" s="2">
        <v>3438.6</v>
      </c>
      <c r="O660" s="2">
        <v>60610</v>
      </c>
    </row>
    <row r="661" spans="1:16" ht="24.95" customHeight="1" x14ac:dyDescent="0.25">
      <c r="A661" s="17" t="s">
        <v>648</v>
      </c>
      <c r="B661" s="2">
        <v>304</v>
      </c>
      <c r="C661" s="2">
        <v>120</v>
      </c>
      <c r="D661" s="2">
        <v>44.8</v>
      </c>
      <c r="E661" s="2">
        <v>74.400000000000006</v>
      </c>
      <c r="F661" s="2">
        <v>0.8</v>
      </c>
      <c r="I661" s="2">
        <v>5944</v>
      </c>
      <c r="J661" s="2">
        <v>171</v>
      </c>
      <c r="K661" s="2">
        <v>713280</v>
      </c>
      <c r="L661" s="2">
        <v>13919</v>
      </c>
      <c r="M661" s="2">
        <v>746.5</v>
      </c>
      <c r="N661" s="2">
        <v>1480.6</v>
      </c>
      <c r="O661" s="2">
        <v>41020</v>
      </c>
      <c r="P661" s="2">
        <v>18.100000000000001</v>
      </c>
    </row>
    <row r="662" spans="1:16" ht="24.95" customHeight="1" x14ac:dyDescent="0.25">
      <c r="A662" s="17" t="s">
        <v>649</v>
      </c>
      <c r="B662" s="2">
        <v>318</v>
      </c>
      <c r="C662" s="2">
        <v>120</v>
      </c>
      <c r="D662" s="2">
        <v>44.8</v>
      </c>
      <c r="E662" s="2">
        <v>74.7</v>
      </c>
      <c r="F662" s="2">
        <v>0.5</v>
      </c>
      <c r="I662" s="2">
        <v>7500</v>
      </c>
      <c r="J662" s="2">
        <v>230</v>
      </c>
      <c r="K662" s="2">
        <v>900000</v>
      </c>
      <c r="L662" s="2">
        <v>15155</v>
      </c>
      <c r="M662" s="2">
        <v>780.4</v>
      </c>
      <c r="N662" s="2">
        <v>1859.2</v>
      </c>
      <c r="O662" s="2">
        <v>53300</v>
      </c>
      <c r="P662" s="2">
        <v>22.6</v>
      </c>
    </row>
    <row r="663" spans="1:16" ht="24.95" customHeight="1" x14ac:dyDescent="0.25">
      <c r="A663" s="17" t="s">
        <v>650</v>
      </c>
      <c r="B663" s="2">
        <v>264</v>
      </c>
      <c r="C663" s="2">
        <v>108</v>
      </c>
      <c r="D663" s="2">
        <v>26.7</v>
      </c>
      <c r="E663" s="2">
        <v>79</v>
      </c>
      <c r="F663" s="2">
        <v>2.2999999999999998</v>
      </c>
      <c r="I663" s="2">
        <v>420</v>
      </c>
      <c r="J663" s="2">
        <v>159</v>
      </c>
      <c r="K663" s="2">
        <v>45360</v>
      </c>
      <c r="L663" s="2">
        <v>1914</v>
      </c>
      <c r="M663" s="2">
        <v>72.599999999999994</v>
      </c>
      <c r="N663" s="2">
        <v>108</v>
      </c>
      <c r="O663" s="2">
        <v>6160</v>
      </c>
      <c r="P663" s="2">
        <v>59</v>
      </c>
    </row>
    <row r="664" spans="1:16" ht="24.95" customHeight="1" x14ac:dyDescent="0.25">
      <c r="A664" s="17" t="s">
        <v>5325</v>
      </c>
      <c r="B664" s="2">
        <v>234</v>
      </c>
      <c r="C664" s="2">
        <v>96</v>
      </c>
      <c r="D664" s="2">
        <v>18.2</v>
      </c>
      <c r="E664" s="2">
        <v>79</v>
      </c>
      <c r="F664" s="2">
        <v>-1.2</v>
      </c>
      <c r="I664" s="2">
        <v>387</v>
      </c>
      <c r="J664" s="2">
        <v>153</v>
      </c>
      <c r="K664" s="2">
        <v>37152</v>
      </c>
      <c r="L664" s="2">
        <v>1487</v>
      </c>
      <c r="M664" s="2">
        <v>60.4</v>
      </c>
      <c r="N664" s="2">
        <v>103.8</v>
      </c>
      <c r="O664" s="2">
        <v>4550</v>
      </c>
      <c r="P664" s="2">
        <v>48.8</v>
      </c>
    </row>
    <row r="665" spans="1:16" ht="24.95" customHeight="1" x14ac:dyDescent="0.25">
      <c r="A665" s="17" t="s">
        <v>652</v>
      </c>
      <c r="B665" s="2">
        <v>276</v>
      </c>
      <c r="C665" s="2">
        <v>108</v>
      </c>
      <c r="D665" s="2">
        <v>32.5</v>
      </c>
      <c r="E665" s="2">
        <v>75</v>
      </c>
      <c r="F665" s="2">
        <v>0.6</v>
      </c>
      <c r="I665" s="2">
        <v>1900</v>
      </c>
      <c r="J665" s="2">
        <v>197</v>
      </c>
      <c r="K665" s="2">
        <v>205200</v>
      </c>
      <c r="L665" s="2">
        <v>6512</v>
      </c>
      <c r="M665" s="2">
        <v>319.60000000000002</v>
      </c>
      <c r="N665" s="2">
        <v>469.6</v>
      </c>
      <c r="O665" s="2">
        <v>19840</v>
      </c>
      <c r="P665" s="2">
        <v>47.2</v>
      </c>
    </row>
    <row r="666" spans="1:16" ht="24.95" customHeight="1" x14ac:dyDescent="0.25">
      <c r="A666" s="17" t="s">
        <v>653</v>
      </c>
      <c r="B666" s="2">
        <v>276</v>
      </c>
      <c r="C666" s="2">
        <v>102</v>
      </c>
      <c r="D666" s="2">
        <v>19.600000000000001</v>
      </c>
      <c r="E666" s="2">
        <v>79</v>
      </c>
      <c r="F666" s="2">
        <v>3.3</v>
      </c>
      <c r="I666" s="2">
        <v>467</v>
      </c>
      <c r="J666" s="2">
        <v>161</v>
      </c>
      <c r="K666" s="2">
        <v>47634</v>
      </c>
      <c r="L666" s="2">
        <v>2120</v>
      </c>
      <c r="M666" s="2">
        <v>81</v>
      </c>
      <c r="N666" s="2">
        <v>122.3</v>
      </c>
      <c r="O666" s="2">
        <v>6870</v>
      </c>
      <c r="P666" s="2">
        <v>60.7</v>
      </c>
    </row>
    <row r="667" spans="1:16" ht="24.95" customHeight="1" x14ac:dyDescent="0.25">
      <c r="A667" s="17" t="s">
        <v>654</v>
      </c>
      <c r="B667" s="2">
        <v>282</v>
      </c>
      <c r="C667" s="2">
        <v>111</v>
      </c>
      <c r="D667" s="2">
        <v>34.799999999999997</v>
      </c>
      <c r="E667" s="2">
        <v>74.599999999999994</v>
      </c>
      <c r="F667" s="2">
        <v>1.6</v>
      </c>
      <c r="I667" s="2">
        <v>1875</v>
      </c>
      <c r="J667" s="2">
        <v>144</v>
      </c>
      <c r="K667" s="2">
        <v>208125</v>
      </c>
      <c r="L667" s="2">
        <v>6550</v>
      </c>
      <c r="M667" s="2">
        <v>253.2</v>
      </c>
      <c r="N667" s="2">
        <v>495.8</v>
      </c>
      <c r="O667" s="2">
        <v>19830</v>
      </c>
      <c r="P667" s="2">
        <v>45.6</v>
      </c>
    </row>
    <row r="668" spans="1:16" ht="24.95" customHeight="1" x14ac:dyDescent="0.25">
      <c r="A668" s="17" t="s">
        <v>655</v>
      </c>
      <c r="B668" s="2">
        <v>297</v>
      </c>
      <c r="C668" s="2">
        <v>126</v>
      </c>
      <c r="D668" s="2">
        <v>49.1</v>
      </c>
      <c r="E668" s="2">
        <v>78.599999999999994</v>
      </c>
      <c r="F668" s="2">
        <v>-1.7</v>
      </c>
      <c r="I668" s="2">
        <v>1800</v>
      </c>
      <c r="J668" s="2">
        <v>145</v>
      </c>
      <c r="K668" s="2">
        <v>226800</v>
      </c>
      <c r="L668" s="2">
        <v>4233</v>
      </c>
      <c r="M668" s="2">
        <v>243.7</v>
      </c>
      <c r="N668" s="2">
        <v>450.7</v>
      </c>
      <c r="O668" s="2">
        <v>12060</v>
      </c>
      <c r="P668" s="2">
        <v>14.5</v>
      </c>
    </row>
    <row r="669" spans="1:16" ht="24.95" customHeight="1" x14ac:dyDescent="0.25">
      <c r="A669" s="17" t="s">
        <v>656</v>
      </c>
      <c r="B669" s="2">
        <v>288</v>
      </c>
      <c r="C669" s="2">
        <v>122</v>
      </c>
      <c r="D669" s="2">
        <v>43.4</v>
      </c>
      <c r="E669" s="2">
        <v>78.599999999999994</v>
      </c>
      <c r="I669" s="2">
        <v>452</v>
      </c>
      <c r="J669" s="2">
        <v>114</v>
      </c>
      <c r="K669" s="2">
        <v>55144</v>
      </c>
      <c r="L669" s="2">
        <v>1933</v>
      </c>
      <c r="M669" s="2">
        <v>73.3</v>
      </c>
      <c r="N669" s="2">
        <v>120.4</v>
      </c>
      <c r="O669" s="2">
        <v>4590</v>
      </c>
      <c r="P669" s="2">
        <v>43.1</v>
      </c>
    </row>
    <row r="670" spans="1:16" ht="24.95" customHeight="1" x14ac:dyDescent="0.25">
      <c r="A670" s="17" t="s">
        <v>657</v>
      </c>
      <c r="B670" s="2">
        <v>252</v>
      </c>
      <c r="C670" s="2">
        <v>100</v>
      </c>
      <c r="D670" s="2">
        <v>21.6</v>
      </c>
      <c r="E670" s="2">
        <v>79</v>
      </c>
      <c r="F670" s="2">
        <v>-0.6</v>
      </c>
      <c r="I670" s="2">
        <v>778</v>
      </c>
      <c r="J670" s="2">
        <v>200</v>
      </c>
      <c r="K670" s="2">
        <v>77800</v>
      </c>
      <c r="L670" s="2">
        <v>2479</v>
      </c>
      <c r="M670" s="2">
        <v>146.69999999999999</v>
      </c>
      <c r="N670" s="2">
        <v>198.1</v>
      </c>
      <c r="O670" s="2">
        <v>7290</v>
      </c>
      <c r="P670" s="2">
        <v>38.4</v>
      </c>
    </row>
    <row r="671" spans="1:16" ht="24.95" customHeight="1" x14ac:dyDescent="0.25">
      <c r="A671" s="17" t="s">
        <v>658</v>
      </c>
      <c r="B671" s="2">
        <v>243</v>
      </c>
      <c r="C671" s="2">
        <v>100</v>
      </c>
      <c r="D671" s="2">
        <v>21</v>
      </c>
      <c r="E671" s="2">
        <v>79</v>
      </c>
      <c r="I671" s="2">
        <v>368</v>
      </c>
      <c r="J671" s="2">
        <v>175</v>
      </c>
      <c r="K671" s="2">
        <v>36800</v>
      </c>
      <c r="L671" s="2">
        <v>1340</v>
      </c>
      <c r="M671" s="2">
        <v>62.8</v>
      </c>
      <c r="N671" s="2">
        <v>98.3</v>
      </c>
      <c r="O671" s="2">
        <v>3810</v>
      </c>
      <c r="P671" s="2">
        <v>44.2</v>
      </c>
    </row>
    <row r="672" spans="1:16" ht="24.95" customHeight="1" x14ac:dyDescent="0.25">
      <c r="A672" s="17" t="s">
        <v>659</v>
      </c>
      <c r="B672" s="2">
        <v>267</v>
      </c>
      <c r="C672" s="2">
        <v>111</v>
      </c>
      <c r="D672" s="2">
        <v>32.1</v>
      </c>
      <c r="E672" s="2">
        <v>78.599999999999994</v>
      </c>
      <c r="F672" s="2">
        <v>0.2</v>
      </c>
      <c r="I672" s="2">
        <v>675</v>
      </c>
      <c r="J672" s="2">
        <v>99</v>
      </c>
      <c r="K672" s="2">
        <v>74925</v>
      </c>
      <c r="L672" s="2">
        <v>2603</v>
      </c>
      <c r="M672" s="2">
        <v>93.7</v>
      </c>
      <c r="N672" s="2">
        <v>177.7</v>
      </c>
      <c r="O672" s="2">
        <v>7140</v>
      </c>
      <c r="P672" s="2">
        <v>44.6</v>
      </c>
    </row>
    <row r="673" spans="1:16" ht="24.95" customHeight="1" x14ac:dyDescent="0.25">
      <c r="A673" s="17" t="s">
        <v>660</v>
      </c>
      <c r="B673" s="2">
        <v>250</v>
      </c>
      <c r="C673" s="2">
        <v>102</v>
      </c>
      <c r="D673" s="2">
        <v>24.3</v>
      </c>
      <c r="E673" s="2">
        <v>79</v>
      </c>
      <c r="F673" s="2">
        <v>-1.3</v>
      </c>
      <c r="I673" s="2">
        <v>396</v>
      </c>
      <c r="J673" s="2">
        <v>110</v>
      </c>
      <c r="K673" s="2">
        <v>40392</v>
      </c>
      <c r="L673" s="2">
        <v>1327</v>
      </c>
      <c r="M673" s="2">
        <v>59.7</v>
      </c>
      <c r="N673" s="2">
        <v>105.6</v>
      </c>
      <c r="O673" s="2">
        <v>4070</v>
      </c>
      <c r="P673" s="2">
        <v>41.6</v>
      </c>
    </row>
    <row r="674" spans="1:16" ht="24.95" customHeight="1" x14ac:dyDescent="0.25">
      <c r="A674" s="17" t="s">
        <v>661</v>
      </c>
      <c r="B674" s="2">
        <v>264</v>
      </c>
      <c r="C674" s="2">
        <v>108</v>
      </c>
      <c r="D674" s="2">
        <v>34.4</v>
      </c>
      <c r="E674" s="2">
        <v>74.599999999999994</v>
      </c>
      <c r="F674" s="2">
        <v>-1</v>
      </c>
      <c r="I674" s="2">
        <v>5020</v>
      </c>
      <c r="J674" s="2">
        <v>127</v>
      </c>
      <c r="K674" s="2">
        <v>542160</v>
      </c>
      <c r="L674" s="2">
        <v>11598</v>
      </c>
      <c r="M674" s="2">
        <v>527.5</v>
      </c>
      <c r="N674" s="2">
        <v>1304.5999999999999</v>
      </c>
      <c r="O674" s="2">
        <v>32930</v>
      </c>
      <c r="P674" s="2">
        <v>14.5</v>
      </c>
    </row>
    <row r="675" spans="1:16" ht="24.95" customHeight="1" x14ac:dyDescent="0.25">
      <c r="A675" s="17" t="s">
        <v>662</v>
      </c>
      <c r="B675" s="2">
        <v>276</v>
      </c>
      <c r="C675" s="2">
        <v>117</v>
      </c>
      <c r="D675" s="2">
        <v>36</v>
      </c>
      <c r="E675" s="2">
        <v>79</v>
      </c>
      <c r="F675" s="2">
        <v>2</v>
      </c>
      <c r="I675" s="2">
        <v>475</v>
      </c>
      <c r="J675" s="2">
        <v>157</v>
      </c>
      <c r="K675" s="2">
        <v>55575</v>
      </c>
      <c r="L675" s="2">
        <v>1992</v>
      </c>
      <c r="M675" s="2">
        <v>66.5</v>
      </c>
      <c r="N675" s="2">
        <v>140.80000000000001</v>
      </c>
      <c r="O675" s="2">
        <v>5870</v>
      </c>
      <c r="P675" s="2">
        <v>52</v>
      </c>
    </row>
    <row r="676" spans="1:16" ht="24.95" customHeight="1" x14ac:dyDescent="0.25">
      <c r="A676" s="17" t="s">
        <v>663</v>
      </c>
      <c r="B676" s="2">
        <v>282</v>
      </c>
      <c r="C676" s="2">
        <v>116</v>
      </c>
      <c r="D676" s="2">
        <v>41.4</v>
      </c>
      <c r="E676" s="2">
        <v>74.599999999999994</v>
      </c>
      <c r="I676" s="2">
        <v>891</v>
      </c>
      <c r="J676" s="2">
        <v>176</v>
      </c>
      <c r="K676" s="2">
        <v>103356</v>
      </c>
      <c r="L676" s="2">
        <v>2297</v>
      </c>
      <c r="M676" s="2">
        <v>72.3</v>
      </c>
      <c r="N676" s="2">
        <v>230.1</v>
      </c>
      <c r="O676" s="2">
        <v>6510</v>
      </c>
      <c r="P676" s="2">
        <v>21</v>
      </c>
    </row>
    <row r="677" spans="1:16" ht="24.95" customHeight="1" x14ac:dyDescent="0.25">
      <c r="A677" s="17" t="s">
        <v>664</v>
      </c>
      <c r="B677" s="2">
        <v>302</v>
      </c>
      <c r="C677" s="2">
        <v>120</v>
      </c>
      <c r="D677" s="2">
        <v>44.4</v>
      </c>
      <c r="E677" s="2">
        <v>75</v>
      </c>
      <c r="F677" s="2">
        <v>0.6</v>
      </c>
      <c r="I677" s="2">
        <v>1647</v>
      </c>
      <c r="J677" s="2">
        <v>131</v>
      </c>
      <c r="K677" s="2">
        <v>197640</v>
      </c>
      <c r="L677" s="2">
        <v>4950</v>
      </c>
      <c r="M677" s="2">
        <v>201.2</v>
      </c>
      <c r="N677" s="2">
        <v>443.3</v>
      </c>
      <c r="O677" s="2">
        <v>13130</v>
      </c>
      <c r="P677" s="2">
        <v>27.9</v>
      </c>
    </row>
    <row r="678" spans="1:16" ht="24.95" customHeight="1" x14ac:dyDescent="0.25">
      <c r="A678" s="17" t="s">
        <v>665</v>
      </c>
      <c r="B678" s="2">
        <v>270</v>
      </c>
      <c r="C678" s="2">
        <v>112</v>
      </c>
      <c r="D678" s="2">
        <v>32.1</v>
      </c>
      <c r="E678" s="2">
        <v>78.599999999999994</v>
      </c>
      <c r="F678" s="2">
        <v>1.2</v>
      </c>
      <c r="I678" s="2">
        <v>920</v>
      </c>
      <c r="J678" s="2">
        <v>163</v>
      </c>
      <c r="K678" s="2">
        <v>103040</v>
      </c>
      <c r="L678" s="2">
        <v>3334</v>
      </c>
      <c r="M678" s="2">
        <v>122.4</v>
      </c>
      <c r="N678" s="2">
        <v>234.3</v>
      </c>
      <c r="O678" s="2">
        <v>10320</v>
      </c>
      <c r="P678" s="2">
        <v>48.1</v>
      </c>
    </row>
    <row r="679" spans="1:16" ht="24.95" customHeight="1" x14ac:dyDescent="0.25">
      <c r="A679" s="17" t="s">
        <v>666</v>
      </c>
      <c r="B679" s="2">
        <v>297</v>
      </c>
      <c r="C679" s="2">
        <v>119</v>
      </c>
      <c r="D679" s="2">
        <v>44.1</v>
      </c>
      <c r="E679" s="2">
        <v>74.599999999999994</v>
      </c>
      <c r="F679" s="2">
        <v>0.3</v>
      </c>
      <c r="I679" s="2">
        <v>4075</v>
      </c>
      <c r="J679" s="2">
        <v>180</v>
      </c>
      <c r="K679" s="2">
        <v>484925</v>
      </c>
      <c r="L679" s="2">
        <v>11066</v>
      </c>
      <c r="M679" s="2">
        <v>637.4</v>
      </c>
      <c r="N679" s="2">
        <v>1024.2</v>
      </c>
      <c r="O679" s="2">
        <v>31840</v>
      </c>
      <c r="P679" s="2">
        <v>27.6</v>
      </c>
    </row>
    <row r="680" spans="1:16" ht="24.95" customHeight="1" x14ac:dyDescent="0.25">
      <c r="A680" s="17" t="s">
        <v>667</v>
      </c>
      <c r="B680" s="2">
        <v>303</v>
      </c>
      <c r="C680" s="2">
        <v>122</v>
      </c>
      <c r="D680" s="2">
        <v>42.1</v>
      </c>
      <c r="E680" s="2">
        <v>78.599999999999994</v>
      </c>
      <c r="F680" s="2">
        <v>1.3</v>
      </c>
      <c r="I680" s="2">
        <v>2400</v>
      </c>
      <c r="J680" s="2">
        <v>147</v>
      </c>
      <c r="K680" s="2">
        <v>292800</v>
      </c>
      <c r="L680" s="2">
        <v>8454</v>
      </c>
      <c r="M680" s="2">
        <v>423.6</v>
      </c>
      <c r="N680" s="2">
        <v>635.4</v>
      </c>
      <c r="O680" s="2">
        <v>25650</v>
      </c>
      <c r="P680" s="2">
        <v>44.9</v>
      </c>
    </row>
    <row r="681" spans="1:16" ht="24.95" customHeight="1" x14ac:dyDescent="0.25">
      <c r="A681" s="17" t="s">
        <v>668</v>
      </c>
      <c r="B681" s="2">
        <v>300</v>
      </c>
      <c r="C681" s="2">
        <v>114</v>
      </c>
      <c r="D681" s="2">
        <v>38.799999999999997</v>
      </c>
      <c r="E681" s="2">
        <v>74.599999999999994</v>
      </c>
      <c r="F681" s="2">
        <v>0.6</v>
      </c>
      <c r="I681" s="2">
        <v>2400</v>
      </c>
      <c r="J681" s="2">
        <v>161</v>
      </c>
      <c r="K681" s="2">
        <v>273600</v>
      </c>
      <c r="L681" s="2">
        <v>7140</v>
      </c>
      <c r="M681" s="2">
        <v>345.7</v>
      </c>
      <c r="N681" s="2">
        <v>607.20000000000005</v>
      </c>
      <c r="O681" s="2">
        <v>20530</v>
      </c>
      <c r="P681" s="2">
        <v>36.1</v>
      </c>
    </row>
    <row r="682" spans="1:16" ht="24.95" customHeight="1" x14ac:dyDescent="0.25">
      <c r="A682" s="17" t="s">
        <v>5326</v>
      </c>
      <c r="B682" s="2">
        <v>258</v>
      </c>
      <c r="C682" s="2">
        <v>108</v>
      </c>
      <c r="D682" s="2">
        <v>32.700000000000003</v>
      </c>
      <c r="E682" s="2">
        <v>79</v>
      </c>
      <c r="F682" s="2">
        <v>-3.7</v>
      </c>
      <c r="I682" s="2">
        <v>2070</v>
      </c>
      <c r="J682" s="2">
        <v>176</v>
      </c>
      <c r="K682" s="2">
        <v>223560</v>
      </c>
      <c r="L682" s="2">
        <v>4089</v>
      </c>
      <c r="M682" s="2">
        <v>388.8</v>
      </c>
      <c r="N682" s="2">
        <v>490.1</v>
      </c>
      <c r="O682" s="2">
        <v>12620</v>
      </c>
      <c r="P682" s="2">
        <v>9.4</v>
      </c>
    </row>
    <row r="683" spans="1:16" ht="24.95" customHeight="1" x14ac:dyDescent="0.25">
      <c r="A683" s="17" t="s">
        <v>670</v>
      </c>
      <c r="B683" s="2">
        <v>264</v>
      </c>
      <c r="C683" s="2">
        <v>105</v>
      </c>
      <c r="D683" s="2">
        <v>28.3</v>
      </c>
      <c r="E683" s="2">
        <v>78.599999999999994</v>
      </c>
      <c r="F683" s="2">
        <v>-2</v>
      </c>
      <c r="I683" s="2">
        <v>2265</v>
      </c>
      <c r="J683" s="2">
        <v>180</v>
      </c>
      <c r="K683" s="2">
        <v>237825</v>
      </c>
      <c r="L683" s="2">
        <v>5268</v>
      </c>
      <c r="M683" s="2">
        <v>464.8</v>
      </c>
      <c r="N683" s="2">
        <v>542.9</v>
      </c>
      <c r="O683" s="2">
        <v>16900</v>
      </c>
      <c r="P683" s="2">
        <v>25.2</v>
      </c>
    </row>
    <row r="684" spans="1:16" ht="24.95" customHeight="1" x14ac:dyDescent="0.25">
      <c r="A684" s="17" t="s">
        <v>671</v>
      </c>
      <c r="B684" s="2">
        <v>249</v>
      </c>
      <c r="C684" s="2">
        <v>102</v>
      </c>
      <c r="D684" s="2">
        <v>22.5</v>
      </c>
      <c r="E684" s="2">
        <v>79</v>
      </c>
      <c r="F684" s="2">
        <v>0.5</v>
      </c>
      <c r="I684" s="2">
        <v>2440</v>
      </c>
      <c r="J684" s="2">
        <v>221</v>
      </c>
      <c r="K684" s="2">
        <v>248880</v>
      </c>
      <c r="L684" s="2">
        <v>7041</v>
      </c>
      <c r="M684" s="2">
        <v>397.4</v>
      </c>
      <c r="N684" s="2">
        <v>592.70000000000005</v>
      </c>
      <c r="O684" s="2">
        <v>22240</v>
      </c>
      <c r="P684" s="2">
        <v>39.1</v>
      </c>
    </row>
    <row r="685" spans="1:16" ht="24.95" customHeight="1" x14ac:dyDescent="0.25">
      <c r="A685" s="17" t="s">
        <v>672</v>
      </c>
      <c r="B685" s="2">
        <v>288</v>
      </c>
      <c r="C685" s="2">
        <v>132</v>
      </c>
      <c r="D685" s="2">
        <v>57</v>
      </c>
      <c r="E685" s="2">
        <v>79</v>
      </c>
      <c r="F685" s="2">
        <v>-4</v>
      </c>
      <c r="I685" s="2">
        <v>550</v>
      </c>
      <c r="J685" s="2">
        <v>127</v>
      </c>
      <c r="K685" s="2">
        <v>72600</v>
      </c>
      <c r="L685" s="2">
        <v>1101</v>
      </c>
      <c r="M685" s="2">
        <v>90.9</v>
      </c>
      <c r="N685" s="2">
        <v>136.80000000000001</v>
      </c>
      <c r="O685" s="2">
        <v>2810</v>
      </c>
    </row>
    <row r="686" spans="1:16" ht="24.95" customHeight="1" x14ac:dyDescent="0.25">
      <c r="A686" s="17" t="s">
        <v>673</v>
      </c>
      <c r="B686" s="2">
        <v>288</v>
      </c>
      <c r="C686" s="2">
        <v>120</v>
      </c>
      <c r="D686" s="2">
        <v>39.700000000000003</v>
      </c>
      <c r="E686" s="2">
        <v>79</v>
      </c>
      <c r="F686" s="2">
        <v>1.3</v>
      </c>
      <c r="I686" s="2">
        <v>1000</v>
      </c>
      <c r="J686" s="2">
        <v>144</v>
      </c>
      <c r="K686" s="2">
        <v>120000</v>
      </c>
      <c r="L686" s="2">
        <v>3858</v>
      </c>
      <c r="M686" s="2">
        <v>133.1</v>
      </c>
      <c r="N686" s="2">
        <v>265.3</v>
      </c>
      <c r="O686" s="2">
        <v>10750</v>
      </c>
      <c r="P686" s="2">
        <v>45.7</v>
      </c>
    </row>
    <row r="687" spans="1:16" ht="24.95" customHeight="1" x14ac:dyDescent="0.25">
      <c r="A687" s="17" t="s">
        <v>674</v>
      </c>
      <c r="B687" s="2">
        <v>258</v>
      </c>
      <c r="C687" s="2">
        <v>114</v>
      </c>
      <c r="D687" s="2">
        <v>35</v>
      </c>
      <c r="E687" s="2">
        <v>79</v>
      </c>
      <c r="I687" s="2">
        <v>1238</v>
      </c>
      <c r="J687" s="2">
        <v>166</v>
      </c>
      <c r="K687" s="2">
        <v>141132</v>
      </c>
      <c r="L687" s="2">
        <v>3683</v>
      </c>
      <c r="M687" s="2">
        <v>174.2</v>
      </c>
      <c r="N687" s="2">
        <v>302.60000000000002</v>
      </c>
      <c r="O687" s="2">
        <v>12310</v>
      </c>
      <c r="P687" s="2">
        <v>44.5</v>
      </c>
    </row>
    <row r="688" spans="1:16" ht="24.95" customHeight="1" x14ac:dyDescent="0.25">
      <c r="A688" s="17" t="s">
        <v>675</v>
      </c>
      <c r="B688" s="2">
        <v>276</v>
      </c>
      <c r="C688" s="2">
        <v>114</v>
      </c>
      <c r="D688" s="2">
        <v>37.5</v>
      </c>
      <c r="E688" s="2">
        <v>75</v>
      </c>
      <c r="F688" s="2">
        <v>1.5</v>
      </c>
      <c r="I688" s="2">
        <v>1747</v>
      </c>
      <c r="J688" s="2">
        <v>171</v>
      </c>
      <c r="K688" s="2">
        <v>199158</v>
      </c>
      <c r="L688" s="2">
        <v>6558</v>
      </c>
      <c r="M688" s="2">
        <v>236</v>
      </c>
      <c r="N688" s="2">
        <v>475.8</v>
      </c>
      <c r="O688" s="2">
        <v>20090</v>
      </c>
      <c r="P688" s="2">
        <v>47.2</v>
      </c>
    </row>
    <row r="689" spans="1:16" ht="24.95" customHeight="1" x14ac:dyDescent="0.25">
      <c r="A689" s="17" t="s">
        <v>6766</v>
      </c>
      <c r="B689" s="2">
        <v>270</v>
      </c>
      <c r="C689" s="2">
        <v>108</v>
      </c>
      <c r="D689" s="2">
        <v>28.2</v>
      </c>
      <c r="E689" s="2">
        <v>79</v>
      </c>
      <c r="F689" s="2">
        <v>0.8</v>
      </c>
      <c r="I689" s="2">
        <v>1585</v>
      </c>
      <c r="J689" s="2">
        <v>169</v>
      </c>
      <c r="K689" s="2">
        <v>171180</v>
      </c>
      <c r="L689" s="2">
        <v>5556</v>
      </c>
      <c r="M689" s="2">
        <v>254</v>
      </c>
      <c r="N689" s="2">
        <v>395.7</v>
      </c>
      <c r="O689" s="2">
        <v>16170</v>
      </c>
      <c r="P689" s="2">
        <v>45.8</v>
      </c>
    </row>
    <row r="690" spans="1:16" ht="24.95" customHeight="1" x14ac:dyDescent="0.25">
      <c r="A690" s="17" t="s">
        <v>677</v>
      </c>
      <c r="B690" s="2">
        <v>280</v>
      </c>
      <c r="C690" s="2">
        <v>111</v>
      </c>
      <c r="D690" s="2">
        <v>31.4</v>
      </c>
      <c r="E690" s="2">
        <v>78.8</v>
      </c>
      <c r="F690" s="2">
        <v>0.8</v>
      </c>
      <c r="I690" s="2">
        <v>6490</v>
      </c>
      <c r="J690" s="2">
        <v>184</v>
      </c>
      <c r="K690" s="2">
        <v>720390</v>
      </c>
      <c r="L690" s="2">
        <v>17791</v>
      </c>
      <c r="M690" s="2">
        <v>1212.2</v>
      </c>
      <c r="N690" s="2">
        <v>1610.5</v>
      </c>
      <c r="O690" s="2">
        <v>65630</v>
      </c>
      <c r="P690" s="2">
        <v>44.6</v>
      </c>
    </row>
    <row r="691" spans="1:16" ht="24.95" customHeight="1" x14ac:dyDescent="0.25">
      <c r="A691" s="17" t="s">
        <v>678</v>
      </c>
      <c r="B691" s="2">
        <v>258</v>
      </c>
      <c r="C691" s="2">
        <v>105</v>
      </c>
      <c r="D691" s="2">
        <v>28.7</v>
      </c>
      <c r="E691" s="2">
        <v>75</v>
      </c>
      <c r="F691" s="2">
        <v>1.3</v>
      </c>
      <c r="I691" s="2">
        <v>1680</v>
      </c>
      <c r="J691" s="2">
        <v>160</v>
      </c>
      <c r="K691" s="2">
        <v>176400</v>
      </c>
      <c r="L691" s="2">
        <v>5437</v>
      </c>
      <c r="M691" s="2">
        <v>191.6</v>
      </c>
      <c r="N691" s="2">
        <v>443.9</v>
      </c>
      <c r="O691" s="2">
        <v>18060</v>
      </c>
      <c r="P691" s="2">
        <v>45.6</v>
      </c>
    </row>
    <row r="692" spans="1:16" ht="24.95" customHeight="1" x14ac:dyDescent="0.25">
      <c r="A692" s="17" t="s">
        <v>679</v>
      </c>
      <c r="B692" s="2">
        <v>288</v>
      </c>
      <c r="C692" s="2">
        <v>114</v>
      </c>
      <c r="D692" s="2">
        <v>35.5</v>
      </c>
      <c r="E692" s="2">
        <v>79</v>
      </c>
      <c r="F692" s="2">
        <v>-0.5</v>
      </c>
      <c r="I692" s="2">
        <v>4200</v>
      </c>
      <c r="J692" s="2">
        <v>273</v>
      </c>
      <c r="K692" s="2">
        <v>478800</v>
      </c>
      <c r="L692" s="2">
        <v>5250</v>
      </c>
      <c r="M692" s="2">
        <v>275</v>
      </c>
      <c r="N692" s="2">
        <v>1068.5</v>
      </c>
      <c r="O692" s="2">
        <v>15820</v>
      </c>
    </row>
    <row r="693" spans="1:16" ht="24.95" customHeight="1" x14ac:dyDescent="0.25">
      <c r="A693" s="17" t="s">
        <v>680</v>
      </c>
      <c r="B693" s="2">
        <v>291</v>
      </c>
      <c r="C693" s="2">
        <v>120</v>
      </c>
      <c r="D693" s="2">
        <v>39.5</v>
      </c>
      <c r="E693" s="2">
        <v>79</v>
      </c>
      <c r="F693" s="2">
        <v>1.5</v>
      </c>
      <c r="I693" s="2">
        <v>1400</v>
      </c>
      <c r="J693" s="2">
        <v>127</v>
      </c>
      <c r="K693" s="2">
        <v>168000</v>
      </c>
      <c r="L693" s="2">
        <v>3528</v>
      </c>
      <c r="M693" s="2">
        <v>149.4</v>
      </c>
      <c r="N693" s="2">
        <v>372.9</v>
      </c>
      <c r="O693" s="2">
        <v>10410</v>
      </c>
      <c r="P693" s="2">
        <v>22.1</v>
      </c>
    </row>
    <row r="694" spans="1:16" ht="24.95" customHeight="1" x14ac:dyDescent="0.25">
      <c r="A694" s="17" t="s">
        <v>681</v>
      </c>
      <c r="B694" s="2">
        <v>282</v>
      </c>
      <c r="C694" s="2">
        <v>111</v>
      </c>
      <c r="D694" s="2">
        <v>31.8</v>
      </c>
      <c r="E694" s="2">
        <v>79</v>
      </c>
      <c r="F694" s="2">
        <v>0.2</v>
      </c>
      <c r="I694" s="2">
        <v>7000</v>
      </c>
      <c r="J694" s="2">
        <v>233</v>
      </c>
      <c r="K694" s="2">
        <v>777000</v>
      </c>
      <c r="L694" s="2">
        <v>11553</v>
      </c>
      <c r="M694" s="2">
        <v>731.7</v>
      </c>
      <c r="N694" s="2">
        <v>1813.7</v>
      </c>
      <c r="O694" s="2">
        <v>54900</v>
      </c>
      <c r="P694" s="2">
        <v>27.5</v>
      </c>
    </row>
    <row r="695" spans="1:16" ht="24.95" customHeight="1" x14ac:dyDescent="0.25">
      <c r="A695" s="17" t="s">
        <v>6767</v>
      </c>
      <c r="B695" s="2">
        <v>246</v>
      </c>
      <c r="C695" s="2">
        <v>102</v>
      </c>
      <c r="D695" s="2">
        <v>25.4</v>
      </c>
      <c r="E695" s="2">
        <v>79</v>
      </c>
      <c r="F695" s="2">
        <v>-2.4</v>
      </c>
      <c r="I695" s="2">
        <v>595</v>
      </c>
      <c r="J695" s="2">
        <v>167</v>
      </c>
      <c r="K695" s="2">
        <v>60690</v>
      </c>
      <c r="L695" s="2">
        <v>1630</v>
      </c>
      <c r="M695" s="2">
        <v>83.1</v>
      </c>
      <c r="N695" s="2">
        <v>154.69999999999999</v>
      </c>
      <c r="O695" s="2">
        <v>5290</v>
      </c>
      <c r="P695" s="2">
        <v>35.799999999999997</v>
      </c>
    </row>
    <row r="696" spans="1:16" ht="24.95" customHeight="1" x14ac:dyDescent="0.25">
      <c r="A696" s="17" t="s">
        <v>683</v>
      </c>
      <c r="B696" s="2">
        <v>282</v>
      </c>
      <c r="C696" s="2">
        <v>111</v>
      </c>
      <c r="D696" s="2">
        <v>30.7</v>
      </c>
      <c r="E696" s="2">
        <v>78.599999999999994</v>
      </c>
      <c r="F696" s="2">
        <v>1.7</v>
      </c>
      <c r="I696" s="2">
        <v>330</v>
      </c>
      <c r="J696" s="2">
        <v>134</v>
      </c>
      <c r="K696" s="2">
        <v>36630</v>
      </c>
      <c r="L696" s="2">
        <v>1441</v>
      </c>
      <c r="M696" s="2">
        <v>47.2</v>
      </c>
      <c r="N696" s="2">
        <v>101.5</v>
      </c>
      <c r="O696" s="2">
        <v>3750</v>
      </c>
      <c r="P696" s="2">
        <v>46.9</v>
      </c>
    </row>
    <row r="697" spans="1:16" ht="24.95" customHeight="1" x14ac:dyDescent="0.25">
      <c r="A697" s="17" t="s">
        <v>684</v>
      </c>
      <c r="B697" s="2">
        <v>264</v>
      </c>
      <c r="C697" s="2">
        <v>106</v>
      </c>
      <c r="D697" s="2">
        <v>27.4</v>
      </c>
      <c r="E697" s="2">
        <v>79</v>
      </c>
      <c r="F697" s="2">
        <v>-0.4</v>
      </c>
      <c r="I697" s="2">
        <v>2910</v>
      </c>
      <c r="J697" s="2">
        <v>185</v>
      </c>
      <c r="K697" s="2">
        <v>308460</v>
      </c>
      <c r="L697" s="2">
        <v>6315</v>
      </c>
      <c r="M697" s="2">
        <v>357.1</v>
      </c>
      <c r="N697" s="2">
        <v>681.9</v>
      </c>
      <c r="O697" s="2">
        <v>19790</v>
      </c>
      <c r="P697" s="2">
        <v>16.899999999999999</v>
      </c>
    </row>
    <row r="698" spans="1:16" ht="24.95" customHeight="1" x14ac:dyDescent="0.25">
      <c r="A698" s="17" t="s">
        <v>685</v>
      </c>
      <c r="B698" s="2">
        <v>261</v>
      </c>
      <c r="C698" s="2">
        <v>104</v>
      </c>
      <c r="D698" s="2">
        <v>25.1</v>
      </c>
      <c r="E698" s="2">
        <v>78.599999999999994</v>
      </c>
      <c r="F698" s="2">
        <v>0.3</v>
      </c>
      <c r="I698" s="2">
        <v>2540</v>
      </c>
      <c r="J698" s="2">
        <v>157</v>
      </c>
      <c r="K698" s="2">
        <v>264160</v>
      </c>
      <c r="L698" s="2">
        <v>7596</v>
      </c>
      <c r="M698" s="2">
        <v>445.4</v>
      </c>
      <c r="N698" s="2">
        <v>658.2</v>
      </c>
      <c r="O698" s="2">
        <v>25020</v>
      </c>
      <c r="P698" s="2">
        <v>41</v>
      </c>
    </row>
    <row r="699" spans="1:16" ht="24.95" customHeight="1" x14ac:dyDescent="0.25">
      <c r="A699" s="17" t="s">
        <v>6768</v>
      </c>
      <c r="B699" s="2">
        <v>267</v>
      </c>
      <c r="C699" s="2">
        <v>118</v>
      </c>
      <c r="D699" s="2">
        <v>39</v>
      </c>
      <c r="E699" s="2">
        <v>79</v>
      </c>
      <c r="I699" s="2">
        <v>1021</v>
      </c>
      <c r="J699" s="2">
        <v>123</v>
      </c>
      <c r="K699" s="2">
        <v>120478</v>
      </c>
      <c r="L699" s="2">
        <v>3952</v>
      </c>
      <c r="M699" s="2">
        <v>131.1</v>
      </c>
      <c r="N699" s="2">
        <v>279.2</v>
      </c>
      <c r="O699" s="2">
        <v>10630</v>
      </c>
      <c r="P699" s="2">
        <v>43.2</v>
      </c>
    </row>
    <row r="700" spans="1:16" ht="24.95" customHeight="1" x14ac:dyDescent="0.25">
      <c r="A700" s="17" t="s">
        <v>689</v>
      </c>
      <c r="B700" s="2">
        <v>261</v>
      </c>
      <c r="C700" s="2">
        <v>102</v>
      </c>
      <c r="D700" s="2">
        <v>22</v>
      </c>
      <c r="E700" s="2">
        <v>79</v>
      </c>
      <c r="F700" s="2">
        <v>1</v>
      </c>
      <c r="I700" s="2">
        <v>526</v>
      </c>
      <c r="J700" s="2">
        <v>196</v>
      </c>
      <c r="K700" s="2">
        <v>53652</v>
      </c>
      <c r="L700" s="2">
        <v>1897</v>
      </c>
      <c r="M700" s="2">
        <v>83.1</v>
      </c>
      <c r="N700" s="2">
        <v>145.30000000000001</v>
      </c>
      <c r="O700" s="2">
        <v>5320</v>
      </c>
      <c r="P700" s="2">
        <v>41.5</v>
      </c>
    </row>
    <row r="701" spans="1:16" ht="24.95" customHeight="1" x14ac:dyDescent="0.25">
      <c r="A701" s="17" t="s">
        <v>690</v>
      </c>
      <c r="B701" s="2">
        <v>270</v>
      </c>
      <c r="C701" s="2">
        <v>114</v>
      </c>
      <c r="D701" s="2">
        <v>35.4</v>
      </c>
      <c r="E701" s="2">
        <v>79</v>
      </c>
      <c r="F701" s="2">
        <v>-0.4</v>
      </c>
      <c r="I701" s="2">
        <v>535</v>
      </c>
      <c r="J701" s="2">
        <v>137</v>
      </c>
      <c r="K701" s="2">
        <v>60990</v>
      </c>
      <c r="L701" s="2">
        <v>1619</v>
      </c>
      <c r="M701" s="2">
        <v>71.5</v>
      </c>
      <c r="N701" s="2">
        <v>131.9</v>
      </c>
      <c r="O701" s="2">
        <v>4830</v>
      </c>
      <c r="P701" s="2">
        <v>39</v>
      </c>
    </row>
    <row r="702" spans="1:16" ht="24.95" customHeight="1" x14ac:dyDescent="0.25">
      <c r="A702" s="17" t="s">
        <v>691</v>
      </c>
      <c r="B702" s="2">
        <v>255</v>
      </c>
      <c r="C702" s="2">
        <v>114</v>
      </c>
      <c r="D702" s="2">
        <v>40.5</v>
      </c>
      <c r="E702" s="2">
        <v>75</v>
      </c>
      <c r="F702" s="2">
        <v>-1.5</v>
      </c>
      <c r="I702" s="2">
        <v>918</v>
      </c>
      <c r="J702" s="2">
        <v>135</v>
      </c>
      <c r="K702" s="2">
        <v>104652</v>
      </c>
      <c r="L702" s="2">
        <v>3121</v>
      </c>
      <c r="M702" s="2">
        <v>110.4</v>
      </c>
      <c r="N702" s="2">
        <v>246.3</v>
      </c>
      <c r="O702" s="2">
        <v>8160</v>
      </c>
      <c r="P702" s="2">
        <v>35.1</v>
      </c>
    </row>
    <row r="703" spans="1:16" ht="24.95" customHeight="1" x14ac:dyDescent="0.25">
      <c r="A703" s="17" t="s">
        <v>692</v>
      </c>
      <c r="B703" s="2">
        <v>263</v>
      </c>
      <c r="C703" s="2">
        <v>106</v>
      </c>
      <c r="D703" s="2">
        <v>29.8</v>
      </c>
      <c r="E703" s="2">
        <v>74.8</v>
      </c>
      <c r="F703" s="2">
        <v>1.4</v>
      </c>
      <c r="I703" s="2">
        <v>2353</v>
      </c>
      <c r="J703" s="2">
        <v>202</v>
      </c>
      <c r="K703" s="2">
        <v>249418</v>
      </c>
      <c r="L703" s="2">
        <v>7164</v>
      </c>
      <c r="M703" s="2">
        <v>350</v>
      </c>
      <c r="N703" s="2">
        <v>600.29999999999995</v>
      </c>
      <c r="O703" s="2">
        <v>21910</v>
      </c>
      <c r="P703" s="2">
        <v>38.799999999999997</v>
      </c>
    </row>
    <row r="704" spans="1:16" ht="24.95" customHeight="1" x14ac:dyDescent="0.25">
      <c r="A704" s="17" t="s">
        <v>693</v>
      </c>
      <c r="B704" s="2">
        <v>278</v>
      </c>
      <c r="C704" s="2">
        <v>113</v>
      </c>
      <c r="D704" s="2">
        <v>35.5</v>
      </c>
      <c r="E704" s="2">
        <v>79</v>
      </c>
      <c r="F704" s="2">
        <v>-1.5</v>
      </c>
      <c r="I704" s="2">
        <v>3250</v>
      </c>
      <c r="J704" s="2">
        <v>162</v>
      </c>
      <c r="K704" s="2">
        <v>367250</v>
      </c>
      <c r="L704" s="2">
        <v>7418</v>
      </c>
      <c r="M704" s="2">
        <v>453.6</v>
      </c>
      <c r="N704" s="2">
        <v>847</v>
      </c>
      <c r="O704" s="2">
        <v>22880</v>
      </c>
      <c r="P704" s="2">
        <v>14.4</v>
      </c>
    </row>
    <row r="705" spans="1:16" ht="24.95" customHeight="1" x14ac:dyDescent="0.25">
      <c r="A705" s="17" t="s">
        <v>694</v>
      </c>
      <c r="B705" s="2">
        <v>240</v>
      </c>
      <c r="C705" s="2">
        <v>105</v>
      </c>
      <c r="D705" s="2">
        <v>25.8</v>
      </c>
      <c r="E705" s="2">
        <v>79</v>
      </c>
      <c r="F705" s="2">
        <v>0.2</v>
      </c>
      <c r="I705" s="2">
        <v>1690</v>
      </c>
      <c r="J705" s="2">
        <v>182</v>
      </c>
      <c r="K705" s="2">
        <v>177450</v>
      </c>
      <c r="L705" s="2">
        <v>3689</v>
      </c>
      <c r="M705" s="2">
        <v>211.6</v>
      </c>
      <c r="N705" s="2">
        <v>434.7</v>
      </c>
      <c r="O705" s="2">
        <v>11140</v>
      </c>
      <c r="P705" s="2">
        <v>9.9</v>
      </c>
    </row>
    <row r="706" spans="1:16" ht="24.95" customHeight="1" x14ac:dyDescent="0.25">
      <c r="A706" s="17" t="s">
        <v>6769</v>
      </c>
      <c r="B706" s="2">
        <v>270</v>
      </c>
      <c r="C706" s="2">
        <v>111</v>
      </c>
      <c r="D706" s="2">
        <v>32</v>
      </c>
      <c r="E706" s="2">
        <v>78.599999999999994</v>
      </c>
      <c r="F706" s="2">
        <v>0.3</v>
      </c>
      <c r="I706" s="2">
        <v>1172</v>
      </c>
      <c r="J706" s="2">
        <v>148</v>
      </c>
      <c r="K706" s="2">
        <v>130092</v>
      </c>
      <c r="L706" s="2">
        <v>4505</v>
      </c>
      <c r="M706" s="2">
        <v>148.69999999999999</v>
      </c>
      <c r="N706" s="2">
        <v>304.39999999999998</v>
      </c>
      <c r="O706" s="2">
        <v>12190</v>
      </c>
      <c r="P706" s="2">
        <v>43.5</v>
      </c>
    </row>
    <row r="707" spans="1:16" ht="24.95" customHeight="1" x14ac:dyDescent="0.25">
      <c r="A707" s="17" t="s">
        <v>696</v>
      </c>
      <c r="B707" s="2">
        <v>300</v>
      </c>
      <c r="C707" s="2">
        <v>132</v>
      </c>
      <c r="D707" s="2">
        <v>51.6</v>
      </c>
      <c r="E707" s="2">
        <v>79</v>
      </c>
      <c r="F707" s="2">
        <v>1.4</v>
      </c>
      <c r="I707" s="2">
        <v>1162</v>
      </c>
      <c r="J707" s="2">
        <v>188</v>
      </c>
      <c r="K707" s="2">
        <v>153384</v>
      </c>
      <c r="L707" s="2">
        <v>3544</v>
      </c>
      <c r="M707" s="2">
        <v>113.6</v>
      </c>
      <c r="N707" s="2">
        <v>313.10000000000002</v>
      </c>
      <c r="O707" s="2">
        <v>9950</v>
      </c>
      <c r="P707" s="2">
        <v>30.5</v>
      </c>
    </row>
    <row r="708" spans="1:16" ht="24.95" customHeight="1" x14ac:dyDescent="0.25">
      <c r="A708" s="17" t="s">
        <v>697</v>
      </c>
      <c r="B708" s="2">
        <v>267</v>
      </c>
      <c r="C708" s="2">
        <v>107</v>
      </c>
      <c r="D708" s="2">
        <v>30</v>
      </c>
      <c r="E708" s="2">
        <v>79</v>
      </c>
      <c r="F708" s="2">
        <v>-2</v>
      </c>
      <c r="I708" s="2">
        <v>2170</v>
      </c>
      <c r="J708" s="2">
        <v>212</v>
      </c>
      <c r="K708" s="2">
        <v>232190</v>
      </c>
      <c r="L708" s="2">
        <v>4958</v>
      </c>
      <c r="M708" s="2">
        <v>428.1</v>
      </c>
      <c r="N708" s="2">
        <v>527.20000000000005</v>
      </c>
      <c r="O708" s="2">
        <v>13530</v>
      </c>
      <c r="P708" s="2">
        <v>13.2</v>
      </c>
    </row>
    <row r="709" spans="1:16" ht="24.95" customHeight="1" x14ac:dyDescent="0.25">
      <c r="A709" s="17" t="s">
        <v>698</v>
      </c>
      <c r="B709" s="2">
        <v>258</v>
      </c>
      <c r="C709" s="2">
        <v>108</v>
      </c>
      <c r="D709" s="2">
        <v>30.7</v>
      </c>
      <c r="E709" s="2">
        <v>79</v>
      </c>
      <c r="F709" s="2">
        <v>-1.7</v>
      </c>
      <c r="I709" s="2">
        <v>300</v>
      </c>
      <c r="J709" s="2">
        <v>150</v>
      </c>
      <c r="K709" s="2">
        <v>32400</v>
      </c>
      <c r="L709" s="2">
        <v>977</v>
      </c>
      <c r="M709" s="2">
        <v>53.4</v>
      </c>
      <c r="N709" s="2">
        <v>75.7</v>
      </c>
      <c r="O709" s="2">
        <v>2570</v>
      </c>
      <c r="P709" s="2">
        <v>33.299999999999997</v>
      </c>
    </row>
    <row r="710" spans="1:16" ht="24.95" customHeight="1" x14ac:dyDescent="0.25">
      <c r="A710" s="17" t="s">
        <v>699</v>
      </c>
      <c r="B710" s="2">
        <v>296</v>
      </c>
      <c r="C710" s="2">
        <v>120</v>
      </c>
      <c r="D710" s="2">
        <v>40.9</v>
      </c>
      <c r="E710" s="2">
        <v>79</v>
      </c>
      <c r="F710" s="2">
        <v>0.1</v>
      </c>
      <c r="I710" s="2">
        <v>2200</v>
      </c>
      <c r="J710" s="2">
        <v>221</v>
      </c>
      <c r="K710" s="2">
        <v>264000</v>
      </c>
      <c r="L710" s="2">
        <v>4159</v>
      </c>
      <c r="M710" s="2">
        <v>216</v>
      </c>
      <c r="N710" s="2">
        <v>565.20000000000005</v>
      </c>
      <c r="O710" s="2">
        <v>13190</v>
      </c>
      <c r="P710" s="2">
        <v>6</v>
      </c>
    </row>
    <row r="711" spans="1:16" ht="24.95" customHeight="1" x14ac:dyDescent="0.25">
      <c r="A711" s="17" t="s">
        <v>700</v>
      </c>
      <c r="B711" s="2">
        <v>234</v>
      </c>
      <c r="C711" s="2">
        <v>95</v>
      </c>
      <c r="D711" s="2">
        <v>17.2</v>
      </c>
      <c r="E711" s="2">
        <v>79</v>
      </c>
      <c r="F711" s="2">
        <v>-1.2</v>
      </c>
      <c r="I711" s="2">
        <v>558</v>
      </c>
      <c r="J711" s="2">
        <v>161</v>
      </c>
      <c r="K711" s="2">
        <v>53010</v>
      </c>
      <c r="L711" s="2">
        <v>1831</v>
      </c>
      <c r="M711" s="2">
        <v>108</v>
      </c>
      <c r="N711" s="2">
        <v>150</v>
      </c>
      <c r="O711" s="2">
        <v>5690</v>
      </c>
      <c r="P711" s="2">
        <v>41.1</v>
      </c>
    </row>
    <row r="712" spans="1:16" ht="24.95" customHeight="1" x14ac:dyDescent="0.25">
      <c r="A712" s="17" t="s">
        <v>701</v>
      </c>
      <c r="B712" s="2">
        <v>264</v>
      </c>
      <c r="C712" s="2">
        <v>108</v>
      </c>
      <c r="D712" s="2">
        <v>29.1</v>
      </c>
      <c r="E712" s="2">
        <v>78.599999999999994</v>
      </c>
      <c r="F712" s="2">
        <v>0.3</v>
      </c>
      <c r="I712" s="2">
        <v>1450</v>
      </c>
      <c r="J712" s="2">
        <v>129</v>
      </c>
      <c r="K712" s="2">
        <v>156600</v>
      </c>
      <c r="L712" s="2">
        <v>5109</v>
      </c>
      <c r="M712" s="2">
        <v>202.1</v>
      </c>
      <c r="N712" s="2">
        <v>371.1</v>
      </c>
      <c r="O712" s="2">
        <v>13890</v>
      </c>
      <c r="P712" s="2">
        <v>40.4</v>
      </c>
    </row>
    <row r="713" spans="1:16" ht="24.95" customHeight="1" x14ac:dyDescent="0.25">
      <c r="A713" s="17" t="s">
        <v>702</v>
      </c>
      <c r="B713" s="2">
        <v>279</v>
      </c>
      <c r="C713" s="2">
        <v>114</v>
      </c>
      <c r="D713" s="2">
        <v>34.299999999999997</v>
      </c>
      <c r="E713" s="2">
        <v>78.599999999999994</v>
      </c>
      <c r="F713" s="2">
        <v>1.1000000000000001</v>
      </c>
      <c r="I713" s="2">
        <v>737</v>
      </c>
      <c r="J713" s="2">
        <v>116</v>
      </c>
      <c r="K713" s="2">
        <v>84018</v>
      </c>
      <c r="L713" s="2">
        <v>1953</v>
      </c>
      <c r="M713" s="2">
        <v>66.7</v>
      </c>
      <c r="N713" s="2">
        <v>190.4</v>
      </c>
      <c r="O713" s="2">
        <v>5450</v>
      </c>
      <c r="P713" s="2">
        <v>23.7</v>
      </c>
    </row>
    <row r="714" spans="1:16" ht="24.95" customHeight="1" x14ac:dyDescent="0.25">
      <c r="A714" s="17" t="s">
        <v>703</v>
      </c>
      <c r="B714" s="2">
        <v>284</v>
      </c>
      <c r="C714" s="2">
        <v>114</v>
      </c>
      <c r="D714" s="2">
        <v>39.5</v>
      </c>
      <c r="E714" s="2">
        <v>75</v>
      </c>
      <c r="F714" s="2">
        <v>-0.5</v>
      </c>
      <c r="I714" s="2">
        <v>1825</v>
      </c>
      <c r="J714" s="2">
        <v>137</v>
      </c>
      <c r="K714" s="2">
        <v>208050</v>
      </c>
      <c r="L714" s="2">
        <v>5433</v>
      </c>
      <c r="M714" s="2">
        <v>230.2</v>
      </c>
      <c r="N714" s="2">
        <v>500.1</v>
      </c>
      <c r="O714" s="2">
        <v>14760</v>
      </c>
      <c r="P714" s="2">
        <v>28.6</v>
      </c>
    </row>
    <row r="715" spans="1:16" ht="24.95" customHeight="1" x14ac:dyDescent="0.25">
      <c r="A715" s="17" t="s">
        <v>704</v>
      </c>
      <c r="B715" s="2">
        <v>322</v>
      </c>
      <c r="C715" s="2">
        <v>108</v>
      </c>
      <c r="D715" s="2">
        <v>29</v>
      </c>
      <c r="E715" s="2">
        <v>79</v>
      </c>
      <c r="I715" s="2">
        <v>495</v>
      </c>
      <c r="J715" s="2">
        <v>175</v>
      </c>
      <c r="K715" s="2">
        <v>53460</v>
      </c>
      <c r="L715" s="2">
        <v>2061</v>
      </c>
      <c r="M715" s="2">
        <v>93.7</v>
      </c>
      <c r="N715" s="2">
        <v>141.4</v>
      </c>
      <c r="O715" s="2">
        <v>6380</v>
      </c>
      <c r="P715" s="2">
        <v>51.7</v>
      </c>
    </row>
    <row r="716" spans="1:16" ht="24.95" customHeight="1" x14ac:dyDescent="0.25">
      <c r="A716" s="17" t="s">
        <v>705</v>
      </c>
      <c r="B716" s="2">
        <v>270</v>
      </c>
      <c r="C716" s="2">
        <v>108</v>
      </c>
      <c r="D716" s="2">
        <v>28.8</v>
      </c>
      <c r="E716" s="2">
        <v>79</v>
      </c>
      <c r="F716" s="2">
        <v>0.2</v>
      </c>
      <c r="I716" s="2">
        <v>1250</v>
      </c>
      <c r="J716" s="2">
        <v>193</v>
      </c>
      <c r="K716" s="2">
        <v>135000</v>
      </c>
      <c r="L716" s="2">
        <v>3334</v>
      </c>
      <c r="M716" s="2">
        <v>200.4</v>
      </c>
      <c r="N716" s="2">
        <v>318.10000000000002</v>
      </c>
      <c r="O716" s="2">
        <v>9810</v>
      </c>
      <c r="P716" s="2">
        <v>28.7</v>
      </c>
    </row>
    <row r="717" spans="1:16" ht="24.95" customHeight="1" x14ac:dyDescent="0.25">
      <c r="A717" s="17" t="s">
        <v>706</v>
      </c>
      <c r="B717" s="2">
        <v>260</v>
      </c>
      <c r="C717" s="2">
        <v>105</v>
      </c>
      <c r="D717" s="2">
        <v>27.9</v>
      </c>
      <c r="E717" s="2">
        <v>79</v>
      </c>
      <c r="F717" s="2">
        <v>-1.9</v>
      </c>
      <c r="I717" s="2">
        <v>4800</v>
      </c>
      <c r="J717" s="2">
        <v>181</v>
      </c>
      <c r="K717" s="2">
        <v>504000</v>
      </c>
      <c r="L717" s="2">
        <v>7796</v>
      </c>
      <c r="M717" s="2">
        <v>642.6</v>
      </c>
      <c r="N717" s="2">
        <v>1228</v>
      </c>
      <c r="O717" s="2">
        <v>20890</v>
      </c>
    </row>
    <row r="718" spans="1:16" ht="24.95" customHeight="1" x14ac:dyDescent="0.25">
      <c r="A718" s="17" t="s">
        <v>707</v>
      </c>
      <c r="B718" s="2">
        <v>279</v>
      </c>
      <c r="C718" s="2">
        <v>113</v>
      </c>
      <c r="D718" s="2">
        <v>33.9</v>
      </c>
      <c r="E718" s="2">
        <v>78.599999999999994</v>
      </c>
      <c r="F718" s="2">
        <v>0.4</v>
      </c>
      <c r="I718" s="2">
        <v>550</v>
      </c>
      <c r="J718" s="2">
        <v>135</v>
      </c>
      <c r="K718" s="2">
        <v>62150</v>
      </c>
      <c r="L718" s="2">
        <v>2179</v>
      </c>
      <c r="M718" s="2">
        <v>89.2</v>
      </c>
      <c r="N718" s="2">
        <v>150</v>
      </c>
      <c r="O718" s="2">
        <v>5810</v>
      </c>
      <c r="P718" s="2">
        <v>43</v>
      </c>
    </row>
    <row r="719" spans="1:16" ht="24.95" customHeight="1" x14ac:dyDescent="0.25">
      <c r="A719" s="17" t="s">
        <v>708</v>
      </c>
      <c r="B719" s="2">
        <v>288</v>
      </c>
      <c r="C719" s="2">
        <v>126</v>
      </c>
      <c r="D719" s="2">
        <v>45.3</v>
      </c>
      <c r="E719" s="2">
        <v>78.599999999999994</v>
      </c>
      <c r="F719" s="2">
        <v>2.1</v>
      </c>
      <c r="I719" s="2">
        <v>140</v>
      </c>
      <c r="J719" s="2">
        <v>119</v>
      </c>
      <c r="K719" s="2">
        <v>17640</v>
      </c>
      <c r="L719" s="2">
        <v>787</v>
      </c>
      <c r="M719" s="2">
        <v>17.100000000000001</v>
      </c>
      <c r="N719" s="2">
        <v>37.299999999999997</v>
      </c>
      <c r="O719" s="2">
        <v>1930</v>
      </c>
      <c r="P719" s="2">
        <v>57.1</v>
      </c>
    </row>
    <row r="720" spans="1:16" ht="24.95" customHeight="1" x14ac:dyDescent="0.25">
      <c r="A720" s="17" t="s">
        <v>709</v>
      </c>
      <c r="B720" s="2">
        <v>276</v>
      </c>
      <c r="C720" s="2">
        <v>114</v>
      </c>
      <c r="D720" s="2">
        <v>34.799999999999997</v>
      </c>
      <c r="E720" s="2">
        <v>79</v>
      </c>
      <c r="F720" s="2">
        <v>0.2</v>
      </c>
      <c r="I720" s="2">
        <v>1760</v>
      </c>
      <c r="J720" s="2">
        <v>179</v>
      </c>
      <c r="K720" s="2">
        <v>200640</v>
      </c>
      <c r="L720" s="2">
        <v>5594</v>
      </c>
      <c r="M720" s="2">
        <v>294.8</v>
      </c>
      <c r="N720" s="2">
        <v>466.7</v>
      </c>
      <c r="O720" s="2">
        <v>14790</v>
      </c>
      <c r="P720" s="2">
        <v>31.5</v>
      </c>
    </row>
    <row r="721" spans="1:16" ht="24.95" customHeight="1" x14ac:dyDescent="0.25">
      <c r="A721" s="17" t="s">
        <v>710</v>
      </c>
      <c r="B721" s="2">
        <v>276</v>
      </c>
      <c r="C721" s="2">
        <v>109</v>
      </c>
      <c r="D721" s="2">
        <v>34.1</v>
      </c>
      <c r="E721" s="2">
        <v>74.599999999999994</v>
      </c>
      <c r="F721" s="2">
        <v>0.3</v>
      </c>
      <c r="I721" s="2">
        <v>1621</v>
      </c>
      <c r="J721" s="2">
        <v>141</v>
      </c>
      <c r="K721" s="2">
        <v>176689</v>
      </c>
      <c r="L721" s="2">
        <v>5670</v>
      </c>
      <c r="M721" s="2">
        <v>223.7</v>
      </c>
      <c r="N721" s="2">
        <v>443.3</v>
      </c>
      <c r="O721" s="2">
        <v>17000</v>
      </c>
      <c r="P721" s="2">
        <v>42.9</v>
      </c>
    </row>
    <row r="722" spans="1:16" ht="24.95" customHeight="1" x14ac:dyDescent="0.25">
      <c r="A722" s="17" t="s">
        <v>711</v>
      </c>
      <c r="B722" s="2">
        <v>288</v>
      </c>
      <c r="C722" s="2">
        <v>116</v>
      </c>
      <c r="D722" s="2">
        <v>36.799999999999997</v>
      </c>
      <c r="E722" s="2">
        <v>79</v>
      </c>
      <c r="F722" s="2">
        <v>0.2</v>
      </c>
      <c r="I722" s="2">
        <v>1235</v>
      </c>
      <c r="J722" s="2">
        <v>152</v>
      </c>
      <c r="K722" s="2">
        <v>143260</v>
      </c>
      <c r="L722" s="2">
        <v>3460</v>
      </c>
      <c r="M722" s="2">
        <v>166.6</v>
      </c>
      <c r="N722" s="2">
        <v>323</v>
      </c>
      <c r="O722" s="2">
        <v>10480</v>
      </c>
      <c r="P722" s="2">
        <v>32.200000000000003</v>
      </c>
    </row>
    <row r="723" spans="1:16" ht="24.95" customHeight="1" x14ac:dyDescent="0.25">
      <c r="A723" s="17" t="s">
        <v>712</v>
      </c>
      <c r="B723" s="2">
        <v>258</v>
      </c>
      <c r="C723" s="2">
        <v>106</v>
      </c>
      <c r="D723" s="2">
        <v>26.4</v>
      </c>
      <c r="E723" s="2">
        <v>79</v>
      </c>
      <c r="F723" s="2">
        <v>0.6</v>
      </c>
      <c r="I723" s="2">
        <v>699</v>
      </c>
      <c r="J723" s="2">
        <v>196</v>
      </c>
      <c r="K723" s="2">
        <v>74094</v>
      </c>
      <c r="L723" s="2">
        <v>2490</v>
      </c>
      <c r="M723" s="2">
        <v>129.5</v>
      </c>
      <c r="N723" s="2">
        <v>178.8</v>
      </c>
      <c r="O723" s="2">
        <v>8360</v>
      </c>
      <c r="P723" s="2">
        <v>53.1</v>
      </c>
    </row>
    <row r="724" spans="1:16" ht="24.95" customHeight="1" x14ac:dyDescent="0.25">
      <c r="A724" s="17" t="s">
        <v>713</v>
      </c>
      <c r="B724" s="2">
        <v>270</v>
      </c>
      <c r="C724" s="2">
        <v>108</v>
      </c>
      <c r="D724" s="2">
        <v>29.6</v>
      </c>
      <c r="E724" s="2" t="s">
        <v>6770</v>
      </c>
      <c r="F724" s="2">
        <v>-0.2</v>
      </c>
      <c r="I724" s="2">
        <v>11000</v>
      </c>
      <c r="J724" s="2">
        <v>204</v>
      </c>
      <c r="K724" s="2">
        <v>1188000</v>
      </c>
      <c r="L724" s="2">
        <v>13879</v>
      </c>
      <c r="M724" s="2">
        <v>1017.4</v>
      </c>
      <c r="N724" s="2">
        <v>2814.1</v>
      </c>
      <c r="O724" s="2">
        <v>43110</v>
      </c>
    </row>
    <row r="725" spans="1:16" ht="24.95" customHeight="1" x14ac:dyDescent="0.25">
      <c r="A725" s="17" t="s">
        <v>714</v>
      </c>
      <c r="B725" s="2">
        <v>252</v>
      </c>
      <c r="C725" s="2">
        <v>111</v>
      </c>
      <c r="D725" s="2">
        <v>32.4</v>
      </c>
      <c r="E725" s="2">
        <v>78.599999999999994</v>
      </c>
      <c r="I725" s="2">
        <v>2400</v>
      </c>
      <c r="J725" s="2">
        <v>186</v>
      </c>
      <c r="K725" s="2">
        <v>266400</v>
      </c>
      <c r="L725" s="2">
        <v>6583</v>
      </c>
      <c r="M725" s="2">
        <v>360.6</v>
      </c>
      <c r="N725" s="2">
        <v>619</v>
      </c>
      <c r="O725" s="2">
        <v>19770</v>
      </c>
      <c r="P725" s="2">
        <v>30.4</v>
      </c>
    </row>
    <row r="726" spans="1:16" ht="24.95" customHeight="1" x14ac:dyDescent="0.25">
      <c r="A726" s="17" t="s">
        <v>715</v>
      </c>
      <c r="B726" s="2">
        <v>246</v>
      </c>
      <c r="C726" s="2">
        <v>105</v>
      </c>
      <c r="D726" s="2">
        <v>30.2</v>
      </c>
      <c r="E726" s="2">
        <v>79</v>
      </c>
      <c r="F726" s="2">
        <v>-4.2</v>
      </c>
      <c r="I726" s="2">
        <v>511</v>
      </c>
      <c r="J726" s="2">
        <v>110</v>
      </c>
      <c r="K726" s="2">
        <v>53655</v>
      </c>
      <c r="L726" s="2">
        <v>1461</v>
      </c>
      <c r="M726" s="2">
        <v>54.7</v>
      </c>
      <c r="N726" s="2">
        <v>121.4</v>
      </c>
      <c r="O726" s="2">
        <v>4400</v>
      </c>
      <c r="P726" s="2">
        <v>33.1</v>
      </c>
    </row>
    <row r="727" spans="1:16" ht="24.95" customHeight="1" x14ac:dyDescent="0.25">
      <c r="A727" s="17" t="s">
        <v>716</v>
      </c>
      <c r="B727" s="2">
        <v>279</v>
      </c>
      <c r="C727" s="2">
        <v>108</v>
      </c>
      <c r="D727" s="2">
        <v>32.1</v>
      </c>
      <c r="E727" s="2">
        <v>75</v>
      </c>
      <c r="F727" s="2">
        <v>0.9</v>
      </c>
      <c r="I727" s="2">
        <v>1815</v>
      </c>
      <c r="J727" s="2">
        <v>193</v>
      </c>
      <c r="K727" s="2">
        <v>196020</v>
      </c>
      <c r="L727" s="2">
        <v>5798</v>
      </c>
      <c r="M727" s="2">
        <v>289.89999999999998</v>
      </c>
      <c r="N727" s="2">
        <v>446.7</v>
      </c>
      <c r="O727" s="2">
        <v>16620</v>
      </c>
      <c r="P727" s="2">
        <v>40</v>
      </c>
    </row>
    <row r="728" spans="1:16" ht="24.95" customHeight="1" x14ac:dyDescent="0.25">
      <c r="A728" s="17" t="s">
        <v>717</v>
      </c>
      <c r="B728" s="2">
        <v>276</v>
      </c>
      <c r="C728" s="2">
        <v>111</v>
      </c>
      <c r="D728" s="2">
        <v>32.5</v>
      </c>
      <c r="E728" s="2">
        <v>79</v>
      </c>
      <c r="F728" s="2">
        <v>-0.4</v>
      </c>
      <c r="I728" s="2">
        <v>1835</v>
      </c>
      <c r="J728" s="2">
        <v>178</v>
      </c>
      <c r="K728" s="2">
        <v>203685</v>
      </c>
      <c r="L728" s="2">
        <v>5288</v>
      </c>
      <c r="M728" s="2">
        <v>338</v>
      </c>
      <c r="N728" s="2">
        <v>450.5</v>
      </c>
      <c r="O728" s="2">
        <v>14800</v>
      </c>
      <c r="P728" s="2">
        <v>32.700000000000003</v>
      </c>
    </row>
    <row r="729" spans="1:16" ht="24.95" customHeight="1" x14ac:dyDescent="0.25">
      <c r="A729" s="17" t="s">
        <v>718</v>
      </c>
      <c r="B729" s="2">
        <v>270</v>
      </c>
      <c r="C729" s="2">
        <v>111</v>
      </c>
      <c r="D729" s="2">
        <v>31</v>
      </c>
      <c r="E729" s="2">
        <v>79</v>
      </c>
      <c r="F729" s="2">
        <v>1</v>
      </c>
      <c r="I729" s="2">
        <v>522</v>
      </c>
      <c r="J729" s="2">
        <v>110</v>
      </c>
      <c r="K729" s="2">
        <v>57942</v>
      </c>
      <c r="L729" s="2">
        <v>2593</v>
      </c>
      <c r="M729" s="2">
        <v>72.7</v>
      </c>
      <c r="N729" s="2">
        <v>140.4</v>
      </c>
      <c r="O729" s="2">
        <v>7060</v>
      </c>
      <c r="P729" s="2">
        <v>56.4</v>
      </c>
    </row>
    <row r="730" spans="1:16" ht="24.95" customHeight="1" x14ac:dyDescent="0.25">
      <c r="A730" s="17" t="s">
        <v>719</v>
      </c>
      <c r="B730" s="2">
        <v>269</v>
      </c>
      <c r="C730" s="2">
        <v>111</v>
      </c>
      <c r="D730" s="2">
        <v>31.7</v>
      </c>
      <c r="E730" s="2">
        <v>79</v>
      </c>
      <c r="F730" s="2">
        <v>0.3</v>
      </c>
      <c r="I730" s="2">
        <v>294</v>
      </c>
      <c r="J730" s="2">
        <v>180</v>
      </c>
      <c r="K730" s="2">
        <v>32634</v>
      </c>
      <c r="L730" s="2">
        <v>903</v>
      </c>
      <c r="M730" s="2">
        <v>29.9</v>
      </c>
      <c r="N730" s="2">
        <v>78.5</v>
      </c>
      <c r="O730" s="2">
        <v>2840</v>
      </c>
      <c r="P730" s="2">
        <v>37.4</v>
      </c>
    </row>
    <row r="731" spans="1:16" ht="24.95" customHeight="1" x14ac:dyDescent="0.25">
      <c r="A731" s="17" t="s">
        <v>720</v>
      </c>
      <c r="B731" s="2">
        <v>300</v>
      </c>
      <c r="C731" s="2">
        <v>119</v>
      </c>
      <c r="D731" s="2">
        <v>39.4</v>
      </c>
      <c r="E731" s="2">
        <v>79</v>
      </c>
      <c r="F731" s="2">
        <v>0.7</v>
      </c>
      <c r="I731" s="2">
        <v>5180</v>
      </c>
      <c r="J731" s="2">
        <v>188</v>
      </c>
      <c r="K731" s="2">
        <v>616420</v>
      </c>
      <c r="L731" s="2">
        <v>13771</v>
      </c>
      <c r="M731" s="2">
        <v>793.6</v>
      </c>
      <c r="N731" s="2">
        <v>1366.5</v>
      </c>
      <c r="O731" s="2">
        <v>41820</v>
      </c>
      <c r="P731" s="2">
        <v>27.2</v>
      </c>
    </row>
    <row r="732" spans="1:16" ht="24.95" customHeight="1" x14ac:dyDescent="0.25">
      <c r="A732" s="17" t="s">
        <v>101</v>
      </c>
      <c r="B732" s="2">
        <v>239</v>
      </c>
      <c r="C732" s="2">
        <v>96</v>
      </c>
      <c r="D732" s="2">
        <v>17.100000000000001</v>
      </c>
      <c r="E732" s="2">
        <v>79</v>
      </c>
      <c r="H732" s="2">
        <v>98.7</v>
      </c>
      <c r="I732" s="2">
        <v>1956</v>
      </c>
      <c r="J732" s="2">
        <v>191</v>
      </c>
      <c r="K732" s="2">
        <v>193143</v>
      </c>
      <c r="L732" s="2">
        <v>4658</v>
      </c>
      <c r="M732" s="2">
        <v>270.2</v>
      </c>
      <c r="N732" s="2">
        <v>477.4</v>
      </c>
      <c r="O732" s="2">
        <v>15630</v>
      </c>
      <c r="P732" s="2">
        <v>26.9</v>
      </c>
    </row>
    <row r="733" spans="1:16" ht="24.95" customHeight="1" x14ac:dyDescent="0.25">
      <c r="A733" s="17" t="s">
        <v>109</v>
      </c>
      <c r="B733" s="2">
        <v>251</v>
      </c>
      <c r="C733" s="2">
        <v>104</v>
      </c>
      <c r="D733" s="2">
        <v>25.5</v>
      </c>
      <c r="E733" s="2">
        <v>79</v>
      </c>
      <c r="F733" s="2">
        <v>-0.5</v>
      </c>
      <c r="H733" s="2">
        <v>108.6</v>
      </c>
      <c r="I733" s="2">
        <v>2540</v>
      </c>
      <c r="J733" s="2">
        <v>150</v>
      </c>
      <c r="K733" s="2">
        <v>275732</v>
      </c>
      <c r="L733" s="2">
        <v>6258</v>
      </c>
      <c r="M733" s="2">
        <v>246.9</v>
      </c>
      <c r="N733" s="2">
        <v>699.6</v>
      </c>
      <c r="O733" s="2">
        <v>16090</v>
      </c>
      <c r="P733" s="2">
        <v>4.3</v>
      </c>
    </row>
    <row r="734" spans="1:16" ht="24.95" customHeight="1" x14ac:dyDescent="0.25">
      <c r="A734" s="17" t="s">
        <v>628</v>
      </c>
      <c r="B734" s="2">
        <v>236</v>
      </c>
      <c r="C734" s="2">
        <v>100</v>
      </c>
      <c r="D734" s="2">
        <v>20.8</v>
      </c>
      <c r="E734" s="2">
        <v>79</v>
      </c>
      <c r="F734" s="2">
        <v>0.2</v>
      </c>
      <c r="H734" s="2">
        <v>103.2</v>
      </c>
      <c r="I734" s="2">
        <v>3600</v>
      </c>
      <c r="J734" s="2">
        <v>148</v>
      </c>
      <c r="K734" s="2">
        <v>371468</v>
      </c>
      <c r="L734" s="2">
        <v>9350</v>
      </c>
      <c r="M734" s="2">
        <v>430.9</v>
      </c>
      <c r="N734" s="2">
        <v>812.5</v>
      </c>
      <c r="O734" s="2">
        <v>29110</v>
      </c>
      <c r="P734" s="2">
        <v>25.2</v>
      </c>
    </row>
    <row r="735" spans="1:16" ht="24.95" customHeight="1" x14ac:dyDescent="0.25">
      <c r="A735" s="17" t="s">
        <v>629</v>
      </c>
      <c r="B735" s="2">
        <v>250</v>
      </c>
      <c r="C735" s="2">
        <v>102</v>
      </c>
      <c r="D735" s="2">
        <v>22.2</v>
      </c>
      <c r="E735" s="2">
        <v>79</v>
      </c>
      <c r="F735" s="2">
        <v>0.8</v>
      </c>
      <c r="H735" s="2">
        <v>105.7</v>
      </c>
      <c r="I735" s="2">
        <v>950</v>
      </c>
      <c r="J735" s="2">
        <v>141</v>
      </c>
      <c r="K735" s="2">
        <v>100444</v>
      </c>
      <c r="L735" s="2">
        <v>2061</v>
      </c>
      <c r="M735" s="2">
        <v>107.8</v>
      </c>
      <c r="N735" s="2">
        <v>221.8</v>
      </c>
      <c r="O735" s="2">
        <v>9430</v>
      </c>
      <c r="P735" s="2">
        <v>43</v>
      </c>
    </row>
    <row r="736" spans="1:16" ht="24.95" customHeight="1" x14ac:dyDescent="0.25">
      <c r="A736" s="17" t="s">
        <v>721</v>
      </c>
      <c r="B736" s="2">
        <v>242</v>
      </c>
      <c r="C736" s="2">
        <v>100</v>
      </c>
      <c r="D736" s="2">
        <v>21.6</v>
      </c>
      <c r="E736" s="2">
        <v>79</v>
      </c>
      <c r="F736" s="2">
        <v>-0.6</v>
      </c>
      <c r="H736" s="2">
        <v>100.9</v>
      </c>
      <c r="I736" s="2">
        <v>2885</v>
      </c>
      <c r="J736" s="2">
        <v>250</v>
      </c>
      <c r="K736" s="2">
        <v>291082</v>
      </c>
      <c r="L736" s="2">
        <v>4256</v>
      </c>
      <c r="M736" s="2">
        <v>248</v>
      </c>
      <c r="N736" s="2">
        <v>625.5</v>
      </c>
      <c r="O736" s="2">
        <v>17040</v>
      </c>
    </row>
    <row r="737" spans="1:16" ht="24.95" customHeight="1" x14ac:dyDescent="0.25">
      <c r="A737" s="17" t="s">
        <v>722</v>
      </c>
      <c r="B737" s="2">
        <v>248</v>
      </c>
      <c r="C737" s="2">
        <v>101</v>
      </c>
      <c r="D737" s="2">
        <v>22</v>
      </c>
      <c r="E737" s="2">
        <v>79</v>
      </c>
      <c r="H737" s="2">
        <v>101</v>
      </c>
      <c r="I737" s="2">
        <v>1620</v>
      </c>
      <c r="J737" s="2">
        <v>137</v>
      </c>
      <c r="K737" s="2">
        <v>164085</v>
      </c>
      <c r="L737" s="2">
        <v>4515</v>
      </c>
      <c r="M737" s="2">
        <v>230.6</v>
      </c>
      <c r="N737" s="2">
        <v>412.7</v>
      </c>
      <c r="O737" s="2">
        <v>14620</v>
      </c>
      <c r="P737" s="2">
        <v>37.1</v>
      </c>
    </row>
    <row r="738" spans="1:16" ht="24.95" customHeight="1" x14ac:dyDescent="0.25">
      <c r="A738" s="17" t="s">
        <v>36</v>
      </c>
      <c r="B738" s="2">
        <v>232</v>
      </c>
      <c r="C738" s="2">
        <v>99</v>
      </c>
      <c r="D738" s="2">
        <v>21.2</v>
      </c>
      <c r="E738" s="2">
        <v>79</v>
      </c>
      <c r="F738" s="2">
        <v>-1.2</v>
      </c>
      <c r="H738" s="2">
        <v>101.8</v>
      </c>
      <c r="I738" s="2">
        <v>2707</v>
      </c>
      <c r="J738" s="2">
        <v>197</v>
      </c>
      <c r="K738" s="2">
        <v>2756676</v>
      </c>
      <c r="L738" s="2">
        <v>5024</v>
      </c>
      <c r="M738" s="2">
        <v>321.10000000000002</v>
      </c>
      <c r="N738" s="2">
        <v>685.1</v>
      </c>
      <c r="O738" s="2">
        <v>14450</v>
      </c>
    </row>
    <row r="739" spans="1:16" ht="24.95" customHeight="1" x14ac:dyDescent="0.25">
      <c r="A739" s="17" t="s">
        <v>723</v>
      </c>
      <c r="B739" s="2">
        <v>248</v>
      </c>
      <c r="C739" s="2">
        <v>97</v>
      </c>
      <c r="D739" s="2">
        <v>19.100000000000001</v>
      </c>
      <c r="E739" s="2">
        <v>79</v>
      </c>
      <c r="F739" s="2">
        <v>-1.1000000000000001</v>
      </c>
      <c r="H739" s="2">
        <v>97.4</v>
      </c>
      <c r="I739" s="2">
        <v>1202</v>
      </c>
      <c r="J739" s="2">
        <v>151</v>
      </c>
      <c r="K739" s="2">
        <v>117031</v>
      </c>
      <c r="L739" s="2">
        <v>2851</v>
      </c>
      <c r="M739" s="2">
        <v>152</v>
      </c>
      <c r="N739" s="2">
        <v>302</v>
      </c>
      <c r="O739" s="2">
        <v>8600</v>
      </c>
      <c r="P739" s="2">
        <v>20.9</v>
      </c>
    </row>
    <row r="740" spans="1:16" ht="24.95" customHeight="1" x14ac:dyDescent="0.25">
      <c r="A740" s="17" t="s">
        <v>724</v>
      </c>
      <c r="B740" s="2">
        <v>242</v>
      </c>
      <c r="C740" s="2">
        <v>102</v>
      </c>
      <c r="D740" s="2">
        <v>22.5</v>
      </c>
      <c r="E740" s="2">
        <v>79</v>
      </c>
      <c r="F740" s="2">
        <v>0.5</v>
      </c>
      <c r="H740" s="2">
        <v>103.3</v>
      </c>
      <c r="I740" s="2">
        <v>1470</v>
      </c>
      <c r="J740" s="2">
        <v>151</v>
      </c>
      <c r="K740" s="2">
        <v>151881</v>
      </c>
      <c r="L740" s="2">
        <v>5723</v>
      </c>
      <c r="M740" s="2">
        <v>258.8</v>
      </c>
      <c r="N740" s="2">
        <v>369.7</v>
      </c>
      <c r="O740" s="2">
        <v>16030</v>
      </c>
      <c r="P740" s="2">
        <v>48.8</v>
      </c>
    </row>
    <row r="741" spans="1:16" ht="24.95" customHeight="1" x14ac:dyDescent="0.25">
      <c r="A741" s="17" t="s">
        <v>146</v>
      </c>
      <c r="B741" s="2">
        <v>233</v>
      </c>
      <c r="C741" s="2">
        <v>93</v>
      </c>
      <c r="D741" s="2">
        <v>15.7</v>
      </c>
      <c r="E741" s="2">
        <v>79</v>
      </c>
      <c r="F741" s="2">
        <v>-1.7</v>
      </c>
      <c r="H741" s="2">
        <v>96.3</v>
      </c>
      <c r="I741" s="2">
        <v>6250</v>
      </c>
      <c r="J741" s="2">
        <v>166</v>
      </c>
      <c r="K741" s="2">
        <v>601950</v>
      </c>
      <c r="L741" s="2">
        <v>13528</v>
      </c>
      <c r="M741" s="2">
        <v>938.5</v>
      </c>
      <c r="N741" s="2">
        <v>1518.8</v>
      </c>
      <c r="O741" s="2">
        <v>44510</v>
      </c>
      <c r="P741" s="2">
        <v>21.8</v>
      </c>
    </row>
    <row r="742" spans="1:16" ht="24.95" customHeight="1" x14ac:dyDescent="0.25">
      <c r="A742" s="17" t="s">
        <v>165</v>
      </c>
      <c r="B742" s="2">
        <v>283</v>
      </c>
      <c r="C742" s="2">
        <v>109</v>
      </c>
      <c r="D742" s="2">
        <v>29.8</v>
      </c>
      <c r="E742" s="2">
        <v>79</v>
      </c>
      <c r="F742" s="2">
        <v>0.2</v>
      </c>
      <c r="H742" s="2">
        <v>110.1</v>
      </c>
      <c r="I742" s="2">
        <v>4422</v>
      </c>
      <c r="J742" s="2">
        <v>205</v>
      </c>
      <c r="K742" s="2">
        <v>486789</v>
      </c>
      <c r="L742" s="2">
        <v>9681</v>
      </c>
      <c r="M742" s="2">
        <v>596.79999999999995</v>
      </c>
      <c r="N742" s="2">
        <v>1024.0999999999999</v>
      </c>
      <c r="O742" s="2">
        <v>33230</v>
      </c>
      <c r="P742" s="2">
        <v>25</v>
      </c>
    </row>
    <row r="743" spans="1:16" ht="24.95" customHeight="1" x14ac:dyDescent="0.25">
      <c r="A743" s="17" t="s">
        <v>725</v>
      </c>
      <c r="B743" s="2">
        <v>249</v>
      </c>
      <c r="C743" s="2">
        <v>101</v>
      </c>
      <c r="D743" s="2">
        <v>22.2</v>
      </c>
      <c r="E743" s="2">
        <v>79</v>
      </c>
      <c r="F743" s="2">
        <v>-0.2</v>
      </c>
      <c r="H743" s="2">
        <v>102.5</v>
      </c>
      <c r="I743" s="2">
        <v>7388</v>
      </c>
      <c r="J743" s="2">
        <v>156</v>
      </c>
      <c r="K743" s="2">
        <v>757149</v>
      </c>
      <c r="L743" s="2">
        <v>18516</v>
      </c>
      <c r="M743" s="2">
        <v>1282.5999999999999</v>
      </c>
      <c r="N743" s="2">
        <v>1792.2</v>
      </c>
      <c r="O743" s="2">
        <v>58400</v>
      </c>
      <c r="P743" s="2">
        <v>28.6</v>
      </c>
    </row>
    <row r="744" spans="1:16" ht="24.95" customHeight="1" x14ac:dyDescent="0.25">
      <c r="A744" s="17" t="s">
        <v>726</v>
      </c>
      <c r="B744" s="2">
        <v>248</v>
      </c>
      <c r="C744" s="2">
        <v>106</v>
      </c>
      <c r="D744" s="2">
        <v>26.4</v>
      </c>
      <c r="E744" s="2">
        <v>79</v>
      </c>
      <c r="F744" s="2">
        <v>0.6</v>
      </c>
      <c r="H744" s="2">
        <v>108.7</v>
      </c>
      <c r="I744" s="2">
        <v>6465</v>
      </c>
      <c r="J744" s="2">
        <v>175</v>
      </c>
      <c r="K744" s="2">
        <v>702522</v>
      </c>
      <c r="L744" s="2">
        <v>14000</v>
      </c>
      <c r="M744" s="2">
        <v>949.6</v>
      </c>
      <c r="N744" s="2">
        <v>1601.5</v>
      </c>
      <c r="O744" s="2">
        <v>46200</v>
      </c>
      <c r="P744" s="2">
        <v>27</v>
      </c>
    </row>
    <row r="745" spans="1:16" ht="24.95" customHeight="1" x14ac:dyDescent="0.25">
      <c r="A745" s="17" t="s">
        <v>169</v>
      </c>
      <c r="B745" s="2">
        <v>242</v>
      </c>
      <c r="C745" s="2">
        <v>99</v>
      </c>
      <c r="D745" s="2">
        <v>19.5</v>
      </c>
      <c r="E745" s="2">
        <v>79</v>
      </c>
      <c r="F745" s="2">
        <v>0.5</v>
      </c>
      <c r="H745" s="2">
        <v>99</v>
      </c>
      <c r="I745" s="2">
        <v>1420</v>
      </c>
      <c r="J745" s="2">
        <v>230</v>
      </c>
      <c r="K745" s="2">
        <v>140580</v>
      </c>
      <c r="L745" s="2">
        <v>3314</v>
      </c>
      <c r="M745" s="2">
        <v>193.4</v>
      </c>
      <c r="N745" s="2">
        <v>353.9</v>
      </c>
      <c r="O745" s="2">
        <v>10470</v>
      </c>
      <c r="P745" s="2">
        <v>23.6</v>
      </c>
    </row>
    <row r="746" spans="1:16" ht="24.95" customHeight="1" x14ac:dyDescent="0.25">
      <c r="A746" s="17" t="s">
        <v>6771</v>
      </c>
      <c r="B746" s="2">
        <v>180</v>
      </c>
      <c r="C746" s="2">
        <v>72</v>
      </c>
      <c r="I746" s="2">
        <v>57875</v>
      </c>
      <c r="J746" s="2">
        <v>179</v>
      </c>
      <c r="K746" s="2">
        <v>4167000</v>
      </c>
      <c r="L746" s="2">
        <v>136329</v>
      </c>
      <c r="M746" s="2">
        <v>8432.5</v>
      </c>
      <c r="N746" s="2">
        <v>14411.2</v>
      </c>
      <c r="O746" s="2">
        <v>419030</v>
      </c>
      <c r="P746" s="2">
        <v>22.7</v>
      </c>
    </row>
    <row r="747" spans="1:16" ht="24.95" customHeight="1" x14ac:dyDescent="0.25">
      <c r="A747" s="17" t="s">
        <v>728</v>
      </c>
      <c r="B747" s="2">
        <v>300</v>
      </c>
      <c r="C747" s="2">
        <v>120</v>
      </c>
      <c r="D747" s="2">
        <v>49.3</v>
      </c>
      <c r="E747" s="2">
        <v>72</v>
      </c>
      <c r="F747" s="2">
        <v>-1.3</v>
      </c>
      <c r="I747" s="2">
        <v>6655</v>
      </c>
      <c r="J747" s="2">
        <v>161</v>
      </c>
      <c r="K747" s="2">
        <v>798600</v>
      </c>
      <c r="L747" s="2">
        <v>12488</v>
      </c>
      <c r="M747" s="2">
        <v>784</v>
      </c>
      <c r="N747" s="2">
        <v>1707.1</v>
      </c>
      <c r="O747" s="2">
        <v>38730</v>
      </c>
      <c r="P747" s="2">
        <v>0.4</v>
      </c>
    </row>
    <row r="748" spans="1:16" ht="24.95" customHeight="1" x14ac:dyDescent="0.25">
      <c r="A748" s="17" t="s">
        <v>729</v>
      </c>
      <c r="B748" s="2">
        <v>258</v>
      </c>
      <c r="C748" s="2">
        <v>102</v>
      </c>
      <c r="D748" s="2">
        <v>28</v>
      </c>
      <c r="E748" s="2">
        <v>74</v>
      </c>
      <c r="I748" s="2">
        <v>975</v>
      </c>
      <c r="J748" s="2">
        <v>164</v>
      </c>
      <c r="K748" s="2">
        <v>99450</v>
      </c>
      <c r="L748" s="2">
        <v>2343</v>
      </c>
      <c r="M748" s="2">
        <v>141.30000000000001</v>
      </c>
      <c r="N748" s="2">
        <v>251</v>
      </c>
      <c r="O748" s="2">
        <v>7480</v>
      </c>
      <c r="P748" s="2">
        <v>25.2</v>
      </c>
    </row>
    <row r="749" spans="1:16" ht="24.95" customHeight="1" x14ac:dyDescent="0.25">
      <c r="A749" s="17" t="s">
        <v>730</v>
      </c>
      <c r="B749" s="2">
        <v>271</v>
      </c>
      <c r="C749" s="2">
        <v>104</v>
      </c>
      <c r="D749" s="2">
        <v>31.4</v>
      </c>
      <c r="E749" s="2">
        <v>74</v>
      </c>
      <c r="F749" s="2">
        <v>-1.4</v>
      </c>
      <c r="I749" s="2">
        <v>652</v>
      </c>
      <c r="J749" s="2">
        <v>179</v>
      </c>
      <c r="K749" s="2">
        <v>67808</v>
      </c>
      <c r="L749" s="2">
        <v>1102</v>
      </c>
      <c r="M749" s="2">
        <v>47.2</v>
      </c>
      <c r="N749" s="2">
        <v>161.4</v>
      </c>
      <c r="O749" s="2">
        <v>3370</v>
      </c>
    </row>
    <row r="750" spans="1:16" ht="24.95" customHeight="1" x14ac:dyDescent="0.25">
      <c r="A750" s="17" t="s">
        <v>731</v>
      </c>
      <c r="B750" s="2">
        <v>270</v>
      </c>
      <c r="C750" s="2">
        <v>106</v>
      </c>
      <c r="D750" s="2">
        <v>31.5</v>
      </c>
      <c r="E750" s="2">
        <v>74</v>
      </c>
      <c r="F750" s="2">
        <v>0.5</v>
      </c>
      <c r="I750" s="2">
        <v>3250</v>
      </c>
      <c r="J750" s="2">
        <v>165</v>
      </c>
      <c r="K750" s="2">
        <v>344500</v>
      </c>
      <c r="L750" s="2">
        <v>8325</v>
      </c>
      <c r="M750" s="2">
        <v>436</v>
      </c>
      <c r="N750" s="2">
        <v>809.6</v>
      </c>
      <c r="O750" s="2">
        <v>26510</v>
      </c>
      <c r="P750" s="2">
        <v>32</v>
      </c>
    </row>
    <row r="751" spans="1:16" ht="24.95" customHeight="1" x14ac:dyDescent="0.25">
      <c r="A751" s="17" t="s">
        <v>732</v>
      </c>
      <c r="B751" s="2">
        <v>260</v>
      </c>
      <c r="C751" s="2">
        <v>104</v>
      </c>
      <c r="D751" s="2">
        <v>31.8</v>
      </c>
      <c r="E751" s="2">
        <v>72</v>
      </c>
      <c r="F751" s="2">
        <v>0.2</v>
      </c>
      <c r="I751" s="2">
        <v>6035</v>
      </c>
      <c r="J751" s="2">
        <v>197</v>
      </c>
      <c r="K751" s="2">
        <v>627640</v>
      </c>
      <c r="L751" s="2">
        <v>13812</v>
      </c>
      <c r="M751" s="2">
        <v>836.2</v>
      </c>
      <c r="N751" s="2">
        <v>1493.8</v>
      </c>
      <c r="O751" s="2">
        <v>41840</v>
      </c>
      <c r="P751" s="2">
        <v>20.9</v>
      </c>
    </row>
    <row r="752" spans="1:16" ht="24.95" customHeight="1" x14ac:dyDescent="0.25">
      <c r="A752" s="17" t="s">
        <v>733</v>
      </c>
      <c r="B752" s="2">
        <v>270</v>
      </c>
      <c r="C752" s="2">
        <v>110</v>
      </c>
      <c r="D752" s="2">
        <v>36.799999999999997</v>
      </c>
      <c r="E752" s="2">
        <v>74</v>
      </c>
      <c r="F752" s="2">
        <v>-0.8</v>
      </c>
      <c r="I752" s="2">
        <v>1727</v>
      </c>
      <c r="J752" s="2">
        <v>165</v>
      </c>
      <c r="K752" s="2">
        <v>189970</v>
      </c>
      <c r="L752" s="2">
        <v>4091</v>
      </c>
      <c r="M752" s="2">
        <v>249.3</v>
      </c>
      <c r="N752" s="2">
        <v>433.5</v>
      </c>
      <c r="O752" s="2">
        <v>11800</v>
      </c>
      <c r="P752" s="2">
        <v>17</v>
      </c>
    </row>
    <row r="753" spans="1:16" ht="24.95" customHeight="1" x14ac:dyDescent="0.25">
      <c r="A753" s="17" t="s">
        <v>734</v>
      </c>
      <c r="B753" s="2">
        <v>256</v>
      </c>
      <c r="C753" s="2">
        <v>103</v>
      </c>
      <c r="D753" s="2">
        <v>32.200000000000003</v>
      </c>
      <c r="E753" s="2">
        <v>72</v>
      </c>
      <c r="F753" s="2">
        <v>-1.2</v>
      </c>
      <c r="I753" s="2">
        <v>2560</v>
      </c>
      <c r="J753" s="2">
        <v>175</v>
      </c>
      <c r="K753" s="2">
        <v>263680</v>
      </c>
      <c r="L753" s="2">
        <v>5076</v>
      </c>
      <c r="M753" s="2">
        <v>316.39999999999998</v>
      </c>
      <c r="N753" s="2">
        <v>608.5</v>
      </c>
      <c r="O753" s="2">
        <v>15980</v>
      </c>
      <c r="P753" s="2">
        <v>14</v>
      </c>
    </row>
    <row r="754" spans="1:16" ht="24.95" customHeight="1" x14ac:dyDescent="0.25">
      <c r="A754" s="17" t="s">
        <v>735</v>
      </c>
      <c r="B754" s="2">
        <v>252</v>
      </c>
      <c r="C754" s="2">
        <v>104</v>
      </c>
      <c r="D754" s="2">
        <v>33.200000000000003</v>
      </c>
      <c r="E754" s="2">
        <v>72</v>
      </c>
      <c r="F754" s="2">
        <v>-1.2</v>
      </c>
      <c r="I754" s="2">
        <v>2466</v>
      </c>
      <c r="J754" s="2">
        <v>187</v>
      </c>
      <c r="K754" s="2">
        <v>256464</v>
      </c>
      <c r="L754" s="2">
        <v>4414</v>
      </c>
      <c r="M754" s="2">
        <v>441.2</v>
      </c>
      <c r="N754" s="2">
        <v>601.20000000000005</v>
      </c>
      <c r="O754" s="2">
        <v>13510</v>
      </c>
    </row>
    <row r="755" spans="1:16" ht="24.95" customHeight="1" x14ac:dyDescent="0.25">
      <c r="A755" s="17" t="s">
        <v>736</v>
      </c>
      <c r="B755" s="2">
        <v>254</v>
      </c>
      <c r="C755" s="2">
        <v>98</v>
      </c>
      <c r="D755" s="2">
        <v>23.6</v>
      </c>
      <c r="E755" s="2">
        <v>74</v>
      </c>
      <c r="F755" s="2">
        <v>0.4</v>
      </c>
      <c r="I755" s="2">
        <v>825</v>
      </c>
      <c r="J755" s="2">
        <v>183</v>
      </c>
      <c r="K755" s="2">
        <v>80850</v>
      </c>
      <c r="L755" s="2">
        <v>2382</v>
      </c>
      <c r="M755" s="2">
        <v>119.9</v>
      </c>
      <c r="N755" s="2">
        <v>202.5</v>
      </c>
      <c r="O755" s="2">
        <v>7310</v>
      </c>
      <c r="P755" s="2">
        <v>38.799999999999997</v>
      </c>
    </row>
    <row r="756" spans="1:16" ht="24.95" customHeight="1" x14ac:dyDescent="0.25">
      <c r="A756" s="17" t="s">
        <v>737</v>
      </c>
      <c r="B756" s="2">
        <v>252</v>
      </c>
      <c r="C756" s="2">
        <v>100</v>
      </c>
      <c r="D756" s="2">
        <v>26.2</v>
      </c>
      <c r="E756" s="2">
        <v>74</v>
      </c>
      <c r="F756" s="2">
        <v>-0.2</v>
      </c>
      <c r="I756" s="2">
        <v>3600</v>
      </c>
      <c r="J756" s="2">
        <v>213</v>
      </c>
      <c r="K756" s="2">
        <v>360000</v>
      </c>
      <c r="L756" s="2">
        <v>7493</v>
      </c>
      <c r="M756" s="2">
        <v>509.9</v>
      </c>
      <c r="N756" s="2">
        <v>843.6</v>
      </c>
      <c r="O756" s="2">
        <v>22990</v>
      </c>
      <c r="P756" s="2">
        <v>15.9</v>
      </c>
    </row>
    <row r="757" spans="1:16" ht="24.95" customHeight="1" x14ac:dyDescent="0.25">
      <c r="A757" s="17" t="s">
        <v>729</v>
      </c>
      <c r="B757" s="2">
        <v>242</v>
      </c>
      <c r="C757" s="2">
        <v>99</v>
      </c>
      <c r="D757" s="2">
        <v>23.8</v>
      </c>
      <c r="E757" s="2">
        <v>74</v>
      </c>
      <c r="F757" s="2">
        <v>1.2</v>
      </c>
      <c r="H757" s="2">
        <v>99.8</v>
      </c>
      <c r="I757" s="2">
        <v>1649</v>
      </c>
      <c r="J757" s="2">
        <v>158</v>
      </c>
      <c r="K757" s="2">
        <v>164640</v>
      </c>
      <c r="L757" s="2">
        <v>4370</v>
      </c>
      <c r="M757" s="2">
        <v>198.9</v>
      </c>
      <c r="N757" s="2">
        <v>420.5</v>
      </c>
      <c r="O757" s="2">
        <v>13660</v>
      </c>
      <c r="P757" s="2">
        <v>32.1</v>
      </c>
    </row>
    <row r="758" spans="1:16" ht="24.95" customHeight="1" x14ac:dyDescent="0.25">
      <c r="A758" s="17" t="s">
        <v>739</v>
      </c>
      <c r="B758" s="2">
        <v>224</v>
      </c>
      <c r="C758" s="2">
        <v>88</v>
      </c>
      <c r="D758" s="2">
        <v>13.7</v>
      </c>
      <c r="E758" s="2">
        <v>74</v>
      </c>
      <c r="F758" s="2">
        <v>0.3</v>
      </c>
      <c r="H758" s="2">
        <v>92.5</v>
      </c>
      <c r="I758" s="2">
        <v>7782</v>
      </c>
      <c r="J758" s="2">
        <v>187</v>
      </c>
      <c r="K758" s="2">
        <v>719565</v>
      </c>
      <c r="L758" s="2">
        <v>19483</v>
      </c>
      <c r="M758" s="2">
        <v>1303.3</v>
      </c>
      <c r="N758" s="2">
        <v>1924.6</v>
      </c>
      <c r="O758" s="2">
        <v>58570</v>
      </c>
      <c r="P758" s="2">
        <v>25.7</v>
      </c>
    </row>
    <row r="759" spans="1:16" ht="24.95" customHeight="1" x14ac:dyDescent="0.25">
      <c r="A759" s="17" t="s">
        <v>740</v>
      </c>
      <c r="B759" s="2">
        <v>228</v>
      </c>
      <c r="C759" s="2">
        <v>92</v>
      </c>
      <c r="D759" s="2">
        <v>17.2</v>
      </c>
      <c r="E759" s="2">
        <v>74</v>
      </c>
      <c r="F759" s="2">
        <v>0.8</v>
      </c>
      <c r="H759" s="2">
        <v>94.1</v>
      </c>
      <c r="I759" s="2">
        <v>2250</v>
      </c>
      <c r="J759" s="2">
        <v>200</v>
      </c>
      <c r="K759" s="2">
        <v>211656</v>
      </c>
      <c r="L759" s="2">
        <v>6098</v>
      </c>
      <c r="M759" s="2">
        <v>442.3</v>
      </c>
      <c r="N759" s="2">
        <v>550.1</v>
      </c>
      <c r="O759" s="2">
        <v>19740</v>
      </c>
      <c r="P759" s="2">
        <v>35.9</v>
      </c>
    </row>
    <row r="760" spans="1:16" ht="24.95" customHeight="1" x14ac:dyDescent="0.25">
      <c r="A760" s="17" t="s">
        <v>741</v>
      </c>
      <c r="B760" s="2">
        <v>238</v>
      </c>
      <c r="C760" s="2">
        <v>93</v>
      </c>
      <c r="D760" s="2">
        <v>18.5</v>
      </c>
      <c r="E760" s="2">
        <v>74</v>
      </c>
      <c r="F760" s="2">
        <v>0.5</v>
      </c>
      <c r="H760" s="2">
        <v>97.1</v>
      </c>
      <c r="I760" s="2">
        <v>7400</v>
      </c>
      <c r="J760" s="2">
        <v>205</v>
      </c>
      <c r="K760" s="2">
        <v>718586</v>
      </c>
      <c r="L760" s="2">
        <v>19422</v>
      </c>
      <c r="M760" s="2">
        <v>1387.8</v>
      </c>
      <c r="N760" s="2">
        <v>1889.1</v>
      </c>
      <c r="O760" s="2">
        <v>58490</v>
      </c>
      <c r="P760" s="2">
        <v>30</v>
      </c>
    </row>
    <row r="761" spans="1:16" ht="24.95" customHeight="1" x14ac:dyDescent="0.25">
      <c r="A761" s="17" t="s">
        <v>742</v>
      </c>
      <c r="B761" s="2">
        <v>231</v>
      </c>
      <c r="C761" s="2">
        <v>96</v>
      </c>
      <c r="D761" s="2">
        <v>21.5</v>
      </c>
      <c r="E761" s="2">
        <v>74</v>
      </c>
      <c r="F761" s="2">
        <v>0.5</v>
      </c>
      <c r="H761" s="2">
        <v>96.9</v>
      </c>
      <c r="I761" s="2">
        <v>2154</v>
      </c>
      <c r="J761" s="2">
        <v>111</v>
      </c>
      <c r="K761" s="2">
        <v>208669</v>
      </c>
      <c r="L761" s="2">
        <v>3121</v>
      </c>
      <c r="M761" s="2">
        <v>151.69999999999999</v>
      </c>
      <c r="N761" s="2">
        <v>535.9</v>
      </c>
      <c r="O761" s="2">
        <v>10000</v>
      </c>
    </row>
    <row r="762" spans="1:16" ht="24.95" customHeight="1" x14ac:dyDescent="0.25">
      <c r="A762" s="17" t="s">
        <v>743</v>
      </c>
      <c r="B762" s="2">
        <v>236</v>
      </c>
      <c r="C762" s="2">
        <v>94</v>
      </c>
      <c r="D762" s="2">
        <v>19</v>
      </c>
      <c r="E762" s="2">
        <v>74</v>
      </c>
      <c r="F762" s="2">
        <v>1</v>
      </c>
      <c r="H762" s="2">
        <v>97.7</v>
      </c>
      <c r="I762" s="2">
        <v>1430</v>
      </c>
      <c r="J762" s="2">
        <v>150</v>
      </c>
      <c r="K762" s="2">
        <v>139654</v>
      </c>
      <c r="L762" s="2">
        <v>4161</v>
      </c>
      <c r="M762" s="2">
        <v>190.9</v>
      </c>
      <c r="N762" s="2">
        <v>365.5</v>
      </c>
      <c r="O762" s="2">
        <v>13350</v>
      </c>
      <c r="P762" s="2">
        <v>34.9</v>
      </c>
    </row>
    <row r="763" spans="1:16" ht="24.95" customHeight="1" x14ac:dyDescent="0.25">
      <c r="A763" s="17" t="s">
        <v>744</v>
      </c>
      <c r="B763" s="2">
        <v>232</v>
      </c>
      <c r="C763" s="2">
        <v>96</v>
      </c>
      <c r="D763" s="2">
        <v>21.2</v>
      </c>
      <c r="E763" s="2">
        <v>74</v>
      </c>
      <c r="F763" s="2">
        <v>0.8</v>
      </c>
      <c r="H763" s="2">
        <v>99</v>
      </c>
      <c r="I763" s="2">
        <v>3565</v>
      </c>
      <c r="J763" s="2">
        <v>178</v>
      </c>
      <c r="K763" s="2">
        <v>352834</v>
      </c>
      <c r="L763" s="2">
        <v>8852</v>
      </c>
      <c r="M763" s="2">
        <v>411.5</v>
      </c>
      <c r="N763" s="2">
        <v>886</v>
      </c>
      <c r="O763" s="2">
        <v>27780</v>
      </c>
      <c r="P763" s="2">
        <v>29.5</v>
      </c>
    </row>
    <row r="764" spans="1:16" ht="24.95" customHeight="1" x14ac:dyDescent="0.25">
      <c r="A764" s="17" t="s">
        <v>733</v>
      </c>
      <c r="B764" s="2">
        <v>252</v>
      </c>
      <c r="C764" s="2">
        <v>94</v>
      </c>
      <c r="D764" s="2">
        <v>18.2</v>
      </c>
      <c r="E764" s="2">
        <v>74</v>
      </c>
      <c r="F764" s="2">
        <v>1.8</v>
      </c>
      <c r="H764" s="2">
        <v>97.3</v>
      </c>
      <c r="I764" s="2">
        <v>915</v>
      </c>
      <c r="J764" s="2">
        <v>187</v>
      </c>
      <c r="K764" s="2">
        <v>89067</v>
      </c>
      <c r="L764" s="2">
        <v>3252</v>
      </c>
      <c r="M764" s="2">
        <v>166.7</v>
      </c>
      <c r="N764" s="2">
        <v>236</v>
      </c>
      <c r="O764" s="2">
        <v>9260</v>
      </c>
      <c r="P764" s="2">
        <v>43.6</v>
      </c>
    </row>
    <row r="765" spans="1:16" ht="24.95" customHeight="1" x14ac:dyDescent="0.25">
      <c r="A765" s="17" t="s">
        <v>745</v>
      </c>
      <c r="B765" s="2">
        <v>240</v>
      </c>
      <c r="C765" s="2">
        <v>94</v>
      </c>
      <c r="D765" s="2">
        <v>17.8</v>
      </c>
      <c r="E765" s="2">
        <v>74</v>
      </c>
      <c r="F765" s="2">
        <v>2.2000000000000002</v>
      </c>
      <c r="H765" s="2">
        <v>96.1</v>
      </c>
      <c r="I765" s="2">
        <v>1984</v>
      </c>
      <c r="J765" s="2">
        <v>160</v>
      </c>
      <c r="K765" s="2">
        <v>190598</v>
      </c>
      <c r="L765" s="2">
        <v>6044</v>
      </c>
      <c r="M765" s="2">
        <v>298</v>
      </c>
      <c r="N765" s="2">
        <v>491.3</v>
      </c>
      <c r="O765" s="2">
        <v>18660</v>
      </c>
      <c r="P765" s="2">
        <v>37.299999999999997</v>
      </c>
    </row>
    <row r="766" spans="1:16" ht="24.95" customHeight="1" x14ac:dyDescent="0.25">
      <c r="A766" s="17" t="s">
        <v>6772</v>
      </c>
      <c r="B766" s="2">
        <v>188</v>
      </c>
      <c r="C766" s="2">
        <v>78</v>
      </c>
      <c r="I766" s="2">
        <v>10837</v>
      </c>
      <c r="J766" s="2">
        <v>167</v>
      </c>
      <c r="K766" s="2">
        <v>845286</v>
      </c>
      <c r="L766" s="2">
        <v>34197</v>
      </c>
      <c r="M766" s="2">
        <v>1532.8</v>
      </c>
      <c r="N766" s="2">
        <v>2730.4</v>
      </c>
      <c r="O766" s="2">
        <v>104030</v>
      </c>
      <c r="P766" s="2">
        <v>40.9</v>
      </c>
    </row>
    <row r="767" spans="1:16" ht="24.95" customHeight="1" x14ac:dyDescent="0.25">
      <c r="A767" s="17" t="s">
        <v>747</v>
      </c>
      <c r="B767" s="2">
        <v>285</v>
      </c>
      <c r="C767" s="2">
        <v>122</v>
      </c>
      <c r="D767" s="2">
        <v>43.9</v>
      </c>
      <c r="E767" s="2">
        <v>78</v>
      </c>
      <c r="F767" s="2">
        <v>0.1</v>
      </c>
      <c r="I767" s="2">
        <v>3840</v>
      </c>
      <c r="J767" s="2">
        <v>166</v>
      </c>
      <c r="K767" s="2">
        <v>468480</v>
      </c>
      <c r="L767" s="2">
        <v>8196</v>
      </c>
      <c r="M767" s="2">
        <v>419.8</v>
      </c>
      <c r="N767" s="2">
        <v>953.4</v>
      </c>
      <c r="O767" s="2">
        <v>24930</v>
      </c>
      <c r="P767" s="2">
        <v>13.6</v>
      </c>
    </row>
    <row r="768" spans="1:16" ht="24.95" customHeight="1" x14ac:dyDescent="0.25">
      <c r="A768" s="17" t="s">
        <v>748</v>
      </c>
      <c r="B768" s="2">
        <v>282</v>
      </c>
      <c r="C768" s="2">
        <v>114</v>
      </c>
      <c r="D768" s="2">
        <v>31.8</v>
      </c>
      <c r="E768" s="2">
        <v>82</v>
      </c>
      <c r="F768" s="2">
        <v>0.2</v>
      </c>
      <c r="I768" s="2">
        <v>2450</v>
      </c>
      <c r="J768" s="2">
        <v>160</v>
      </c>
      <c r="K768" s="2">
        <v>279300</v>
      </c>
      <c r="L768" s="2">
        <v>5029</v>
      </c>
      <c r="M768" s="2">
        <v>271.2</v>
      </c>
      <c r="N768" s="2">
        <v>611.5</v>
      </c>
      <c r="O768" s="2">
        <v>14940</v>
      </c>
      <c r="P768" s="2">
        <v>6.2</v>
      </c>
    </row>
    <row r="769" spans="1:16" ht="24.95" customHeight="1" x14ac:dyDescent="0.25">
      <c r="A769" s="17" t="s">
        <v>747</v>
      </c>
      <c r="B769" s="2">
        <v>258</v>
      </c>
      <c r="C769" s="2">
        <v>105</v>
      </c>
      <c r="D769" s="2">
        <v>21.8</v>
      </c>
      <c r="E769" s="2">
        <v>82</v>
      </c>
      <c r="F769" s="2">
        <v>1.3</v>
      </c>
      <c r="H769" s="2">
        <v>106.4</v>
      </c>
      <c r="I769" s="2">
        <v>1646</v>
      </c>
      <c r="J769" s="2">
        <v>172</v>
      </c>
      <c r="K769" s="2">
        <v>175149</v>
      </c>
      <c r="L769" s="2">
        <v>7326</v>
      </c>
      <c r="M769" s="2">
        <v>318.89999999999998</v>
      </c>
      <c r="N769" s="2">
        <v>413</v>
      </c>
      <c r="O769" s="2">
        <v>22630</v>
      </c>
      <c r="P769" s="2">
        <v>59.2</v>
      </c>
    </row>
    <row r="770" spans="1:16" ht="24.95" customHeight="1" x14ac:dyDescent="0.25">
      <c r="A770" s="17" t="s">
        <v>750</v>
      </c>
      <c r="B770" s="2">
        <v>226</v>
      </c>
      <c r="C770" s="2">
        <v>97</v>
      </c>
      <c r="D770" s="2">
        <v>14.3</v>
      </c>
      <c r="E770" s="2">
        <v>82</v>
      </c>
      <c r="F770" s="2">
        <v>0.7</v>
      </c>
      <c r="H770" s="2">
        <v>99.5</v>
      </c>
      <c r="I770" s="2">
        <v>1671</v>
      </c>
      <c r="J770" s="2">
        <v>164</v>
      </c>
      <c r="K770" s="2">
        <v>166317</v>
      </c>
      <c r="L770" s="2">
        <v>7183</v>
      </c>
      <c r="M770" s="2">
        <v>272.89999999999998</v>
      </c>
      <c r="N770" s="2">
        <v>424.9</v>
      </c>
      <c r="O770" s="2">
        <v>22090</v>
      </c>
      <c r="P770" s="2">
        <v>57</v>
      </c>
    </row>
    <row r="771" spans="1:16" ht="24.95" customHeight="1" x14ac:dyDescent="0.25">
      <c r="A771" s="17" t="s">
        <v>748</v>
      </c>
      <c r="B771" s="2">
        <v>214</v>
      </c>
      <c r="C771" s="2">
        <v>97</v>
      </c>
      <c r="D771" s="2">
        <v>14</v>
      </c>
      <c r="E771" s="2">
        <v>82</v>
      </c>
      <c r="F771" s="2">
        <v>1</v>
      </c>
      <c r="H771" s="2">
        <v>98.4</v>
      </c>
      <c r="I771" s="2">
        <v>1230</v>
      </c>
      <c r="J771" s="2">
        <v>181</v>
      </c>
      <c r="K771" s="2">
        <v>120982</v>
      </c>
      <c r="L771" s="2">
        <v>6463</v>
      </c>
      <c r="M771" s="2">
        <v>250</v>
      </c>
      <c r="N771" s="2">
        <v>327.60000000000002</v>
      </c>
      <c r="O771" s="2">
        <v>19440</v>
      </c>
      <c r="P771" s="2">
        <v>63.5</v>
      </c>
    </row>
    <row r="772" spans="1:16" ht="24.95" customHeight="1" x14ac:dyDescent="0.25">
      <c r="A772" s="17" t="s">
        <v>6773</v>
      </c>
      <c r="B772" s="2">
        <v>192</v>
      </c>
      <c r="C772" s="2">
        <v>71</v>
      </c>
      <c r="I772" s="2">
        <v>14728</v>
      </c>
      <c r="J772" s="2">
        <v>146</v>
      </c>
      <c r="K772" s="2">
        <v>1045688</v>
      </c>
      <c r="L772" s="2">
        <v>41889</v>
      </c>
      <c r="M772" s="2">
        <v>1875.7</v>
      </c>
      <c r="N772" s="2">
        <v>3483.3</v>
      </c>
      <c r="O772" s="2">
        <v>140260</v>
      </c>
      <c r="P772" s="2">
        <v>41.5</v>
      </c>
    </row>
    <row r="773" spans="1:16" ht="24.95" customHeight="1" x14ac:dyDescent="0.25">
      <c r="A773" s="17" t="s">
        <v>752</v>
      </c>
      <c r="B773" s="2">
        <v>292</v>
      </c>
      <c r="C773" s="2">
        <v>111</v>
      </c>
      <c r="D773" s="2">
        <v>38.5</v>
      </c>
      <c r="E773" s="2">
        <v>71</v>
      </c>
      <c r="F773" s="2">
        <v>1.5</v>
      </c>
      <c r="I773" s="2">
        <v>3425</v>
      </c>
      <c r="J773" s="2">
        <v>159</v>
      </c>
      <c r="K773" s="2">
        <v>380175</v>
      </c>
      <c r="L773" s="2">
        <v>8208</v>
      </c>
      <c r="M773" s="2">
        <v>441</v>
      </c>
      <c r="N773" s="2">
        <v>849.5</v>
      </c>
      <c r="O773" s="2">
        <v>25170</v>
      </c>
      <c r="P773" s="2">
        <v>22.8</v>
      </c>
    </row>
    <row r="774" spans="1:16" ht="24.95" customHeight="1" x14ac:dyDescent="0.25">
      <c r="A774" s="17" t="s">
        <v>753</v>
      </c>
      <c r="B774" s="2">
        <v>288</v>
      </c>
      <c r="C774" s="2">
        <v>114</v>
      </c>
      <c r="D774" s="2">
        <v>42.9</v>
      </c>
      <c r="E774" s="2">
        <v>72.5</v>
      </c>
      <c r="F774" s="2">
        <v>-1.4</v>
      </c>
      <c r="I774" s="2">
        <v>1550</v>
      </c>
      <c r="J774" s="2">
        <v>131</v>
      </c>
      <c r="K774" s="2">
        <v>176700</v>
      </c>
      <c r="L774" s="2">
        <v>3969</v>
      </c>
      <c r="M774" s="2">
        <v>209.5</v>
      </c>
      <c r="N774" s="2">
        <v>392.9</v>
      </c>
      <c r="O774" s="2">
        <v>12310</v>
      </c>
      <c r="P774" s="2">
        <v>27.7</v>
      </c>
    </row>
    <row r="775" spans="1:16" ht="24.95" customHeight="1" x14ac:dyDescent="0.25">
      <c r="A775" s="17" t="s">
        <v>754</v>
      </c>
      <c r="B775" s="2">
        <v>290</v>
      </c>
      <c r="C775" s="2">
        <v>120</v>
      </c>
      <c r="D775" s="2">
        <v>44.7</v>
      </c>
      <c r="E775" s="2">
        <v>75.5</v>
      </c>
      <c r="F775" s="2">
        <v>-0.2</v>
      </c>
      <c r="I775" s="2">
        <v>587</v>
      </c>
      <c r="J775" s="2">
        <v>149</v>
      </c>
      <c r="K775" s="2">
        <v>70440</v>
      </c>
      <c r="L775" s="2">
        <v>1770</v>
      </c>
      <c r="M775" s="2">
        <v>78.2</v>
      </c>
      <c r="N775" s="2">
        <v>146.80000000000001</v>
      </c>
      <c r="O775" s="2">
        <v>5370</v>
      </c>
      <c r="P775" s="2">
        <v>37.6</v>
      </c>
    </row>
    <row r="776" spans="1:16" ht="24.95" customHeight="1" x14ac:dyDescent="0.25">
      <c r="A776" s="17" t="s">
        <v>755</v>
      </c>
      <c r="B776" s="2">
        <v>292</v>
      </c>
      <c r="C776" s="2">
        <v>114</v>
      </c>
      <c r="D776" s="2">
        <v>38.799999999999997</v>
      </c>
      <c r="E776" s="2">
        <v>75.5</v>
      </c>
      <c r="F776" s="2">
        <v>-0.3</v>
      </c>
      <c r="I776" s="2">
        <v>1050</v>
      </c>
      <c r="J776" s="2">
        <v>133</v>
      </c>
      <c r="K776" s="2">
        <v>119700</v>
      </c>
      <c r="L776" s="2">
        <v>2374</v>
      </c>
      <c r="M776" s="2">
        <v>120.4</v>
      </c>
      <c r="N776" s="2">
        <v>253.5</v>
      </c>
      <c r="O776" s="2">
        <v>7680</v>
      </c>
      <c r="P776" s="2">
        <v>23.3</v>
      </c>
    </row>
    <row r="777" spans="1:16" ht="24.95" customHeight="1" x14ac:dyDescent="0.25">
      <c r="A777" s="17" t="s">
        <v>757</v>
      </c>
      <c r="B777" s="2">
        <v>252</v>
      </c>
      <c r="C777" s="2">
        <v>96</v>
      </c>
      <c r="D777" s="2">
        <v>19.399999999999999</v>
      </c>
      <c r="E777" s="2">
        <v>76</v>
      </c>
      <c r="F777" s="2">
        <v>0.6</v>
      </c>
      <c r="H777" s="2">
        <v>98</v>
      </c>
      <c r="I777" s="2">
        <v>1853</v>
      </c>
      <c r="J777" s="2">
        <v>135</v>
      </c>
      <c r="K777" s="2">
        <v>181644</v>
      </c>
      <c r="L777" s="2">
        <v>5787</v>
      </c>
      <c r="M777" s="2">
        <v>217.7</v>
      </c>
      <c r="N777" s="2">
        <v>388.7</v>
      </c>
      <c r="O777" s="2">
        <v>21020</v>
      </c>
      <c r="P777" s="2">
        <v>52.1</v>
      </c>
    </row>
    <row r="778" spans="1:16" ht="24.95" customHeight="1" x14ac:dyDescent="0.25">
      <c r="A778" s="17" t="s">
        <v>758</v>
      </c>
      <c r="B778" s="2">
        <v>240</v>
      </c>
      <c r="C778" s="2">
        <v>94</v>
      </c>
      <c r="D778" s="2">
        <v>17.600000000000001</v>
      </c>
      <c r="E778" s="2">
        <v>76</v>
      </c>
      <c r="F778" s="2">
        <v>0.4</v>
      </c>
      <c r="H778" s="2">
        <v>95.4</v>
      </c>
      <c r="I778" s="2">
        <v>3360</v>
      </c>
      <c r="J778" s="2">
        <v>142</v>
      </c>
      <c r="K778" s="2">
        <v>320548</v>
      </c>
      <c r="L778" s="2">
        <v>9277</v>
      </c>
      <c r="M778" s="2">
        <v>428.1</v>
      </c>
      <c r="N778" s="2">
        <v>757.9</v>
      </c>
      <c r="O778" s="2">
        <v>35080</v>
      </c>
      <c r="P778" s="2">
        <v>47.5</v>
      </c>
    </row>
    <row r="779" spans="1:16" ht="24.95" customHeight="1" x14ac:dyDescent="0.25">
      <c r="A779" s="17" t="s">
        <v>759</v>
      </c>
      <c r="B779" s="2">
        <v>266</v>
      </c>
      <c r="C779" s="2">
        <v>100</v>
      </c>
      <c r="D779" s="2">
        <v>21.2</v>
      </c>
      <c r="E779" s="2">
        <v>76</v>
      </c>
      <c r="F779" s="2">
        <v>2.8</v>
      </c>
      <c r="H779" s="2">
        <v>101.1</v>
      </c>
      <c r="I779" s="2">
        <v>1103</v>
      </c>
      <c r="J779" s="2">
        <v>142</v>
      </c>
      <c r="K779" s="2">
        <v>111543</v>
      </c>
      <c r="L779" s="2">
        <v>4846</v>
      </c>
      <c r="M779" s="2">
        <v>174.2</v>
      </c>
      <c r="N779" s="2">
        <v>279.10000000000002</v>
      </c>
      <c r="O779" s="2">
        <v>15170</v>
      </c>
      <c r="P779" s="2">
        <v>59.5</v>
      </c>
    </row>
    <row r="780" spans="1:16" ht="24.95" customHeight="1" x14ac:dyDescent="0.25">
      <c r="A780" s="17" t="s">
        <v>6774</v>
      </c>
      <c r="B780" s="2">
        <v>272</v>
      </c>
      <c r="C780" s="2">
        <v>104</v>
      </c>
      <c r="D780" s="2">
        <v>26.8</v>
      </c>
      <c r="E780" s="2">
        <v>76</v>
      </c>
      <c r="F780" s="2">
        <v>1.2</v>
      </c>
      <c r="H780" s="2">
        <v>106.5</v>
      </c>
      <c r="I780" s="2">
        <v>1800</v>
      </c>
      <c r="J780" s="2">
        <v>163</v>
      </c>
      <c r="K780" s="2">
        <v>191622</v>
      </c>
      <c r="L780" s="2">
        <v>5658</v>
      </c>
      <c r="M780" s="2">
        <v>206.6</v>
      </c>
      <c r="N780" s="2">
        <v>414.9</v>
      </c>
      <c r="O780" s="2">
        <v>18460</v>
      </c>
      <c r="P780" s="2">
        <v>47.5</v>
      </c>
    </row>
    <row r="781" spans="1:16" ht="24.95" customHeight="1" x14ac:dyDescent="0.25">
      <c r="A781" s="17" t="s">
        <v>6775</v>
      </c>
      <c r="B781" s="2">
        <v>172</v>
      </c>
      <c r="C781" s="2">
        <v>73.5</v>
      </c>
      <c r="I781" s="2">
        <v>57705</v>
      </c>
      <c r="J781" s="2">
        <v>182</v>
      </c>
      <c r="K781" s="2">
        <v>4241318</v>
      </c>
      <c r="L781" s="2">
        <v>108556</v>
      </c>
      <c r="M781" s="2">
        <v>5514.6</v>
      </c>
      <c r="N781" s="2">
        <v>14060.3</v>
      </c>
      <c r="O781" s="2">
        <v>338500</v>
      </c>
      <c r="P781" s="2">
        <v>3.4</v>
      </c>
    </row>
    <row r="782" spans="1:16" ht="24.95" customHeight="1" x14ac:dyDescent="0.25">
      <c r="A782" s="17" t="s">
        <v>762</v>
      </c>
      <c r="B782" s="2">
        <v>267</v>
      </c>
      <c r="C782" s="2">
        <v>114</v>
      </c>
      <c r="D782" s="2">
        <v>36</v>
      </c>
      <c r="E782" s="2">
        <v>76.900000000000006</v>
      </c>
      <c r="F782" s="2">
        <v>1.1000000000000001</v>
      </c>
      <c r="I782" s="2">
        <v>3743</v>
      </c>
      <c r="J782" s="2">
        <v>160</v>
      </c>
      <c r="K782" s="2">
        <v>426702</v>
      </c>
      <c r="L782" s="2">
        <v>10288</v>
      </c>
      <c r="M782" s="2">
        <v>605.6</v>
      </c>
      <c r="N782" s="2">
        <v>917.6</v>
      </c>
      <c r="O782" s="2">
        <v>32990</v>
      </c>
      <c r="P782" s="2">
        <v>37.5</v>
      </c>
    </row>
    <row r="783" spans="1:16" ht="24.95" customHeight="1" x14ac:dyDescent="0.25">
      <c r="A783" s="17" t="s">
        <v>763</v>
      </c>
      <c r="B783" s="2">
        <v>270</v>
      </c>
      <c r="C783" s="2">
        <v>117</v>
      </c>
      <c r="D783" s="2">
        <v>39.4</v>
      </c>
      <c r="E783" s="2">
        <v>76.8</v>
      </c>
      <c r="F783" s="2">
        <v>0.8</v>
      </c>
      <c r="I783" s="2">
        <v>1400</v>
      </c>
      <c r="J783" s="2">
        <v>141</v>
      </c>
      <c r="K783" s="2">
        <v>163800</v>
      </c>
      <c r="L783" s="2">
        <v>3910</v>
      </c>
      <c r="M783" s="2">
        <v>181.7</v>
      </c>
      <c r="N783" s="2">
        <v>348.7</v>
      </c>
      <c r="O783" s="2">
        <v>11390</v>
      </c>
      <c r="P783" s="2">
        <v>30.2</v>
      </c>
    </row>
    <row r="784" spans="1:16" ht="24.95" customHeight="1" x14ac:dyDescent="0.25">
      <c r="A784" s="17" t="s">
        <v>764</v>
      </c>
      <c r="B784" s="2">
        <v>252</v>
      </c>
      <c r="C784" s="2">
        <v>100</v>
      </c>
      <c r="D784" s="2">
        <v>24.5</v>
      </c>
      <c r="E784" s="2">
        <v>73.8</v>
      </c>
      <c r="F784" s="2">
        <v>1.7</v>
      </c>
      <c r="I784" s="2">
        <v>20977</v>
      </c>
      <c r="J784" s="2">
        <v>191</v>
      </c>
      <c r="K784" s="2">
        <v>2097700</v>
      </c>
      <c r="L784" s="2">
        <v>20226</v>
      </c>
      <c r="M784" s="2">
        <v>1343.3</v>
      </c>
      <c r="N784" s="2">
        <v>5122</v>
      </c>
      <c r="O784" s="2">
        <v>68130</v>
      </c>
    </row>
    <row r="785" spans="1:16" ht="24.95" customHeight="1" x14ac:dyDescent="0.25">
      <c r="A785" s="17" t="s">
        <v>765</v>
      </c>
      <c r="B785" s="2">
        <v>270</v>
      </c>
      <c r="C785" s="2">
        <v>114</v>
      </c>
      <c r="D785" s="2">
        <v>35.4</v>
      </c>
      <c r="E785" s="2">
        <v>77</v>
      </c>
      <c r="F785" s="2">
        <v>1.7</v>
      </c>
      <c r="I785" s="2">
        <v>260</v>
      </c>
      <c r="J785" s="2">
        <v>148</v>
      </c>
      <c r="K785" s="2">
        <v>29640</v>
      </c>
      <c r="L785" s="2">
        <v>816</v>
      </c>
      <c r="M785" s="2">
        <v>33.6</v>
      </c>
      <c r="N785" s="2">
        <v>70.7</v>
      </c>
      <c r="O785" s="2">
        <v>2150</v>
      </c>
      <c r="P785" s="2">
        <v>25.5</v>
      </c>
    </row>
    <row r="786" spans="1:16" ht="24.95" customHeight="1" x14ac:dyDescent="0.25">
      <c r="A786" s="17" t="s">
        <v>766</v>
      </c>
      <c r="B786" s="2">
        <v>252</v>
      </c>
      <c r="C786" s="2">
        <v>103</v>
      </c>
      <c r="D786" s="2">
        <v>24.5</v>
      </c>
      <c r="E786" s="2">
        <v>77</v>
      </c>
      <c r="F786" s="2">
        <v>1.5</v>
      </c>
      <c r="I786" s="2">
        <v>697</v>
      </c>
      <c r="J786" s="2">
        <v>171</v>
      </c>
      <c r="K786" s="2">
        <v>71791</v>
      </c>
      <c r="L786" s="2">
        <v>2257</v>
      </c>
      <c r="M786" s="2">
        <v>95.9</v>
      </c>
      <c r="N786" s="2">
        <v>178.3</v>
      </c>
      <c r="O786" s="2">
        <v>6610</v>
      </c>
      <c r="P786" s="2">
        <v>39.799999999999997</v>
      </c>
    </row>
    <row r="787" spans="1:16" ht="24.95" customHeight="1" x14ac:dyDescent="0.25">
      <c r="A787" s="17" t="s">
        <v>767</v>
      </c>
      <c r="B787" s="2">
        <v>290</v>
      </c>
      <c r="C787" s="2">
        <v>117</v>
      </c>
      <c r="D787" s="2">
        <v>38.799999999999997</v>
      </c>
      <c r="E787" s="2">
        <v>77</v>
      </c>
      <c r="F787" s="2">
        <v>1.2</v>
      </c>
      <c r="I787" s="2">
        <v>600</v>
      </c>
      <c r="J787" s="2">
        <v>153</v>
      </c>
      <c r="K787" s="2">
        <v>70200</v>
      </c>
      <c r="L787" s="2">
        <v>1378</v>
      </c>
      <c r="M787" s="2">
        <v>72.8</v>
      </c>
      <c r="N787" s="2">
        <v>151.19999999999999</v>
      </c>
      <c r="O787" s="2">
        <v>4910</v>
      </c>
      <c r="P787" s="2">
        <v>31.2</v>
      </c>
    </row>
    <row r="788" spans="1:16" ht="24.95" customHeight="1" x14ac:dyDescent="0.25">
      <c r="A788" s="17" t="s">
        <v>768</v>
      </c>
      <c r="B788" s="2">
        <v>288</v>
      </c>
      <c r="C788" s="2">
        <v>120</v>
      </c>
      <c r="D788" s="2">
        <v>43.8</v>
      </c>
      <c r="E788" s="2">
        <v>74.599999999999994</v>
      </c>
      <c r="F788" s="2">
        <v>1.6</v>
      </c>
      <c r="I788" s="2">
        <v>2575</v>
      </c>
      <c r="J788" s="2">
        <v>202</v>
      </c>
      <c r="K788" s="2">
        <v>309000</v>
      </c>
      <c r="L788" s="2">
        <v>5579</v>
      </c>
      <c r="M788" s="2">
        <v>248.7</v>
      </c>
      <c r="N788" s="2">
        <v>620.1</v>
      </c>
      <c r="O788" s="2">
        <v>17210</v>
      </c>
      <c r="P788" s="2">
        <v>17.899999999999999</v>
      </c>
    </row>
    <row r="789" spans="1:16" ht="24.95" customHeight="1" x14ac:dyDescent="0.25">
      <c r="A789" s="17" t="s">
        <v>769</v>
      </c>
      <c r="B789" s="2">
        <v>240</v>
      </c>
      <c r="C789" s="2">
        <v>105</v>
      </c>
      <c r="D789" s="2">
        <v>27.1</v>
      </c>
      <c r="E789" s="2">
        <v>77</v>
      </c>
      <c r="F789" s="2">
        <v>0.9</v>
      </c>
      <c r="I789" s="2">
        <v>418</v>
      </c>
      <c r="J789" s="2">
        <v>155</v>
      </c>
      <c r="K789" s="2">
        <v>43890</v>
      </c>
      <c r="L789" s="2">
        <v>1284</v>
      </c>
      <c r="M789" s="2">
        <v>51.6</v>
      </c>
      <c r="N789" s="2">
        <v>109.5</v>
      </c>
      <c r="O789" s="2">
        <v>3790</v>
      </c>
      <c r="P789" s="2">
        <v>38</v>
      </c>
    </row>
    <row r="790" spans="1:16" ht="24.95" customHeight="1" x14ac:dyDescent="0.25">
      <c r="A790" s="17" t="s">
        <v>770</v>
      </c>
      <c r="B790" s="2">
        <v>286</v>
      </c>
      <c r="C790" s="2">
        <v>117</v>
      </c>
      <c r="D790" s="2">
        <v>39.700000000000003</v>
      </c>
      <c r="E790" s="2">
        <v>77</v>
      </c>
      <c r="F790" s="2">
        <v>0.3</v>
      </c>
      <c r="I790" s="2">
        <v>1057</v>
      </c>
      <c r="J790" s="2">
        <v>170</v>
      </c>
      <c r="K790" s="2">
        <v>123669</v>
      </c>
      <c r="L790" s="2">
        <v>2475</v>
      </c>
      <c r="M790" s="2">
        <v>134.6</v>
      </c>
      <c r="N790" s="2">
        <v>265.89999999999998</v>
      </c>
      <c r="O790" s="2">
        <v>5260</v>
      </c>
    </row>
    <row r="791" spans="1:16" ht="24.95" customHeight="1" x14ac:dyDescent="0.25">
      <c r="A791" s="17" t="s">
        <v>771</v>
      </c>
      <c r="B791" s="2">
        <v>264</v>
      </c>
      <c r="C791" s="2">
        <v>107</v>
      </c>
      <c r="D791" s="2">
        <v>28.8</v>
      </c>
      <c r="E791" s="2">
        <v>77</v>
      </c>
      <c r="F791" s="2">
        <v>1.2</v>
      </c>
      <c r="I791" s="2">
        <v>262</v>
      </c>
      <c r="J791" s="2">
        <v>185</v>
      </c>
      <c r="K791" s="2">
        <v>28034</v>
      </c>
      <c r="L791" s="2">
        <v>756</v>
      </c>
      <c r="M791" s="2">
        <v>31.7</v>
      </c>
      <c r="N791" s="2">
        <v>64.7</v>
      </c>
      <c r="O791" s="2">
        <v>2280</v>
      </c>
      <c r="P791" s="2">
        <v>34.5</v>
      </c>
    </row>
    <row r="792" spans="1:16" ht="24.95" customHeight="1" x14ac:dyDescent="0.25">
      <c r="A792" s="17" t="s">
        <v>772</v>
      </c>
      <c r="B792" s="2">
        <v>276</v>
      </c>
      <c r="C792" s="2">
        <v>116</v>
      </c>
      <c r="D792" s="2">
        <v>38.200000000000003</v>
      </c>
      <c r="E792" s="2">
        <v>77</v>
      </c>
      <c r="F792" s="2">
        <v>0.9</v>
      </c>
      <c r="I792" s="2">
        <v>2700</v>
      </c>
      <c r="J792" s="2">
        <v>138</v>
      </c>
      <c r="K792" s="2">
        <v>313200</v>
      </c>
      <c r="L792" s="2">
        <v>4066</v>
      </c>
      <c r="M792" s="2">
        <v>313.60000000000002</v>
      </c>
      <c r="N792" s="2">
        <v>667.1</v>
      </c>
      <c r="O792" s="2">
        <v>12370</v>
      </c>
    </row>
    <row r="793" spans="1:16" ht="24.95" customHeight="1" x14ac:dyDescent="0.25">
      <c r="A793" s="17" t="s">
        <v>773</v>
      </c>
      <c r="B793" s="2">
        <v>276</v>
      </c>
      <c r="C793" s="2">
        <v>114</v>
      </c>
      <c r="D793" s="2">
        <v>35.1</v>
      </c>
      <c r="E793" s="2">
        <v>77</v>
      </c>
      <c r="F793" s="2">
        <v>1.9</v>
      </c>
      <c r="I793" s="2">
        <v>232</v>
      </c>
      <c r="J793" s="2">
        <v>152</v>
      </c>
      <c r="K793" s="2">
        <v>26448</v>
      </c>
      <c r="L793" s="2">
        <v>633</v>
      </c>
      <c r="M793" s="2">
        <v>38.9</v>
      </c>
      <c r="N793" s="2">
        <v>59.4</v>
      </c>
      <c r="O793" s="2">
        <v>2250</v>
      </c>
      <c r="P793" s="2">
        <v>41.6</v>
      </c>
    </row>
    <row r="794" spans="1:16" ht="24.95" customHeight="1" x14ac:dyDescent="0.25">
      <c r="A794" s="17" t="s">
        <v>774</v>
      </c>
      <c r="B794" s="2">
        <v>240</v>
      </c>
      <c r="C794" s="2">
        <v>103</v>
      </c>
      <c r="D794" s="2">
        <v>23.7</v>
      </c>
      <c r="E794" s="2">
        <v>77</v>
      </c>
      <c r="F794" s="2">
        <v>2.2999999999999998</v>
      </c>
      <c r="H794" s="2">
        <v>105.3</v>
      </c>
      <c r="I794" s="2">
        <v>1222</v>
      </c>
      <c r="J794" s="2">
        <v>191</v>
      </c>
      <c r="K794" s="2">
        <v>128690</v>
      </c>
      <c r="L794" s="2">
        <v>4201</v>
      </c>
      <c r="M794" s="2">
        <v>145</v>
      </c>
      <c r="N794" s="2">
        <v>270.89999999999998</v>
      </c>
      <c r="O794" s="2">
        <v>13710</v>
      </c>
      <c r="P794" s="2">
        <v>44.8</v>
      </c>
    </row>
    <row r="795" spans="1:16" ht="24.95" customHeight="1" x14ac:dyDescent="0.25">
      <c r="A795" s="17" t="s">
        <v>768</v>
      </c>
      <c r="B795" s="2">
        <v>232</v>
      </c>
      <c r="C795" s="2">
        <v>90</v>
      </c>
      <c r="D795" s="2">
        <v>11.1</v>
      </c>
      <c r="E795" s="2">
        <v>77</v>
      </c>
      <c r="F795" s="2">
        <v>1.9</v>
      </c>
      <c r="H795" s="2">
        <v>92</v>
      </c>
      <c r="I795" s="2">
        <v>1172</v>
      </c>
      <c r="J795" s="2">
        <v>159</v>
      </c>
      <c r="K795" s="2">
        <v>107779</v>
      </c>
      <c r="L795" s="2">
        <v>3919</v>
      </c>
      <c r="M795" s="2">
        <v>158.30000000000001</v>
      </c>
      <c r="N795" s="2">
        <v>253.7</v>
      </c>
      <c r="O795" s="2">
        <v>13270</v>
      </c>
      <c r="P795" s="2">
        <v>50.2</v>
      </c>
    </row>
    <row r="796" spans="1:16" ht="24.95" customHeight="1" x14ac:dyDescent="0.25">
      <c r="A796" s="17" t="s">
        <v>775</v>
      </c>
      <c r="B796" s="2">
        <v>248</v>
      </c>
      <c r="C796" s="2">
        <v>101</v>
      </c>
      <c r="D796" s="2">
        <v>22.8</v>
      </c>
      <c r="E796" s="2">
        <v>77</v>
      </c>
      <c r="F796" s="2">
        <v>1.3</v>
      </c>
      <c r="H796" s="2">
        <v>101.5</v>
      </c>
      <c r="I796" s="2">
        <v>5600</v>
      </c>
      <c r="J796" s="2">
        <v>210</v>
      </c>
      <c r="K796" s="2">
        <v>568395</v>
      </c>
      <c r="L796" s="2">
        <v>12082</v>
      </c>
      <c r="M796" s="2">
        <v>566.4</v>
      </c>
      <c r="N796" s="2">
        <v>1384.8</v>
      </c>
      <c r="O796" s="2">
        <v>36090</v>
      </c>
      <c r="P796" s="2">
        <v>8.1999999999999993</v>
      </c>
    </row>
    <row r="797" spans="1:16" ht="24.95" customHeight="1" x14ac:dyDescent="0.25">
      <c r="A797" s="17" t="s">
        <v>128</v>
      </c>
      <c r="B797" s="2">
        <v>244</v>
      </c>
      <c r="C797" s="2">
        <v>94</v>
      </c>
      <c r="D797" s="2">
        <v>16.100000000000001</v>
      </c>
      <c r="E797" s="2">
        <v>77</v>
      </c>
      <c r="F797" s="2">
        <v>0.9</v>
      </c>
      <c r="H797" s="2">
        <v>94.9</v>
      </c>
      <c r="I797" s="2">
        <v>6250</v>
      </c>
      <c r="J797" s="2">
        <v>285</v>
      </c>
      <c r="K797" s="2">
        <v>592850</v>
      </c>
      <c r="L797" s="2">
        <v>6656</v>
      </c>
      <c r="M797" s="2">
        <v>382.7</v>
      </c>
      <c r="N797" s="2">
        <v>1533.4</v>
      </c>
      <c r="O797" s="2">
        <v>18500</v>
      </c>
    </row>
    <row r="798" spans="1:16" ht="24.95" customHeight="1" x14ac:dyDescent="0.25">
      <c r="A798" s="17" t="s">
        <v>769</v>
      </c>
      <c r="B798" s="2">
        <v>216</v>
      </c>
      <c r="C798" s="2">
        <v>88</v>
      </c>
      <c r="D798" s="2">
        <v>10.4</v>
      </c>
      <c r="E798" s="2">
        <v>77</v>
      </c>
      <c r="F798" s="2">
        <v>0.7</v>
      </c>
      <c r="H798" s="2">
        <v>89.5</v>
      </c>
      <c r="I798" s="2">
        <v>1240</v>
      </c>
      <c r="J798" s="2">
        <v>153</v>
      </c>
      <c r="K798" s="2">
        <v>110947</v>
      </c>
      <c r="L798" s="2">
        <v>3875</v>
      </c>
      <c r="M798" s="2">
        <v>133.30000000000001</v>
      </c>
      <c r="N798" s="2">
        <v>250.3</v>
      </c>
      <c r="O798" s="2">
        <v>13830</v>
      </c>
      <c r="P798" s="2">
        <v>52.6</v>
      </c>
    </row>
    <row r="799" spans="1:16" ht="24.95" customHeight="1" x14ac:dyDescent="0.25">
      <c r="A799" s="17" t="s">
        <v>776</v>
      </c>
      <c r="B799" s="2">
        <v>239</v>
      </c>
      <c r="C799" s="2">
        <v>106</v>
      </c>
      <c r="D799" s="2">
        <v>25.1</v>
      </c>
      <c r="E799" s="2">
        <v>77</v>
      </c>
      <c r="F799" s="2">
        <v>3.9</v>
      </c>
      <c r="H799" s="2">
        <v>106.3</v>
      </c>
      <c r="I799" s="2">
        <v>1500</v>
      </c>
      <c r="J799" s="2">
        <v>99</v>
      </c>
      <c r="K799" s="2">
        <v>159480</v>
      </c>
      <c r="L799" s="2">
        <v>4705</v>
      </c>
      <c r="M799" s="2">
        <v>182.6</v>
      </c>
      <c r="N799" s="2">
        <v>428.4</v>
      </c>
      <c r="O799" s="2">
        <v>14160</v>
      </c>
      <c r="P799" s="2">
        <v>32.6</v>
      </c>
    </row>
    <row r="800" spans="1:16" ht="24.95" customHeight="1" x14ac:dyDescent="0.25">
      <c r="A800" s="17" t="s">
        <v>763</v>
      </c>
      <c r="B800" s="2">
        <v>234</v>
      </c>
      <c r="C800" s="2">
        <v>100</v>
      </c>
      <c r="D800" s="2">
        <v>21.1</v>
      </c>
      <c r="E800" s="2">
        <v>77</v>
      </c>
      <c r="F800" s="2">
        <v>1.9</v>
      </c>
      <c r="H800" s="2">
        <v>101</v>
      </c>
      <c r="I800" s="2">
        <v>1570</v>
      </c>
      <c r="J800" s="2">
        <v>142</v>
      </c>
      <c r="K800" s="2">
        <v>158537</v>
      </c>
      <c r="L800" s="2">
        <v>5726</v>
      </c>
      <c r="M800" s="2">
        <v>221.5</v>
      </c>
      <c r="N800" s="2">
        <v>352.8</v>
      </c>
      <c r="O800" s="2">
        <v>18290</v>
      </c>
      <c r="P800" s="2">
        <v>51.2</v>
      </c>
    </row>
    <row r="801" spans="1:16" ht="24.95" customHeight="1" x14ac:dyDescent="0.25">
      <c r="A801" s="17" t="s">
        <v>6776</v>
      </c>
      <c r="B801" s="2">
        <v>240</v>
      </c>
      <c r="C801" s="2">
        <v>100</v>
      </c>
      <c r="D801" s="2">
        <v>20.5</v>
      </c>
      <c r="E801" s="2">
        <v>77</v>
      </c>
      <c r="F801" s="2">
        <v>2.5</v>
      </c>
      <c r="H801" s="2">
        <v>102.9</v>
      </c>
      <c r="I801" s="2">
        <v>2350</v>
      </c>
      <c r="J801" s="2">
        <v>136</v>
      </c>
      <c r="K801" s="2">
        <v>241789</v>
      </c>
      <c r="L801" s="2">
        <v>8333</v>
      </c>
      <c r="M801" s="2">
        <v>324.8</v>
      </c>
      <c r="N801" s="2">
        <v>592.79999999999995</v>
      </c>
      <c r="O801" s="2">
        <v>22180</v>
      </c>
      <c r="P801" s="2">
        <v>40.9</v>
      </c>
    </row>
    <row r="802" spans="1:16" ht="24.95" customHeight="1" x14ac:dyDescent="0.25">
      <c r="A802" s="17" t="s">
        <v>779</v>
      </c>
      <c r="B802" s="2">
        <v>238</v>
      </c>
      <c r="C802" s="2">
        <v>94</v>
      </c>
      <c r="D802" s="2">
        <v>15.2</v>
      </c>
      <c r="E802" s="2">
        <v>77</v>
      </c>
      <c r="F802" s="2">
        <v>1.8</v>
      </c>
      <c r="H802" s="2">
        <v>96.3</v>
      </c>
      <c r="I802" s="2">
        <v>1880</v>
      </c>
      <c r="J802" s="2">
        <v>161</v>
      </c>
      <c r="K802" s="2">
        <v>181122</v>
      </c>
      <c r="L802" s="2">
        <v>5391</v>
      </c>
      <c r="M802" s="2">
        <v>248</v>
      </c>
      <c r="N802" s="2">
        <v>417.9</v>
      </c>
      <c r="O802" s="2">
        <v>19130</v>
      </c>
      <c r="P802" s="2">
        <v>45.5</v>
      </c>
    </row>
    <row r="803" spans="1:16" ht="24.95" customHeight="1" x14ac:dyDescent="0.25">
      <c r="A803" s="17" t="s">
        <v>6777</v>
      </c>
      <c r="B803" s="2">
        <v>143</v>
      </c>
      <c r="C803" s="2">
        <v>48</v>
      </c>
      <c r="I803" s="2">
        <v>571982</v>
      </c>
      <c r="J803" s="2">
        <v>200</v>
      </c>
      <c r="K803" s="2">
        <v>27455136</v>
      </c>
      <c r="L803" s="2">
        <v>667413</v>
      </c>
      <c r="M803" s="2">
        <v>74407.899999999994</v>
      </c>
      <c r="N803" s="2">
        <v>140293.9</v>
      </c>
      <c r="O803" s="2">
        <v>2239770</v>
      </c>
    </row>
    <row r="804" spans="1:16" ht="24.95" customHeight="1" x14ac:dyDescent="0.25">
      <c r="A804" s="17" t="s">
        <v>782</v>
      </c>
      <c r="B804" s="2">
        <v>246</v>
      </c>
      <c r="C804" s="2">
        <v>88</v>
      </c>
      <c r="D804" s="2">
        <v>39.700000000000003</v>
      </c>
      <c r="E804" s="2">
        <v>48</v>
      </c>
      <c r="F804" s="2">
        <v>0.3</v>
      </c>
      <c r="I804" s="2">
        <v>28700</v>
      </c>
      <c r="J804" s="2">
        <v>257</v>
      </c>
      <c r="K804" s="2">
        <v>2525600</v>
      </c>
      <c r="L804" s="2">
        <v>18536</v>
      </c>
      <c r="M804" s="2">
        <v>1909.9</v>
      </c>
      <c r="N804" s="2">
        <v>7175.1</v>
      </c>
      <c r="O804" s="2">
        <v>64960</v>
      </c>
    </row>
    <row r="805" spans="1:16" ht="24.95" customHeight="1" x14ac:dyDescent="0.25">
      <c r="A805" s="17" t="s">
        <v>783</v>
      </c>
      <c r="B805" s="2">
        <v>233</v>
      </c>
      <c r="C805" s="2">
        <v>82</v>
      </c>
      <c r="D805" s="2">
        <v>32.200000000000003</v>
      </c>
      <c r="E805" s="2">
        <v>50.1</v>
      </c>
      <c r="F805" s="2">
        <v>-0.3</v>
      </c>
      <c r="I805" s="2">
        <v>18400</v>
      </c>
      <c r="J805" s="2">
        <v>223</v>
      </c>
      <c r="K805" s="2">
        <v>1508800</v>
      </c>
      <c r="L805" s="2">
        <v>16457</v>
      </c>
      <c r="M805" s="2">
        <v>1650.8</v>
      </c>
      <c r="N805" s="2">
        <v>4451.6000000000004</v>
      </c>
      <c r="O805" s="2">
        <v>55200</v>
      </c>
    </row>
    <row r="806" spans="1:16" ht="24.95" customHeight="1" x14ac:dyDescent="0.25">
      <c r="A806" s="17" t="s">
        <v>784</v>
      </c>
      <c r="B806" s="2">
        <v>234</v>
      </c>
      <c r="C806" s="2">
        <v>82</v>
      </c>
      <c r="D806" s="2">
        <v>33</v>
      </c>
      <c r="E806" s="2">
        <v>50.1</v>
      </c>
      <c r="F806" s="2">
        <v>-1</v>
      </c>
      <c r="I806" s="2">
        <v>50500</v>
      </c>
      <c r="J806" s="2">
        <v>221</v>
      </c>
      <c r="K806" s="2">
        <v>4141000</v>
      </c>
      <c r="L806" s="2">
        <v>54909</v>
      </c>
      <c r="M806" s="2">
        <v>6407.1</v>
      </c>
      <c r="N806" s="2">
        <v>12184.8</v>
      </c>
      <c r="O806" s="2">
        <v>183300</v>
      </c>
    </row>
    <row r="807" spans="1:16" ht="24.95" customHeight="1" x14ac:dyDescent="0.25">
      <c r="A807" s="17" t="s">
        <v>785</v>
      </c>
      <c r="B807" s="2">
        <v>267</v>
      </c>
      <c r="C807" s="2">
        <v>94</v>
      </c>
      <c r="D807" s="2">
        <v>41.8</v>
      </c>
      <c r="E807" s="2">
        <v>53.2</v>
      </c>
      <c r="F807" s="2">
        <v>-1</v>
      </c>
      <c r="I807" s="2">
        <v>21300</v>
      </c>
      <c r="J807" s="2">
        <v>207</v>
      </c>
      <c r="K807" s="2">
        <v>2002200</v>
      </c>
      <c r="L807" s="2">
        <v>28014</v>
      </c>
      <c r="M807" s="2">
        <v>2697.9</v>
      </c>
      <c r="N807" s="2">
        <v>5339.2</v>
      </c>
      <c r="O807" s="2">
        <v>91440</v>
      </c>
    </row>
    <row r="808" spans="1:16" ht="24.95" customHeight="1" x14ac:dyDescent="0.25">
      <c r="A808" s="17" t="s">
        <v>786</v>
      </c>
      <c r="B808" s="2">
        <v>268</v>
      </c>
      <c r="C808" s="2">
        <v>90</v>
      </c>
      <c r="D808" s="2">
        <v>37</v>
      </c>
      <c r="E808" s="2">
        <v>53.2</v>
      </c>
      <c r="F808" s="2">
        <v>-0.2</v>
      </c>
      <c r="I808" s="2">
        <v>28500</v>
      </c>
      <c r="J808" s="2">
        <v>217</v>
      </c>
      <c r="K808" s="2">
        <v>2565000</v>
      </c>
      <c r="L808" s="2">
        <v>34024</v>
      </c>
      <c r="M808" s="2">
        <v>3441.5</v>
      </c>
      <c r="N808" s="2">
        <v>7364.6</v>
      </c>
      <c r="O808" s="2">
        <v>109670</v>
      </c>
    </row>
    <row r="809" spans="1:16" ht="24.95" customHeight="1" x14ac:dyDescent="0.25">
      <c r="A809" s="17" t="s">
        <v>787</v>
      </c>
      <c r="B809" s="2">
        <v>254</v>
      </c>
      <c r="C809" s="2">
        <v>90</v>
      </c>
      <c r="D809" s="2">
        <v>37.9</v>
      </c>
      <c r="E809" s="2">
        <v>53.2</v>
      </c>
      <c r="F809" s="2">
        <v>-1.1000000000000001</v>
      </c>
      <c r="I809" s="2">
        <v>20700</v>
      </c>
      <c r="J809" s="2">
        <v>239</v>
      </c>
      <c r="K809" s="2">
        <v>1863000</v>
      </c>
      <c r="L809" s="2">
        <v>21464</v>
      </c>
      <c r="M809" s="2">
        <v>3593.6</v>
      </c>
      <c r="N809" s="2">
        <v>5101</v>
      </c>
      <c r="O809" s="2">
        <v>69150</v>
      </c>
    </row>
    <row r="810" spans="1:16" ht="24.95" customHeight="1" x14ac:dyDescent="0.25">
      <c r="A810" s="17" t="s">
        <v>788</v>
      </c>
      <c r="B810" s="2">
        <v>238</v>
      </c>
      <c r="C810" s="2">
        <v>88</v>
      </c>
      <c r="D810" s="2">
        <v>38</v>
      </c>
      <c r="E810" s="2">
        <v>52</v>
      </c>
      <c r="F810" s="2">
        <v>-1.9</v>
      </c>
      <c r="I810" s="2">
        <v>43350</v>
      </c>
      <c r="J810" s="2">
        <v>164</v>
      </c>
      <c r="K810" s="2">
        <v>3814800</v>
      </c>
      <c r="L810" s="2">
        <v>65637</v>
      </c>
      <c r="M810" s="2">
        <v>7374.4</v>
      </c>
      <c r="N810" s="2">
        <v>10640.9</v>
      </c>
      <c r="O810" s="2">
        <v>209600</v>
      </c>
    </row>
    <row r="811" spans="1:16" ht="24.95" customHeight="1" x14ac:dyDescent="0.25">
      <c r="A811" s="17" t="s">
        <v>789</v>
      </c>
      <c r="B811" s="2">
        <v>236</v>
      </c>
      <c r="C811" s="2">
        <v>82</v>
      </c>
      <c r="D811" s="2">
        <v>33</v>
      </c>
      <c r="E811" s="2">
        <v>50.1</v>
      </c>
      <c r="F811" s="2">
        <v>-1</v>
      </c>
      <c r="I811" s="2">
        <v>44500</v>
      </c>
      <c r="J811" s="2">
        <v>199</v>
      </c>
      <c r="K811" s="2">
        <v>3649000</v>
      </c>
      <c r="L811" s="2">
        <v>45793</v>
      </c>
      <c r="M811" s="2">
        <v>7201.7</v>
      </c>
      <c r="N811" s="2">
        <v>11060.4</v>
      </c>
      <c r="O811" s="2">
        <v>150720</v>
      </c>
    </row>
    <row r="812" spans="1:16" ht="24.95" customHeight="1" x14ac:dyDescent="0.25">
      <c r="A812" s="17" t="s">
        <v>6778</v>
      </c>
      <c r="B812" s="2">
        <v>233</v>
      </c>
      <c r="C812" s="2">
        <v>83</v>
      </c>
      <c r="D812" s="2">
        <v>33.700000000000003</v>
      </c>
      <c r="E812" s="2">
        <v>50.1</v>
      </c>
      <c r="F812" s="2">
        <v>-0.8</v>
      </c>
      <c r="I812" s="2">
        <v>27400</v>
      </c>
      <c r="J812" s="2">
        <v>187</v>
      </c>
      <c r="K812" s="2">
        <v>2274200</v>
      </c>
      <c r="L812" s="2">
        <v>30816</v>
      </c>
      <c r="M812" s="2">
        <v>3158.2</v>
      </c>
      <c r="N812" s="2">
        <v>6670.5</v>
      </c>
      <c r="O812" s="2">
        <v>102680</v>
      </c>
    </row>
    <row r="813" spans="1:16" ht="24.95" customHeight="1" x14ac:dyDescent="0.25">
      <c r="A813" s="17" t="s">
        <v>791</v>
      </c>
      <c r="B813" s="2">
        <v>240</v>
      </c>
      <c r="C813" s="2">
        <v>88</v>
      </c>
      <c r="D813" s="2">
        <v>42.4</v>
      </c>
      <c r="E813" s="2">
        <v>48</v>
      </c>
      <c r="F813" s="2">
        <v>-2.4</v>
      </c>
      <c r="I813" s="2">
        <v>17070</v>
      </c>
      <c r="J813" s="2">
        <v>166</v>
      </c>
      <c r="K813" s="2">
        <v>1502160</v>
      </c>
      <c r="L813" s="2">
        <v>25604</v>
      </c>
      <c r="M813" s="2">
        <v>3190.1</v>
      </c>
      <c r="N813" s="2">
        <v>4172.1000000000004</v>
      </c>
      <c r="O813" s="2">
        <v>97720</v>
      </c>
      <c r="P813" s="2">
        <v>3</v>
      </c>
    </row>
    <row r="814" spans="1:16" ht="24.95" customHeight="1" x14ac:dyDescent="0.25">
      <c r="A814" s="17" t="s">
        <v>792</v>
      </c>
      <c r="B814" s="2">
        <v>256</v>
      </c>
      <c r="C814" s="2">
        <v>90</v>
      </c>
      <c r="D814" s="2">
        <v>40.700000000000003</v>
      </c>
      <c r="E814" s="2">
        <v>50.1</v>
      </c>
      <c r="F814" s="2">
        <v>-0.7</v>
      </c>
      <c r="I814" s="2">
        <v>13250</v>
      </c>
      <c r="J814" s="2">
        <v>219</v>
      </c>
      <c r="K814" s="2">
        <v>1192500</v>
      </c>
      <c r="L814" s="2">
        <v>14758</v>
      </c>
      <c r="M814" s="2">
        <v>1304.3</v>
      </c>
      <c r="N814" s="2">
        <v>3297</v>
      </c>
      <c r="O814" s="2">
        <v>54120</v>
      </c>
    </row>
    <row r="815" spans="1:16" ht="24.95" customHeight="1" x14ac:dyDescent="0.25">
      <c r="A815" s="17" t="s">
        <v>793</v>
      </c>
      <c r="B815" s="2">
        <v>246</v>
      </c>
      <c r="C815" s="2">
        <v>87</v>
      </c>
      <c r="D815" s="2">
        <v>33.4</v>
      </c>
      <c r="E815" s="2">
        <v>55.2</v>
      </c>
      <c r="F815" s="2">
        <v>-1.5</v>
      </c>
      <c r="I815" s="2">
        <v>17320</v>
      </c>
      <c r="J815" s="2">
        <v>175</v>
      </c>
      <c r="K815" s="2">
        <v>1506840</v>
      </c>
      <c r="L815" s="2">
        <v>23249</v>
      </c>
      <c r="M815" s="2">
        <v>3214.1</v>
      </c>
      <c r="N815" s="2">
        <v>4262.6000000000004</v>
      </c>
      <c r="O815" s="2">
        <v>71370</v>
      </c>
    </row>
    <row r="816" spans="1:16" ht="24.95" customHeight="1" x14ac:dyDescent="0.25">
      <c r="A816" s="17" t="s">
        <v>794</v>
      </c>
      <c r="B816" s="2">
        <v>294</v>
      </c>
      <c r="C816" s="2">
        <v>102</v>
      </c>
      <c r="D816" s="2">
        <v>49.6</v>
      </c>
      <c r="E816" s="2">
        <v>53.2</v>
      </c>
      <c r="F816" s="2">
        <v>-0.9</v>
      </c>
      <c r="I816" s="2">
        <v>25400</v>
      </c>
      <c r="J816" s="2">
        <v>213</v>
      </c>
      <c r="K816" s="2">
        <v>2590800</v>
      </c>
      <c r="L816" s="2">
        <v>30333</v>
      </c>
      <c r="M816" s="2">
        <v>2794</v>
      </c>
      <c r="N816" s="2">
        <v>6368.5</v>
      </c>
      <c r="O816" s="2">
        <v>113020</v>
      </c>
    </row>
    <row r="817" spans="1:16" ht="24.95" customHeight="1" x14ac:dyDescent="0.25">
      <c r="A817" s="17" t="s">
        <v>795</v>
      </c>
      <c r="B817" s="2">
        <v>242</v>
      </c>
      <c r="C817" s="2">
        <v>90</v>
      </c>
      <c r="D817" s="2">
        <v>41.8</v>
      </c>
      <c r="E817" s="2">
        <v>50.1</v>
      </c>
      <c r="F817" s="2">
        <v>-1.8</v>
      </c>
      <c r="I817" s="2">
        <v>20200</v>
      </c>
      <c r="J817" s="2">
        <v>151</v>
      </c>
      <c r="K817" s="2">
        <v>1818000</v>
      </c>
      <c r="L817" s="2">
        <v>31680</v>
      </c>
      <c r="M817" s="2">
        <v>3408.5</v>
      </c>
      <c r="N817" s="2">
        <v>5029.1000000000004</v>
      </c>
      <c r="O817" s="2">
        <v>102500</v>
      </c>
    </row>
    <row r="818" spans="1:16" ht="24.95" customHeight="1" x14ac:dyDescent="0.25">
      <c r="A818" s="17" t="s">
        <v>796</v>
      </c>
      <c r="B818" s="2">
        <v>252</v>
      </c>
      <c r="C818" s="2">
        <v>87</v>
      </c>
      <c r="D818" s="2">
        <v>35.9</v>
      </c>
      <c r="E818" s="2">
        <v>52.1</v>
      </c>
      <c r="F818" s="2">
        <v>-1</v>
      </c>
      <c r="I818" s="2">
        <v>14630</v>
      </c>
      <c r="J818" s="2">
        <v>205</v>
      </c>
      <c r="K818" s="2">
        <v>1272810</v>
      </c>
      <c r="L818" s="2">
        <v>18453</v>
      </c>
      <c r="M818" s="2">
        <v>1809</v>
      </c>
      <c r="N818" s="2">
        <v>3433.7</v>
      </c>
      <c r="O818" s="2">
        <v>64670</v>
      </c>
    </row>
    <row r="819" spans="1:16" ht="24.95" customHeight="1" x14ac:dyDescent="0.25">
      <c r="A819" s="17" t="s">
        <v>797</v>
      </c>
      <c r="B819" s="2">
        <v>230</v>
      </c>
      <c r="C819" s="2">
        <v>81</v>
      </c>
      <c r="D819" s="2">
        <v>29.6</v>
      </c>
      <c r="E819" s="2">
        <v>52</v>
      </c>
      <c r="F819" s="2">
        <v>-0.5</v>
      </c>
      <c r="I819" s="2">
        <v>39000</v>
      </c>
      <c r="J819" s="2">
        <v>207</v>
      </c>
      <c r="K819" s="2">
        <v>3159000</v>
      </c>
      <c r="L819" s="2">
        <v>36639</v>
      </c>
      <c r="M819" s="2">
        <v>4786.3999999999996</v>
      </c>
      <c r="N819" s="2">
        <v>9384.2000000000007</v>
      </c>
      <c r="O819" s="2">
        <v>124900</v>
      </c>
    </row>
    <row r="820" spans="1:16" ht="24.95" customHeight="1" x14ac:dyDescent="0.25">
      <c r="A820" s="17" t="s">
        <v>798</v>
      </c>
      <c r="B820" s="2">
        <v>270</v>
      </c>
      <c r="C820" s="2">
        <v>94</v>
      </c>
      <c r="D820" s="2">
        <v>46.5</v>
      </c>
      <c r="E820" s="2">
        <v>48</v>
      </c>
      <c r="F820" s="2">
        <v>-0.5</v>
      </c>
      <c r="I820" s="2">
        <v>39500</v>
      </c>
      <c r="J820" s="2">
        <v>204</v>
      </c>
      <c r="K820" s="2">
        <v>3713000</v>
      </c>
      <c r="L820" s="2">
        <v>45405</v>
      </c>
      <c r="M820" s="2">
        <v>4253</v>
      </c>
      <c r="N820" s="2">
        <v>9733.7000000000007</v>
      </c>
      <c r="O820" s="2">
        <v>171230</v>
      </c>
    </row>
    <row r="821" spans="1:16" ht="24.95" customHeight="1" x14ac:dyDescent="0.25">
      <c r="A821" s="17" t="s">
        <v>799</v>
      </c>
      <c r="B821" s="2">
        <v>276</v>
      </c>
      <c r="C821" s="2">
        <v>99</v>
      </c>
      <c r="D821" s="2">
        <v>47.5</v>
      </c>
      <c r="E821" s="2">
        <v>53.2</v>
      </c>
      <c r="F821" s="2">
        <v>-1.7</v>
      </c>
      <c r="I821" s="2">
        <v>10200</v>
      </c>
      <c r="J821" s="2">
        <v>183</v>
      </c>
      <c r="K821" s="2">
        <v>1009800</v>
      </c>
      <c r="L821" s="2">
        <v>14453</v>
      </c>
      <c r="M821" s="2">
        <v>1438.2</v>
      </c>
      <c r="N821" s="2">
        <v>2482.1999999999998</v>
      </c>
      <c r="O821" s="2">
        <v>47510</v>
      </c>
    </row>
    <row r="822" spans="1:16" ht="24.95" customHeight="1" x14ac:dyDescent="0.25">
      <c r="A822" s="17" t="s">
        <v>800</v>
      </c>
      <c r="B822" s="2">
        <v>230</v>
      </c>
      <c r="C822" s="2">
        <v>82</v>
      </c>
      <c r="D822" s="2">
        <v>30.3</v>
      </c>
      <c r="E822" s="2">
        <v>52</v>
      </c>
      <c r="F822" s="2">
        <v>-0.3</v>
      </c>
      <c r="I822" s="2">
        <v>15000</v>
      </c>
      <c r="J822" s="2">
        <v>192</v>
      </c>
      <c r="K822" s="2">
        <v>1230000</v>
      </c>
      <c r="L822" s="2">
        <v>15516</v>
      </c>
      <c r="M822" s="2">
        <v>1313.4</v>
      </c>
      <c r="N822" s="2">
        <v>3576.4</v>
      </c>
      <c r="O822" s="2">
        <v>51710</v>
      </c>
    </row>
    <row r="823" spans="1:16" ht="24.95" customHeight="1" x14ac:dyDescent="0.25">
      <c r="A823" s="17" t="s">
        <v>801</v>
      </c>
      <c r="B823" s="2">
        <v>246</v>
      </c>
      <c r="C823" s="2">
        <v>87</v>
      </c>
      <c r="D823" s="2">
        <v>34.200000000000003</v>
      </c>
      <c r="E823" s="2">
        <v>55.1</v>
      </c>
      <c r="F823" s="2">
        <v>-2.2999999999999998</v>
      </c>
      <c r="I823" s="2">
        <v>5225</v>
      </c>
      <c r="J823" s="2">
        <v>176</v>
      </c>
      <c r="K823" s="2">
        <v>454575</v>
      </c>
      <c r="L823" s="2">
        <v>8264</v>
      </c>
      <c r="M823" s="2">
        <v>1020.1</v>
      </c>
      <c r="N823" s="2">
        <v>1264.0999999999999</v>
      </c>
      <c r="O823" s="2">
        <v>28370</v>
      </c>
    </row>
    <row r="824" spans="1:16" ht="24.95" customHeight="1" x14ac:dyDescent="0.25">
      <c r="A824" s="17" t="s">
        <v>802</v>
      </c>
      <c r="B824" s="2">
        <v>268</v>
      </c>
      <c r="C824" s="2">
        <v>90</v>
      </c>
      <c r="D824" s="2">
        <v>38</v>
      </c>
      <c r="E824" s="2">
        <v>52</v>
      </c>
      <c r="I824" s="2">
        <v>17900</v>
      </c>
      <c r="J824" s="2">
        <v>228</v>
      </c>
      <c r="K824" s="2">
        <v>1611000</v>
      </c>
      <c r="L824" s="2">
        <v>20617</v>
      </c>
      <c r="M824" s="2">
        <v>1788.9</v>
      </c>
      <c r="N824" s="2">
        <v>4314.3</v>
      </c>
      <c r="O824" s="2">
        <v>68310</v>
      </c>
    </row>
    <row r="825" spans="1:16" ht="24.95" customHeight="1" x14ac:dyDescent="0.25">
      <c r="A825" s="17" t="s">
        <v>803</v>
      </c>
      <c r="B825" s="2">
        <v>258</v>
      </c>
      <c r="C825" s="2">
        <v>93</v>
      </c>
      <c r="D825" s="2">
        <v>44.3</v>
      </c>
      <c r="E825" s="2">
        <v>49.9</v>
      </c>
      <c r="F825" s="2">
        <v>-1.2</v>
      </c>
      <c r="I825" s="2">
        <v>5010</v>
      </c>
      <c r="J825" s="2">
        <v>186</v>
      </c>
      <c r="K825" s="2">
        <v>465930</v>
      </c>
      <c r="L825" s="2">
        <v>7637</v>
      </c>
      <c r="M825" s="2">
        <v>868.8</v>
      </c>
      <c r="N825" s="2">
        <v>1229.3</v>
      </c>
      <c r="O825" s="2">
        <v>23530</v>
      </c>
    </row>
    <row r="826" spans="1:16" ht="24.95" customHeight="1" x14ac:dyDescent="0.25">
      <c r="A826" s="17" t="s">
        <v>804</v>
      </c>
      <c r="B826" s="2">
        <v>230</v>
      </c>
      <c r="C826" s="2">
        <v>82</v>
      </c>
      <c r="D826" s="2">
        <v>31.7</v>
      </c>
      <c r="E826" s="2">
        <v>52</v>
      </c>
      <c r="F826" s="2">
        <v>-1.7</v>
      </c>
      <c r="I826" s="2">
        <v>17367</v>
      </c>
      <c r="J826" s="2">
        <v>176</v>
      </c>
      <c r="K826" s="2">
        <v>1424094</v>
      </c>
      <c r="L826" s="2">
        <v>22749</v>
      </c>
      <c r="M826" s="2">
        <v>2757.2</v>
      </c>
      <c r="N826" s="2">
        <v>4198.5</v>
      </c>
      <c r="O826" s="2">
        <v>74820</v>
      </c>
    </row>
    <row r="827" spans="1:16" ht="24.95" customHeight="1" x14ac:dyDescent="0.25">
      <c r="A827" s="17" t="s">
        <v>805</v>
      </c>
      <c r="B827" s="2">
        <v>270</v>
      </c>
      <c r="C827" s="2">
        <v>95</v>
      </c>
      <c r="D827" s="2">
        <v>43.4</v>
      </c>
      <c r="E827" s="2">
        <v>52.1</v>
      </c>
      <c r="F827" s="2">
        <v>-0.5</v>
      </c>
      <c r="I827" s="2">
        <v>12050</v>
      </c>
      <c r="J827" s="2">
        <v>204</v>
      </c>
      <c r="K827" s="2">
        <v>1144750</v>
      </c>
      <c r="L827" s="2">
        <v>15569</v>
      </c>
      <c r="M827" s="2">
        <v>1421.1</v>
      </c>
      <c r="N827" s="2">
        <v>2922.2</v>
      </c>
      <c r="O827" s="2">
        <v>51000</v>
      </c>
    </row>
    <row r="828" spans="1:16" ht="24.95" customHeight="1" x14ac:dyDescent="0.25">
      <c r="A828" s="17" t="s">
        <v>806</v>
      </c>
      <c r="B828" s="2">
        <v>253</v>
      </c>
      <c r="C828" s="2">
        <v>92</v>
      </c>
      <c r="D828" s="2">
        <v>40.200000000000003</v>
      </c>
      <c r="E828" s="2">
        <v>52.1</v>
      </c>
      <c r="F828" s="2">
        <v>-0.3</v>
      </c>
      <c r="I828" s="2">
        <v>8230</v>
      </c>
      <c r="J828" s="2">
        <v>180</v>
      </c>
      <c r="K828" s="2">
        <v>757160</v>
      </c>
      <c r="L828" s="2">
        <v>10835</v>
      </c>
      <c r="M828" s="2">
        <v>1025.5</v>
      </c>
      <c r="N828" s="2">
        <v>2061.8000000000002</v>
      </c>
      <c r="O828" s="2">
        <v>34540</v>
      </c>
    </row>
    <row r="829" spans="1:16" ht="24.95" customHeight="1" x14ac:dyDescent="0.25">
      <c r="A829" s="17" t="s">
        <v>807</v>
      </c>
      <c r="B829" s="2">
        <v>218</v>
      </c>
      <c r="C829" s="2">
        <v>75</v>
      </c>
      <c r="D829" s="2">
        <v>22.7</v>
      </c>
      <c r="E829" s="2">
        <v>52.1</v>
      </c>
      <c r="F829" s="2">
        <v>0.2</v>
      </c>
      <c r="I829" s="2">
        <v>11280</v>
      </c>
      <c r="J829" s="2">
        <v>193</v>
      </c>
      <c r="K829" s="2">
        <v>846000</v>
      </c>
      <c r="L829" s="2">
        <v>7002</v>
      </c>
      <c r="M829" s="2">
        <v>580</v>
      </c>
      <c r="N829" s="2">
        <v>2575.8000000000002</v>
      </c>
      <c r="O829" s="2">
        <v>23930</v>
      </c>
    </row>
    <row r="830" spans="1:16" ht="24.95" customHeight="1" x14ac:dyDescent="0.25">
      <c r="A830" s="17" t="s">
        <v>6779</v>
      </c>
      <c r="B830" s="2">
        <v>189</v>
      </c>
      <c r="C830" s="2">
        <v>75</v>
      </c>
      <c r="I830" s="2">
        <v>42359</v>
      </c>
      <c r="J830" s="2">
        <v>176</v>
      </c>
      <c r="K830" s="2">
        <v>3176925</v>
      </c>
      <c r="L830" s="2">
        <v>131386</v>
      </c>
      <c r="M830" s="2">
        <v>6002.8</v>
      </c>
      <c r="N830" s="2">
        <v>10325.5</v>
      </c>
      <c r="O830" s="2">
        <v>396210</v>
      </c>
      <c r="P830" s="2">
        <v>39.299999999999997</v>
      </c>
    </row>
    <row r="831" spans="1:16" ht="24.95" customHeight="1" x14ac:dyDescent="0.25">
      <c r="A831" s="17" t="s">
        <v>809</v>
      </c>
      <c r="B831" s="2">
        <v>282</v>
      </c>
      <c r="C831" s="2">
        <v>108</v>
      </c>
      <c r="D831" s="2">
        <v>34.6</v>
      </c>
      <c r="E831" s="2">
        <v>75</v>
      </c>
      <c r="F831" s="2">
        <v>-1.6</v>
      </c>
      <c r="I831" s="2">
        <v>5877</v>
      </c>
      <c r="J831" s="2">
        <v>221</v>
      </c>
      <c r="K831" s="2">
        <v>634716</v>
      </c>
      <c r="L831" s="2">
        <v>8945</v>
      </c>
      <c r="M831" s="2">
        <v>493.7</v>
      </c>
      <c r="N831" s="2">
        <v>1476</v>
      </c>
      <c r="O831" s="2">
        <v>27460</v>
      </c>
    </row>
    <row r="832" spans="1:16" ht="24.95" customHeight="1" x14ac:dyDescent="0.25">
      <c r="A832" s="17" t="s">
        <v>810</v>
      </c>
      <c r="B832" s="2">
        <v>272</v>
      </c>
      <c r="C832" s="2">
        <v>104</v>
      </c>
      <c r="D832" s="2">
        <v>23.3</v>
      </c>
      <c r="E832" s="2">
        <v>81</v>
      </c>
      <c r="F832" s="2">
        <v>-0.3</v>
      </c>
      <c r="I832" s="2">
        <v>1025</v>
      </c>
      <c r="J832" s="2">
        <v>273</v>
      </c>
      <c r="K832" s="2">
        <v>106600</v>
      </c>
      <c r="L832" s="2">
        <v>2145</v>
      </c>
      <c r="M832" s="2">
        <v>99.1</v>
      </c>
      <c r="N832" s="2">
        <v>231.5</v>
      </c>
      <c r="O832" s="2">
        <v>5920</v>
      </c>
      <c r="P832" s="2">
        <v>8</v>
      </c>
    </row>
    <row r="833" spans="1:16" ht="24.95" customHeight="1" x14ac:dyDescent="0.25">
      <c r="A833" s="17" t="s">
        <v>5327</v>
      </c>
      <c r="B833" s="2">
        <v>282</v>
      </c>
      <c r="C833" s="2">
        <v>118</v>
      </c>
      <c r="D833" s="2">
        <v>41.7</v>
      </c>
      <c r="E833" s="2">
        <v>81</v>
      </c>
      <c r="F833" s="2">
        <v>-4.7</v>
      </c>
      <c r="I833" s="2">
        <v>820</v>
      </c>
      <c r="J833" s="2">
        <v>147</v>
      </c>
      <c r="K833" s="2">
        <v>96760</v>
      </c>
      <c r="L833" s="2">
        <v>1670</v>
      </c>
      <c r="M833" s="2">
        <v>104.3</v>
      </c>
      <c r="N833" s="2">
        <v>194.1</v>
      </c>
      <c r="O833" s="2">
        <v>4780</v>
      </c>
      <c r="P833" s="2">
        <v>7.4</v>
      </c>
    </row>
    <row r="834" spans="1:16" ht="24.95" customHeight="1" x14ac:dyDescent="0.25">
      <c r="A834" s="17" t="s">
        <v>812</v>
      </c>
      <c r="B834" s="2">
        <v>282</v>
      </c>
      <c r="C834" s="2">
        <v>106</v>
      </c>
      <c r="D834" s="2">
        <v>26.9</v>
      </c>
      <c r="E834" s="2">
        <v>81</v>
      </c>
      <c r="F834" s="2">
        <v>-1.9</v>
      </c>
      <c r="I834" s="2">
        <v>540</v>
      </c>
      <c r="J834" s="2">
        <v>169</v>
      </c>
      <c r="K834" s="2">
        <v>57240</v>
      </c>
      <c r="L834" s="2">
        <v>1337</v>
      </c>
      <c r="M834" s="2">
        <v>60.7</v>
      </c>
      <c r="N834" s="2">
        <v>131.1</v>
      </c>
      <c r="O834" s="2">
        <v>3660</v>
      </c>
      <c r="P834" s="2">
        <v>18.8</v>
      </c>
    </row>
    <row r="835" spans="1:16" ht="24.95" customHeight="1" x14ac:dyDescent="0.25">
      <c r="A835" s="17" t="s">
        <v>813</v>
      </c>
      <c r="B835" s="2">
        <v>292</v>
      </c>
      <c r="C835" s="2">
        <v>110</v>
      </c>
      <c r="D835" s="2">
        <v>33</v>
      </c>
      <c r="E835" s="2">
        <v>81</v>
      </c>
      <c r="F835" s="2">
        <v>-4</v>
      </c>
      <c r="I835" s="2">
        <v>427</v>
      </c>
      <c r="J835" s="2">
        <v>139</v>
      </c>
      <c r="K835" s="2">
        <v>46970</v>
      </c>
      <c r="L835" s="2">
        <v>933</v>
      </c>
      <c r="M835" s="2">
        <v>48.9</v>
      </c>
      <c r="N835" s="2">
        <v>105.1</v>
      </c>
      <c r="O835" s="2">
        <v>2850</v>
      </c>
      <c r="P835" s="2">
        <v>17.3</v>
      </c>
    </row>
    <row r="836" spans="1:16" ht="24.95" customHeight="1" x14ac:dyDescent="0.25">
      <c r="A836" s="17" t="s">
        <v>814</v>
      </c>
      <c r="B836" s="2">
        <v>276</v>
      </c>
      <c r="C836" s="2">
        <v>114</v>
      </c>
      <c r="D836" s="2">
        <v>33.200000000000003</v>
      </c>
      <c r="E836" s="2">
        <v>81</v>
      </c>
      <c r="F836" s="2">
        <v>-0.2</v>
      </c>
      <c r="I836" s="2">
        <v>1000</v>
      </c>
      <c r="J836" s="2">
        <v>204</v>
      </c>
      <c r="K836" s="2">
        <v>114000</v>
      </c>
      <c r="L836" s="2">
        <v>2548</v>
      </c>
      <c r="M836" s="2">
        <v>117.7</v>
      </c>
      <c r="N836" s="2">
        <v>242.6</v>
      </c>
      <c r="O836" s="2">
        <v>7250</v>
      </c>
      <c r="P836" s="2">
        <v>24.3</v>
      </c>
    </row>
    <row r="837" spans="1:16" ht="24.95" customHeight="1" x14ac:dyDescent="0.25">
      <c r="A837" s="17" t="s">
        <v>815</v>
      </c>
      <c r="B837" s="2">
        <v>296</v>
      </c>
      <c r="C837" s="2">
        <v>114</v>
      </c>
      <c r="D837" s="2">
        <v>37</v>
      </c>
      <c r="E837" s="2">
        <v>81</v>
      </c>
      <c r="F837" s="2">
        <v>-4</v>
      </c>
      <c r="I837" s="2">
        <v>810</v>
      </c>
      <c r="J837" s="2">
        <v>148</v>
      </c>
      <c r="K837" s="2">
        <v>92340</v>
      </c>
      <c r="L837" s="2">
        <v>1551</v>
      </c>
      <c r="M837" s="2">
        <v>123.3</v>
      </c>
      <c r="N837" s="2">
        <v>206.3</v>
      </c>
      <c r="O837" s="2">
        <v>4900</v>
      </c>
      <c r="P837" s="2">
        <v>5.5</v>
      </c>
    </row>
    <row r="838" spans="1:16" ht="24.95" customHeight="1" x14ac:dyDescent="0.25">
      <c r="A838" s="17" t="s">
        <v>816</v>
      </c>
      <c r="B838" s="2">
        <v>270</v>
      </c>
      <c r="C838" s="2">
        <v>108</v>
      </c>
      <c r="D838" s="2">
        <v>28.3</v>
      </c>
      <c r="E838" s="2">
        <v>81</v>
      </c>
      <c r="F838" s="2">
        <v>-1.3</v>
      </c>
      <c r="I838" s="2">
        <v>640</v>
      </c>
      <c r="J838" s="2">
        <v>154</v>
      </c>
      <c r="K838" s="2">
        <v>69120</v>
      </c>
      <c r="L838" s="2">
        <v>1870</v>
      </c>
      <c r="M838" s="2">
        <v>88.4</v>
      </c>
      <c r="N838" s="2">
        <v>164.6</v>
      </c>
      <c r="O838" s="2">
        <v>5000</v>
      </c>
      <c r="P838" s="2">
        <v>26.1</v>
      </c>
    </row>
    <row r="839" spans="1:16" ht="24.95" customHeight="1" x14ac:dyDescent="0.25">
      <c r="A839" s="17" t="s">
        <v>817</v>
      </c>
      <c r="B839" s="2">
        <v>306</v>
      </c>
      <c r="C839" s="2">
        <v>120</v>
      </c>
      <c r="D839" s="2">
        <v>43.5</v>
      </c>
      <c r="E839" s="2">
        <v>81</v>
      </c>
      <c r="F839" s="2">
        <v>-4.5</v>
      </c>
      <c r="I839" s="2">
        <v>720</v>
      </c>
      <c r="J839" s="2">
        <v>145</v>
      </c>
      <c r="K839" s="2">
        <v>86400</v>
      </c>
      <c r="L839" s="2">
        <v>1800</v>
      </c>
      <c r="M839" s="2">
        <v>116.6</v>
      </c>
      <c r="N839" s="2">
        <v>180.7</v>
      </c>
      <c r="O839" s="2">
        <v>4600</v>
      </c>
      <c r="P839" s="2">
        <v>13.6</v>
      </c>
    </row>
    <row r="840" spans="1:16" ht="24.95" customHeight="1" x14ac:dyDescent="0.25">
      <c r="A840" s="17" t="s">
        <v>818</v>
      </c>
      <c r="B840" s="2">
        <v>276</v>
      </c>
      <c r="C840" s="2">
        <v>104</v>
      </c>
      <c r="D840" s="2">
        <v>24.8</v>
      </c>
      <c r="E840" s="2">
        <v>81</v>
      </c>
      <c r="F840" s="2">
        <v>-1.8</v>
      </c>
      <c r="I840" s="2">
        <v>400</v>
      </c>
      <c r="J840" s="2">
        <v>155</v>
      </c>
      <c r="K840" s="2">
        <v>41600</v>
      </c>
      <c r="L840" s="2">
        <v>1115</v>
      </c>
      <c r="M840" s="2">
        <v>51.6</v>
      </c>
      <c r="N840" s="2">
        <v>96.2</v>
      </c>
      <c r="O840" s="2">
        <v>3220</v>
      </c>
      <c r="P840" s="2">
        <v>32.1</v>
      </c>
    </row>
    <row r="841" spans="1:16" ht="24.95" customHeight="1" x14ac:dyDescent="0.25">
      <c r="A841" s="17" t="s">
        <v>6780</v>
      </c>
      <c r="B841" s="2">
        <v>277</v>
      </c>
      <c r="C841" s="2">
        <v>111</v>
      </c>
      <c r="D841" s="2">
        <v>30</v>
      </c>
      <c r="E841" s="2">
        <v>81</v>
      </c>
      <c r="I841" s="2">
        <v>265</v>
      </c>
      <c r="J841" s="2">
        <v>173</v>
      </c>
      <c r="K841" s="2">
        <v>29415</v>
      </c>
      <c r="L841" s="2">
        <v>902</v>
      </c>
      <c r="M841" s="2">
        <v>34.5</v>
      </c>
      <c r="N841" s="2">
        <v>66.5</v>
      </c>
      <c r="O841" s="2">
        <v>2450</v>
      </c>
      <c r="P841" s="2">
        <v>38.799999999999997</v>
      </c>
    </row>
    <row r="842" spans="1:16" ht="24.95" customHeight="1" x14ac:dyDescent="0.25">
      <c r="A842" s="17" t="s">
        <v>820</v>
      </c>
      <c r="B842" s="2">
        <v>264</v>
      </c>
      <c r="C842" s="2">
        <v>108</v>
      </c>
      <c r="D842" s="2">
        <v>26</v>
      </c>
      <c r="E842" s="2">
        <v>81</v>
      </c>
      <c r="F842" s="2">
        <v>1</v>
      </c>
      <c r="I842" s="2">
        <v>640</v>
      </c>
      <c r="J842" s="2">
        <v>196</v>
      </c>
      <c r="K842" s="2">
        <v>69120</v>
      </c>
      <c r="L842" s="2">
        <v>2035</v>
      </c>
      <c r="M842" s="2">
        <v>86.9</v>
      </c>
      <c r="N842" s="2">
        <v>164.4</v>
      </c>
      <c r="O842" s="2">
        <v>5940</v>
      </c>
      <c r="P842" s="2">
        <v>38.299999999999997</v>
      </c>
    </row>
    <row r="843" spans="1:16" ht="24.95" customHeight="1" x14ac:dyDescent="0.25">
      <c r="A843" s="17" t="s">
        <v>821</v>
      </c>
      <c r="B843" s="2">
        <v>240</v>
      </c>
      <c r="C843" s="2">
        <v>96</v>
      </c>
      <c r="D843" s="2">
        <v>14.8</v>
      </c>
      <c r="E843" s="2">
        <v>81</v>
      </c>
      <c r="F843" s="2">
        <v>0.2</v>
      </c>
      <c r="H843" s="2">
        <v>98.1</v>
      </c>
      <c r="I843" s="2">
        <v>3900</v>
      </c>
      <c r="J843" s="2">
        <v>155</v>
      </c>
      <c r="K843" s="2">
        <v>382726</v>
      </c>
      <c r="L843" s="2">
        <v>12662</v>
      </c>
      <c r="M843" s="2">
        <v>624.29999999999995</v>
      </c>
      <c r="N843" s="2">
        <v>975.8</v>
      </c>
      <c r="O843" s="2">
        <v>35340</v>
      </c>
      <c r="P843" s="2">
        <v>38.6</v>
      </c>
    </row>
    <row r="844" spans="1:16" ht="24.95" customHeight="1" x14ac:dyDescent="0.25">
      <c r="A844" s="17" t="s">
        <v>822</v>
      </c>
      <c r="B844" s="2">
        <v>246</v>
      </c>
      <c r="C844" s="2">
        <v>96</v>
      </c>
      <c r="D844" s="2">
        <v>13.1</v>
      </c>
      <c r="E844" s="2">
        <v>81</v>
      </c>
      <c r="F844" s="2">
        <v>1.9</v>
      </c>
      <c r="H844" s="2">
        <v>99</v>
      </c>
      <c r="I844" s="2">
        <v>1220</v>
      </c>
      <c r="J844" s="2">
        <v>189</v>
      </c>
      <c r="K844" s="2">
        <v>120732</v>
      </c>
      <c r="L844" s="2">
        <v>6045</v>
      </c>
      <c r="M844" s="2">
        <v>207.2</v>
      </c>
      <c r="N844" s="2">
        <v>325.5</v>
      </c>
      <c r="O844" s="2">
        <v>17470</v>
      </c>
      <c r="P844" s="2">
        <v>58.7</v>
      </c>
    </row>
    <row r="845" spans="1:16" ht="24.95" customHeight="1" x14ac:dyDescent="0.25">
      <c r="A845" s="17" t="s">
        <v>823</v>
      </c>
      <c r="B845" s="2">
        <v>238</v>
      </c>
      <c r="C845" s="2">
        <v>96</v>
      </c>
      <c r="D845" s="2">
        <v>14.5</v>
      </c>
      <c r="E845" s="2">
        <v>81</v>
      </c>
      <c r="F845" s="2">
        <v>0.5</v>
      </c>
      <c r="H845" s="2">
        <v>97.5</v>
      </c>
      <c r="I845" s="2">
        <v>1548</v>
      </c>
      <c r="J845" s="2">
        <v>154</v>
      </c>
      <c r="K845" s="2">
        <v>150886</v>
      </c>
      <c r="L845" s="2">
        <v>6368</v>
      </c>
      <c r="M845" s="2">
        <v>270.60000000000002</v>
      </c>
      <c r="N845" s="2">
        <v>385.9</v>
      </c>
      <c r="O845" s="2">
        <v>18500</v>
      </c>
      <c r="P845" s="2">
        <v>48.5</v>
      </c>
    </row>
    <row r="846" spans="1:16" ht="24.95" customHeight="1" x14ac:dyDescent="0.25">
      <c r="A846" s="17" t="s">
        <v>824</v>
      </c>
      <c r="B846" s="2">
        <v>226</v>
      </c>
      <c r="C846" s="2">
        <v>90</v>
      </c>
      <c r="D846" s="2">
        <v>9.4</v>
      </c>
      <c r="E846" s="2">
        <v>81</v>
      </c>
      <c r="F846" s="2">
        <v>-0.4</v>
      </c>
      <c r="H846" s="2">
        <v>92.2</v>
      </c>
      <c r="I846" s="2">
        <v>2150</v>
      </c>
      <c r="J846" s="2">
        <v>151</v>
      </c>
      <c r="K846" s="2">
        <v>198134</v>
      </c>
      <c r="L846" s="2">
        <v>6680</v>
      </c>
      <c r="M846" s="2">
        <v>249.3</v>
      </c>
      <c r="N846" s="2">
        <v>474</v>
      </c>
      <c r="O846" s="2">
        <v>25580</v>
      </c>
      <c r="P846" s="2">
        <v>53.1</v>
      </c>
    </row>
    <row r="847" spans="1:16" ht="24.95" customHeight="1" x14ac:dyDescent="0.25">
      <c r="A847" s="17" t="s">
        <v>825</v>
      </c>
      <c r="B847" s="2">
        <v>246</v>
      </c>
      <c r="C847" s="2">
        <v>97</v>
      </c>
      <c r="D847" s="2">
        <v>15.2</v>
      </c>
      <c r="E847" s="2">
        <v>81</v>
      </c>
      <c r="F847" s="2">
        <v>0.8</v>
      </c>
      <c r="H847" s="2">
        <v>99.3</v>
      </c>
      <c r="I847" s="2">
        <v>1685</v>
      </c>
      <c r="J847" s="2">
        <v>176</v>
      </c>
      <c r="K847" s="2">
        <v>167257</v>
      </c>
      <c r="L847" s="2">
        <v>6637</v>
      </c>
      <c r="M847" s="2">
        <v>279.39999999999998</v>
      </c>
      <c r="N847" s="2">
        <v>415.2</v>
      </c>
      <c r="O847" s="2">
        <v>18660</v>
      </c>
      <c r="P847" s="2">
        <v>48.9</v>
      </c>
    </row>
    <row r="848" spans="1:16" ht="24.95" customHeight="1" x14ac:dyDescent="0.25">
      <c r="A848" s="17" t="s">
        <v>826</v>
      </c>
      <c r="B848" s="2">
        <v>240</v>
      </c>
      <c r="C848" s="2">
        <v>96</v>
      </c>
      <c r="D848" s="2">
        <v>14.4</v>
      </c>
      <c r="E848" s="2">
        <v>81</v>
      </c>
      <c r="F848" s="2">
        <v>0.6</v>
      </c>
      <c r="H848" s="2">
        <v>98.6</v>
      </c>
      <c r="I848" s="2">
        <v>2366</v>
      </c>
      <c r="J848" s="2">
        <v>184</v>
      </c>
      <c r="K848" s="2">
        <v>233370</v>
      </c>
      <c r="L848" s="2">
        <v>8976</v>
      </c>
      <c r="M848" s="2">
        <v>440.7</v>
      </c>
      <c r="N848" s="2">
        <v>607.5</v>
      </c>
      <c r="O848" s="2">
        <v>27270</v>
      </c>
      <c r="P848" s="2">
        <v>50.7</v>
      </c>
    </row>
    <row r="849" spans="1:16" ht="24.95" customHeight="1" x14ac:dyDescent="0.25">
      <c r="A849" s="17" t="s">
        <v>827</v>
      </c>
      <c r="B849" s="2">
        <v>255</v>
      </c>
      <c r="C849" s="2">
        <v>98</v>
      </c>
      <c r="D849" s="2">
        <v>17</v>
      </c>
      <c r="E849" s="2">
        <v>81</v>
      </c>
      <c r="H849" s="2">
        <v>98.4</v>
      </c>
      <c r="I849" s="2">
        <v>1140</v>
      </c>
      <c r="J849" s="2">
        <v>185</v>
      </c>
      <c r="K849" s="2">
        <v>112220</v>
      </c>
      <c r="L849" s="2">
        <v>4174</v>
      </c>
      <c r="M849" s="2">
        <v>201.5</v>
      </c>
      <c r="N849" s="2">
        <v>290.2</v>
      </c>
      <c r="O849" s="2">
        <v>12180</v>
      </c>
      <c r="P849" s="2">
        <v>47.9</v>
      </c>
    </row>
    <row r="850" spans="1:16" ht="24.95" customHeight="1" x14ac:dyDescent="0.25">
      <c r="A850" s="17" t="s">
        <v>828</v>
      </c>
      <c r="B850" s="2">
        <v>240</v>
      </c>
      <c r="C850" s="2">
        <v>98</v>
      </c>
      <c r="D850" s="2">
        <v>14.9</v>
      </c>
      <c r="E850" s="2">
        <v>81</v>
      </c>
      <c r="F850" s="2">
        <v>2.1</v>
      </c>
      <c r="H850" s="2">
        <v>99.1</v>
      </c>
      <c r="I850" s="2">
        <v>931</v>
      </c>
      <c r="J850" s="2">
        <v>164</v>
      </c>
      <c r="K850" s="2">
        <v>92256</v>
      </c>
      <c r="L850" s="2">
        <v>4200</v>
      </c>
      <c r="M850" s="2">
        <v>162.1</v>
      </c>
      <c r="N850" s="2">
        <v>237.6</v>
      </c>
      <c r="O850" s="2">
        <v>12260</v>
      </c>
      <c r="P850" s="2">
        <v>57.2</v>
      </c>
    </row>
    <row r="851" spans="1:16" ht="24.95" customHeight="1" x14ac:dyDescent="0.25">
      <c r="A851" s="17" t="s">
        <v>829</v>
      </c>
      <c r="B851" s="2">
        <v>228</v>
      </c>
      <c r="C851" s="2">
        <v>90</v>
      </c>
      <c r="D851" s="2">
        <v>9.4</v>
      </c>
      <c r="E851" s="2">
        <v>81</v>
      </c>
      <c r="F851" s="2">
        <v>-0.4</v>
      </c>
      <c r="H851" s="2">
        <v>91.8</v>
      </c>
      <c r="I851" s="2">
        <v>1250</v>
      </c>
      <c r="J851" s="2">
        <v>154</v>
      </c>
      <c r="K851" s="2">
        <v>114802</v>
      </c>
      <c r="L851" s="2">
        <v>5491</v>
      </c>
      <c r="M851" s="2">
        <v>256.39999999999998</v>
      </c>
      <c r="N851" s="2">
        <v>324.60000000000002</v>
      </c>
      <c r="O851" s="2">
        <v>17170</v>
      </c>
      <c r="P851" s="2">
        <v>58.1</v>
      </c>
    </row>
    <row r="852" spans="1:16" ht="24.95" customHeight="1" x14ac:dyDescent="0.25">
      <c r="A852" s="17" t="s">
        <v>830</v>
      </c>
      <c r="B852" s="2">
        <v>240</v>
      </c>
      <c r="C852" s="2">
        <v>90</v>
      </c>
      <c r="D852" s="2">
        <v>8</v>
      </c>
      <c r="E852" s="2">
        <v>81</v>
      </c>
      <c r="F852" s="2">
        <v>1</v>
      </c>
      <c r="H852" s="2">
        <v>91.1</v>
      </c>
      <c r="I852" s="2">
        <v>1123</v>
      </c>
      <c r="J852" s="2">
        <v>188</v>
      </c>
      <c r="K852" s="2">
        <v>102254</v>
      </c>
      <c r="L852" s="2">
        <v>5590</v>
      </c>
      <c r="M852" s="2">
        <v>179.2</v>
      </c>
      <c r="N852" s="2">
        <v>254.9</v>
      </c>
      <c r="O852" s="2">
        <v>17970</v>
      </c>
      <c r="P852" s="2">
        <v>64.099999999999994</v>
      </c>
    </row>
    <row r="853" spans="1:16" ht="24.95" customHeight="1" x14ac:dyDescent="0.25">
      <c r="A853" s="17" t="s">
        <v>831</v>
      </c>
      <c r="B853" s="2">
        <v>234</v>
      </c>
      <c r="C853" s="2">
        <v>92</v>
      </c>
      <c r="D853" s="2">
        <v>10.8</v>
      </c>
      <c r="E853" s="2">
        <v>81</v>
      </c>
      <c r="F853" s="2">
        <v>0.2</v>
      </c>
      <c r="H853" s="2">
        <v>95.9</v>
      </c>
      <c r="I853" s="2">
        <v>5750</v>
      </c>
      <c r="J853" s="2">
        <v>198</v>
      </c>
      <c r="K853" s="2">
        <v>551162</v>
      </c>
      <c r="L853" s="2">
        <v>15975</v>
      </c>
      <c r="M853" s="2">
        <v>891.4</v>
      </c>
      <c r="N853" s="2">
        <v>1350.9</v>
      </c>
      <c r="O853" s="2">
        <v>46890</v>
      </c>
      <c r="P853" s="2">
        <v>30.3</v>
      </c>
    </row>
    <row r="854" spans="1:16" ht="24.95" customHeight="1" x14ac:dyDescent="0.25">
      <c r="A854" s="17" t="s">
        <v>832</v>
      </c>
      <c r="B854" s="2">
        <v>264</v>
      </c>
      <c r="C854" s="2">
        <v>104</v>
      </c>
      <c r="D854" s="2">
        <v>22.3</v>
      </c>
      <c r="E854" s="2">
        <v>81</v>
      </c>
      <c r="F854" s="2">
        <v>0.7</v>
      </c>
      <c r="H854" s="2">
        <v>104.3</v>
      </c>
      <c r="I854" s="2">
        <v>1760</v>
      </c>
      <c r="J854" s="2">
        <v>154</v>
      </c>
      <c r="K854" s="2">
        <v>183620</v>
      </c>
      <c r="L854" s="2">
        <v>6647</v>
      </c>
      <c r="M854" s="2">
        <v>256.3</v>
      </c>
      <c r="N854" s="2">
        <v>426.6</v>
      </c>
      <c r="O854" s="2">
        <v>17320</v>
      </c>
      <c r="P854" s="2">
        <v>43.2</v>
      </c>
    </row>
    <row r="855" spans="1:16" ht="24.95" customHeight="1" x14ac:dyDescent="0.25">
      <c r="A855" s="17" t="s">
        <v>818</v>
      </c>
      <c r="B855" s="2">
        <v>236</v>
      </c>
      <c r="C855" s="2">
        <v>92</v>
      </c>
      <c r="D855" s="2">
        <v>10.6</v>
      </c>
      <c r="E855" s="2">
        <v>81</v>
      </c>
      <c r="F855" s="2">
        <v>0.4</v>
      </c>
      <c r="H855" s="2">
        <v>92.8</v>
      </c>
      <c r="I855" s="2">
        <v>700</v>
      </c>
      <c r="J855" s="2">
        <v>175</v>
      </c>
      <c r="K855" s="2">
        <v>64991</v>
      </c>
      <c r="L855" s="2">
        <v>3077</v>
      </c>
      <c r="M855" s="2">
        <v>125.7</v>
      </c>
      <c r="N855" s="2">
        <v>169.9</v>
      </c>
      <c r="O855" s="2">
        <v>9140</v>
      </c>
      <c r="P855" s="2">
        <v>56</v>
      </c>
    </row>
    <row r="856" spans="1:16" ht="24.95" customHeight="1" x14ac:dyDescent="0.25">
      <c r="A856" s="17" t="s">
        <v>833</v>
      </c>
      <c r="B856" s="2">
        <v>240</v>
      </c>
      <c r="C856" s="2">
        <v>95</v>
      </c>
      <c r="D856" s="2">
        <v>13.6</v>
      </c>
      <c r="E856" s="2">
        <v>81</v>
      </c>
      <c r="F856" s="2">
        <v>0.5</v>
      </c>
      <c r="H856" s="2">
        <v>97.7</v>
      </c>
      <c r="I856" s="2">
        <v>2000</v>
      </c>
      <c r="J856" s="2">
        <v>133</v>
      </c>
      <c r="K856" s="2">
        <v>195447</v>
      </c>
      <c r="L856" s="2">
        <v>6090</v>
      </c>
      <c r="M856" s="2">
        <v>227.9</v>
      </c>
      <c r="N856" s="2">
        <v>450.3</v>
      </c>
      <c r="O856" s="2">
        <v>22390</v>
      </c>
      <c r="P856" s="2">
        <v>49.5</v>
      </c>
    </row>
    <row r="857" spans="1:16" ht="24.95" customHeight="1" x14ac:dyDescent="0.25">
      <c r="A857" s="17" t="s">
        <v>834</v>
      </c>
      <c r="B857" s="2">
        <v>236</v>
      </c>
      <c r="C857" s="2">
        <v>94</v>
      </c>
      <c r="D857" s="2">
        <v>12</v>
      </c>
      <c r="E857" s="2">
        <v>81</v>
      </c>
      <c r="F857" s="2">
        <v>1</v>
      </c>
      <c r="H857" s="2">
        <v>96.4</v>
      </c>
      <c r="I857" s="2">
        <v>1690</v>
      </c>
      <c r="J857" s="2">
        <v>162</v>
      </c>
      <c r="K857" s="2">
        <v>162964</v>
      </c>
      <c r="L857" s="2">
        <v>5923</v>
      </c>
      <c r="M857" s="2">
        <v>205.1</v>
      </c>
      <c r="N857" s="2">
        <v>377.3</v>
      </c>
      <c r="O857" s="2">
        <v>20040</v>
      </c>
      <c r="P857" s="2">
        <v>51</v>
      </c>
    </row>
    <row r="858" spans="1:16" ht="24.95" customHeight="1" x14ac:dyDescent="0.25">
      <c r="A858" s="17" t="s">
        <v>6781</v>
      </c>
      <c r="B858" s="2">
        <v>192</v>
      </c>
      <c r="C858" s="2">
        <v>77</v>
      </c>
      <c r="I858" s="2">
        <v>42791</v>
      </c>
      <c r="J858" s="2">
        <v>180</v>
      </c>
      <c r="K858" s="2">
        <v>3294907</v>
      </c>
      <c r="L858" s="2">
        <v>98332</v>
      </c>
      <c r="M858" s="2">
        <v>5515.8</v>
      </c>
      <c r="N858" s="2">
        <v>10480.5</v>
      </c>
      <c r="O858" s="2">
        <v>300960</v>
      </c>
      <c r="P858" s="2">
        <v>20.399999999999999</v>
      </c>
    </row>
    <row r="859" spans="1:16" ht="24.95" customHeight="1" x14ac:dyDescent="0.25">
      <c r="A859" s="17" t="s">
        <v>836</v>
      </c>
      <c r="B859" s="2">
        <v>266</v>
      </c>
      <c r="C859" s="2">
        <v>108</v>
      </c>
      <c r="D859" s="2">
        <v>28.7</v>
      </c>
      <c r="E859" s="2">
        <v>79</v>
      </c>
      <c r="F859" s="2">
        <v>0.3</v>
      </c>
      <c r="I859" s="2">
        <v>421</v>
      </c>
      <c r="J859" s="2">
        <v>166</v>
      </c>
      <c r="K859" s="2">
        <v>45468</v>
      </c>
      <c r="L859" s="2">
        <v>1010</v>
      </c>
      <c r="M859" s="2">
        <v>51.3</v>
      </c>
      <c r="N859" s="2">
        <v>105.1</v>
      </c>
      <c r="O859" s="2">
        <v>3520</v>
      </c>
      <c r="P859" s="2">
        <v>31.5</v>
      </c>
    </row>
    <row r="860" spans="1:16" ht="24.95" customHeight="1" x14ac:dyDescent="0.25">
      <c r="A860" s="17" t="s">
        <v>837</v>
      </c>
      <c r="B860" s="2">
        <v>322</v>
      </c>
      <c r="C860" s="2">
        <v>126</v>
      </c>
      <c r="D860" s="2">
        <v>49.1</v>
      </c>
      <c r="E860" s="2">
        <v>79</v>
      </c>
      <c r="F860" s="2">
        <v>-2.2000000000000002</v>
      </c>
      <c r="I860" s="2">
        <v>1125</v>
      </c>
      <c r="J860" s="2">
        <v>163</v>
      </c>
      <c r="K860" s="2">
        <v>141750</v>
      </c>
      <c r="L860" s="2">
        <v>1871</v>
      </c>
      <c r="M860" s="2">
        <v>106.1</v>
      </c>
      <c r="N860" s="2">
        <v>267.60000000000002</v>
      </c>
      <c r="O860" s="2">
        <v>5980</v>
      </c>
    </row>
    <row r="861" spans="1:16" ht="24.95" customHeight="1" x14ac:dyDescent="0.25">
      <c r="A861" s="17" t="s">
        <v>838</v>
      </c>
      <c r="B861" s="2">
        <v>318</v>
      </c>
      <c r="C861" s="2">
        <v>126</v>
      </c>
      <c r="D861" s="2">
        <v>46.2</v>
      </c>
      <c r="E861" s="2">
        <v>79</v>
      </c>
      <c r="F861" s="2">
        <v>0.8</v>
      </c>
      <c r="I861" s="2">
        <v>550</v>
      </c>
      <c r="J861" s="2">
        <v>242</v>
      </c>
      <c r="K861" s="2">
        <v>69300</v>
      </c>
      <c r="L861" s="2">
        <v>1326</v>
      </c>
      <c r="M861" s="2">
        <v>76.400000000000006</v>
      </c>
      <c r="N861" s="2">
        <v>135.1</v>
      </c>
      <c r="O861" s="2">
        <v>3830</v>
      </c>
      <c r="P861" s="2">
        <v>21.2</v>
      </c>
    </row>
    <row r="862" spans="1:16" ht="24.95" customHeight="1" x14ac:dyDescent="0.25">
      <c r="A862" s="17" t="s">
        <v>839</v>
      </c>
      <c r="B862" s="2">
        <v>336</v>
      </c>
      <c r="C862" s="2">
        <v>136</v>
      </c>
      <c r="D862" s="2">
        <v>57.9</v>
      </c>
      <c r="E862" s="2">
        <v>77</v>
      </c>
      <c r="F862" s="2">
        <v>1.1000000000000001</v>
      </c>
      <c r="I862" s="2">
        <v>5830</v>
      </c>
      <c r="J862" s="2">
        <v>172</v>
      </c>
      <c r="K862" s="2">
        <v>792880</v>
      </c>
      <c r="L862" s="2">
        <v>13178</v>
      </c>
      <c r="M862" s="2">
        <v>833.2</v>
      </c>
      <c r="N862" s="2">
        <v>1433</v>
      </c>
      <c r="O862" s="2">
        <v>38650</v>
      </c>
      <c r="P862" s="2">
        <v>16.2</v>
      </c>
    </row>
    <row r="863" spans="1:16" ht="24.95" customHeight="1" x14ac:dyDescent="0.25">
      <c r="A863" s="17" t="s">
        <v>840</v>
      </c>
      <c r="B863" s="2">
        <v>276</v>
      </c>
      <c r="C863" s="2">
        <v>112</v>
      </c>
      <c r="D863" s="2">
        <v>32.6</v>
      </c>
      <c r="E863" s="2">
        <v>79</v>
      </c>
      <c r="F863" s="2">
        <v>0.3</v>
      </c>
      <c r="I863" s="2">
        <v>610</v>
      </c>
      <c r="J863" s="2">
        <v>207</v>
      </c>
      <c r="K863" s="2">
        <v>68320</v>
      </c>
      <c r="L863" s="2">
        <v>1511</v>
      </c>
      <c r="M863" s="2">
        <v>82.6</v>
      </c>
      <c r="N863" s="2">
        <v>150.30000000000001</v>
      </c>
      <c r="O863" s="2">
        <v>4410</v>
      </c>
      <c r="P863" s="2">
        <v>23.5</v>
      </c>
    </row>
    <row r="864" spans="1:16" ht="24.95" customHeight="1" x14ac:dyDescent="0.25">
      <c r="A864" s="17" t="s">
        <v>841</v>
      </c>
      <c r="B864" s="2">
        <v>323</v>
      </c>
      <c r="C864" s="2">
        <v>120</v>
      </c>
      <c r="D864" s="2">
        <v>40.799999999999997</v>
      </c>
      <c r="E864" s="2">
        <v>79</v>
      </c>
      <c r="F864" s="2">
        <v>0.2</v>
      </c>
      <c r="I864" s="2">
        <v>8200</v>
      </c>
      <c r="J864" s="2">
        <v>214</v>
      </c>
      <c r="K864" s="2">
        <v>984000</v>
      </c>
      <c r="L864" s="2">
        <v>10803</v>
      </c>
      <c r="M864" s="2">
        <v>679.8</v>
      </c>
      <c r="N864" s="2">
        <v>2001.7</v>
      </c>
      <c r="O864" s="2">
        <v>39460</v>
      </c>
    </row>
    <row r="865" spans="1:16" ht="24.95" customHeight="1" x14ac:dyDescent="0.25">
      <c r="A865" s="17" t="s">
        <v>842</v>
      </c>
      <c r="B865" s="2">
        <v>294</v>
      </c>
      <c r="C865" s="2">
        <v>110</v>
      </c>
      <c r="D865" s="2">
        <v>30.7</v>
      </c>
      <c r="E865" s="2">
        <v>79</v>
      </c>
      <c r="F865" s="2">
        <v>0.4</v>
      </c>
      <c r="I865" s="2">
        <v>617</v>
      </c>
      <c r="J865" s="2">
        <v>188</v>
      </c>
      <c r="K865" s="2">
        <v>67870</v>
      </c>
      <c r="L865" s="2">
        <v>1644</v>
      </c>
      <c r="M865" s="2">
        <v>86.7</v>
      </c>
      <c r="N865" s="2">
        <v>154.1</v>
      </c>
      <c r="O865" s="2">
        <v>4620</v>
      </c>
      <c r="P865" s="2">
        <v>25.4</v>
      </c>
    </row>
    <row r="866" spans="1:16" ht="24.95" customHeight="1" x14ac:dyDescent="0.25">
      <c r="A866" s="17" t="s">
        <v>843</v>
      </c>
      <c r="B866" s="2">
        <v>284</v>
      </c>
      <c r="C866" s="2">
        <v>110</v>
      </c>
      <c r="D866" s="2">
        <v>30.6</v>
      </c>
      <c r="E866" s="2">
        <v>79</v>
      </c>
      <c r="F866" s="2">
        <v>0.4</v>
      </c>
      <c r="I866" s="2">
        <v>760</v>
      </c>
      <c r="J866" s="2">
        <v>204</v>
      </c>
      <c r="K866" s="2">
        <v>83600</v>
      </c>
      <c r="L866" s="2">
        <v>1790</v>
      </c>
      <c r="M866" s="2">
        <v>87.7</v>
      </c>
      <c r="N866" s="2">
        <v>188.6</v>
      </c>
      <c r="O866" s="2">
        <v>5210</v>
      </c>
      <c r="P866" s="2">
        <v>18.2</v>
      </c>
    </row>
    <row r="867" spans="1:16" ht="24.95" customHeight="1" x14ac:dyDescent="0.25">
      <c r="A867" s="17" t="s">
        <v>844</v>
      </c>
      <c r="B867" s="2">
        <v>290</v>
      </c>
      <c r="C867" s="2">
        <v>124</v>
      </c>
      <c r="D867" s="2">
        <v>45.9</v>
      </c>
      <c r="E867" s="2">
        <v>79</v>
      </c>
      <c r="F867" s="2">
        <v>-0.9</v>
      </c>
      <c r="I867" s="2">
        <v>302</v>
      </c>
      <c r="J867" s="2">
        <v>154</v>
      </c>
      <c r="K867" s="2">
        <v>37448</v>
      </c>
      <c r="L867" s="2">
        <v>784</v>
      </c>
      <c r="M867" s="2">
        <v>41.3</v>
      </c>
      <c r="N867" s="2">
        <v>89.4</v>
      </c>
      <c r="O867" s="2">
        <v>3350</v>
      </c>
      <c r="P867" s="2">
        <v>40.6</v>
      </c>
    </row>
    <row r="868" spans="1:16" ht="24.95" customHeight="1" x14ac:dyDescent="0.25">
      <c r="A868" s="17" t="s">
        <v>845</v>
      </c>
      <c r="B868" s="2">
        <v>264</v>
      </c>
      <c r="C868" s="2">
        <v>108</v>
      </c>
      <c r="D868" s="2">
        <v>29.1</v>
      </c>
      <c r="E868" s="2">
        <v>79</v>
      </c>
      <c r="F868" s="2">
        <v>0.1</v>
      </c>
      <c r="I868" s="2">
        <v>455</v>
      </c>
      <c r="J868" s="2">
        <v>177</v>
      </c>
      <c r="K868" s="2">
        <v>49140</v>
      </c>
      <c r="L868" s="2">
        <v>1644</v>
      </c>
      <c r="M868" s="2">
        <v>74.400000000000006</v>
      </c>
      <c r="N868" s="2">
        <v>116.6</v>
      </c>
      <c r="O868" s="2">
        <v>4610</v>
      </c>
      <c r="P868" s="2">
        <v>43.5</v>
      </c>
    </row>
    <row r="869" spans="1:16" ht="24.95" customHeight="1" x14ac:dyDescent="0.25">
      <c r="A869" s="17" t="s">
        <v>846</v>
      </c>
      <c r="B869" s="2">
        <v>288</v>
      </c>
      <c r="C869" s="2">
        <v>118</v>
      </c>
      <c r="D869" s="2">
        <v>40.799999999999997</v>
      </c>
      <c r="E869" s="2">
        <v>77</v>
      </c>
      <c r="F869" s="2">
        <v>0.2</v>
      </c>
      <c r="I869" s="2">
        <v>546</v>
      </c>
      <c r="J869" s="2">
        <v>159</v>
      </c>
      <c r="K869" s="2">
        <v>64428</v>
      </c>
      <c r="L869" s="2">
        <v>1697</v>
      </c>
      <c r="M869" s="2">
        <v>84.7</v>
      </c>
      <c r="N869" s="2">
        <v>137.69999999999999</v>
      </c>
      <c r="O869" s="2">
        <v>4790</v>
      </c>
      <c r="P869" s="2">
        <v>35.4</v>
      </c>
    </row>
    <row r="870" spans="1:16" ht="24.95" customHeight="1" x14ac:dyDescent="0.25">
      <c r="A870" s="17" t="s">
        <v>847</v>
      </c>
      <c r="B870" s="2">
        <v>312</v>
      </c>
      <c r="C870" s="2">
        <v>120</v>
      </c>
      <c r="D870" s="2">
        <v>42.8</v>
      </c>
      <c r="E870" s="2">
        <v>77</v>
      </c>
      <c r="F870" s="2">
        <v>0.2</v>
      </c>
      <c r="I870" s="2">
        <v>2660</v>
      </c>
      <c r="J870" s="2">
        <v>202</v>
      </c>
      <c r="K870" s="2">
        <v>319200</v>
      </c>
      <c r="L870" s="2">
        <v>6185</v>
      </c>
      <c r="M870" s="2">
        <v>342.8</v>
      </c>
      <c r="N870" s="2">
        <v>634.70000000000005</v>
      </c>
      <c r="O870" s="2">
        <v>17470</v>
      </c>
      <c r="P870" s="2">
        <v>17.2</v>
      </c>
    </row>
    <row r="871" spans="1:16" ht="24.95" customHeight="1" x14ac:dyDescent="0.25">
      <c r="A871" s="17" t="s">
        <v>848</v>
      </c>
      <c r="B871" s="2">
        <v>314</v>
      </c>
      <c r="C871" s="2">
        <v>124</v>
      </c>
      <c r="D871" s="2">
        <v>47.9</v>
      </c>
      <c r="E871" s="2">
        <v>77</v>
      </c>
      <c r="F871" s="2">
        <v>-0.8</v>
      </c>
      <c r="I871" s="2">
        <v>4250</v>
      </c>
      <c r="J871" s="2">
        <v>162</v>
      </c>
      <c r="K871" s="2">
        <v>527000</v>
      </c>
      <c r="L871" s="2">
        <v>10234</v>
      </c>
      <c r="M871" s="2">
        <v>617.9</v>
      </c>
      <c r="N871" s="2">
        <v>1072.5999999999999</v>
      </c>
      <c r="O871" s="2">
        <v>31050</v>
      </c>
      <c r="P871" s="2">
        <v>22</v>
      </c>
    </row>
    <row r="872" spans="1:16" ht="24.95" customHeight="1" x14ac:dyDescent="0.25">
      <c r="A872" s="17" t="s">
        <v>836</v>
      </c>
      <c r="B872" s="2">
        <v>261</v>
      </c>
      <c r="C872" s="2">
        <v>105</v>
      </c>
      <c r="D872" s="2">
        <v>24.2</v>
      </c>
      <c r="E872" s="2">
        <v>79</v>
      </c>
      <c r="F872" s="2">
        <v>1.8</v>
      </c>
      <c r="H872" s="2">
        <v>107.1</v>
      </c>
      <c r="I872" s="2">
        <v>1043</v>
      </c>
      <c r="J872" s="2">
        <v>167</v>
      </c>
      <c r="K872" s="2">
        <v>111686</v>
      </c>
      <c r="L872" s="2">
        <v>3374</v>
      </c>
      <c r="M872" s="2">
        <v>161.5</v>
      </c>
      <c r="N872" s="2">
        <v>230.5</v>
      </c>
      <c r="O872" s="2">
        <v>11300</v>
      </c>
      <c r="P872" s="2">
        <v>50.8</v>
      </c>
    </row>
    <row r="873" spans="1:16" ht="24.95" customHeight="1" x14ac:dyDescent="0.25">
      <c r="A873" s="17" t="s">
        <v>849</v>
      </c>
      <c r="B873" s="2">
        <v>286</v>
      </c>
      <c r="C873" s="2">
        <v>108</v>
      </c>
      <c r="D873" s="2">
        <v>29</v>
      </c>
      <c r="E873" s="2">
        <v>79</v>
      </c>
      <c r="F873" s="2">
        <v>0.1</v>
      </c>
      <c r="H873" s="2">
        <v>111.3</v>
      </c>
      <c r="I873" s="2">
        <v>2180</v>
      </c>
      <c r="J873" s="2">
        <v>117</v>
      </c>
      <c r="K873" s="2">
        <v>242758</v>
      </c>
      <c r="L873" s="2">
        <v>6167</v>
      </c>
      <c r="M873" s="2">
        <v>368.4</v>
      </c>
      <c r="N873" s="2">
        <v>536.4</v>
      </c>
      <c r="O873" s="2">
        <v>18620</v>
      </c>
      <c r="P873" s="2">
        <v>34.200000000000003</v>
      </c>
    </row>
    <row r="874" spans="1:16" ht="24.95" customHeight="1" x14ac:dyDescent="0.25">
      <c r="A874" s="17" t="s">
        <v>837</v>
      </c>
      <c r="B874" s="2">
        <v>256</v>
      </c>
      <c r="C874" s="2">
        <v>104</v>
      </c>
      <c r="D874" s="2">
        <v>24.4</v>
      </c>
      <c r="E874" s="2">
        <v>79</v>
      </c>
      <c r="F874" s="2">
        <v>0.6</v>
      </c>
      <c r="H874" s="2">
        <v>107.5</v>
      </c>
      <c r="I874" s="2">
        <v>1626</v>
      </c>
      <c r="J874" s="2">
        <v>163</v>
      </c>
      <c r="K874" s="2">
        <v>174834</v>
      </c>
      <c r="L874" s="2">
        <v>5579</v>
      </c>
      <c r="M874" s="2">
        <v>265.3</v>
      </c>
      <c r="N874" s="2">
        <v>386.4</v>
      </c>
      <c r="O874" s="2">
        <v>16050</v>
      </c>
      <c r="P874" s="2">
        <v>41.5</v>
      </c>
    </row>
    <row r="875" spans="1:16" ht="24.95" customHeight="1" x14ac:dyDescent="0.25">
      <c r="A875" s="17" t="s">
        <v>839</v>
      </c>
      <c r="B875" s="2">
        <v>288</v>
      </c>
      <c r="C875" s="2">
        <v>114</v>
      </c>
      <c r="D875" s="2">
        <v>35</v>
      </c>
      <c r="E875" s="2">
        <v>79</v>
      </c>
      <c r="H875" s="2">
        <v>115.5</v>
      </c>
      <c r="I875" s="2">
        <v>2150</v>
      </c>
      <c r="J875" s="2">
        <v>207</v>
      </c>
      <c r="K875" s="2">
        <v>248366</v>
      </c>
      <c r="L875" s="2">
        <v>4059</v>
      </c>
      <c r="M875" s="2">
        <v>210.1</v>
      </c>
      <c r="N875" s="2">
        <v>534</v>
      </c>
      <c r="O875" s="2">
        <v>22670</v>
      </c>
    </row>
    <row r="876" spans="1:16" ht="24.95" customHeight="1" x14ac:dyDescent="0.25">
      <c r="A876" s="17" t="s">
        <v>140</v>
      </c>
      <c r="B876" s="2">
        <v>280</v>
      </c>
      <c r="C876" s="2">
        <v>107</v>
      </c>
      <c r="D876" s="2">
        <v>27.6</v>
      </c>
      <c r="E876" s="2">
        <v>79</v>
      </c>
      <c r="F876" s="2">
        <v>0.4</v>
      </c>
      <c r="H876" s="2">
        <v>109.7</v>
      </c>
      <c r="I876" s="2">
        <v>4448</v>
      </c>
      <c r="J876" s="2">
        <v>182</v>
      </c>
      <c r="K876" s="2">
        <v>487724</v>
      </c>
      <c r="L876" s="2">
        <v>9578</v>
      </c>
      <c r="M876" s="2">
        <v>621.79999999999995</v>
      </c>
      <c r="N876" s="2">
        <v>1077.0999999999999</v>
      </c>
      <c r="O876" s="2">
        <v>28250</v>
      </c>
      <c r="P876" s="2">
        <v>11.1</v>
      </c>
    </row>
    <row r="877" spans="1:16" ht="24.95" customHeight="1" x14ac:dyDescent="0.25">
      <c r="A877" s="17" t="s">
        <v>851</v>
      </c>
      <c r="B877" s="2">
        <v>234</v>
      </c>
      <c r="C877" s="2">
        <v>96</v>
      </c>
      <c r="D877" s="2">
        <v>16</v>
      </c>
      <c r="E877" s="2">
        <v>79</v>
      </c>
      <c r="F877" s="2">
        <v>1</v>
      </c>
      <c r="H877" s="2">
        <v>99</v>
      </c>
      <c r="I877" s="2">
        <v>1610</v>
      </c>
      <c r="J877" s="2">
        <v>152</v>
      </c>
      <c r="K877" s="2">
        <v>159376</v>
      </c>
      <c r="L877" s="2">
        <v>5755</v>
      </c>
      <c r="M877" s="2">
        <v>235</v>
      </c>
      <c r="N877" s="2">
        <v>400.9</v>
      </c>
      <c r="O877" s="2">
        <v>18890</v>
      </c>
      <c r="P877" s="2">
        <v>53.4</v>
      </c>
    </row>
    <row r="878" spans="1:16" ht="24.95" customHeight="1" x14ac:dyDescent="0.25">
      <c r="A878" s="17" t="s">
        <v>852</v>
      </c>
      <c r="B878" s="2">
        <v>282</v>
      </c>
      <c r="C878" s="2">
        <v>106</v>
      </c>
      <c r="D878" s="2">
        <v>25.3</v>
      </c>
      <c r="E878" s="2">
        <v>79</v>
      </c>
      <c r="F878" s="2">
        <v>1.7</v>
      </c>
      <c r="H878" s="2">
        <v>109.2</v>
      </c>
      <c r="I878" s="2">
        <v>1519</v>
      </c>
      <c r="J878" s="2">
        <v>176</v>
      </c>
      <c r="K878" s="2">
        <v>165934</v>
      </c>
      <c r="L878" s="2">
        <v>5185</v>
      </c>
      <c r="M878" s="2">
        <v>239.7</v>
      </c>
      <c r="N878" s="2">
        <v>372.5</v>
      </c>
      <c r="O878" s="2">
        <v>15460</v>
      </c>
      <c r="P878" s="2">
        <v>46.2</v>
      </c>
    </row>
    <row r="879" spans="1:16" ht="24.95" customHeight="1" x14ac:dyDescent="0.25">
      <c r="A879" s="17" t="s">
        <v>848</v>
      </c>
      <c r="B879" s="2">
        <v>283</v>
      </c>
      <c r="C879" s="2">
        <v>106</v>
      </c>
      <c r="D879" s="2">
        <v>25.7</v>
      </c>
      <c r="E879" s="2">
        <v>77</v>
      </c>
      <c r="F879" s="2">
        <v>1.4</v>
      </c>
      <c r="H879" s="2">
        <v>112</v>
      </c>
      <c r="I879" s="2">
        <v>1840</v>
      </c>
      <c r="J879" s="2">
        <v>194</v>
      </c>
      <c r="K879" s="2">
        <v>206722</v>
      </c>
      <c r="L879" s="2">
        <v>4958</v>
      </c>
      <c r="M879" s="2">
        <v>249.4</v>
      </c>
      <c r="N879" s="2">
        <v>456.2</v>
      </c>
      <c r="O879" s="2">
        <v>13770</v>
      </c>
      <c r="P879" s="2">
        <v>26.6</v>
      </c>
    </row>
    <row r="880" spans="1:16" ht="24.95" customHeight="1" x14ac:dyDescent="0.25">
      <c r="A880" s="17" t="s">
        <v>6782</v>
      </c>
      <c r="B880" s="2">
        <v>188.5</v>
      </c>
      <c r="C880" s="2">
        <v>84.5</v>
      </c>
      <c r="I880" s="2">
        <v>57145</v>
      </c>
      <c r="J880" s="2">
        <v>159</v>
      </c>
      <c r="K880" s="2">
        <v>4828753</v>
      </c>
      <c r="L880" s="2">
        <v>157489</v>
      </c>
      <c r="M880" s="2">
        <v>8396.6</v>
      </c>
      <c r="N880" s="2">
        <v>14325.3</v>
      </c>
      <c r="O880" s="2">
        <v>487170</v>
      </c>
      <c r="P880" s="2">
        <v>33.299999999999997</v>
      </c>
    </row>
    <row r="881" spans="1:16" ht="24.95" customHeight="1" x14ac:dyDescent="0.25">
      <c r="A881" s="17" t="s">
        <v>854</v>
      </c>
      <c r="B881" s="2">
        <v>288</v>
      </c>
      <c r="C881" s="2">
        <v>126</v>
      </c>
      <c r="D881" s="2">
        <v>39.799999999999997</v>
      </c>
      <c r="E881" s="2">
        <v>85.8</v>
      </c>
      <c r="F881" s="2">
        <v>0.5</v>
      </c>
      <c r="I881" s="2">
        <v>1360</v>
      </c>
      <c r="J881" s="2">
        <v>148</v>
      </c>
      <c r="K881" s="2">
        <v>171360</v>
      </c>
      <c r="L881" s="2">
        <v>4190</v>
      </c>
      <c r="M881" s="2">
        <v>190.5</v>
      </c>
      <c r="N881" s="2">
        <v>355.3</v>
      </c>
      <c r="O881" s="2">
        <v>12280</v>
      </c>
      <c r="P881" s="2">
        <v>33.799999999999997</v>
      </c>
    </row>
    <row r="882" spans="1:16" ht="24.95" customHeight="1" x14ac:dyDescent="0.25">
      <c r="A882" s="17" t="s">
        <v>855</v>
      </c>
      <c r="B882" s="2">
        <v>258</v>
      </c>
      <c r="C882" s="2">
        <v>115</v>
      </c>
      <c r="D882" s="2">
        <v>29</v>
      </c>
      <c r="E882" s="2">
        <v>85.5</v>
      </c>
      <c r="F882" s="2">
        <v>0.5</v>
      </c>
      <c r="I882" s="2">
        <v>3634</v>
      </c>
      <c r="J882" s="2">
        <v>161</v>
      </c>
      <c r="K882" s="2">
        <v>417910</v>
      </c>
      <c r="L882" s="2">
        <v>11426</v>
      </c>
      <c r="M882" s="2">
        <v>530.79999999999995</v>
      </c>
      <c r="N882" s="2">
        <v>937.6</v>
      </c>
      <c r="O882" s="2">
        <v>36400</v>
      </c>
      <c r="P882" s="2">
        <v>42.5</v>
      </c>
    </row>
    <row r="883" spans="1:16" ht="24.95" customHeight="1" x14ac:dyDescent="0.25">
      <c r="A883" s="17" t="s">
        <v>856</v>
      </c>
      <c r="B883" s="2">
        <v>276</v>
      </c>
      <c r="C883" s="2">
        <v>120</v>
      </c>
      <c r="D883" s="2">
        <v>30.2</v>
      </c>
      <c r="E883" s="2">
        <v>90</v>
      </c>
      <c r="F883" s="2">
        <v>-0.2</v>
      </c>
      <c r="I883" s="2">
        <v>1650</v>
      </c>
      <c r="J883" s="2">
        <v>169</v>
      </c>
      <c r="K883" s="2">
        <v>198000</v>
      </c>
      <c r="L883" s="2">
        <v>3942</v>
      </c>
      <c r="M883" s="2">
        <v>239.3</v>
      </c>
      <c r="N883" s="2">
        <v>396.6</v>
      </c>
      <c r="O883" s="2">
        <v>13160</v>
      </c>
      <c r="P883" s="2">
        <v>30</v>
      </c>
    </row>
    <row r="884" spans="1:16" ht="24.95" customHeight="1" x14ac:dyDescent="0.25">
      <c r="A884" s="17" t="s">
        <v>857</v>
      </c>
      <c r="B884" s="2">
        <v>284</v>
      </c>
      <c r="C884" s="2">
        <v>114</v>
      </c>
      <c r="D884" s="2">
        <v>28.6</v>
      </c>
      <c r="E884" s="2">
        <v>84.8</v>
      </c>
      <c r="F884" s="2">
        <v>0.6</v>
      </c>
      <c r="I884" s="2">
        <v>6700</v>
      </c>
      <c r="J884" s="2">
        <v>167</v>
      </c>
      <c r="K884" s="2">
        <v>763800</v>
      </c>
      <c r="L884" s="2">
        <v>15624</v>
      </c>
      <c r="M884" s="2">
        <v>679</v>
      </c>
      <c r="N884" s="2">
        <v>1708.1</v>
      </c>
      <c r="O884" s="2">
        <v>49690</v>
      </c>
      <c r="P884" s="2">
        <v>22.4</v>
      </c>
    </row>
    <row r="885" spans="1:16" ht="24.95" customHeight="1" x14ac:dyDescent="0.25">
      <c r="A885" s="17" t="s">
        <v>858</v>
      </c>
      <c r="B885" s="2">
        <v>280</v>
      </c>
      <c r="C885" s="2">
        <v>116</v>
      </c>
      <c r="D885" s="2">
        <v>30.4</v>
      </c>
      <c r="E885" s="2">
        <v>85.5</v>
      </c>
      <c r="F885" s="2">
        <v>0.1</v>
      </c>
      <c r="I885" s="2">
        <v>5600</v>
      </c>
      <c r="J885" s="2">
        <v>180</v>
      </c>
      <c r="K885" s="2">
        <v>649600</v>
      </c>
      <c r="L885" s="2">
        <v>12510</v>
      </c>
      <c r="M885" s="2">
        <v>1035.8</v>
      </c>
      <c r="N885" s="2">
        <v>1387.6</v>
      </c>
      <c r="O885" s="2">
        <v>36730</v>
      </c>
      <c r="P885" s="2">
        <v>15.8</v>
      </c>
    </row>
    <row r="886" spans="1:16" ht="24.95" customHeight="1" x14ac:dyDescent="0.25">
      <c r="A886" s="17" t="s">
        <v>859</v>
      </c>
      <c r="B886" s="2">
        <v>264</v>
      </c>
      <c r="C886" s="2">
        <v>114</v>
      </c>
      <c r="D886" s="2">
        <v>25.2</v>
      </c>
      <c r="E886" s="2">
        <v>90</v>
      </c>
      <c r="F886" s="2">
        <v>-1.5</v>
      </c>
      <c r="I886" s="2">
        <v>920</v>
      </c>
      <c r="J886" s="2">
        <v>157</v>
      </c>
      <c r="K886" s="2">
        <v>104880</v>
      </c>
      <c r="L886" s="2">
        <v>2426</v>
      </c>
      <c r="M886" s="2">
        <v>125.1</v>
      </c>
      <c r="N886" s="2">
        <v>225.2</v>
      </c>
      <c r="O886" s="2">
        <v>7600</v>
      </c>
      <c r="P886" s="2">
        <v>32.5</v>
      </c>
    </row>
    <row r="887" spans="1:16" ht="24.95" customHeight="1" x14ac:dyDescent="0.25">
      <c r="A887" s="17" t="s">
        <v>860</v>
      </c>
      <c r="B887" s="2">
        <v>240</v>
      </c>
      <c r="C887" s="2">
        <v>96</v>
      </c>
      <c r="D887" s="2">
        <v>5.2</v>
      </c>
      <c r="E887" s="2">
        <v>90</v>
      </c>
      <c r="F887" s="2">
        <v>0.8</v>
      </c>
      <c r="I887" s="2">
        <v>455</v>
      </c>
      <c r="J887" s="2">
        <v>153</v>
      </c>
      <c r="K887" s="2">
        <v>43680</v>
      </c>
      <c r="L887" s="2">
        <v>1621</v>
      </c>
      <c r="M887" s="2">
        <v>72.099999999999994</v>
      </c>
      <c r="N887" s="2">
        <v>111.5</v>
      </c>
      <c r="O887" s="2">
        <v>4920</v>
      </c>
      <c r="P887" s="2">
        <v>48.9</v>
      </c>
    </row>
    <row r="888" spans="1:16" ht="24.95" customHeight="1" x14ac:dyDescent="0.25">
      <c r="A888" s="17" t="s">
        <v>861</v>
      </c>
      <c r="B888" s="2">
        <v>284</v>
      </c>
      <c r="C888" s="2">
        <v>126</v>
      </c>
      <c r="D888" s="2">
        <v>35.1</v>
      </c>
      <c r="E888" s="2">
        <v>90</v>
      </c>
      <c r="F888" s="2">
        <v>0.9</v>
      </c>
      <c r="I888" s="2">
        <v>2650</v>
      </c>
      <c r="J888" s="2">
        <v>128</v>
      </c>
      <c r="K888" s="2">
        <v>333900</v>
      </c>
      <c r="L888" s="2">
        <v>8662</v>
      </c>
      <c r="M888" s="2">
        <v>343.6</v>
      </c>
      <c r="N888" s="2">
        <v>693.2</v>
      </c>
      <c r="O888" s="2">
        <v>27170</v>
      </c>
      <c r="P888" s="2">
        <v>44.1</v>
      </c>
    </row>
    <row r="889" spans="1:16" ht="24.95" customHeight="1" x14ac:dyDescent="0.25">
      <c r="A889" s="17" t="s">
        <v>862</v>
      </c>
      <c r="B889" s="2">
        <v>272</v>
      </c>
      <c r="C889" s="2">
        <v>126</v>
      </c>
      <c r="D889" s="2">
        <v>35.799999999999997</v>
      </c>
      <c r="E889" s="2">
        <v>89.5</v>
      </c>
      <c r="F889" s="2">
        <v>0.7</v>
      </c>
      <c r="I889" s="2">
        <v>3725</v>
      </c>
      <c r="J889" s="2">
        <v>127</v>
      </c>
      <c r="K889" s="2">
        <v>469350</v>
      </c>
      <c r="L889" s="2">
        <v>9527</v>
      </c>
      <c r="M889" s="2">
        <v>418.8</v>
      </c>
      <c r="N889" s="2">
        <v>942.9</v>
      </c>
      <c r="O889" s="2">
        <v>30110</v>
      </c>
      <c r="P889" s="2">
        <v>31</v>
      </c>
    </row>
    <row r="890" spans="1:16" ht="24.95" customHeight="1" x14ac:dyDescent="0.25">
      <c r="A890" s="17" t="s">
        <v>863</v>
      </c>
      <c r="B890" s="2">
        <v>236</v>
      </c>
      <c r="C890" s="2">
        <v>106</v>
      </c>
      <c r="D890" s="2">
        <v>22.3</v>
      </c>
      <c r="E890" s="2">
        <v>85.5</v>
      </c>
      <c r="F890" s="2">
        <v>-1.8</v>
      </c>
      <c r="I890" s="2">
        <v>3968</v>
      </c>
      <c r="J890" s="2">
        <v>156</v>
      </c>
      <c r="K890" s="2">
        <v>420608</v>
      </c>
      <c r="L890" s="2">
        <v>8826</v>
      </c>
      <c r="M890" s="2">
        <v>701.8</v>
      </c>
      <c r="N890" s="2">
        <v>964.9</v>
      </c>
      <c r="O890" s="2">
        <v>26780</v>
      </c>
      <c r="P890" s="2">
        <v>17</v>
      </c>
    </row>
    <row r="891" spans="1:16" ht="24.95" customHeight="1" x14ac:dyDescent="0.25">
      <c r="A891" s="17" t="s">
        <v>864</v>
      </c>
      <c r="B891" s="2">
        <v>294</v>
      </c>
      <c r="C891" s="2">
        <v>129</v>
      </c>
      <c r="D891" s="2">
        <v>39.5</v>
      </c>
      <c r="E891" s="2">
        <v>90</v>
      </c>
      <c r="F891" s="2">
        <v>-0.5</v>
      </c>
      <c r="I891" s="2">
        <v>1392</v>
      </c>
      <c r="J891" s="2">
        <v>145</v>
      </c>
      <c r="K891" s="2">
        <v>179568</v>
      </c>
      <c r="L891" s="2">
        <v>3137</v>
      </c>
      <c r="M891" s="2">
        <v>198.5</v>
      </c>
      <c r="N891" s="2">
        <v>363.9</v>
      </c>
      <c r="O891" s="2">
        <v>9690</v>
      </c>
      <c r="P891" s="2">
        <v>13.5</v>
      </c>
    </row>
    <row r="892" spans="1:16" ht="24.95" customHeight="1" x14ac:dyDescent="0.25">
      <c r="A892" s="17" t="s">
        <v>865</v>
      </c>
      <c r="B892" s="2">
        <v>264</v>
      </c>
      <c r="C892" s="2">
        <v>114</v>
      </c>
      <c r="D892" s="2">
        <v>24</v>
      </c>
      <c r="E892" s="2">
        <v>89.5</v>
      </c>
      <c r="F892" s="2">
        <v>0.5</v>
      </c>
      <c r="I892" s="2">
        <v>4450</v>
      </c>
      <c r="J892" s="2">
        <v>154</v>
      </c>
      <c r="K892" s="2">
        <v>507300</v>
      </c>
      <c r="L892" s="2">
        <v>14524</v>
      </c>
      <c r="M892" s="2">
        <v>809</v>
      </c>
      <c r="N892" s="2">
        <v>1118.5999999999999</v>
      </c>
      <c r="O892" s="2">
        <v>47460</v>
      </c>
      <c r="P892" s="2">
        <v>47</v>
      </c>
    </row>
    <row r="893" spans="1:16" ht="24.95" customHeight="1" x14ac:dyDescent="0.25">
      <c r="A893" s="17" t="s">
        <v>866</v>
      </c>
      <c r="B893" s="2">
        <v>270</v>
      </c>
      <c r="C893" s="2">
        <v>118</v>
      </c>
      <c r="D893" s="2">
        <v>26.6</v>
      </c>
      <c r="E893" s="2">
        <v>90</v>
      </c>
      <c r="F893" s="2">
        <v>1.4</v>
      </c>
      <c r="I893" s="2">
        <v>775</v>
      </c>
      <c r="J893" s="2">
        <v>177</v>
      </c>
      <c r="K893" s="2">
        <v>91450</v>
      </c>
      <c r="L893" s="2">
        <v>3051</v>
      </c>
      <c r="M893" s="2">
        <v>138.80000000000001</v>
      </c>
      <c r="N893" s="2">
        <v>195.5</v>
      </c>
      <c r="O893" s="2">
        <v>10040</v>
      </c>
      <c r="P893" s="2">
        <v>57.1</v>
      </c>
    </row>
    <row r="894" spans="1:16" ht="24.95" customHeight="1" x14ac:dyDescent="0.25">
      <c r="A894" s="17" t="s">
        <v>867</v>
      </c>
      <c r="B894" s="2">
        <v>266</v>
      </c>
      <c r="C894" s="2">
        <v>110</v>
      </c>
      <c r="D894" s="2">
        <v>24.5</v>
      </c>
      <c r="E894" s="2">
        <v>85.5</v>
      </c>
      <c r="I894" s="2">
        <v>3770</v>
      </c>
      <c r="J894" s="2">
        <v>163</v>
      </c>
      <c r="K894" s="2">
        <v>414700</v>
      </c>
      <c r="L894" s="2">
        <v>9283</v>
      </c>
      <c r="M894" s="2">
        <v>500.1</v>
      </c>
      <c r="N894" s="2">
        <v>891.9</v>
      </c>
      <c r="O894" s="2">
        <v>29000</v>
      </c>
      <c r="P894" s="2">
        <v>31.8</v>
      </c>
    </row>
    <row r="895" spans="1:16" ht="24.95" customHeight="1" x14ac:dyDescent="0.25">
      <c r="A895" s="17" t="s">
        <v>868</v>
      </c>
      <c r="B895" s="2">
        <v>308</v>
      </c>
      <c r="C895" s="2">
        <v>128</v>
      </c>
      <c r="D895" s="2">
        <v>36.1</v>
      </c>
      <c r="E895" s="2">
        <v>90</v>
      </c>
      <c r="F895" s="2">
        <v>1.9</v>
      </c>
      <c r="I895" s="2">
        <v>1250</v>
      </c>
      <c r="J895" s="2">
        <v>187</v>
      </c>
      <c r="K895" s="2">
        <v>160000</v>
      </c>
      <c r="L895" s="2">
        <v>2996</v>
      </c>
      <c r="M895" s="2">
        <v>135.19999999999999</v>
      </c>
      <c r="N895" s="2">
        <v>292</v>
      </c>
      <c r="O895" s="2">
        <v>10180</v>
      </c>
      <c r="P895" s="2">
        <v>29</v>
      </c>
    </row>
    <row r="896" spans="1:16" ht="24.95" customHeight="1" x14ac:dyDescent="0.25">
      <c r="A896" s="17" t="s">
        <v>869</v>
      </c>
      <c r="B896" s="2">
        <v>266</v>
      </c>
      <c r="C896" s="2">
        <v>114</v>
      </c>
      <c r="D896" s="2">
        <v>23.1</v>
      </c>
      <c r="E896" s="2">
        <v>89.5</v>
      </c>
      <c r="F896" s="2">
        <v>1.4</v>
      </c>
      <c r="I896" s="2">
        <v>2085</v>
      </c>
      <c r="J896" s="2">
        <v>184</v>
      </c>
      <c r="K896" s="2">
        <v>237690</v>
      </c>
      <c r="L896" s="2">
        <v>8741</v>
      </c>
      <c r="M896" s="2">
        <v>373.6</v>
      </c>
      <c r="N896" s="2">
        <v>561</v>
      </c>
      <c r="O896" s="2">
        <v>25950</v>
      </c>
      <c r="P896" s="2">
        <v>53.6</v>
      </c>
    </row>
    <row r="897" spans="1:16" ht="24.95" customHeight="1" x14ac:dyDescent="0.25">
      <c r="A897" s="17" t="s">
        <v>859</v>
      </c>
      <c r="B897" s="2">
        <v>276</v>
      </c>
      <c r="C897" s="2">
        <v>113</v>
      </c>
      <c r="D897" s="2">
        <v>22</v>
      </c>
      <c r="E897" s="2">
        <v>90</v>
      </c>
      <c r="F897" s="2">
        <v>1</v>
      </c>
      <c r="H897" s="2">
        <v>115.6</v>
      </c>
      <c r="I897" s="2">
        <v>1194</v>
      </c>
      <c r="J897" s="2">
        <v>160</v>
      </c>
      <c r="K897" s="2">
        <v>138041</v>
      </c>
      <c r="L897" s="2">
        <v>4089</v>
      </c>
      <c r="M897" s="2">
        <v>178.1</v>
      </c>
      <c r="N897" s="2">
        <v>288.89999999999998</v>
      </c>
      <c r="O897" s="2">
        <v>12290</v>
      </c>
      <c r="P897" s="2">
        <v>44.2</v>
      </c>
    </row>
    <row r="898" spans="1:16" ht="24.95" customHeight="1" x14ac:dyDescent="0.25">
      <c r="A898" s="17" t="s">
        <v>870</v>
      </c>
      <c r="B898" s="2">
        <v>243</v>
      </c>
      <c r="C898" s="2">
        <v>111</v>
      </c>
      <c r="D898" s="2">
        <v>20.8</v>
      </c>
      <c r="E898" s="2">
        <v>90</v>
      </c>
      <c r="F898" s="2">
        <v>0.3</v>
      </c>
      <c r="H898" s="2">
        <v>112.8</v>
      </c>
      <c r="I898" s="2">
        <v>588</v>
      </c>
      <c r="J898" s="2">
        <v>167</v>
      </c>
      <c r="K898" s="2">
        <v>66329</v>
      </c>
      <c r="L898" s="2">
        <v>1954</v>
      </c>
      <c r="M898" s="2">
        <v>100.8</v>
      </c>
      <c r="N898" s="2">
        <v>153.30000000000001</v>
      </c>
      <c r="O898" s="2">
        <v>4790</v>
      </c>
      <c r="P898" s="2">
        <v>30</v>
      </c>
    </row>
    <row r="899" spans="1:16" ht="24.95" customHeight="1" x14ac:dyDescent="0.25">
      <c r="A899" s="17" t="s">
        <v>871</v>
      </c>
      <c r="B899" s="2">
        <v>274</v>
      </c>
      <c r="C899" s="2">
        <v>120</v>
      </c>
      <c r="D899" s="2">
        <v>26.8</v>
      </c>
      <c r="E899" s="2">
        <v>90</v>
      </c>
      <c r="F899" s="2">
        <v>3.2</v>
      </c>
      <c r="H899" s="2">
        <v>122.1</v>
      </c>
      <c r="I899" s="2">
        <v>620</v>
      </c>
      <c r="J899" s="2">
        <v>94</v>
      </c>
      <c r="K899" s="2">
        <v>75698</v>
      </c>
      <c r="L899" s="2">
        <v>1751</v>
      </c>
      <c r="M899" s="2">
        <v>64</v>
      </c>
      <c r="N899" s="2">
        <v>151.80000000000001</v>
      </c>
      <c r="O899" s="2">
        <v>5380</v>
      </c>
      <c r="P899" s="2">
        <v>33</v>
      </c>
    </row>
    <row r="900" spans="1:16" ht="24.95" customHeight="1" x14ac:dyDescent="0.25">
      <c r="A900" s="17" t="s">
        <v>5431</v>
      </c>
      <c r="B900" s="2">
        <v>273</v>
      </c>
      <c r="C900" s="2">
        <v>116</v>
      </c>
      <c r="D900" s="2">
        <v>23.9</v>
      </c>
      <c r="E900" s="2">
        <v>90</v>
      </c>
      <c r="F900" s="2">
        <v>2.2000000000000002</v>
      </c>
      <c r="H900" s="2">
        <v>118.6</v>
      </c>
      <c r="I900" s="2">
        <v>3835</v>
      </c>
      <c r="J900" s="2">
        <v>176</v>
      </c>
      <c r="K900" s="2">
        <v>454971</v>
      </c>
      <c r="L900" s="2">
        <v>8169</v>
      </c>
      <c r="M900" s="2">
        <v>628.20000000000005</v>
      </c>
      <c r="N900" s="2">
        <v>922.2</v>
      </c>
      <c r="O900" s="2">
        <v>26590</v>
      </c>
      <c r="P900" s="2">
        <v>17.600000000000001</v>
      </c>
    </row>
    <row r="901" spans="1:16" ht="24.95" customHeight="1" x14ac:dyDescent="0.25">
      <c r="A901" s="17" t="s">
        <v>873</v>
      </c>
      <c r="B901" s="2">
        <v>272</v>
      </c>
      <c r="C901" s="2">
        <v>120</v>
      </c>
      <c r="D901" s="2">
        <v>28.5</v>
      </c>
      <c r="E901" s="2">
        <v>90</v>
      </c>
      <c r="F901" s="2">
        <v>1.5</v>
      </c>
      <c r="H901" s="2">
        <v>121.8</v>
      </c>
      <c r="I901" s="2">
        <v>600</v>
      </c>
      <c r="J901" s="2">
        <v>163</v>
      </c>
      <c r="K901" s="2">
        <v>73104</v>
      </c>
      <c r="L901" s="2">
        <v>2540</v>
      </c>
      <c r="M901" s="2">
        <v>105.8</v>
      </c>
      <c r="N901" s="2">
        <v>154.1</v>
      </c>
      <c r="O901" s="2">
        <v>6930</v>
      </c>
      <c r="P901" s="2">
        <v>50.9</v>
      </c>
    </row>
    <row r="902" spans="1:16" ht="24.95" customHeight="1" x14ac:dyDescent="0.25">
      <c r="A902" s="17" t="s">
        <v>874</v>
      </c>
      <c r="B902" s="2">
        <v>256</v>
      </c>
      <c r="C902" s="2">
        <v>110</v>
      </c>
      <c r="D902" s="2">
        <v>19.100000000000001</v>
      </c>
      <c r="E902" s="2">
        <v>90</v>
      </c>
      <c r="F902" s="2">
        <v>0.9</v>
      </c>
      <c r="H902" s="2">
        <v>115.4</v>
      </c>
      <c r="I902" s="2">
        <v>675</v>
      </c>
      <c r="J902" s="2">
        <v>170</v>
      </c>
      <c r="K902" s="2">
        <v>77891</v>
      </c>
      <c r="L902" s="2">
        <v>2399</v>
      </c>
      <c r="M902" s="2">
        <v>93.8</v>
      </c>
      <c r="N902" s="2">
        <v>176.9</v>
      </c>
      <c r="O902" s="2">
        <v>6850</v>
      </c>
      <c r="P902" s="2">
        <v>42.4</v>
      </c>
    </row>
    <row r="903" spans="1:16" ht="24.95" customHeight="1" x14ac:dyDescent="0.25">
      <c r="A903" s="17" t="s">
        <v>864</v>
      </c>
      <c r="B903" s="2">
        <v>267</v>
      </c>
      <c r="C903" s="2">
        <v>115</v>
      </c>
      <c r="D903" s="2">
        <v>22.8</v>
      </c>
      <c r="E903" s="2">
        <v>90</v>
      </c>
      <c r="F903" s="2">
        <v>2.2000000000000002</v>
      </c>
      <c r="H903" s="2">
        <v>117.7</v>
      </c>
      <c r="I903" s="2">
        <v>2280</v>
      </c>
      <c r="J903" s="2">
        <v>146</v>
      </c>
      <c r="K903" s="2">
        <v>268256</v>
      </c>
      <c r="L903" s="2">
        <v>7548</v>
      </c>
      <c r="M903" s="2">
        <v>381.2</v>
      </c>
      <c r="N903" s="2">
        <v>601.9</v>
      </c>
      <c r="O903" s="2">
        <v>20240</v>
      </c>
      <c r="P903" s="2">
        <v>32.799999999999997</v>
      </c>
    </row>
    <row r="904" spans="1:16" ht="24.95" customHeight="1" x14ac:dyDescent="0.25">
      <c r="A904" s="17" t="s">
        <v>856</v>
      </c>
      <c r="B904" s="2">
        <v>254</v>
      </c>
      <c r="C904" s="2">
        <v>109</v>
      </c>
      <c r="D904" s="2">
        <v>17.5</v>
      </c>
      <c r="E904" s="2">
        <v>90</v>
      </c>
      <c r="F904" s="2">
        <v>1.6</v>
      </c>
      <c r="H904" s="2">
        <v>112.5</v>
      </c>
      <c r="I904" s="2">
        <v>2058</v>
      </c>
      <c r="J904" s="2">
        <v>146</v>
      </c>
      <c r="K904" s="2">
        <v>231582</v>
      </c>
      <c r="L904" s="2">
        <v>5090</v>
      </c>
      <c r="M904" s="2">
        <v>211</v>
      </c>
      <c r="N904" s="2">
        <v>497.4</v>
      </c>
      <c r="O904" s="2">
        <v>17510</v>
      </c>
      <c r="P904" s="2">
        <v>34.799999999999997</v>
      </c>
    </row>
    <row r="905" spans="1:16" ht="24.95" customHeight="1" x14ac:dyDescent="0.25">
      <c r="A905" s="17" t="s">
        <v>875</v>
      </c>
      <c r="B905" s="2">
        <v>246</v>
      </c>
      <c r="C905" s="2">
        <v>112</v>
      </c>
      <c r="D905" s="2">
        <v>20.6</v>
      </c>
      <c r="E905" s="2">
        <v>90</v>
      </c>
      <c r="F905" s="2">
        <v>1.4</v>
      </c>
      <c r="H905" s="2">
        <v>114.3</v>
      </c>
      <c r="I905" s="2">
        <v>324</v>
      </c>
      <c r="J905" s="2">
        <v>163</v>
      </c>
      <c r="K905" s="2">
        <v>37028</v>
      </c>
      <c r="L905" s="2">
        <v>1425</v>
      </c>
      <c r="M905" s="2">
        <v>54.8</v>
      </c>
      <c r="N905" s="2">
        <v>85.8</v>
      </c>
      <c r="O905" s="2">
        <v>4100</v>
      </c>
      <c r="P905" s="2">
        <v>53.7</v>
      </c>
    </row>
    <row r="906" spans="1:16" ht="24.95" customHeight="1" x14ac:dyDescent="0.25">
      <c r="A906" s="17" t="s">
        <v>876</v>
      </c>
      <c r="B906" s="2">
        <v>220</v>
      </c>
      <c r="C906" s="2">
        <v>102</v>
      </c>
      <c r="D906" s="2">
        <v>12.3</v>
      </c>
      <c r="E906" s="2">
        <v>90</v>
      </c>
      <c r="F906" s="2">
        <v>-0.3</v>
      </c>
      <c r="H906" s="2">
        <v>103.4</v>
      </c>
      <c r="I906" s="2">
        <v>587</v>
      </c>
      <c r="J906" s="2">
        <v>122</v>
      </c>
      <c r="K906" s="2">
        <v>60703</v>
      </c>
      <c r="L906" s="2">
        <v>2038</v>
      </c>
      <c r="M906" s="2">
        <v>87</v>
      </c>
      <c r="N906" s="2">
        <v>147.19999999999999</v>
      </c>
      <c r="O906" s="2">
        <v>5330</v>
      </c>
      <c r="P906" s="2">
        <v>34.4</v>
      </c>
    </row>
    <row r="907" spans="1:16" ht="24.95" customHeight="1" x14ac:dyDescent="0.25">
      <c r="A907" s="17" t="s">
        <v>6783</v>
      </c>
      <c r="B907" s="2">
        <v>185</v>
      </c>
      <c r="C907" s="2">
        <v>70</v>
      </c>
      <c r="I907" s="2">
        <v>80051</v>
      </c>
      <c r="J907" s="2">
        <v>165</v>
      </c>
      <c r="K907" s="2">
        <v>5603570</v>
      </c>
      <c r="L907" s="2">
        <v>193352</v>
      </c>
      <c r="M907" s="2">
        <v>9997.2000000000007</v>
      </c>
      <c r="N907" s="2">
        <v>19677.2</v>
      </c>
      <c r="O907" s="2">
        <v>602160</v>
      </c>
      <c r="P907" s="2">
        <v>25.5</v>
      </c>
    </row>
    <row r="908" spans="1:16" ht="24.95" customHeight="1" x14ac:dyDescent="0.25">
      <c r="A908" s="17" t="s">
        <v>878</v>
      </c>
      <c r="B908" s="2">
        <v>270</v>
      </c>
      <c r="C908" s="2">
        <v>106</v>
      </c>
      <c r="D908" s="2">
        <v>33.200000000000003</v>
      </c>
      <c r="E908" s="2">
        <v>71.099999999999994</v>
      </c>
      <c r="F908" s="2">
        <v>-1.3</v>
      </c>
      <c r="I908" s="2">
        <v>4050</v>
      </c>
      <c r="J908" s="2">
        <v>123</v>
      </c>
      <c r="K908" s="2">
        <v>209032</v>
      </c>
      <c r="L908" s="2">
        <v>5902</v>
      </c>
      <c r="M908" s="2">
        <v>242.9</v>
      </c>
      <c r="N908" s="2">
        <v>494.7</v>
      </c>
      <c r="O908" s="2">
        <v>18020</v>
      </c>
      <c r="P908" s="2">
        <v>38.200000000000003</v>
      </c>
    </row>
    <row r="909" spans="1:16" ht="24.95" customHeight="1" x14ac:dyDescent="0.25">
      <c r="A909" s="17" t="s">
        <v>879</v>
      </c>
      <c r="B909" s="2">
        <v>288</v>
      </c>
      <c r="C909" s="2">
        <v>112</v>
      </c>
      <c r="D909" s="2">
        <v>42.6</v>
      </c>
      <c r="E909" s="2">
        <v>70.7</v>
      </c>
      <c r="F909" s="2">
        <v>-1.2</v>
      </c>
      <c r="I909" s="2">
        <v>7625</v>
      </c>
      <c r="J909" s="2">
        <v>158</v>
      </c>
      <c r="K909" s="2">
        <v>854000</v>
      </c>
      <c r="L909" s="2">
        <v>17657</v>
      </c>
      <c r="M909" s="2">
        <v>826.7</v>
      </c>
      <c r="N909" s="2">
        <v>1871.2</v>
      </c>
      <c r="O909" s="2">
        <v>53610</v>
      </c>
      <c r="P909" s="2">
        <v>19.8</v>
      </c>
    </row>
    <row r="910" spans="1:16" ht="24.95" customHeight="1" x14ac:dyDescent="0.25">
      <c r="A910" s="17" t="s">
        <v>880</v>
      </c>
      <c r="B910" s="2">
        <v>286</v>
      </c>
      <c r="C910" s="2">
        <v>108</v>
      </c>
      <c r="D910" s="2">
        <v>39.9</v>
      </c>
      <c r="E910" s="2">
        <v>70.2</v>
      </c>
      <c r="F910" s="2">
        <v>-2</v>
      </c>
      <c r="I910" s="2">
        <v>3530</v>
      </c>
      <c r="J910" s="2">
        <v>161</v>
      </c>
      <c r="K910" s="2">
        <v>381240</v>
      </c>
      <c r="L910" s="2">
        <v>7742</v>
      </c>
      <c r="M910" s="2">
        <v>407.6</v>
      </c>
      <c r="N910" s="2">
        <v>862.8</v>
      </c>
      <c r="O910" s="2">
        <v>24580</v>
      </c>
      <c r="P910" s="2">
        <v>20.100000000000001</v>
      </c>
    </row>
    <row r="911" spans="1:16" ht="24.95" customHeight="1" x14ac:dyDescent="0.25">
      <c r="A911" s="17" t="s">
        <v>882</v>
      </c>
      <c r="B911" s="2">
        <v>270</v>
      </c>
      <c r="C911" s="2">
        <v>108</v>
      </c>
      <c r="D911" s="2">
        <v>37.799999999999997</v>
      </c>
      <c r="E911" s="2">
        <v>71.099999999999994</v>
      </c>
      <c r="F911" s="2">
        <v>-0.8</v>
      </c>
      <c r="I911" s="2">
        <v>4313</v>
      </c>
      <c r="J911" s="2">
        <v>153</v>
      </c>
      <c r="K911" s="2">
        <v>465804</v>
      </c>
      <c r="L911" s="2">
        <v>10914</v>
      </c>
      <c r="M911" s="2">
        <v>446.2</v>
      </c>
      <c r="N911" s="2">
        <v>1103.4000000000001</v>
      </c>
      <c r="O911" s="2">
        <v>34840</v>
      </c>
      <c r="P911" s="2">
        <v>29.1</v>
      </c>
    </row>
    <row r="912" spans="1:16" ht="24.95" customHeight="1" x14ac:dyDescent="0.25">
      <c r="A912" s="17" t="s">
        <v>883</v>
      </c>
      <c r="B912" s="2">
        <v>272</v>
      </c>
      <c r="C912" s="2">
        <v>103</v>
      </c>
      <c r="D912" s="2">
        <v>33.200000000000003</v>
      </c>
      <c r="E912" s="2">
        <v>71.099999999999994</v>
      </c>
      <c r="F912" s="2">
        <v>-1.3</v>
      </c>
      <c r="I912" s="2">
        <v>4050</v>
      </c>
      <c r="J912" s="2">
        <v>179</v>
      </c>
      <c r="K912" s="2">
        <v>417150</v>
      </c>
      <c r="L912" s="2">
        <v>9431</v>
      </c>
      <c r="M912" s="2">
        <v>667</v>
      </c>
      <c r="N912" s="2">
        <v>1007.8</v>
      </c>
      <c r="O912" s="2">
        <v>27940</v>
      </c>
      <c r="P912" s="2">
        <v>19</v>
      </c>
    </row>
    <row r="913" spans="1:16" ht="24.95" customHeight="1" x14ac:dyDescent="0.25">
      <c r="A913" s="17" t="s">
        <v>884</v>
      </c>
      <c r="B913" s="2">
        <v>270</v>
      </c>
      <c r="C913" s="2">
        <v>99</v>
      </c>
      <c r="D913" s="2">
        <v>26.6</v>
      </c>
      <c r="E913" s="2">
        <v>74.7</v>
      </c>
      <c r="F913" s="2">
        <v>-2.2999999999999998</v>
      </c>
      <c r="I913" s="2">
        <v>9800</v>
      </c>
      <c r="J913" s="2">
        <v>207</v>
      </c>
      <c r="K913" s="2">
        <v>970200</v>
      </c>
      <c r="L913" s="2">
        <v>18676</v>
      </c>
      <c r="M913" s="2">
        <v>1216.5999999999999</v>
      </c>
      <c r="N913" s="2">
        <v>2316.6999999999998</v>
      </c>
      <c r="O913" s="2">
        <v>57380</v>
      </c>
      <c r="P913" s="2">
        <v>6.3</v>
      </c>
    </row>
    <row r="914" spans="1:16" ht="24.95" customHeight="1" x14ac:dyDescent="0.25">
      <c r="A914" s="17" t="s">
        <v>885</v>
      </c>
      <c r="B914" s="2">
        <v>252</v>
      </c>
      <c r="C914" s="2">
        <v>98</v>
      </c>
      <c r="D914" s="2">
        <v>28.2</v>
      </c>
      <c r="E914" s="2">
        <v>71.099999999999994</v>
      </c>
      <c r="F914" s="2">
        <v>-1.3</v>
      </c>
      <c r="I914" s="2">
        <v>5568</v>
      </c>
      <c r="J914" s="2">
        <v>210</v>
      </c>
      <c r="K914" s="2">
        <v>545664</v>
      </c>
      <c r="L914" s="2">
        <v>13086</v>
      </c>
      <c r="M914" s="2">
        <v>818.2</v>
      </c>
      <c r="N914" s="2">
        <v>1406.3</v>
      </c>
      <c r="O914" s="2">
        <v>38950</v>
      </c>
      <c r="P914" s="2">
        <v>19.3</v>
      </c>
    </row>
    <row r="915" spans="1:16" ht="24.95" customHeight="1" x14ac:dyDescent="0.25">
      <c r="A915" s="17" t="s">
        <v>886</v>
      </c>
      <c r="B915" s="2">
        <v>264</v>
      </c>
      <c r="C915" s="2">
        <v>100</v>
      </c>
      <c r="D915" s="2">
        <v>24.3</v>
      </c>
      <c r="E915" s="2">
        <v>74.900000000000006</v>
      </c>
      <c r="F915" s="2">
        <v>0.8</v>
      </c>
      <c r="I915" s="2">
        <v>1128</v>
      </c>
      <c r="J915" s="2">
        <v>175</v>
      </c>
      <c r="K915" s="2">
        <v>112800</v>
      </c>
      <c r="L915" s="2">
        <v>3352</v>
      </c>
      <c r="M915" s="2">
        <v>143.1</v>
      </c>
      <c r="N915" s="2">
        <v>275.3</v>
      </c>
      <c r="O915" s="2">
        <v>10770</v>
      </c>
      <c r="P915" s="2">
        <v>42.5</v>
      </c>
    </row>
    <row r="916" spans="1:16" ht="24.95" customHeight="1" x14ac:dyDescent="0.25">
      <c r="A916" s="17" t="s">
        <v>6784</v>
      </c>
      <c r="B916" s="2">
        <v>268</v>
      </c>
      <c r="C916" s="2">
        <v>99</v>
      </c>
      <c r="D916" s="2">
        <v>27.9</v>
      </c>
      <c r="E916" s="2">
        <v>71.099999999999994</v>
      </c>
      <c r="I916" s="2">
        <v>2915</v>
      </c>
      <c r="J916" s="2">
        <v>202</v>
      </c>
      <c r="K916" s="2">
        <v>288585</v>
      </c>
      <c r="L916" s="2">
        <v>7820</v>
      </c>
      <c r="M916" s="2">
        <v>361.3</v>
      </c>
      <c r="N916" s="2">
        <v>723.1</v>
      </c>
      <c r="O916" s="2">
        <v>23800</v>
      </c>
      <c r="P916" s="2">
        <v>31.1</v>
      </c>
    </row>
    <row r="917" spans="1:16" ht="24.95" customHeight="1" x14ac:dyDescent="0.25">
      <c r="A917" s="17" t="s">
        <v>888</v>
      </c>
      <c r="B917" s="2">
        <v>257</v>
      </c>
      <c r="C917" s="2">
        <v>106</v>
      </c>
      <c r="D917" s="2">
        <v>30.9</v>
      </c>
      <c r="E917" s="2">
        <v>74.900000000000006</v>
      </c>
      <c r="F917" s="2">
        <v>0.2</v>
      </c>
      <c r="I917" s="2">
        <v>2146</v>
      </c>
      <c r="J917" s="2">
        <v>148</v>
      </c>
      <c r="K917" s="2">
        <v>227476</v>
      </c>
      <c r="L917" s="2">
        <v>7038</v>
      </c>
      <c r="M917" s="2">
        <v>302.5</v>
      </c>
      <c r="N917" s="2">
        <v>541.79999999999995</v>
      </c>
      <c r="O917" s="2">
        <v>21820</v>
      </c>
      <c r="P917" s="2">
        <v>45.1</v>
      </c>
    </row>
    <row r="918" spans="1:16" ht="24.95" customHeight="1" x14ac:dyDescent="0.25">
      <c r="A918" s="17" t="s">
        <v>5432</v>
      </c>
      <c r="B918" s="2">
        <v>258</v>
      </c>
      <c r="C918" s="2">
        <v>102</v>
      </c>
      <c r="D918" s="2">
        <v>26.7</v>
      </c>
      <c r="E918" s="2">
        <v>74.900000000000006</v>
      </c>
      <c r="F918" s="2">
        <v>0.4</v>
      </c>
      <c r="I918" s="2">
        <v>1960</v>
      </c>
      <c r="J918" s="2">
        <v>144</v>
      </c>
      <c r="K918" s="2">
        <v>199920</v>
      </c>
      <c r="L918" s="2">
        <v>6644</v>
      </c>
      <c r="M918" s="2">
        <v>302.2</v>
      </c>
      <c r="N918" s="2">
        <v>489.3</v>
      </c>
      <c r="O918" s="2">
        <v>21220</v>
      </c>
      <c r="P918" s="2">
        <v>48.6</v>
      </c>
    </row>
    <row r="919" spans="1:16" ht="24.95" customHeight="1" x14ac:dyDescent="0.25">
      <c r="A919" s="17" t="s">
        <v>890</v>
      </c>
      <c r="B919" s="2">
        <v>282</v>
      </c>
      <c r="C919" s="2">
        <v>110</v>
      </c>
      <c r="D919" s="2">
        <v>38.6</v>
      </c>
      <c r="E919" s="2">
        <v>70.900000000000006</v>
      </c>
      <c r="F919" s="2">
        <v>0.5</v>
      </c>
      <c r="I919" s="2">
        <v>4140</v>
      </c>
      <c r="J919" s="2">
        <v>144</v>
      </c>
      <c r="K919" s="2">
        <v>455400</v>
      </c>
      <c r="L919" s="2">
        <v>12995</v>
      </c>
      <c r="M919" s="2">
        <v>532.6</v>
      </c>
      <c r="N919" s="2">
        <v>1043.7</v>
      </c>
      <c r="O919" s="2">
        <v>40540</v>
      </c>
      <c r="P919" s="2">
        <v>41.8</v>
      </c>
    </row>
    <row r="920" spans="1:16" ht="24.95" customHeight="1" x14ac:dyDescent="0.25">
      <c r="A920" s="17" t="s">
        <v>891</v>
      </c>
      <c r="B920" s="2">
        <v>254</v>
      </c>
      <c r="C920" s="2">
        <v>102</v>
      </c>
      <c r="D920" s="2">
        <v>25.7</v>
      </c>
      <c r="E920" s="2">
        <v>74.900000000000006</v>
      </c>
      <c r="F920" s="2">
        <v>1.4</v>
      </c>
      <c r="I920" s="2">
        <v>940</v>
      </c>
      <c r="J920" s="2">
        <v>124</v>
      </c>
      <c r="K920" s="2">
        <v>95880</v>
      </c>
      <c r="L920" s="2">
        <v>3527</v>
      </c>
      <c r="M920" s="2">
        <v>141.5</v>
      </c>
      <c r="N920" s="2">
        <v>236.8</v>
      </c>
      <c r="O920" s="2">
        <v>11700</v>
      </c>
      <c r="P920" s="2">
        <v>55.1</v>
      </c>
    </row>
    <row r="921" spans="1:16" ht="24.95" customHeight="1" x14ac:dyDescent="0.25">
      <c r="A921" s="17" t="s">
        <v>892</v>
      </c>
      <c r="B921" s="2">
        <v>270</v>
      </c>
      <c r="C921" s="2">
        <v>102</v>
      </c>
      <c r="D921" s="2">
        <v>31.4</v>
      </c>
      <c r="E921" s="2">
        <v>74.900000000000006</v>
      </c>
      <c r="F921" s="2">
        <v>-4.3</v>
      </c>
      <c r="I921" s="2">
        <v>4650</v>
      </c>
      <c r="J921" s="2">
        <v>170</v>
      </c>
      <c r="K921" s="2">
        <v>474300</v>
      </c>
      <c r="L921" s="2">
        <v>9526</v>
      </c>
      <c r="M921" s="2">
        <v>830.6</v>
      </c>
      <c r="N921" s="2">
        <v>1147</v>
      </c>
      <c r="O921" s="2">
        <v>26950</v>
      </c>
      <c r="P921" s="2">
        <v>1.4</v>
      </c>
    </row>
    <row r="922" spans="1:16" ht="24.95" customHeight="1" x14ac:dyDescent="0.25">
      <c r="A922" s="17" t="s">
        <v>893</v>
      </c>
      <c r="B922" s="2">
        <v>234</v>
      </c>
      <c r="C922" s="2">
        <v>90</v>
      </c>
      <c r="D922" s="2">
        <v>15</v>
      </c>
      <c r="E922" s="2">
        <v>75</v>
      </c>
      <c r="H922" s="2">
        <v>93.9</v>
      </c>
      <c r="I922" s="2">
        <v>8450</v>
      </c>
      <c r="J922" s="2">
        <v>173</v>
      </c>
      <c r="K922" s="2">
        <v>793868</v>
      </c>
      <c r="L922" s="2">
        <v>20017</v>
      </c>
      <c r="M922" s="2">
        <v>1010.8</v>
      </c>
      <c r="N922" s="2">
        <v>2076.6999999999998</v>
      </c>
      <c r="O922" s="2">
        <v>61530</v>
      </c>
      <c r="P922" s="2">
        <v>23.5</v>
      </c>
    </row>
    <row r="923" spans="1:16" ht="24.95" customHeight="1" x14ac:dyDescent="0.25">
      <c r="A923" s="17" t="s">
        <v>894</v>
      </c>
      <c r="B923" s="2">
        <v>268</v>
      </c>
      <c r="C923" s="2">
        <v>90</v>
      </c>
      <c r="D923" s="2">
        <v>14.8</v>
      </c>
      <c r="E923" s="2">
        <v>75</v>
      </c>
      <c r="F923" s="2">
        <v>0.2</v>
      </c>
      <c r="H923" s="2">
        <v>93.7</v>
      </c>
      <c r="I923" s="2">
        <v>3207</v>
      </c>
      <c r="J923" s="2">
        <v>167</v>
      </c>
      <c r="K923" s="2">
        <v>300655</v>
      </c>
      <c r="L923" s="2">
        <v>7869</v>
      </c>
      <c r="M923" s="2">
        <v>478.8</v>
      </c>
      <c r="N923" s="2">
        <v>735.9</v>
      </c>
      <c r="O923" s="2">
        <v>26430</v>
      </c>
      <c r="P923" s="2">
        <v>33.700000000000003</v>
      </c>
    </row>
    <row r="924" spans="1:16" ht="24.95" customHeight="1" x14ac:dyDescent="0.25">
      <c r="A924" s="17" t="s">
        <v>878</v>
      </c>
      <c r="B924" s="2">
        <v>246</v>
      </c>
      <c r="C924" s="2">
        <v>102</v>
      </c>
      <c r="D924" s="2">
        <v>27.4</v>
      </c>
      <c r="E924" s="2">
        <v>75</v>
      </c>
      <c r="F924" s="2">
        <v>-0.4</v>
      </c>
      <c r="H924" s="2">
        <v>103.5</v>
      </c>
      <c r="I924" s="2">
        <v>3435</v>
      </c>
      <c r="J924" s="2">
        <v>129</v>
      </c>
      <c r="K924" s="2">
        <v>355625</v>
      </c>
      <c r="L924" s="2">
        <v>6514</v>
      </c>
      <c r="M924" s="2">
        <v>222.4</v>
      </c>
      <c r="N924" s="2">
        <v>818.3</v>
      </c>
      <c r="O924" s="2">
        <v>22720</v>
      </c>
      <c r="P924" s="2">
        <v>15.4</v>
      </c>
    </row>
    <row r="925" spans="1:16" ht="24.95" customHeight="1" x14ac:dyDescent="0.25">
      <c r="A925" s="17" t="s">
        <v>880</v>
      </c>
      <c r="B925" s="2">
        <v>264</v>
      </c>
      <c r="C925" s="2">
        <v>100</v>
      </c>
      <c r="D925" s="2">
        <v>23.9</v>
      </c>
      <c r="E925" s="2">
        <v>75</v>
      </c>
      <c r="F925" s="2">
        <v>1.1000000000000001</v>
      </c>
      <c r="H925" s="2">
        <v>105.1</v>
      </c>
      <c r="I925" s="2">
        <v>1400</v>
      </c>
      <c r="J925" s="2">
        <v>159</v>
      </c>
      <c r="K925" s="2">
        <v>147127</v>
      </c>
      <c r="L925" s="2">
        <v>4483</v>
      </c>
      <c r="M925" s="2">
        <v>203.3</v>
      </c>
      <c r="N925" s="2">
        <v>343.4</v>
      </c>
      <c r="O925" s="2">
        <v>14320</v>
      </c>
      <c r="P925" s="2">
        <v>43</v>
      </c>
    </row>
    <row r="926" spans="1:16" ht="24.95" customHeight="1" x14ac:dyDescent="0.25">
      <c r="A926" s="17" t="s">
        <v>895</v>
      </c>
      <c r="B926" s="2">
        <v>244</v>
      </c>
      <c r="C926" s="2">
        <v>92</v>
      </c>
      <c r="D926" s="2">
        <v>16.600000000000001</v>
      </c>
      <c r="E926" s="2">
        <v>75</v>
      </c>
      <c r="F926" s="2">
        <v>0.4</v>
      </c>
      <c r="H926" s="2">
        <v>92.8</v>
      </c>
      <c r="I926" s="2">
        <v>6815</v>
      </c>
      <c r="J926" s="2">
        <v>141</v>
      </c>
      <c r="K926" s="2">
        <v>632270</v>
      </c>
      <c r="L926" s="2">
        <v>14953</v>
      </c>
      <c r="M926" s="2">
        <v>634</v>
      </c>
      <c r="N926" s="2">
        <v>1673.2</v>
      </c>
      <c r="O926" s="2">
        <v>46980</v>
      </c>
      <c r="P926" s="2">
        <v>20.7</v>
      </c>
    </row>
    <row r="927" spans="1:16" ht="24.95" customHeight="1" x14ac:dyDescent="0.25">
      <c r="A927" s="17" t="s">
        <v>882</v>
      </c>
      <c r="B927" s="2">
        <v>248</v>
      </c>
      <c r="C927" s="2">
        <v>100</v>
      </c>
      <c r="D927" s="2">
        <v>24</v>
      </c>
      <c r="E927" s="2">
        <v>75</v>
      </c>
      <c r="F927" s="2">
        <v>1</v>
      </c>
      <c r="H927" s="2">
        <v>104.3</v>
      </c>
      <c r="I927" s="2">
        <v>2008</v>
      </c>
      <c r="J927" s="2">
        <v>145</v>
      </c>
      <c r="K927" s="2">
        <v>209404</v>
      </c>
      <c r="L927" s="2">
        <v>5206</v>
      </c>
      <c r="M927" s="2">
        <v>209</v>
      </c>
      <c r="N927" s="2">
        <v>510.1</v>
      </c>
      <c r="O927" s="2">
        <v>18060</v>
      </c>
      <c r="P927" s="2">
        <v>38</v>
      </c>
    </row>
    <row r="928" spans="1:16" ht="24.95" customHeight="1" x14ac:dyDescent="0.25">
      <c r="A928" s="17" t="s">
        <v>896</v>
      </c>
      <c r="B928" s="2">
        <v>192</v>
      </c>
      <c r="C928" s="2">
        <v>82</v>
      </c>
      <c r="I928" s="2">
        <v>29427</v>
      </c>
      <c r="J928" s="2">
        <v>185</v>
      </c>
      <c r="K928" s="2">
        <v>2413014</v>
      </c>
      <c r="L928" s="2">
        <v>60986</v>
      </c>
      <c r="M928" s="2">
        <v>3859.2</v>
      </c>
      <c r="N928" s="2">
        <v>6846.6</v>
      </c>
      <c r="O928" s="2">
        <v>211320</v>
      </c>
      <c r="P928" s="2">
        <v>23.1</v>
      </c>
    </row>
    <row r="929" spans="1:16" ht="24.95" customHeight="1" x14ac:dyDescent="0.25">
      <c r="A929" s="17" t="s">
        <v>897</v>
      </c>
      <c r="B929" s="2">
        <v>308</v>
      </c>
      <c r="C929" s="2">
        <v>126</v>
      </c>
      <c r="D929" s="2">
        <v>47.6</v>
      </c>
      <c r="E929" s="2">
        <v>82</v>
      </c>
      <c r="F929" s="2">
        <v>-3.6</v>
      </c>
      <c r="I929" s="2">
        <v>4360</v>
      </c>
      <c r="J929" s="2">
        <v>189</v>
      </c>
      <c r="K929" s="2">
        <v>549360</v>
      </c>
      <c r="L929" s="2">
        <v>6883</v>
      </c>
      <c r="M929" s="2">
        <v>425.5</v>
      </c>
      <c r="N929" s="2">
        <v>1057.2</v>
      </c>
      <c r="O929" s="2">
        <v>21410</v>
      </c>
    </row>
    <row r="930" spans="1:16" ht="24.95" customHeight="1" x14ac:dyDescent="0.25">
      <c r="A930" s="17" t="s">
        <v>898</v>
      </c>
      <c r="B930" s="2">
        <v>284</v>
      </c>
      <c r="C930" s="2">
        <v>124</v>
      </c>
      <c r="D930" s="2">
        <v>40.799999999999997</v>
      </c>
      <c r="E930" s="2">
        <v>86</v>
      </c>
      <c r="F930" s="2">
        <v>-2.8</v>
      </c>
      <c r="I930" s="2">
        <v>520</v>
      </c>
      <c r="J930" s="2">
        <v>144</v>
      </c>
      <c r="K930" s="2">
        <v>64480</v>
      </c>
      <c r="L930" s="2">
        <v>1296</v>
      </c>
      <c r="M930" s="2">
        <v>62.5</v>
      </c>
      <c r="N930" s="2">
        <v>130.69999999999999</v>
      </c>
      <c r="O930" s="2">
        <v>4200</v>
      </c>
      <c r="P930" s="2">
        <v>31.2</v>
      </c>
    </row>
    <row r="931" spans="1:16" ht="24.95" customHeight="1" x14ac:dyDescent="0.25">
      <c r="A931" s="17" t="s">
        <v>899</v>
      </c>
      <c r="B931" s="2">
        <v>282</v>
      </c>
      <c r="C931" s="2">
        <v>118</v>
      </c>
      <c r="D931" s="2">
        <v>37.5</v>
      </c>
      <c r="E931" s="2">
        <v>83.5</v>
      </c>
      <c r="F931" s="2">
        <v>-3</v>
      </c>
      <c r="I931" s="2">
        <v>1635</v>
      </c>
      <c r="J931" s="2">
        <v>217</v>
      </c>
      <c r="K931" s="2">
        <v>192930</v>
      </c>
      <c r="L931" s="2">
        <v>2964</v>
      </c>
      <c r="M931" s="2">
        <v>240.7</v>
      </c>
      <c r="N931" s="2">
        <v>389</v>
      </c>
      <c r="O931" s="2">
        <v>9270</v>
      </c>
      <c r="P931" s="2">
        <v>4.7</v>
      </c>
    </row>
    <row r="932" spans="1:16" ht="24.95" customHeight="1" x14ac:dyDescent="0.25">
      <c r="A932" s="17" t="s">
        <v>900</v>
      </c>
      <c r="B932" s="2">
        <v>270</v>
      </c>
      <c r="C932" s="2">
        <v>118</v>
      </c>
      <c r="D932" s="2">
        <v>34</v>
      </c>
      <c r="E932" s="2">
        <v>86</v>
      </c>
      <c r="F932" s="2">
        <v>-2</v>
      </c>
      <c r="I932" s="2">
        <v>210</v>
      </c>
      <c r="J932" s="2">
        <v>144</v>
      </c>
      <c r="K932" s="2">
        <v>24780</v>
      </c>
      <c r="L932" s="2">
        <v>515</v>
      </c>
      <c r="M932" s="2">
        <v>29</v>
      </c>
      <c r="N932" s="2">
        <v>54.5</v>
      </c>
      <c r="O932" s="2">
        <v>1820</v>
      </c>
      <c r="P932" s="2">
        <v>33.700000000000003</v>
      </c>
    </row>
    <row r="933" spans="1:16" ht="24.95" customHeight="1" x14ac:dyDescent="0.25">
      <c r="A933" s="17" t="s">
        <v>901</v>
      </c>
      <c r="B933" s="2">
        <v>264</v>
      </c>
      <c r="C933" s="2">
        <v>110</v>
      </c>
      <c r="D933" s="2">
        <v>25</v>
      </c>
      <c r="E933" s="2">
        <v>86</v>
      </c>
      <c r="F933" s="2">
        <v>-1</v>
      </c>
      <c r="I933" s="2">
        <v>875</v>
      </c>
      <c r="J933" s="2">
        <v>192</v>
      </c>
      <c r="K933" s="2">
        <v>96250</v>
      </c>
      <c r="L933" s="2">
        <v>1948</v>
      </c>
      <c r="M933" s="2">
        <v>110.7</v>
      </c>
      <c r="N933" s="2">
        <v>216.9</v>
      </c>
      <c r="O933" s="2">
        <v>6240</v>
      </c>
      <c r="P933" s="2">
        <v>19.100000000000001</v>
      </c>
    </row>
    <row r="934" spans="1:16" ht="24.95" customHeight="1" x14ac:dyDescent="0.25">
      <c r="A934" s="17" t="s">
        <v>902</v>
      </c>
      <c r="B934" s="2">
        <v>264</v>
      </c>
      <c r="C934" s="2">
        <v>102</v>
      </c>
      <c r="D934" s="2">
        <v>18.2</v>
      </c>
      <c r="E934" s="2">
        <v>86</v>
      </c>
      <c r="F934" s="2">
        <v>-2.2000000000000002</v>
      </c>
      <c r="I934" s="2">
        <v>665</v>
      </c>
      <c r="J934" s="2">
        <v>259</v>
      </c>
      <c r="K934" s="2">
        <v>67830</v>
      </c>
      <c r="L934" s="2">
        <v>1426</v>
      </c>
      <c r="M934" s="2">
        <v>90.1</v>
      </c>
      <c r="N934" s="2">
        <v>155.69999999999999</v>
      </c>
      <c r="O934" s="2">
        <v>4500</v>
      </c>
      <c r="P934" s="2">
        <v>21.8</v>
      </c>
    </row>
    <row r="935" spans="1:16" ht="24.95" customHeight="1" x14ac:dyDescent="0.25">
      <c r="A935" s="17" t="s">
        <v>903</v>
      </c>
      <c r="B935" s="2">
        <v>290</v>
      </c>
      <c r="C935" s="2">
        <v>122</v>
      </c>
      <c r="D935" s="2">
        <v>37.200000000000003</v>
      </c>
      <c r="E935" s="2">
        <v>86</v>
      </c>
      <c r="F935" s="2">
        <v>-1.2</v>
      </c>
      <c r="I935" s="2">
        <v>1460</v>
      </c>
      <c r="J935" s="2">
        <v>215</v>
      </c>
      <c r="K935" s="2">
        <v>178120</v>
      </c>
      <c r="L935" s="2">
        <v>2858</v>
      </c>
      <c r="M935" s="2">
        <v>168.8</v>
      </c>
      <c r="N935" s="2">
        <v>361.7</v>
      </c>
      <c r="O935" s="2">
        <v>9320</v>
      </c>
      <c r="P935" s="2">
        <v>14</v>
      </c>
    </row>
    <row r="936" spans="1:16" ht="24.95" customHeight="1" x14ac:dyDescent="0.25">
      <c r="A936" s="17" t="s">
        <v>897</v>
      </c>
      <c r="B936" s="2">
        <v>250</v>
      </c>
      <c r="C936" s="2">
        <v>104</v>
      </c>
      <c r="D936" s="2">
        <v>17.399999999999999</v>
      </c>
      <c r="E936" s="2">
        <v>86</v>
      </c>
      <c r="F936" s="2">
        <v>0.6</v>
      </c>
      <c r="H936" s="2">
        <v>106.4</v>
      </c>
      <c r="I936" s="2">
        <v>1537</v>
      </c>
      <c r="J936" s="2">
        <v>177</v>
      </c>
      <c r="K936" s="2">
        <v>163464</v>
      </c>
      <c r="L936" s="2">
        <v>5099</v>
      </c>
      <c r="M936" s="2">
        <v>272.60000000000002</v>
      </c>
      <c r="N936" s="2">
        <v>402.2</v>
      </c>
      <c r="O936" s="2">
        <v>15750</v>
      </c>
      <c r="P936" s="2">
        <v>42.6</v>
      </c>
    </row>
    <row r="937" spans="1:16" ht="24.95" customHeight="1" x14ac:dyDescent="0.25">
      <c r="A937" s="17" t="s">
        <v>904</v>
      </c>
      <c r="B937" s="2">
        <v>252</v>
      </c>
      <c r="C937" s="2">
        <v>108</v>
      </c>
      <c r="D937" s="2">
        <v>22.1</v>
      </c>
      <c r="E937" s="2">
        <v>86</v>
      </c>
      <c r="F937" s="2">
        <v>-0.1</v>
      </c>
      <c r="H937" s="2">
        <v>109.5</v>
      </c>
      <c r="I937" s="2">
        <v>5330</v>
      </c>
      <c r="J937" s="2">
        <v>188</v>
      </c>
      <c r="K937" s="2">
        <v>583884</v>
      </c>
      <c r="L937" s="2">
        <v>11666</v>
      </c>
      <c r="M937" s="2">
        <v>802.6</v>
      </c>
      <c r="N937" s="2">
        <v>1297.5</v>
      </c>
      <c r="O937" s="2">
        <v>42910</v>
      </c>
      <c r="P937" s="2">
        <v>28.2</v>
      </c>
    </row>
    <row r="938" spans="1:16" ht="24.95" customHeight="1" x14ac:dyDescent="0.25">
      <c r="A938" s="17" t="s">
        <v>898</v>
      </c>
      <c r="B938" s="2">
        <v>228</v>
      </c>
      <c r="C938" s="2">
        <v>100</v>
      </c>
      <c r="D938" s="2">
        <v>14.4</v>
      </c>
      <c r="E938" s="2">
        <v>86</v>
      </c>
      <c r="F938" s="2">
        <v>-0.4</v>
      </c>
      <c r="H938" s="2">
        <v>102</v>
      </c>
      <c r="I938" s="2">
        <v>1460</v>
      </c>
      <c r="J938" s="2">
        <v>175</v>
      </c>
      <c r="K938" s="2">
        <v>149601</v>
      </c>
      <c r="L938" s="2">
        <v>5238</v>
      </c>
      <c r="M938" s="2">
        <v>271</v>
      </c>
      <c r="N938" s="2">
        <v>389.8</v>
      </c>
      <c r="O938" s="2">
        <v>16230</v>
      </c>
      <c r="P938" s="2">
        <v>47.3</v>
      </c>
    </row>
    <row r="939" spans="1:16" ht="24.95" customHeight="1" x14ac:dyDescent="0.25">
      <c r="A939" s="17" t="s">
        <v>6785</v>
      </c>
      <c r="B939" s="2">
        <v>225</v>
      </c>
      <c r="C939" s="2">
        <v>98</v>
      </c>
      <c r="D939" s="2">
        <v>14.5</v>
      </c>
      <c r="E939" s="2">
        <v>86</v>
      </c>
      <c r="F939" s="2">
        <v>-2.5</v>
      </c>
      <c r="H939" s="2">
        <v>99.7</v>
      </c>
      <c r="I939" s="2">
        <v>3100</v>
      </c>
      <c r="J939" s="2">
        <v>192</v>
      </c>
      <c r="K939" s="2">
        <v>309171</v>
      </c>
      <c r="L939" s="2">
        <v>6853</v>
      </c>
      <c r="M939" s="2">
        <v>537</v>
      </c>
      <c r="N939" s="2">
        <v>722.6</v>
      </c>
      <c r="O939" s="2">
        <v>22990</v>
      </c>
      <c r="P939" s="2">
        <v>27.1</v>
      </c>
    </row>
    <row r="940" spans="1:16" ht="24.95" customHeight="1" x14ac:dyDescent="0.25">
      <c r="A940" s="17" t="s">
        <v>906</v>
      </c>
      <c r="B940" s="2">
        <v>222</v>
      </c>
      <c r="C940" s="2">
        <v>94</v>
      </c>
      <c r="D940" s="2">
        <v>12.2</v>
      </c>
      <c r="E940" s="2">
        <v>96</v>
      </c>
      <c r="F940" s="2">
        <v>-4.2</v>
      </c>
      <c r="H940" s="2">
        <v>95.7</v>
      </c>
      <c r="I940" s="2">
        <v>4936</v>
      </c>
      <c r="J940" s="2">
        <v>164</v>
      </c>
      <c r="K940" s="2">
        <v>472546</v>
      </c>
      <c r="L940" s="2">
        <v>7070</v>
      </c>
      <c r="M940" s="2">
        <v>484.1</v>
      </c>
      <c r="N940" s="2">
        <v>942.3</v>
      </c>
      <c r="O940" s="2">
        <v>30750</v>
      </c>
      <c r="P940" s="2">
        <v>14.4</v>
      </c>
    </row>
    <row r="941" spans="1:16" ht="24.95" customHeight="1" x14ac:dyDescent="0.25">
      <c r="A941" s="17" t="s">
        <v>903</v>
      </c>
      <c r="B941" s="2">
        <v>246</v>
      </c>
      <c r="C941" s="2">
        <v>102</v>
      </c>
      <c r="D941" s="2">
        <v>16.8</v>
      </c>
      <c r="E941" s="2">
        <v>86</v>
      </c>
      <c r="F941" s="2">
        <v>-0.8</v>
      </c>
      <c r="H941" s="2">
        <v>103.9</v>
      </c>
      <c r="I941" s="2">
        <v>3213</v>
      </c>
      <c r="J941" s="2">
        <v>175</v>
      </c>
      <c r="K941" s="2">
        <v>333675</v>
      </c>
      <c r="L941" s="2">
        <v>7170</v>
      </c>
      <c r="M941" s="2">
        <v>364.6</v>
      </c>
      <c r="N941" s="2">
        <v>726.5</v>
      </c>
      <c r="O941" s="2">
        <v>25930</v>
      </c>
      <c r="P941" s="2">
        <v>31.7</v>
      </c>
    </row>
    <row r="942" spans="1:16" ht="24.95" customHeight="1" x14ac:dyDescent="0.25">
      <c r="A942" s="17" t="s">
        <v>6786</v>
      </c>
      <c r="B942" s="2">
        <v>163</v>
      </c>
      <c r="C942" s="2">
        <v>68</v>
      </c>
      <c r="I942" s="2">
        <v>2920</v>
      </c>
      <c r="J942" s="2">
        <v>147</v>
      </c>
      <c r="K942" s="2">
        <v>198560</v>
      </c>
      <c r="L942" s="2">
        <v>6442</v>
      </c>
      <c r="M942" s="2">
        <v>285.8</v>
      </c>
      <c r="N942" s="2">
        <v>670.7</v>
      </c>
      <c r="O942" s="2">
        <v>26390</v>
      </c>
      <c r="P942" s="2">
        <v>36.1</v>
      </c>
    </row>
    <row r="943" spans="1:16" ht="24.95" customHeight="1" x14ac:dyDescent="0.25">
      <c r="A943" s="17" t="s">
        <v>909</v>
      </c>
      <c r="B943" s="2">
        <v>234</v>
      </c>
      <c r="C943" s="2">
        <v>96</v>
      </c>
      <c r="D943" s="2">
        <v>27.4</v>
      </c>
      <c r="E943" s="2">
        <v>68</v>
      </c>
      <c r="F943" s="2">
        <v>0.6</v>
      </c>
      <c r="I943" s="2">
        <v>550</v>
      </c>
      <c r="J943" s="2">
        <v>129</v>
      </c>
      <c r="K943" s="2">
        <v>52800</v>
      </c>
      <c r="L943" s="2">
        <v>1388</v>
      </c>
      <c r="M943" s="2">
        <v>71.8</v>
      </c>
      <c r="N943" s="2">
        <v>137.1</v>
      </c>
      <c r="O943" s="2">
        <v>4440</v>
      </c>
      <c r="P943" s="2">
        <v>26.6</v>
      </c>
    </row>
    <row r="944" spans="1:16" ht="24.95" customHeight="1" x14ac:dyDescent="0.25">
      <c r="A944" s="17" t="s">
        <v>910</v>
      </c>
      <c r="B944" s="2">
        <v>252</v>
      </c>
      <c r="C944" s="2">
        <v>94</v>
      </c>
      <c r="D944" s="2">
        <v>24.3</v>
      </c>
      <c r="E944" s="2">
        <v>68</v>
      </c>
      <c r="F944" s="2">
        <v>1.7</v>
      </c>
      <c r="H944" s="2">
        <v>96.3</v>
      </c>
      <c r="I944" s="2">
        <v>650</v>
      </c>
      <c r="J944" s="2">
        <v>306</v>
      </c>
      <c r="K944" s="2">
        <v>62574</v>
      </c>
      <c r="L944" s="2">
        <v>1105</v>
      </c>
      <c r="M944" s="2">
        <v>47.8</v>
      </c>
      <c r="N944" s="2">
        <v>159.9</v>
      </c>
      <c r="O944" s="2">
        <v>3460</v>
      </c>
    </row>
    <row r="945" spans="1:16" ht="24.95" customHeight="1" x14ac:dyDescent="0.25">
      <c r="A945" s="17" t="s">
        <v>909</v>
      </c>
      <c r="B945" s="2">
        <v>206</v>
      </c>
      <c r="C945" s="2">
        <v>84</v>
      </c>
      <c r="D945" s="2">
        <v>14.7</v>
      </c>
      <c r="E945" s="2">
        <v>68</v>
      </c>
      <c r="F945" s="2">
        <v>1.3</v>
      </c>
      <c r="H945" s="2">
        <v>85.8</v>
      </c>
      <c r="I945" s="2">
        <v>1145</v>
      </c>
      <c r="J945" s="2">
        <v>108</v>
      </c>
      <c r="K945" s="2">
        <v>98252</v>
      </c>
      <c r="L945" s="2">
        <v>2060</v>
      </c>
      <c r="M945" s="2">
        <v>86.4</v>
      </c>
      <c r="N945" s="2">
        <v>230.6</v>
      </c>
      <c r="O945" s="2">
        <v>12350</v>
      </c>
      <c r="P945" s="2">
        <v>46.4</v>
      </c>
    </row>
    <row r="946" spans="1:16" ht="24.95" customHeight="1" x14ac:dyDescent="0.25">
      <c r="A946" s="17" t="s">
        <v>911</v>
      </c>
      <c r="B946" s="2">
        <v>236</v>
      </c>
      <c r="C946" s="2">
        <v>98</v>
      </c>
      <c r="D946" s="2">
        <v>27.7</v>
      </c>
      <c r="E946" s="2">
        <v>68</v>
      </c>
      <c r="F946" s="2">
        <v>2.2999999999999998</v>
      </c>
      <c r="H946" s="2">
        <v>102.5</v>
      </c>
      <c r="I946" s="2">
        <v>570</v>
      </c>
      <c r="J946" s="2">
        <v>148</v>
      </c>
      <c r="K946" s="2">
        <v>58440</v>
      </c>
      <c r="L946" s="2">
        <v>1889</v>
      </c>
      <c r="M946" s="2">
        <v>79.8</v>
      </c>
      <c r="N946" s="2">
        <v>143.1</v>
      </c>
      <c r="O946" s="2">
        <v>6140</v>
      </c>
      <c r="P946" s="2">
        <v>45.5</v>
      </c>
    </row>
    <row r="947" spans="1:16" ht="24.95" customHeight="1" x14ac:dyDescent="0.25">
      <c r="A947" s="17" t="s">
        <v>6787</v>
      </c>
      <c r="B947" s="2">
        <v>208</v>
      </c>
      <c r="C947" s="2">
        <v>83.5</v>
      </c>
      <c r="I947" s="2">
        <v>39593</v>
      </c>
      <c r="J947" s="2">
        <v>179</v>
      </c>
      <c r="K947" s="2">
        <v>3306016</v>
      </c>
      <c r="L947" s="2">
        <v>93283</v>
      </c>
      <c r="M947" s="2">
        <v>4813.3999999999996</v>
      </c>
      <c r="N947" s="2">
        <v>9515.9</v>
      </c>
      <c r="O947" s="2">
        <v>306150</v>
      </c>
      <c r="P947" s="2">
        <v>27.9</v>
      </c>
    </row>
    <row r="948" spans="1:16" ht="24.95" customHeight="1" x14ac:dyDescent="0.25">
      <c r="A948" s="17" t="s">
        <v>914</v>
      </c>
      <c r="B948" s="2">
        <v>306</v>
      </c>
      <c r="C948" s="2">
        <v>138</v>
      </c>
      <c r="D948" s="2">
        <v>53.8</v>
      </c>
      <c r="E948" s="2">
        <v>83.5</v>
      </c>
      <c r="F948" s="2">
        <v>0.7</v>
      </c>
      <c r="I948" s="2">
        <v>115</v>
      </c>
      <c r="J948" s="2">
        <v>113</v>
      </c>
      <c r="K948" s="2">
        <v>15870</v>
      </c>
      <c r="L948" s="2">
        <v>389</v>
      </c>
      <c r="M948" s="2">
        <v>15.1</v>
      </c>
      <c r="N948" s="2">
        <v>32</v>
      </c>
      <c r="O948" s="2">
        <v>1220</v>
      </c>
      <c r="P948" s="2">
        <v>43.1</v>
      </c>
    </row>
    <row r="949" spans="1:16" ht="24.95" customHeight="1" x14ac:dyDescent="0.25">
      <c r="A949" s="17" t="s">
        <v>915</v>
      </c>
      <c r="B949" s="2">
        <v>300</v>
      </c>
      <c r="C949" s="2">
        <v>122</v>
      </c>
      <c r="D949" s="2">
        <v>34.200000000000003</v>
      </c>
      <c r="E949" s="2">
        <v>89</v>
      </c>
      <c r="F949" s="2">
        <v>-1.2</v>
      </c>
      <c r="I949" s="2">
        <v>1270</v>
      </c>
      <c r="J949" s="2">
        <v>189</v>
      </c>
      <c r="K949" s="2">
        <v>154940</v>
      </c>
      <c r="L949" s="2">
        <v>2606</v>
      </c>
      <c r="M949" s="2">
        <v>140.6</v>
      </c>
      <c r="N949" s="2">
        <v>311.39999999999998</v>
      </c>
      <c r="O949" s="2">
        <v>7840</v>
      </c>
      <c r="P949" s="2">
        <v>12.8</v>
      </c>
    </row>
    <row r="950" spans="1:16" ht="24.95" customHeight="1" x14ac:dyDescent="0.25">
      <c r="A950" s="17" t="s">
        <v>916</v>
      </c>
      <c r="B950" s="2">
        <v>318</v>
      </c>
      <c r="C950" s="2">
        <v>132</v>
      </c>
      <c r="D950" s="2">
        <v>47.8</v>
      </c>
      <c r="E950" s="2">
        <v>83.5</v>
      </c>
      <c r="F950" s="2">
        <v>0.7</v>
      </c>
      <c r="I950" s="2">
        <v>792</v>
      </c>
      <c r="J950" s="2">
        <v>167</v>
      </c>
      <c r="K950" s="2">
        <v>104544</v>
      </c>
      <c r="L950" s="2">
        <v>2216</v>
      </c>
      <c r="M950" s="2">
        <v>102.2</v>
      </c>
      <c r="N950" s="2">
        <v>204.1</v>
      </c>
      <c r="O950" s="2">
        <v>6760</v>
      </c>
      <c r="P950" s="2">
        <v>31.6</v>
      </c>
    </row>
    <row r="951" spans="1:16" ht="24.95" customHeight="1" x14ac:dyDescent="0.25">
      <c r="A951" s="17" t="s">
        <v>919</v>
      </c>
      <c r="B951" s="2">
        <v>314</v>
      </c>
      <c r="C951" s="2">
        <v>118</v>
      </c>
      <c r="D951" s="2">
        <v>33.700000000000003</v>
      </c>
      <c r="E951" s="2">
        <v>85</v>
      </c>
      <c r="F951" s="2">
        <v>-0.7</v>
      </c>
      <c r="I951" s="2">
        <v>1850</v>
      </c>
      <c r="J951" s="2">
        <v>174</v>
      </c>
      <c r="K951" s="2">
        <v>218300</v>
      </c>
      <c r="L951" s="2">
        <v>3714</v>
      </c>
      <c r="M951" s="2">
        <v>203.9</v>
      </c>
      <c r="N951" s="2">
        <v>444.8</v>
      </c>
      <c r="O951" s="2">
        <v>11520</v>
      </c>
      <c r="P951" s="2">
        <v>14</v>
      </c>
    </row>
    <row r="952" spans="1:16" ht="24.95" customHeight="1" x14ac:dyDescent="0.25">
      <c r="A952" s="17" t="s">
        <v>920</v>
      </c>
      <c r="B952" s="2">
        <v>318</v>
      </c>
      <c r="C952" s="2">
        <v>129</v>
      </c>
      <c r="D952" s="2">
        <v>46.4</v>
      </c>
      <c r="E952" s="2">
        <v>83.5</v>
      </c>
      <c r="F952" s="2">
        <v>-0.9</v>
      </c>
      <c r="I952" s="2">
        <v>9270</v>
      </c>
      <c r="J952" s="2">
        <v>203</v>
      </c>
      <c r="K952" s="2">
        <v>1195830</v>
      </c>
      <c r="L952" s="2">
        <v>15785</v>
      </c>
      <c r="M952" s="2">
        <v>1037.2</v>
      </c>
      <c r="N952" s="2">
        <v>2187.6999999999998</v>
      </c>
      <c r="O952" s="2">
        <v>50120</v>
      </c>
    </row>
    <row r="953" spans="1:16" ht="24.95" customHeight="1" x14ac:dyDescent="0.25">
      <c r="A953" s="17" t="s">
        <v>921</v>
      </c>
      <c r="B953" s="2">
        <v>305</v>
      </c>
      <c r="C953" s="2">
        <v>124</v>
      </c>
      <c r="D953" s="2">
        <v>34</v>
      </c>
      <c r="E953" s="2">
        <v>89</v>
      </c>
      <c r="F953" s="2">
        <v>1</v>
      </c>
      <c r="I953" s="2">
        <v>1543</v>
      </c>
      <c r="J953" s="2">
        <v>203</v>
      </c>
      <c r="K953" s="2">
        <v>191332</v>
      </c>
      <c r="L953" s="2">
        <v>4636</v>
      </c>
      <c r="M953" s="2">
        <v>188.1</v>
      </c>
      <c r="N953" s="2">
        <v>381.1</v>
      </c>
      <c r="O953" s="2">
        <v>14970</v>
      </c>
      <c r="P953" s="2">
        <v>43.1</v>
      </c>
    </row>
    <row r="954" spans="1:16" ht="24.95" customHeight="1" x14ac:dyDescent="0.25">
      <c r="A954" s="17" t="s">
        <v>922</v>
      </c>
      <c r="B954" s="2">
        <v>312</v>
      </c>
      <c r="C954" s="2">
        <v>124</v>
      </c>
      <c r="D954" s="2">
        <v>35.6</v>
      </c>
      <c r="E954" s="2">
        <v>89</v>
      </c>
      <c r="F954" s="2">
        <v>-0.6</v>
      </c>
      <c r="I954" s="2">
        <v>403</v>
      </c>
      <c r="J954" s="2">
        <v>160</v>
      </c>
      <c r="K954" s="2">
        <v>49972</v>
      </c>
      <c r="L954" s="2">
        <v>966</v>
      </c>
      <c r="M954" s="2">
        <v>70</v>
      </c>
      <c r="N954" s="2">
        <v>102</v>
      </c>
      <c r="O954" s="2">
        <v>2760</v>
      </c>
      <c r="P954" s="2">
        <v>18.5</v>
      </c>
    </row>
    <row r="955" spans="1:16" ht="24.95" customHeight="1" x14ac:dyDescent="0.25">
      <c r="A955" s="17" t="s">
        <v>923</v>
      </c>
      <c r="B955" s="2">
        <v>300</v>
      </c>
      <c r="C955" s="2">
        <v>120</v>
      </c>
      <c r="D955" s="2">
        <v>30.1</v>
      </c>
      <c r="E955" s="2">
        <v>89</v>
      </c>
      <c r="F955" s="2">
        <v>0.9</v>
      </c>
      <c r="I955" s="2">
        <v>1112</v>
      </c>
      <c r="J955" s="2">
        <v>241</v>
      </c>
      <c r="K955" s="2">
        <v>133440</v>
      </c>
      <c r="L955" s="2">
        <v>3262</v>
      </c>
      <c r="M955" s="2">
        <v>141</v>
      </c>
      <c r="N955" s="2">
        <v>278</v>
      </c>
      <c r="O955" s="2">
        <v>9870</v>
      </c>
      <c r="P955" s="2">
        <v>38.6</v>
      </c>
    </row>
    <row r="956" spans="1:16" ht="24.95" customHeight="1" x14ac:dyDescent="0.25">
      <c r="A956" s="17" t="s">
        <v>924</v>
      </c>
      <c r="B956" s="2">
        <v>306</v>
      </c>
      <c r="C956" s="2">
        <v>126</v>
      </c>
      <c r="D956" s="2">
        <v>37.5</v>
      </c>
      <c r="E956" s="2">
        <v>89</v>
      </c>
      <c r="F956" s="2">
        <v>-0.5</v>
      </c>
      <c r="I956" s="2">
        <v>293</v>
      </c>
      <c r="J956" s="2">
        <v>166</v>
      </c>
      <c r="K956" s="2">
        <v>36918</v>
      </c>
      <c r="L956" s="2">
        <v>744</v>
      </c>
      <c r="M956" s="2">
        <v>36.5</v>
      </c>
      <c r="N956" s="2">
        <v>73.400000000000006</v>
      </c>
      <c r="O956" s="2">
        <v>2290</v>
      </c>
      <c r="P956" s="2">
        <v>28.9</v>
      </c>
    </row>
    <row r="957" spans="1:16" ht="24.95" customHeight="1" x14ac:dyDescent="0.25">
      <c r="A957" s="17" t="s">
        <v>925</v>
      </c>
      <c r="B957" s="2">
        <v>306</v>
      </c>
      <c r="C957" s="2">
        <v>120</v>
      </c>
      <c r="D957" s="2">
        <v>32.799999999999997</v>
      </c>
      <c r="E957" s="2">
        <v>89</v>
      </c>
      <c r="F957" s="2">
        <v>-1.8</v>
      </c>
      <c r="I957" s="2">
        <v>839</v>
      </c>
      <c r="J957" s="2">
        <v>143</v>
      </c>
      <c r="K957" s="2">
        <v>100680</v>
      </c>
      <c r="L957" s="2">
        <v>1960</v>
      </c>
      <c r="M957" s="2">
        <v>106.1</v>
      </c>
      <c r="N957" s="2">
        <v>201.7</v>
      </c>
      <c r="O957" s="2">
        <v>5920</v>
      </c>
      <c r="P957" s="2">
        <v>23.4</v>
      </c>
    </row>
    <row r="958" spans="1:16" ht="24.95" customHeight="1" x14ac:dyDescent="0.25">
      <c r="A958" s="17" t="s">
        <v>566</v>
      </c>
      <c r="B958" s="2">
        <v>281</v>
      </c>
      <c r="C958" s="2">
        <v>128</v>
      </c>
      <c r="D958" s="2">
        <v>40.200000000000003</v>
      </c>
      <c r="E958" s="2">
        <v>89</v>
      </c>
      <c r="F958" s="2">
        <v>-1.2</v>
      </c>
      <c r="I958" s="2">
        <v>740</v>
      </c>
      <c r="J958" s="2">
        <v>164</v>
      </c>
      <c r="K958" s="2">
        <v>94720</v>
      </c>
      <c r="L958" s="2">
        <v>1529</v>
      </c>
      <c r="M958" s="2">
        <v>81.3</v>
      </c>
      <c r="N958" s="2">
        <v>176.9</v>
      </c>
      <c r="O958" s="2">
        <v>4710</v>
      </c>
      <c r="P958" s="2">
        <v>13.4</v>
      </c>
    </row>
    <row r="959" spans="1:16" ht="24.95" customHeight="1" x14ac:dyDescent="0.25">
      <c r="A959" s="17" t="s">
        <v>926</v>
      </c>
      <c r="B959" s="2">
        <v>316</v>
      </c>
      <c r="C959" s="2">
        <v>130</v>
      </c>
      <c r="D959" s="2">
        <v>40.6</v>
      </c>
      <c r="E959" s="2">
        <v>89</v>
      </c>
      <c r="F959" s="2">
        <v>0.4</v>
      </c>
      <c r="I959" s="2">
        <v>1680</v>
      </c>
      <c r="J959" s="2">
        <v>200</v>
      </c>
      <c r="K959" s="2">
        <v>218400</v>
      </c>
      <c r="L959" s="2">
        <v>4207</v>
      </c>
      <c r="M959" s="2">
        <v>202.8</v>
      </c>
      <c r="N959" s="2">
        <v>394</v>
      </c>
      <c r="O959" s="2">
        <v>12380</v>
      </c>
      <c r="P959" s="2">
        <v>23.7</v>
      </c>
    </row>
    <row r="960" spans="1:16" ht="24.95" customHeight="1" x14ac:dyDescent="0.25">
      <c r="A960" s="17" t="s">
        <v>927</v>
      </c>
      <c r="B960" s="2">
        <v>306</v>
      </c>
      <c r="C960" s="2">
        <v>126</v>
      </c>
      <c r="D960" s="2">
        <v>38.5</v>
      </c>
      <c r="E960" s="2">
        <v>89</v>
      </c>
      <c r="F960" s="2">
        <v>-1.4</v>
      </c>
      <c r="I960" s="2">
        <v>2410</v>
      </c>
      <c r="J960" s="2">
        <v>177</v>
      </c>
      <c r="K960" s="2">
        <v>303660</v>
      </c>
      <c r="L960" s="2">
        <v>4746</v>
      </c>
      <c r="M960" s="2">
        <v>305.10000000000002</v>
      </c>
      <c r="N960" s="2">
        <v>617.70000000000005</v>
      </c>
      <c r="O960" s="2">
        <v>14430</v>
      </c>
      <c r="P960" s="2">
        <v>5.4</v>
      </c>
    </row>
    <row r="961" spans="1:16" ht="24.95" customHeight="1" x14ac:dyDescent="0.25">
      <c r="A961" s="17" t="s">
        <v>928</v>
      </c>
      <c r="B961" s="2">
        <v>318</v>
      </c>
      <c r="C961" s="2">
        <v>132</v>
      </c>
      <c r="D961" s="2">
        <v>48.7</v>
      </c>
      <c r="E961" s="2">
        <v>85</v>
      </c>
      <c r="F961" s="2">
        <v>-1.7</v>
      </c>
      <c r="I961" s="2">
        <v>357</v>
      </c>
      <c r="J961" s="2">
        <v>151</v>
      </c>
      <c r="K961" s="2">
        <v>47124</v>
      </c>
      <c r="L961" s="2">
        <v>876</v>
      </c>
      <c r="M961" s="2">
        <v>44.8</v>
      </c>
      <c r="N961" s="2">
        <v>92.1</v>
      </c>
      <c r="O961" s="2">
        <v>2600</v>
      </c>
      <c r="P961" s="2">
        <v>20.5</v>
      </c>
    </row>
    <row r="962" spans="1:16" ht="24.95" customHeight="1" x14ac:dyDescent="0.25">
      <c r="A962" s="17" t="s">
        <v>1270</v>
      </c>
      <c r="B962" s="2">
        <v>296</v>
      </c>
      <c r="C962" s="2">
        <v>124</v>
      </c>
      <c r="D962" s="2">
        <v>39.200000000000003</v>
      </c>
      <c r="E962" s="2">
        <v>85</v>
      </c>
      <c r="F962" s="2">
        <v>-0.2</v>
      </c>
      <c r="I962" s="2">
        <v>972</v>
      </c>
      <c r="J962" s="2">
        <v>156</v>
      </c>
      <c r="K962" s="2">
        <v>120528</v>
      </c>
      <c r="L962" s="2">
        <v>2322</v>
      </c>
      <c r="M962" s="2">
        <v>122.8</v>
      </c>
      <c r="N962" s="2">
        <v>244.1</v>
      </c>
      <c r="O962" s="2">
        <v>7150</v>
      </c>
      <c r="P962" s="2">
        <v>23.1</v>
      </c>
    </row>
    <row r="963" spans="1:16" ht="24.95" customHeight="1" x14ac:dyDescent="0.25">
      <c r="A963" s="17" t="s">
        <v>5328</v>
      </c>
      <c r="B963" s="2">
        <v>264</v>
      </c>
      <c r="C963" s="2">
        <v>107</v>
      </c>
      <c r="D963" s="2">
        <v>18</v>
      </c>
      <c r="E963" s="2">
        <v>89</v>
      </c>
      <c r="F963" s="2">
        <v>1</v>
      </c>
      <c r="H963" s="2">
        <v>109.1</v>
      </c>
      <c r="I963" s="2">
        <v>2200</v>
      </c>
      <c r="J963" s="2">
        <v>161</v>
      </c>
      <c r="K963" s="2">
        <v>240102</v>
      </c>
      <c r="L963" s="2">
        <v>7254</v>
      </c>
      <c r="M963" s="2">
        <v>368.5</v>
      </c>
      <c r="N963" s="2">
        <v>575.1</v>
      </c>
      <c r="O963" s="2">
        <v>22950</v>
      </c>
      <c r="P963" s="2">
        <v>44.1</v>
      </c>
    </row>
    <row r="964" spans="1:16" ht="24.95" customHeight="1" x14ac:dyDescent="0.25">
      <c r="A964" s="17" t="s">
        <v>915</v>
      </c>
      <c r="B964" s="2">
        <v>252</v>
      </c>
      <c r="C964" s="2">
        <v>106</v>
      </c>
      <c r="D964" s="2">
        <v>15.9</v>
      </c>
      <c r="E964" s="2">
        <v>89</v>
      </c>
      <c r="F964" s="2">
        <v>1.1000000000000001</v>
      </c>
      <c r="H964" s="2">
        <v>106.8</v>
      </c>
      <c r="I964" s="2">
        <v>1290</v>
      </c>
      <c r="J964" s="2">
        <v>32</v>
      </c>
      <c r="K964" s="2">
        <v>137793</v>
      </c>
      <c r="L964" s="2">
        <v>4244</v>
      </c>
      <c r="M964" s="2">
        <v>187.6</v>
      </c>
      <c r="N964" s="2">
        <v>319.2</v>
      </c>
      <c r="O964" s="2">
        <v>16130</v>
      </c>
      <c r="P964" s="2">
        <v>53.6</v>
      </c>
    </row>
    <row r="965" spans="1:16" ht="24.95" customHeight="1" x14ac:dyDescent="0.25">
      <c r="A965" s="17" t="s">
        <v>1272</v>
      </c>
      <c r="B965" s="2">
        <v>268</v>
      </c>
      <c r="C965" s="2">
        <v>106</v>
      </c>
      <c r="D965" s="2">
        <v>16.100000000000001</v>
      </c>
      <c r="E965" s="2">
        <v>89</v>
      </c>
      <c r="F965" s="2">
        <v>0.9</v>
      </c>
      <c r="H965" s="2">
        <v>108.1</v>
      </c>
      <c r="I965" s="2">
        <v>467</v>
      </c>
      <c r="J965" s="2">
        <v>161</v>
      </c>
      <c r="K965" s="2">
        <v>50484</v>
      </c>
      <c r="L965" s="2">
        <v>3031</v>
      </c>
      <c r="M965" s="2">
        <v>97.6</v>
      </c>
      <c r="N965" s="2">
        <v>124.5</v>
      </c>
      <c r="O965" s="2">
        <v>8690</v>
      </c>
      <c r="P965" s="2">
        <v>69.099999999999994</v>
      </c>
    </row>
    <row r="966" spans="1:16" ht="24.95" customHeight="1" x14ac:dyDescent="0.25">
      <c r="A966" s="17" t="s">
        <v>1273</v>
      </c>
      <c r="B966" s="2">
        <v>251</v>
      </c>
      <c r="C966" s="2">
        <v>99</v>
      </c>
      <c r="D966" s="2">
        <v>9.4</v>
      </c>
      <c r="E966" s="2">
        <v>89</v>
      </c>
      <c r="F966" s="2">
        <v>0.6</v>
      </c>
      <c r="H966" s="2">
        <v>99.4</v>
      </c>
      <c r="I966" s="2">
        <v>910</v>
      </c>
      <c r="J966" s="2">
        <v>130</v>
      </c>
      <c r="K966" s="2">
        <v>90490</v>
      </c>
      <c r="L966" s="2">
        <v>2358</v>
      </c>
      <c r="M966" s="2">
        <v>112</v>
      </c>
      <c r="N966" s="2">
        <v>191.8</v>
      </c>
      <c r="O966" s="2">
        <v>9650</v>
      </c>
      <c r="P966" s="2">
        <v>47.2</v>
      </c>
    </row>
    <row r="967" spans="1:16" ht="24.95" customHeight="1" x14ac:dyDescent="0.25">
      <c r="A967" s="17" t="s">
        <v>924</v>
      </c>
      <c r="B967" s="2">
        <v>264</v>
      </c>
      <c r="C967" s="2">
        <v>100</v>
      </c>
      <c r="D967" s="2">
        <v>8.8000000000000007</v>
      </c>
      <c r="E967" s="2">
        <v>89</v>
      </c>
      <c r="F967" s="2">
        <v>2.2000000000000002</v>
      </c>
      <c r="H967" s="2">
        <v>101.2</v>
      </c>
      <c r="I967" s="2">
        <v>590</v>
      </c>
      <c r="J967" s="2">
        <v>159</v>
      </c>
      <c r="K967" s="2">
        <v>59689</v>
      </c>
      <c r="L967" s="2">
        <v>2059</v>
      </c>
      <c r="M967" s="2">
        <v>87.3</v>
      </c>
      <c r="N967" s="2">
        <v>149.19999999999999</v>
      </c>
      <c r="O967" s="2">
        <v>7620</v>
      </c>
      <c r="P967" s="2">
        <v>56.2</v>
      </c>
    </row>
    <row r="968" spans="1:16" ht="24.95" customHeight="1" x14ac:dyDescent="0.25">
      <c r="A968" s="17" t="s">
        <v>916</v>
      </c>
      <c r="B968" s="2">
        <v>280</v>
      </c>
      <c r="C968" s="2">
        <v>112</v>
      </c>
      <c r="D968" s="2">
        <v>22</v>
      </c>
      <c r="E968" s="2">
        <v>89</v>
      </c>
      <c r="F968" s="2">
        <v>1</v>
      </c>
      <c r="H968" s="2">
        <v>112</v>
      </c>
      <c r="I968" s="2">
        <v>1220</v>
      </c>
      <c r="J968" s="2">
        <v>163</v>
      </c>
      <c r="K968" s="2">
        <v>136640</v>
      </c>
      <c r="L968" s="2">
        <v>4332</v>
      </c>
      <c r="M968" s="2">
        <v>165.2</v>
      </c>
      <c r="N968" s="2">
        <v>314.5</v>
      </c>
      <c r="O968" s="2">
        <v>13420</v>
      </c>
      <c r="P968" s="2">
        <v>48.1</v>
      </c>
    </row>
    <row r="969" spans="1:16" ht="24.95" customHeight="1" x14ac:dyDescent="0.25">
      <c r="A969" s="17" t="s">
        <v>919</v>
      </c>
      <c r="B969" s="2">
        <v>271</v>
      </c>
      <c r="C969" s="2">
        <v>106</v>
      </c>
      <c r="D969" s="2">
        <v>15.9</v>
      </c>
      <c r="E969" s="2">
        <v>89</v>
      </c>
      <c r="F969" s="2">
        <v>1.1000000000000001</v>
      </c>
      <c r="H969" s="2">
        <v>108.1</v>
      </c>
      <c r="I969" s="2">
        <v>1685</v>
      </c>
      <c r="J969" s="2">
        <v>163</v>
      </c>
      <c r="K969" s="2">
        <v>182198</v>
      </c>
      <c r="L969" s="2">
        <v>5432</v>
      </c>
      <c r="M969" s="2">
        <v>242.7</v>
      </c>
      <c r="N969" s="2">
        <v>400.5</v>
      </c>
      <c r="O969" s="2">
        <v>20090</v>
      </c>
      <c r="P969" s="2">
        <v>51.4</v>
      </c>
    </row>
    <row r="970" spans="1:16" ht="24.95" customHeight="1" x14ac:dyDescent="0.25">
      <c r="A970" s="17" t="s">
        <v>1274</v>
      </c>
      <c r="B970" s="2">
        <v>254</v>
      </c>
      <c r="C970" s="2">
        <v>105</v>
      </c>
      <c r="D970" s="2">
        <v>15.9</v>
      </c>
      <c r="E970" s="2">
        <v>89</v>
      </c>
      <c r="F970" s="2">
        <v>0.1</v>
      </c>
      <c r="H970" s="2">
        <v>107.3</v>
      </c>
      <c r="I970" s="2">
        <v>1744</v>
      </c>
      <c r="J970" s="2">
        <v>159</v>
      </c>
      <c r="K970" s="2">
        <v>187065</v>
      </c>
      <c r="L970" s="2">
        <v>3583</v>
      </c>
      <c r="M970" s="2">
        <v>208.6</v>
      </c>
      <c r="N970" s="2">
        <v>381.1</v>
      </c>
      <c r="O970" s="2">
        <v>15140</v>
      </c>
      <c r="P970" s="2">
        <v>37.1</v>
      </c>
    </row>
    <row r="971" spans="1:16" ht="24.95" customHeight="1" x14ac:dyDescent="0.25">
      <c r="A971" s="17" t="s">
        <v>927</v>
      </c>
      <c r="B971" s="2">
        <v>264</v>
      </c>
      <c r="C971" s="2">
        <v>112</v>
      </c>
      <c r="D971" s="2">
        <v>22.8</v>
      </c>
      <c r="E971" s="2">
        <v>89</v>
      </c>
      <c r="F971" s="2">
        <v>0.3</v>
      </c>
      <c r="H971" s="2">
        <v>115.4</v>
      </c>
      <c r="I971" s="2">
        <v>4579</v>
      </c>
      <c r="J971" s="2">
        <v>204</v>
      </c>
      <c r="K971" s="2">
        <v>528355</v>
      </c>
      <c r="L971" s="2">
        <v>7737</v>
      </c>
      <c r="M971" s="2">
        <v>398.7</v>
      </c>
      <c r="N971" s="2">
        <v>1056</v>
      </c>
      <c r="O971" s="2">
        <v>26200</v>
      </c>
      <c r="P971" s="2">
        <v>2.5</v>
      </c>
    </row>
    <row r="972" spans="1:16" ht="24.95" customHeight="1" x14ac:dyDescent="0.25">
      <c r="A972" s="17" t="s">
        <v>928</v>
      </c>
      <c r="B972" s="2">
        <v>250</v>
      </c>
      <c r="C972" s="2">
        <v>106</v>
      </c>
      <c r="D972" s="2">
        <v>17</v>
      </c>
      <c r="E972" s="2">
        <v>89</v>
      </c>
      <c r="F972" s="2">
        <v>0.1</v>
      </c>
      <c r="H972" s="2">
        <v>106.6</v>
      </c>
      <c r="I972" s="2">
        <v>1239</v>
      </c>
      <c r="J972" s="2">
        <v>142</v>
      </c>
      <c r="K972" s="2">
        <v>132067</v>
      </c>
      <c r="L972" s="2">
        <v>3295</v>
      </c>
      <c r="M972" s="2">
        <v>147.6</v>
      </c>
      <c r="N972" s="2">
        <v>262.8</v>
      </c>
      <c r="O972" s="2">
        <v>11720</v>
      </c>
      <c r="P972" s="2">
        <v>41.4</v>
      </c>
    </row>
    <row r="973" spans="1:16" ht="24.95" customHeight="1" x14ac:dyDescent="0.25">
      <c r="A973" s="17" t="s">
        <v>6788</v>
      </c>
      <c r="B973" s="2">
        <v>150</v>
      </c>
      <c r="C973" s="2">
        <v>60</v>
      </c>
      <c r="I973" s="2">
        <v>11224</v>
      </c>
      <c r="J973" s="2">
        <v>151</v>
      </c>
      <c r="K973" s="2">
        <v>673440</v>
      </c>
      <c r="L973" s="2">
        <v>23503</v>
      </c>
      <c r="M973" s="2">
        <v>1452.6</v>
      </c>
      <c r="N973" s="2">
        <v>2675.7</v>
      </c>
      <c r="O973" s="2">
        <v>77400</v>
      </c>
      <c r="P973" s="2">
        <v>20</v>
      </c>
    </row>
    <row r="974" spans="1:16" ht="24.95" customHeight="1" x14ac:dyDescent="0.25">
      <c r="A974" s="17" t="s">
        <v>930</v>
      </c>
      <c r="B974" s="2">
        <v>294</v>
      </c>
      <c r="C974" s="2">
        <v>120</v>
      </c>
      <c r="D974" s="2">
        <v>60</v>
      </c>
      <c r="E974" s="2">
        <v>60</v>
      </c>
      <c r="I974" s="2">
        <v>9940</v>
      </c>
      <c r="J974" s="2">
        <v>152</v>
      </c>
      <c r="K974" s="2">
        <v>1192800</v>
      </c>
      <c r="L974" s="2">
        <v>19926</v>
      </c>
      <c r="M974" s="2">
        <v>1282.3</v>
      </c>
      <c r="N974" s="2">
        <v>2378.6</v>
      </c>
      <c r="O974" s="2">
        <v>63430</v>
      </c>
      <c r="P974" s="2">
        <v>14.1</v>
      </c>
    </row>
    <row r="975" spans="1:16" ht="24.95" customHeight="1" x14ac:dyDescent="0.25">
      <c r="A975" s="17" t="s">
        <v>5437</v>
      </c>
      <c r="B975" s="2">
        <v>242</v>
      </c>
      <c r="C975" s="2">
        <v>88</v>
      </c>
      <c r="D975" s="2">
        <v>13.8</v>
      </c>
      <c r="E975" s="2">
        <v>73</v>
      </c>
      <c r="F975" s="2">
        <v>1.2</v>
      </c>
      <c r="H975" s="2">
        <v>93.8</v>
      </c>
      <c r="I975" s="2">
        <v>515</v>
      </c>
      <c r="J975" s="2">
        <v>122</v>
      </c>
      <c r="K975" s="2">
        <v>72519</v>
      </c>
      <c r="L975" s="2">
        <v>855</v>
      </c>
      <c r="M975" s="2">
        <v>39.299999999999997</v>
      </c>
      <c r="N975" s="2">
        <v>97.9</v>
      </c>
      <c r="O975" s="2">
        <v>5740</v>
      </c>
      <c r="P975" s="2">
        <v>50.9</v>
      </c>
    </row>
    <row r="976" spans="1:16" ht="24.95" customHeight="1" x14ac:dyDescent="0.25">
      <c r="A976" s="17" t="s">
        <v>930</v>
      </c>
      <c r="B976" s="2">
        <v>258</v>
      </c>
      <c r="C976" s="2">
        <v>96</v>
      </c>
      <c r="D976" s="2">
        <v>21.2</v>
      </c>
      <c r="E976" s="2">
        <v>73</v>
      </c>
      <c r="F976" s="2">
        <v>1.8</v>
      </c>
      <c r="H976" s="2">
        <v>97.5</v>
      </c>
      <c r="I976" s="2">
        <v>809</v>
      </c>
      <c r="J976" s="2">
        <v>164</v>
      </c>
      <c r="K976" s="2">
        <v>78894</v>
      </c>
      <c r="L976" s="2">
        <v>2722</v>
      </c>
      <c r="M976" s="2">
        <v>131.1</v>
      </c>
      <c r="N976" s="2">
        <v>199.2</v>
      </c>
      <c r="O976" s="2">
        <v>8230</v>
      </c>
      <c r="P976" s="2">
        <v>46.3</v>
      </c>
    </row>
    <row r="977" spans="1:16" ht="24.95" customHeight="1" x14ac:dyDescent="0.25">
      <c r="A977" s="17" t="s">
        <v>6789</v>
      </c>
      <c r="B977" s="2">
        <v>185</v>
      </c>
      <c r="C977" s="2">
        <v>81</v>
      </c>
      <c r="I977" s="2">
        <v>69893</v>
      </c>
      <c r="J977" s="2">
        <v>160</v>
      </c>
      <c r="K977" s="2">
        <v>5661333</v>
      </c>
      <c r="L977" s="2">
        <v>166248</v>
      </c>
      <c r="M977" s="2">
        <v>9968</v>
      </c>
      <c r="N977" s="2">
        <v>17337.7</v>
      </c>
      <c r="O977" s="2">
        <v>527240</v>
      </c>
      <c r="P977" s="2">
        <v>24.1</v>
      </c>
    </row>
    <row r="978" spans="1:16" ht="24.95" customHeight="1" x14ac:dyDescent="0.25">
      <c r="A978" s="17" t="s">
        <v>933</v>
      </c>
      <c r="B978" s="2">
        <v>302</v>
      </c>
      <c r="C978" s="2">
        <v>132</v>
      </c>
      <c r="D978" s="2">
        <v>50.7</v>
      </c>
      <c r="E978" s="2">
        <v>81.3</v>
      </c>
      <c r="I978" s="2">
        <v>4100</v>
      </c>
      <c r="J978" s="2">
        <v>162</v>
      </c>
      <c r="K978" s="2">
        <v>541200</v>
      </c>
      <c r="L978" s="2">
        <v>7818</v>
      </c>
      <c r="M978" s="2">
        <v>415.7</v>
      </c>
      <c r="N978" s="2">
        <v>1003.9</v>
      </c>
      <c r="O978" s="2">
        <v>25930</v>
      </c>
      <c r="P978" s="2">
        <v>10.3</v>
      </c>
    </row>
    <row r="979" spans="1:16" ht="24.95" customHeight="1" x14ac:dyDescent="0.25">
      <c r="A979" s="17" t="s">
        <v>934</v>
      </c>
      <c r="B979" s="2">
        <v>280</v>
      </c>
      <c r="C979" s="2">
        <v>124</v>
      </c>
      <c r="D979" s="2">
        <v>37.6</v>
      </c>
      <c r="E979" s="2">
        <v>86</v>
      </c>
      <c r="F979" s="2">
        <v>0.4</v>
      </c>
      <c r="I979" s="2">
        <v>810</v>
      </c>
      <c r="J979" s="2">
        <v>145</v>
      </c>
      <c r="K979" s="2">
        <v>100440</v>
      </c>
      <c r="L979" s="2">
        <v>1932</v>
      </c>
      <c r="M979" s="2">
        <v>102.8</v>
      </c>
      <c r="N979" s="2">
        <v>208.1</v>
      </c>
      <c r="O979" s="2">
        <v>6020</v>
      </c>
      <c r="P979" s="2">
        <v>20.8</v>
      </c>
    </row>
    <row r="980" spans="1:16" ht="24.95" customHeight="1" x14ac:dyDescent="0.25">
      <c r="A980" s="17" t="s">
        <v>935</v>
      </c>
      <c r="B980" s="2">
        <v>288</v>
      </c>
      <c r="C980" s="2">
        <v>118</v>
      </c>
      <c r="D980" s="2">
        <v>32</v>
      </c>
      <c r="E980" s="2">
        <v>86</v>
      </c>
      <c r="I980" s="2">
        <v>875</v>
      </c>
      <c r="J980" s="2">
        <v>192</v>
      </c>
      <c r="K980" s="2">
        <v>103250</v>
      </c>
      <c r="L980" s="2">
        <v>1907</v>
      </c>
      <c r="M980" s="2">
        <v>116.1</v>
      </c>
      <c r="N980" s="2">
        <v>221.8</v>
      </c>
      <c r="O980" s="2">
        <v>5940</v>
      </c>
      <c r="P980" s="2">
        <v>16</v>
      </c>
    </row>
    <row r="981" spans="1:16" ht="24.95" customHeight="1" x14ac:dyDescent="0.25">
      <c r="A981" s="17" t="s">
        <v>936</v>
      </c>
      <c r="B981" s="2">
        <v>318</v>
      </c>
      <c r="C981" s="2">
        <v>138</v>
      </c>
      <c r="D981" s="2">
        <v>57.8</v>
      </c>
      <c r="E981" s="2">
        <v>82.5</v>
      </c>
      <c r="F981" s="2">
        <v>-2.2999999999999998</v>
      </c>
      <c r="I981" s="2">
        <v>5460</v>
      </c>
      <c r="J981" s="2">
        <v>136</v>
      </c>
      <c r="K981" s="2">
        <v>753480</v>
      </c>
      <c r="L981" s="2">
        <v>11033</v>
      </c>
      <c r="M981" s="2">
        <v>673.1</v>
      </c>
      <c r="N981" s="2">
        <v>1352.7</v>
      </c>
      <c r="O981" s="2">
        <v>36230</v>
      </c>
      <c r="P981" s="2">
        <v>13.1</v>
      </c>
    </row>
    <row r="982" spans="1:16" ht="24.95" customHeight="1" x14ac:dyDescent="0.25">
      <c r="A982" s="17" t="s">
        <v>6780</v>
      </c>
      <c r="B982" s="2">
        <v>302</v>
      </c>
      <c r="C982" s="2">
        <v>130</v>
      </c>
      <c r="D982" s="2">
        <v>44.4</v>
      </c>
      <c r="E982" s="2">
        <v>86</v>
      </c>
      <c r="F982" s="2">
        <v>-0.4</v>
      </c>
      <c r="I982" s="2">
        <v>1091</v>
      </c>
      <c r="J982" s="2">
        <v>157</v>
      </c>
      <c r="K982" s="2">
        <v>141830</v>
      </c>
      <c r="L982" s="2">
        <v>2239</v>
      </c>
      <c r="M982" s="2">
        <v>135.5</v>
      </c>
      <c r="N982" s="2">
        <v>269</v>
      </c>
      <c r="O982" s="2">
        <v>6960</v>
      </c>
      <c r="P982" s="2">
        <v>10.1</v>
      </c>
    </row>
    <row r="983" spans="1:16" ht="24.95" customHeight="1" x14ac:dyDescent="0.25">
      <c r="A983" s="17" t="s">
        <v>6790</v>
      </c>
      <c r="B983" s="2">
        <v>310</v>
      </c>
      <c r="C983" s="2">
        <v>142</v>
      </c>
      <c r="D983" s="2">
        <v>61.3</v>
      </c>
      <c r="E983" s="2">
        <v>82.3</v>
      </c>
      <c r="F983" s="2">
        <v>-1.5</v>
      </c>
      <c r="I983" s="2">
        <v>7415</v>
      </c>
      <c r="J983" s="2">
        <v>134</v>
      </c>
      <c r="K983" s="2">
        <v>1052930</v>
      </c>
      <c r="L983" s="2">
        <v>14075</v>
      </c>
      <c r="M983" s="2">
        <v>1111</v>
      </c>
      <c r="N983" s="2">
        <v>1852</v>
      </c>
      <c r="O983" s="2">
        <v>42750</v>
      </c>
      <c r="P983" s="2">
        <v>2.1</v>
      </c>
    </row>
    <row r="984" spans="1:16" ht="24.95" customHeight="1" x14ac:dyDescent="0.25">
      <c r="A984" s="17" t="s">
        <v>939</v>
      </c>
      <c r="B984" s="2">
        <v>284</v>
      </c>
      <c r="C984" s="2">
        <v>126</v>
      </c>
      <c r="D984" s="2">
        <v>44.5</v>
      </c>
      <c r="E984" s="2">
        <v>82.5</v>
      </c>
      <c r="F984" s="2">
        <v>-1</v>
      </c>
      <c r="I984" s="2">
        <v>4509</v>
      </c>
      <c r="J984" s="2">
        <v>147</v>
      </c>
      <c r="K984" s="2">
        <v>568134</v>
      </c>
      <c r="L984" s="2">
        <v>7994</v>
      </c>
      <c r="M984" s="2">
        <v>510</v>
      </c>
      <c r="N984" s="2">
        <v>1111</v>
      </c>
      <c r="O984" s="2">
        <v>24550</v>
      </c>
    </row>
    <row r="985" spans="1:16" ht="24.95" customHeight="1" x14ac:dyDescent="0.25">
      <c r="A985" s="17" t="s">
        <v>940</v>
      </c>
      <c r="B985" s="2">
        <v>286</v>
      </c>
      <c r="C985" s="2">
        <v>122</v>
      </c>
      <c r="D985" s="2">
        <v>36</v>
      </c>
      <c r="E985" s="2">
        <v>86</v>
      </c>
      <c r="I985" s="2">
        <v>1328</v>
      </c>
      <c r="J985" s="2">
        <v>135</v>
      </c>
      <c r="K985" s="2">
        <v>162016</v>
      </c>
      <c r="L985" s="2">
        <v>3209</v>
      </c>
      <c r="M985" s="2">
        <v>216.4</v>
      </c>
      <c r="N985" s="2">
        <v>340.9</v>
      </c>
      <c r="O985" s="2">
        <v>10240</v>
      </c>
      <c r="P985" s="2">
        <v>26.3</v>
      </c>
    </row>
    <row r="986" spans="1:16" ht="24.95" customHeight="1" x14ac:dyDescent="0.25">
      <c r="A986" s="17" t="s">
        <v>941</v>
      </c>
      <c r="B986" s="2">
        <v>292</v>
      </c>
      <c r="C986" s="2">
        <v>130</v>
      </c>
      <c r="D986" s="2">
        <v>45.7</v>
      </c>
      <c r="E986" s="2">
        <v>86</v>
      </c>
      <c r="F986" s="2">
        <v>-1.7</v>
      </c>
      <c r="I986" s="2">
        <v>1610</v>
      </c>
      <c r="J986" s="2">
        <v>154</v>
      </c>
      <c r="K986" s="2">
        <v>209300</v>
      </c>
      <c r="L986" s="2">
        <v>3562</v>
      </c>
      <c r="M986" s="2">
        <v>274.2</v>
      </c>
      <c r="N986" s="2">
        <v>408.3</v>
      </c>
      <c r="O986" s="2">
        <v>11080</v>
      </c>
      <c r="P986" s="2">
        <v>16.899999999999999</v>
      </c>
    </row>
    <row r="987" spans="1:16" ht="24.95" customHeight="1" x14ac:dyDescent="0.25">
      <c r="A987" s="17" t="s">
        <v>942</v>
      </c>
      <c r="B987" s="2">
        <v>262</v>
      </c>
      <c r="C987" s="2">
        <v>116</v>
      </c>
      <c r="D987" s="2">
        <v>30</v>
      </c>
      <c r="E987" s="2">
        <v>86</v>
      </c>
      <c r="F987" s="2">
        <v>0.1</v>
      </c>
      <c r="I987" s="2">
        <v>595</v>
      </c>
      <c r="J987" s="2">
        <v>170</v>
      </c>
      <c r="K987" s="2">
        <v>69020</v>
      </c>
      <c r="L987" s="2">
        <v>1545</v>
      </c>
      <c r="M987" s="2">
        <v>77.3</v>
      </c>
      <c r="N987" s="2">
        <v>149.80000000000001</v>
      </c>
      <c r="O987" s="2">
        <v>4350</v>
      </c>
      <c r="P987" s="2">
        <v>23.6</v>
      </c>
    </row>
    <row r="988" spans="1:16" ht="24.95" customHeight="1" x14ac:dyDescent="0.25">
      <c r="A988" s="17" t="s">
        <v>943</v>
      </c>
      <c r="B988" s="2">
        <v>270</v>
      </c>
      <c r="C988" s="2">
        <v>112</v>
      </c>
      <c r="D988" s="2">
        <v>25.4</v>
      </c>
      <c r="E988" s="2">
        <v>86</v>
      </c>
      <c r="F988" s="2">
        <v>0.6</v>
      </c>
      <c r="I988" s="2">
        <v>1510</v>
      </c>
      <c r="J988" s="2">
        <v>158</v>
      </c>
      <c r="K988" s="2">
        <v>169120</v>
      </c>
      <c r="L988" s="2">
        <v>3883</v>
      </c>
      <c r="M988" s="2">
        <v>186.9</v>
      </c>
      <c r="N988" s="2">
        <v>388</v>
      </c>
      <c r="O988" s="2">
        <v>11570</v>
      </c>
      <c r="P988" s="2">
        <v>24.4</v>
      </c>
    </row>
    <row r="989" spans="1:16" ht="24.95" customHeight="1" x14ac:dyDescent="0.25">
      <c r="A989" s="17" t="s">
        <v>5440</v>
      </c>
      <c r="B989" s="2">
        <v>304</v>
      </c>
      <c r="C989" s="2">
        <v>120</v>
      </c>
      <c r="D989" s="2">
        <v>34.6</v>
      </c>
      <c r="E989" s="2">
        <v>86</v>
      </c>
      <c r="F989" s="2">
        <v>-0.6</v>
      </c>
      <c r="I989" s="2">
        <v>352</v>
      </c>
      <c r="J989" s="2">
        <v>171</v>
      </c>
      <c r="K989" s="2">
        <v>42240</v>
      </c>
      <c r="L989" s="2">
        <v>973</v>
      </c>
      <c r="M989" s="2">
        <v>48.6</v>
      </c>
      <c r="N989" s="2">
        <v>90.6</v>
      </c>
      <c r="O989" s="2">
        <v>2790</v>
      </c>
      <c r="P989" s="2">
        <v>27.7</v>
      </c>
    </row>
    <row r="990" spans="1:16" ht="24.95" customHeight="1" x14ac:dyDescent="0.25">
      <c r="A990" s="17" t="s">
        <v>945</v>
      </c>
      <c r="B990" s="2">
        <v>267</v>
      </c>
      <c r="C990" s="2">
        <v>116</v>
      </c>
      <c r="D990" s="2">
        <v>30.4</v>
      </c>
      <c r="E990" s="2">
        <v>86</v>
      </c>
      <c r="F990" s="2">
        <v>-0.4</v>
      </c>
      <c r="I990" s="2">
        <v>2854</v>
      </c>
      <c r="J990" s="2">
        <v>189</v>
      </c>
      <c r="K990" s="2">
        <v>330600</v>
      </c>
      <c r="L990" s="2">
        <v>5006</v>
      </c>
      <c r="M990" s="2">
        <v>385.7</v>
      </c>
      <c r="N990" s="2">
        <v>690</v>
      </c>
      <c r="O990" s="2">
        <v>15650</v>
      </c>
    </row>
    <row r="991" spans="1:16" ht="24.95" customHeight="1" x14ac:dyDescent="0.25">
      <c r="A991" s="17" t="s">
        <v>946</v>
      </c>
      <c r="B991" s="2">
        <v>259</v>
      </c>
      <c r="C991" s="2">
        <v>111</v>
      </c>
      <c r="D991" s="2">
        <v>26.2</v>
      </c>
      <c r="E991" s="2">
        <v>86</v>
      </c>
      <c r="F991" s="2">
        <v>-1.2</v>
      </c>
      <c r="I991" s="2">
        <v>1700</v>
      </c>
      <c r="J991" s="2">
        <v>158</v>
      </c>
      <c r="K991" s="2">
        <v>188700</v>
      </c>
      <c r="L991" s="2">
        <v>2588</v>
      </c>
      <c r="M991" s="2">
        <v>213.1</v>
      </c>
      <c r="N991" s="2">
        <v>425.8</v>
      </c>
      <c r="O991" s="2">
        <v>7520</v>
      </c>
    </row>
    <row r="992" spans="1:16" ht="24.95" customHeight="1" x14ac:dyDescent="0.25">
      <c r="A992" s="17" t="s">
        <v>947</v>
      </c>
      <c r="B992" s="2">
        <v>264</v>
      </c>
      <c r="C992" s="2">
        <v>112</v>
      </c>
      <c r="D992" s="2">
        <v>25.2</v>
      </c>
      <c r="E992" s="2">
        <v>86</v>
      </c>
      <c r="F992" s="2">
        <v>0.8</v>
      </c>
      <c r="I992" s="2">
        <v>1365</v>
      </c>
      <c r="J992" s="2">
        <v>187</v>
      </c>
      <c r="K992" s="2">
        <v>152880</v>
      </c>
      <c r="L992" s="2">
        <v>4277</v>
      </c>
      <c r="M992" s="2">
        <v>201.1</v>
      </c>
      <c r="N992" s="2">
        <v>347.8</v>
      </c>
      <c r="O992" s="2">
        <v>12850</v>
      </c>
      <c r="P992" s="2">
        <v>39.200000000000003</v>
      </c>
    </row>
    <row r="993" spans="1:16" ht="24.95" customHeight="1" x14ac:dyDescent="0.25">
      <c r="A993" s="17" t="s">
        <v>948</v>
      </c>
      <c r="B993" s="2">
        <v>252</v>
      </c>
      <c r="C993" s="2">
        <v>112</v>
      </c>
      <c r="D993" s="2">
        <v>24.9</v>
      </c>
      <c r="E993" s="2">
        <v>86</v>
      </c>
      <c r="F993" s="2">
        <v>1.1000000000000001</v>
      </c>
      <c r="I993" s="2">
        <v>2250</v>
      </c>
      <c r="J993" s="2">
        <v>125</v>
      </c>
      <c r="K993" s="2">
        <v>252000</v>
      </c>
      <c r="L993" s="2">
        <v>2075</v>
      </c>
      <c r="M993" s="2">
        <v>149.4</v>
      </c>
      <c r="N993" s="2">
        <v>549.9</v>
      </c>
      <c r="O993" s="2">
        <v>6730</v>
      </c>
    </row>
    <row r="994" spans="1:16" ht="24.95" customHeight="1" x14ac:dyDescent="0.25">
      <c r="A994" s="17" t="s">
        <v>949</v>
      </c>
      <c r="B994" s="2">
        <v>272</v>
      </c>
      <c r="C994" s="2">
        <v>120</v>
      </c>
      <c r="D994" s="2">
        <v>33.700000000000003</v>
      </c>
      <c r="E994" s="2">
        <v>86</v>
      </c>
      <c r="F994" s="2">
        <v>0.3</v>
      </c>
      <c r="I994" s="2">
        <v>795</v>
      </c>
      <c r="J994" s="2">
        <v>184</v>
      </c>
      <c r="K994" s="2">
        <v>95400</v>
      </c>
      <c r="L994" s="2">
        <v>1603</v>
      </c>
      <c r="M994" s="2">
        <v>86.3</v>
      </c>
      <c r="N994" s="2">
        <v>199.1</v>
      </c>
      <c r="O994" s="2">
        <v>5570</v>
      </c>
      <c r="P994" s="2">
        <v>14</v>
      </c>
    </row>
    <row r="995" spans="1:16" ht="24.95" customHeight="1" x14ac:dyDescent="0.25">
      <c r="A995" s="17" t="s">
        <v>950</v>
      </c>
      <c r="B995" s="2">
        <v>260</v>
      </c>
      <c r="C995" s="2">
        <v>110</v>
      </c>
      <c r="D995" s="2">
        <v>24.7</v>
      </c>
      <c r="E995" s="2">
        <v>86</v>
      </c>
      <c r="F995" s="2">
        <v>-0.7</v>
      </c>
      <c r="I995" s="2">
        <v>1060</v>
      </c>
      <c r="J995" s="2">
        <v>194</v>
      </c>
      <c r="K995" s="2">
        <v>116600</v>
      </c>
      <c r="L995" s="2">
        <v>2195</v>
      </c>
      <c r="M995" s="2">
        <v>135.1</v>
      </c>
      <c r="N995" s="2">
        <v>261.8</v>
      </c>
      <c r="O995" s="2">
        <v>6940</v>
      </c>
      <c r="P995" s="2">
        <v>18.5</v>
      </c>
    </row>
    <row r="996" spans="1:16" ht="24.95" customHeight="1" x14ac:dyDescent="0.25">
      <c r="A996" s="17" t="s">
        <v>951</v>
      </c>
      <c r="B996" s="2">
        <v>264</v>
      </c>
      <c r="C996" s="2">
        <v>110</v>
      </c>
      <c r="D996" s="2">
        <v>24</v>
      </c>
      <c r="E996" s="2">
        <v>86</v>
      </c>
      <c r="I996" s="2">
        <v>285</v>
      </c>
      <c r="J996" s="2">
        <v>159</v>
      </c>
      <c r="K996" s="2">
        <v>31350</v>
      </c>
      <c r="L996" s="2">
        <v>856</v>
      </c>
      <c r="M996" s="2">
        <v>39.299999999999997</v>
      </c>
      <c r="N996" s="2">
        <v>73.5</v>
      </c>
      <c r="O996" s="2">
        <v>2600</v>
      </c>
      <c r="P996" s="2">
        <v>36.700000000000003</v>
      </c>
    </row>
    <row r="997" spans="1:16" ht="24.95" customHeight="1" x14ac:dyDescent="0.25">
      <c r="A997" s="17" t="s">
        <v>927</v>
      </c>
      <c r="B997" s="2">
        <v>264</v>
      </c>
      <c r="C997" s="2">
        <v>118</v>
      </c>
      <c r="D997" s="2">
        <v>31.6</v>
      </c>
      <c r="E997" s="2">
        <v>86</v>
      </c>
      <c r="F997" s="2">
        <v>0.4</v>
      </c>
      <c r="I997" s="2">
        <v>903</v>
      </c>
      <c r="J997" s="2">
        <v>145</v>
      </c>
      <c r="K997" s="2">
        <v>106554</v>
      </c>
      <c r="L997" s="2">
        <v>2504</v>
      </c>
      <c r="M997" s="2">
        <v>121.3</v>
      </c>
      <c r="N997" s="2">
        <v>230.1</v>
      </c>
      <c r="O997" s="2">
        <v>7680</v>
      </c>
      <c r="P997" s="2">
        <v>33.299999999999997</v>
      </c>
    </row>
    <row r="998" spans="1:16" ht="24.95" customHeight="1" x14ac:dyDescent="0.25">
      <c r="A998" s="17" t="s">
        <v>952</v>
      </c>
      <c r="B998" s="2">
        <v>230</v>
      </c>
      <c r="C998" s="2">
        <v>99</v>
      </c>
      <c r="D998" s="2">
        <v>12.7</v>
      </c>
      <c r="E998" s="2">
        <v>86</v>
      </c>
      <c r="F998" s="2">
        <v>0.3</v>
      </c>
      <c r="H998" s="2">
        <v>101</v>
      </c>
      <c r="I998" s="2">
        <v>4275</v>
      </c>
      <c r="J998" s="2">
        <v>174</v>
      </c>
      <c r="K998" s="2">
        <v>431621</v>
      </c>
      <c r="L998" s="2">
        <v>9306</v>
      </c>
      <c r="M998" s="2">
        <v>617.70000000000005</v>
      </c>
      <c r="N998" s="2">
        <v>1060.7</v>
      </c>
      <c r="O998" s="2">
        <v>31620</v>
      </c>
      <c r="P998" s="2">
        <v>21.4</v>
      </c>
    </row>
    <row r="999" spans="1:16" ht="24.95" customHeight="1" x14ac:dyDescent="0.25">
      <c r="A999" s="17" t="s">
        <v>953</v>
      </c>
      <c r="B999" s="2">
        <v>244</v>
      </c>
      <c r="C999" s="2">
        <v>100</v>
      </c>
      <c r="D999" s="2">
        <v>12.6</v>
      </c>
      <c r="E999" s="2">
        <v>86</v>
      </c>
      <c r="F999" s="2">
        <v>1.4</v>
      </c>
      <c r="H999" s="2">
        <v>102.3</v>
      </c>
      <c r="I999" s="2">
        <v>2130</v>
      </c>
      <c r="J999" s="2">
        <v>173</v>
      </c>
      <c r="K999" s="2">
        <v>217834</v>
      </c>
      <c r="L999" s="2">
        <v>6509</v>
      </c>
      <c r="M999" s="2">
        <v>396.8</v>
      </c>
      <c r="N999" s="2">
        <v>530.5</v>
      </c>
      <c r="O999" s="2">
        <v>20910</v>
      </c>
      <c r="P999" s="2">
        <v>42.1</v>
      </c>
    </row>
    <row r="1000" spans="1:16" ht="24.95" customHeight="1" x14ac:dyDescent="0.25">
      <c r="A1000" s="17" t="s">
        <v>933</v>
      </c>
      <c r="B1000" s="2">
        <v>236</v>
      </c>
      <c r="C1000" s="2">
        <v>98</v>
      </c>
      <c r="D1000" s="2">
        <v>11.3</v>
      </c>
      <c r="E1000" s="2">
        <v>86</v>
      </c>
      <c r="F1000" s="2">
        <v>0.7</v>
      </c>
      <c r="H1000" s="2">
        <v>99.7</v>
      </c>
      <c r="I1000" s="2">
        <v>2150</v>
      </c>
      <c r="J1000" s="2">
        <v>180</v>
      </c>
      <c r="K1000" s="2">
        <v>214430</v>
      </c>
      <c r="L1000" s="2">
        <v>7125</v>
      </c>
      <c r="M1000" s="2">
        <v>364.8</v>
      </c>
      <c r="N1000" s="2">
        <v>503.6</v>
      </c>
      <c r="O1000" s="2">
        <v>22500</v>
      </c>
      <c r="P1000" s="2">
        <v>45.9</v>
      </c>
    </row>
    <row r="1001" spans="1:16" ht="24.95" customHeight="1" x14ac:dyDescent="0.25">
      <c r="A1001" s="17" t="s">
        <v>934</v>
      </c>
      <c r="B1001" s="2">
        <v>229</v>
      </c>
      <c r="C1001" s="2">
        <v>97</v>
      </c>
      <c r="D1001" s="2">
        <v>10.1</v>
      </c>
      <c r="E1001" s="2">
        <v>86</v>
      </c>
      <c r="F1001" s="2">
        <v>0.9</v>
      </c>
      <c r="H1001" s="2">
        <v>98.4</v>
      </c>
      <c r="I1001" s="2">
        <v>1045</v>
      </c>
      <c r="J1001" s="2">
        <v>185</v>
      </c>
      <c r="K1001" s="2">
        <v>102856</v>
      </c>
      <c r="L1001" s="2">
        <v>4209</v>
      </c>
      <c r="M1001" s="2">
        <v>197.7</v>
      </c>
      <c r="N1001" s="2">
        <v>267.60000000000002</v>
      </c>
      <c r="O1001" s="2">
        <v>12410</v>
      </c>
      <c r="P1001" s="2">
        <v>51.9</v>
      </c>
    </row>
    <row r="1002" spans="1:16" ht="24.95" customHeight="1" x14ac:dyDescent="0.25">
      <c r="A1002" s="17" t="s">
        <v>956</v>
      </c>
      <c r="B1002" s="2">
        <v>234</v>
      </c>
      <c r="C1002" s="2">
        <v>102</v>
      </c>
      <c r="D1002" s="2">
        <v>15.6</v>
      </c>
      <c r="E1002" s="2">
        <v>86</v>
      </c>
      <c r="F1002" s="2">
        <v>0.4</v>
      </c>
      <c r="H1002" s="2">
        <v>105</v>
      </c>
      <c r="I1002" s="2">
        <v>1925</v>
      </c>
      <c r="J1002" s="2">
        <v>175</v>
      </c>
      <c r="K1002" s="2">
        <v>101083</v>
      </c>
      <c r="L1002" s="2">
        <v>5856</v>
      </c>
      <c r="M1002" s="2">
        <v>280.89999999999998</v>
      </c>
      <c r="N1002" s="2">
        <v>470.3</v>
      </c>
      <c r="O1002" s="2">
        <v>18020</v>
      </c>
      <c r="P1002" s="2">
        <v>41.8</v>
      </c>
    </row>
    <row r="1003" spans="1:16" ht="24.95" customHeight="1" x14ac:dyDescent="0.25">
      <c r="A1003" s="17" t="s">
        <v>957</v>
      </c>
      <c r="B1003" s="2">
        <v>242</v>
      </c>
      <c r="C1003" s="2">
        <v>92</v>
      </c>
      <c r="D1003" s="2">
        <v>5</v>
      </c>
      <c r="E1003" s="2">
        <v>86</v>
      </c>
      <c r="F1003" s="2">
        <v>1</v>
      </c>
      <c r="H1003" s="2">
        <v>94.4</v>
      </c>
      <c r="I1003" s="2">
        <v>305</v>
      </c>
      <c r="J1003" s="2">
        <v>136</v>
      </c>
      <c r="K1003" s="2">
        <v>28792</v>
      </c>
      <c r="L1003" s="2">
        <v>1380</v>
      </c>
      <c r="M1003" s="2">
        <v>58.6</v>
      </c>
      <c r="N1003" s="2">
        <v>80.2</v>
      </c>
      <c r="O1003" s="2">
        <v>4320</v>
      </c>
      <c r="P1003" s="2">
        <v>58.9</v>
      </c>
    </row>
    <row r="1004" spans="1:16" ht="24.95" customHeight="1" x14ac:dyDescent="0.25">
      <c r="A1004" s="17" t="s">
        <v>943</v>
      </c>
      <c r="B1004" s="2">
        <v>240</v>
      </c>
      <c r="C1004" s="2">
        <v>104</v>
      </c>
      <c r="D1004" s="2">
        <v>17</v>
      </c>
      <c r="E1004" s="2">
        <v>86</v>
      </c>
      <c r="F1004" s="2">
        <v>1</v>
      </c>
      <c r="H1004" s="2">
        <v>105.4</v>
      </c>
      <c r="I1004" s="2">
        <v>1070</v>
      </c>
      <c r="J1004" s="2">
        <v>189</v>
      </c>
      <c r="K1004" s="2">
        <v>112786</v>
      </c>
      <c r="L1004" s="2">
        <v>3684</v>
      </c>
      <c r="M1004" s="2">
        <v>171.8</v>
      </c>
      <c r="N1004" s="2">
        <v>270.7</v>
      </c>
      <c r="O1004" s="2">
        <v>10970</v>
      </c>
      <c r="P1004" s="2">
        <v>44.9</v>
      </c>
    </row>
    <row r="1005" spans="1:16" ht="24.95" customHeight="1" x14ac:dyDescent="0.25">
      <c r="A1005" s="17" t="s">
        <v>5489</v>
      </c>
      <c r="B1005" s="2">
        <v>233</v>
      </c>
      <c r="C1005" s="2">
        <v>101</v>
      </c>
      <c r="D1005" s="2">
        <v>13.9</v>
      </c>
      <c r="E1005" s="2">
        <v>86</v>
      </c>
      <c r="F1005" s="2">
        <v>1.1000000000000001</v>
      </c>
      <c r="H1005" s="2">
        <v>103.2</v>
      </c>
      <c r="I1005" s="2">
        <v>1215</v>
      </c>
      <c r="J1005" s="2">
        <v>176</v>
      </c>
      <c r="K1005" s="2">
        <v>125393</v>
      </c>
      <c r="L1005" s="2">
        <v>4362</v>
      </c>
      <c r="M1005" s="2">
        <v>230.5</v>
      </c>
      <c r="N1005" s="2">
        <v>312.39999999999998</v>
      </c>
      <c r="O1005" s="2">
        <v>13380</v>
      </c>
      <c r="P1005" s="2">
        <v>46.8</v>
      </c>
    </row>
    <row r="1006" spans="1:16" ht="24.95" customHeight="1" x14ac:dyDescent="0.25">
      <c r="A1006" s="17" t="s">
        <v>958</v>
      </c>
      <c r="B1006" s="2">
        <v>240</v>
      </c>
      <c r="C1006" s="2">
        <v>102</v>
      </c>
      <c r="D1006" s="2">
        <v>15.8</v>
      </c>
      <c r="E1006" s="2">
        <v>86</v>
      </c>
      <c r="F1006" s="2">
        <v>0.2</v>
      </c>
      <c r="H1006" s="2">
        <v>103.4</v>
      </c>
      <c r="I1006" s="2">
        <v>4360</v>
      </c>
      <c r="J1006" s="2">
        <v>202</v>
      </c>
      <c r="K1006" s="2">
        <v>450887</v>
      </c>
      <c r="L1006" s="2">
        <v>9716</v>
      </c>
      <c r="M1006" s="2">
        <v>702.5</v>
      </c>
      <c r="N1006" s="2">
        <v>1043.3</v>
      </c>
      <c r="O1006" s="2">
        <v>30610</v>
      </c>
      <c r="P1006" s="2">
        <v>19.3</v>
      </c>
    </row>
    <row r="1007" spans="1:16" ht="24.95" customHeight="1" x14ac:dyDescent="0.25">
      <c r="A1007" s="17" t="s">
        <v>949</v>
      </c>
      <c r="B1007" s="2">
        <v>238</v>
      </c>
      <c r="C1007" s="2">
        <v>108</v>
      </c>
      <c r="D1007" s="2">
        <v>20.6</v>
      </c>
      <c r="E1007" s="2">
        <v>86</v>
      </c>
      <c r="F1007" s="2">
        <v>1.4</v>
      </c>
      <c r="H1007" s="2">
        <v>109.9</v>
      </c>
      <c r="I1007" s="2">
        <v>961</v>
      </c>
      <c r="J1007" s="2">
        <v>210</v>
      </c>
      <c r="K1007" s="2">
        <v>105614</v>
      </c>
      <c r="L1007" s="2">
        <v>3169</v>
      </c>
      <c r="M1007" s="2">
        <v>158.30000000000001</v>
      </c>
      <c r="N1007" s="2">
        <v>261.39999999999998</v>
      </c>
      <c r="O1007" s="2">
        <v>10510</v>
      </c>
      <c r="P1007" s="2">
        <v>44.6</v>
      </c>
    </row>
    <row r="1008" spans="1:16" ht="24.95" customHeight="1" x14ac:dyDescent="0.25">
      <c r="A1008" s="17" t="s">
        <v>936</v>
      </c>
      <c r="B1008" s="2">
        <v>216</v>
      </c>
      <c r="C1008" s="2">
        <v>96</v>
      </c>
      <c r="D1008" s="2">
        <v>9.6999999999999993</v>
      </c>
      <c r="E1008" s="2">
        <v>86</v>
      </c>
      <c r="F1008" s="2">
        <v>0.3</v>
      </c>
      <c r="H1008" s="2">
        <v>96.9</v>
      </c>
      <c r="I1008" s="2">
        <v>2500</v>
      </c>
      <c r="J1008" s="2">
        <v>166</v>
      </c>
      <c r="K1008" s="2">
        <v>242284</v>
      </c>
      <c r="L1008" s="2">
        <v>6698</v>
      </c>
      <c r="M1008" s="2">
        <v>385.9</v>
      </c>
      <c r="N1008" s="2">
        <v>537</v>
      </c>
      <c r="O1008" s="2">
        <v>22390</v>
      </c>
      <c r="P1008" s="2">
        <v>40.299999999999997</v>
      </c>
    </row>
    <row r="1009" spans="1:16" ht="24.95" customHeight="1" x14ac:dyDescent="0.25">
      <c r="A1009" s="17" t="s">
        <v>927</v>
      </c>
      <c r="B1009" s="2">
        <v>262</v>
      </c>
      <c r="C1009" s="2">
        <v>104</v>
      </c>
      <c r="D1009" s="2">
        <v>16.600000000000001</v>
      </c>
      <c r="E1009" s="2">
        <v>86</v>
      </c>
      <c r="F1009" s="2">
        <v>1.4</v>
      </c>
      <c r="H1009" s="2">
        <v>105.1</v>
      </c>
      <c r="I1009" s="2">
        <v>627</v>
      </c>
      <c r="J1009" s="2">
        <v>144</v>
      </c>
      <c r="K1009" s="2">
        <v>65927</v>
      </c>
      <c r="L1009" s="2">
        <v>2628</v>
      </c>
      <c r="M1009" s="2">
        <v>116.9</v>
      </c>
      <c r="N1009" s="2">
        <v>160.69999999999999</v>
      </c>
      <c r="O1009" s="2">
        <v>8190</v>
      </c>
      <c r="P1009" s="2">
        <v>56.6</v>
      </c>
    </row>
    <row r="1010" spans="1:16" ht="24.95" customHeight="1" x14ac:dyDescent="0.25">
      <c r="A1010" s="17" t="s">
        <v>937</v>
      </c>
      <c r="B1010" s="2">
        <v>227</v>
      </c>
      <c r="C1010" s="2">
        <v>98</v>
      </c>
      <c r="D1010" s="2">
        <v>10.9</v>
      </c>
      <c r="E1010" s="2">
        <v>86</v>
      </c>
      <c r="F1010" s="2">
        <v>1.1000000000000001</v>
      </c>
      <c r="H1010" s="2">
        <v>99.4</v>
      </c>
      <c r="I1010" s="2">
        <v>920</v>
      </c>
      <c r="J1010" s="2">
        <v>188</v>
      </c>
      <c r="K1010" s="2">
        <v>91461</v>
      </c>
      <c r="L1010" s="2">
        <v>3040</v>
      </c>
      <c r="M1010" s="2">
        <v>150.69999999999999</v>
      </c>
      <c r="N1010" s="2">
        <v>229.9</v>
      </c>
      <c r="O1010" s="2">
        <v>10650</v>
      </c>
      <c r="P1010" s="2">
        <v>49</v>
      </c>
    </row>
    <row r="1011" spans="1:16" ht="24.95" customHeight="1" x14ac:dyDescent="0.25">
      <c r="A1011" s="17" t="s">
        <v>959</v>
      </c>
      <c r="B1011" s="2">
        <v>252</v>
      </c>
      <c r="C1011" s="2">
        <v>96</v>
      </c>
      <c r="D1011" s="2">
        <v>9</v>
      </c>
      <c r="E1011" s="2">
        <v>86</v>
      </c>
      <c r="F1011" s="2">
        <v>1</v>
      </c>
      <c r="H1011" s="2">
        <v>98.3</v>
      </c>
      <c r="I1011" s="2">
        <v>1360</v>
      </c>
      <c r="J1011" s="2">
        <v>137</v>
      </c>
      <c r="K1011" s="2">
        <v>133636</v>
      </c>
      <c r="L1011" s="2">
        <v>4524</v>
      </c>
      <c r="M1011" s="2">
        <v>230.1</v>
      </c>
      <c r="N1011" s="2">
        <v>354.6</v>
      </c>
      <c r="O1011" s="2">
        <v>13650</v>
      </c>
      <c r="P1011" s="2">
        <v>40.799999999999997</v>
      </c>
    </row>
    <row r="1012" spans="1:16" ht="24.95" customHeight="1" x14ac:dyDescent="0.25">
      <c r="A1012" s="17" t="s">
        <v>960</v>
      </c>
      <c r="B1012" s="2">
        <v>236</v>
      </c>
      <c r="C1012" s="2">
        <v>102</v>
      </c>
      <c r="D1012" s="2">
        <v>14.5</v>
      </c>
      <c r="E1012" s="2">
        <v>86</v>
      </c>
      <c r="F1012" s="2">
        <v>1.5</v>
      </c>
      <c r="H1012" s="2">
        <v>107.5</v>
      </c>
      <c r="I1012" s="2">
        <v>1830</v>
      </c>
      <c r="J1012" s="2">
        <v>177</v>
      </c>
      <c r="K1012" s="2">
        <v>196792</v>
      </c>
      <c r="L1012" s="2">
        <v>5360</v>
      </c>
      <c r="M1012" s="2">
        <v>278.7</v>
      </c>
      <c r="N1012" s="2">
        <v>465.3</v>
      </c>
      <c r="O1012" s="2">
        <v>16650</v>
      </c>
      <c r="P1012" s="2">
        <v>36.799999999999997</v>
      </c>
    </row>
    <row r="1013" spans="1:16" ht="24.95" customHeight="1" x14ac:dyDescent="0.25">
      <c r="A1013" s="17" t="s">
        <v>939</v>
      </c>
      <c r="B1013" s="2">
        <v>233</v>
      </c>
      <c r="C1013" s="2">
        <v>100</v>
      </c>
      <c r="D1013" s="2">
        <v>13.4</v>
      </c>
      <c r="E1013" s="2">
        <v>86</v>
      </c>
      <c r="F1013" s="2">
        <v>0.6</v>
      </c>
      <c r="H1013" s="2">
        <v>102.7</v>
      </c>
      <c r="I1013" s="2">
        <v>2500</v>
      </c>
      <c r="J1013" s="2">
        <v>163</v>
      </c>
      <c r="K1013" s="2">
        <v>256782</v>
      </c>
      <c r="L1013" s="2">
        <v>7408</v>
      </c>
      <c r="M1013" s="2">
        <v>427</v>
      </c>
      <c r="N1013" s="2">
        <v>615</v>
      </c>
      <c r="O1013" s="2">
        <v>26510</v>
      </c>
      <c r="P1013" s="2">
        <v>42.7</v>
      </c>
    </row>
    <row r="1014" spans="1:16" ht="24.95" customHeight="1" x14ac:dyDescent="0.25">
      <c r="A1014" s="17" t="s">
        <v>6791</v>
      </c>
      <c r="B1014" s="2">
        <v>179</v>
      </c>
      <c r="C1014" s="2">
        <v>74.5</v>
      </c>
      <c r="I1014" s="2">
        <v>143313</v>
      </c>
      <c r="J1014" s="2">
        <v>201</v>
      </c>
      <c r="K1014" s="2">
        <v>10676819</v>
      </c>
      <c r="L1014" s="2">
        <v>311948</v>
      </c>
      <c r="M1014" s="2">
        <v>17394.599999999999</v>
      </c>
      <c r="N1014" s="2">
        <v>35635.1</v>
      </c>
      <c r="O1014" s="2">
        <v>1013670</v>
      </c>
      <c r="P1014" s="2">
        <v>20</v>
      </c>
    </row>
    <row r="1015" spans="1:16" ht="24.95" customHeight="1" x14ac:dyDescent="0.25">
      <c r="A1015" s="17" t="s">
        <v>6792</v>
      </c>
      <c r="B1015" s="2">
        <v>282</v>
      </c>
      <c r="C1015" s="2">
        <v>114</v>
      </c>
      <c r="D1015" s="2">
        <v>38.5</v>
      </c>
      <c r="E1015" s="2">
        <v>76</v>
      </c>
      <c r="F1015" s="2">
        <v>-0.5</v>
      </c>
      <c r="I1015" s="2">
        <v>5900</v>
      </c>
      <c r="J1015" s="2">
        <v>228</v>
      </c>
      <c r="K1015" s="2">
        <v>672600</v>
      </c>
      <c r="L1015" s="2">
        <v>9514</v>
      </c>
      <c r="M1015" s="2">
        <v>479.4</v>
      </c>
      <c r="N1015" s="2">
        <v>1495.7</v>
      </c>
      <c r="O1015" s="2">
        <v>33340</v>
      </c>
    </row>
    <row r="1016" spans="1:16" ht="24.95" customHeight="1" x14ac:dyDescent="0.25">
      <c r="A1016" s="17" t="s">
        <v>963</v>
      </c>
      <c r="B1016" s="2">
        <v>306</v>
      </c>
      <c r="C1016" s="2">
        <v>118</v>
      </c>
      <c r="D1016" s="2">
        <v>42.8</v>
      </c>
      <c r="E1016" s="2">
        <v>76.5</v>
      </c>
      <c r="F1016" s="2">
        <v>-1.3</v>
      </c>
      <c r="I1016" s="2">
        <v>2300</v>
      </c>
      <c r="J1016" s="2">
        <v>207</v>
      </c>
      <c r="K1016" s="2">
        <v>271400</v>
      </c>
      <c r="L1016" s="2">
        <v>4646</v>
      </c>
      <c r="M1016" s="2">
        <v>305.10000000000002</v>
      </c>
      <c r="N1016" s="2">
        <v>555.1</v>
      </c>
      <c r="O1016" s="2">
        <v>15350</v>
      </c>
      <c r="P1016" s="2">
        <v>19.600000000000001</v>
      </c>
    </row>
    <row r="1017" spans="1:16" ht="24.95" customHeight="1" x14ac:dyDescent="0.25">
      <c r="A1017" s="17" t="s">
        <v>988</v>
      </c>
      <c r="B1017" s="2">
        <v>282</v>
      </c>
      <c r="C1017" s="2">
        <v>119</v>
      </c>
      <c r="D1017" s="2">
        <v>44.5</v>
      </c>
      <c r="E1017" s="2">
        <v>74.5</v>
      </c>
      <c r="I1017" s="2">
        <v>9000</v>
      </c>
      <c r="J1017" s="2">
        <v>163</v>
      </c>
      <c r="K1017" s="2">
        <v>1071000</v>
      </c>
      <c r="L1017" s="2">
        <v>24810</v>
      </c>
      <c r="M1017" s="2">
        <v>1342.4</v>
      </c>
      <c r="N1017" s="2">
        <v>2222.6</v>
      </c>
      <c r="O1017" s="2">
        <v>77210</v>
      </c>
      <c r="P1017" s="2">
        <v>35.200000000000003</v>
      </c>
    </row>
    <row r="1018" spans="1:16" ht="24.95" customHeight="1" x14ac:dyDescent="0.25">
      <c r="A1018" s="17" t="s">
        <v>965</v>
      </c>
      <c r="B1018" s="2">
        <v>282</v>
      </c>
      <c r="C1018" s="2">
        <v>112</v>
      </c>
      <c r="D1018" s="2">
        <v>36.6</v>
      </c>
      <c r="E1018" s="2">
        <v>75.8</v>
      </c>
      <c r="F1018" s="2">
        <v>-0.3</v>
      </c>
      <c r="I1018" s="2">
        <v>8450</v>
      </c>
      <c r="J1018" s="2">
        <v>245</v>
      </c>
      <c r="K1018" s="2">
        <v>946400</v>
      </c>
      <c r="L1018" s="2">
        <v>15894</v>
      </c>
      <c r="M1018" s="2">
        <v>811.9</v>
      </c>
      <c r="N1018" s="2">
        <v>2154.1999999999998</v>
      </c>
      <c r="O1018" s="2">
        <v>49030</v>
      </c>
      <c r="P1018" s="2">
        <v>1.2</v>
      </c>
    </row>
    <row r="1019" spans="1:16" ht="24.95" customHeight="1" x14ac:dyDescent="0.25">
      <c r="A1019" s="17" t="s">
        <v>966</v>
      </c>
      <c r="B1019" s="2">
        <v>266</v>
      </c>
      <c r="C1019" s="2">
        <v>112</v>
      </c>
      <c r="D1019" s="2">
        <v>37.6</v>
      </c>
      <c r="E1019" s="2">
        <v>76.3</v>
      </c>
      <c r="F1019" s="2">
        <v>-1.9</v>
      </c>
      <c r="I1019" s="2">
        <v>8543</v>
      </c>
      <c r="J1019" s="2">
        <v>170</v>
      </c>
      <c r="K1019" s="2">
        <v>956816</v>
      </c>
      <c r="L1019" s="2">
        <v>14403</v>
      </c>
      <c r="M1019" s="2">
        <v>903.4</v>
      </c>
      <c r="N1019" s="2">
        <v>2051.5</v>
      </c>
      <c r="O1019" s="2">
        <v>48280</v>
      </c>
      <c r="P1019" s="2">
        <v>0.3</v>
      </c>
    </row>
    <row r="1020" spans="1:16" ht="24.95" customHeight="1" x14ac:dyDescent="0.25">
      <c r="A1020" s="17" t="s">
        <v>967</v>
      </c>
      <c r="B1020" s="2">
        <v>300</v>
      </c>
      <c r="C1020" s="2">
        <v>126</v>
      </c>
      <c r="D1020" s="2">
        <v>49.5</v>
      </c>
      <c r="E1020" s="2">
        <v>76.5</v>
      </c>
      <c r="I1020" s="2">
        <v>2400</v>
      </c>
      <c r="J1020" s="2">
        <v>194</v>
      </c>
      <c r="K1020" s="2">
        <v>302400</v>
      </c>
      <c r="L1020" s="2">
        <v>4651</v>
      </c>
      <c r="M1020" s="2">
        <v>257.8</v>
      </c>
      <c r="N1020" s="2">
        <v>597.1</v>
      </c>
      <c r="O1020" s="2">
        <v>13780</v>
      </c>
    </row>
    <row r="1021" spans="1:16" ht="24.95" customHeight="1" x14ac:dyDescent="0.25">
      <c r="A1021" s="17" t="s">
        <v>968</v>
      </c>
      <c r="B1021" s="2">
        <v>292</v>
      </c>
      <c r="C1021" s="2">
        <v>114</v>
      </c>
      <c r="D1021" s="2">
        <v>37.4</v>
      </c>
      <c r="E1021" s="2">
        <v>76</v>
      </c>
      <c r="F1021" s="2">
        <v>0.6</v>
      </c>
      <c r="I1021" s="2">
        <v>6950</v>
      </c>
      <c r="J1021" s="2">
        <v>262</v>
      </c>
      <c r="K1021" s="2">
        <v>792300</v>
      </c>
      <c r="L1021" s="2">
        <v>10511</v>
      </c>
      <c r="M1021" s="2">
        <v>502</v>
      </c>
      <c r="N1021" s="2">
        <v>1728</v>
      </c>
      <c r="O1021" s="2">
        <v>38300</v>
      </c>
    </row>
    <row r="1022" spans="1:16" ht="24.95" customHeight="1" x14ac:dyDescent="0.25">
      <c r="A1022" s="17" t="s">
        <v>969</v>
      </c>
      <c r="B1022" s="2">
        <v>276</v>
      </c>
      <c r="C1022" s="2">
        <v>106</v>
      </c>
      <c r="D1022" s="2">
        <v>30.3</v>
      </c>
      <c r="E1022" s="2">
        <v>76</v>
      </c>
      <c r="F1022" s="2">
        <v>-0.3</v>
      </c>
      <c r="I1022" s="2">
        <v>5670</v>
      </c>
      <c r="J1022" s="2">
        <v>213</v>
      </c>
      <c r="K1022" s="2">
        <v>601020</v>
      </c>
      <c r="L1022" s="2">
        <v>10280</v>
      </c>
      <c r="M1022" s="2">
        <v>516.29999999999995</v>
      </c>
      <c r="N1022" s="2">
        <v>1439.7</v>
      </c>
      <c r="O1022" s="2">
        <v>34930</v>
      </c>
      <c r="P1022" s="2">
        <v>7.5</v>
      </c>
    </row>
    <row r="1023" spans="1:16" ht="24.95" customHeight="1" x14ac:dyDescent="0.25">
      <c r="A1023" s="1" t="s">
        <v>970</v>
      </c>
      <c r="B1023" s="2">
        <v>274</v>
      </c>
      <c r="C1023" s="2">
        <v>108</v>
      </c>
      <c r="D1023" s="2">
        <v>28.4</v>
      </c>
      <c r="E1023" s="2">
        <v>79.5</v>
      </c>
      <c r="I1023" s="2">
        <v>7334</v>
      </c>
      <c r="J1023" s="2">
        <v>199</v>
      </c>
      <c r="K1023" s="2">
        <v>792072</v>
      </c>
      <c r="L1023" s="2">
        <v>16570</v>
      </c>
      <c r="M1023" s="2">
        <v>1146.9000000000001</v>
      </c>
      <c r="N1023" s="2">
        <v>1742.2</v>
      </c>
      <c r="O1023" s="2">
        <v>54480</v>
      </c>
      <c r="P1023" s="2">
        <v>25.9</v>
      </c>
    </row>
    <row r="1024" spans="1:16" ht="24.95" customHeight="1" x14ac:dyDescent="0.25">
      <c r="A1024" s="1" t="s">
        <v>971</v>
      </c>
      <c r="B1024" s="2">
        <v>246</v>
      </c>
      <c r="C1024" s="2">
        <v>96</v>
      </c>
      <c r="D1024" s="2">
        <v>18.100000000000001</v>
      </c>
      <c r="E1024" s="2">
        <v>80</v>
      </c>
      <c r="F1024" s="2">
        <v>-2.1</v>
      </c>
      <c r="I1024" s="2">
        <v>721</v>
      </c>
      <c r="J1024" s="2">
        <v>228</v>
      </c>
      <c r="K1024" s="2">
        <v>69216</v>
      </c>
      <c r="L1024" s="2">
        <v>959</v>
      </c>
      <c r="M1024" s="2">
        <v>47.3</v>
      </c>
      <c r="N1024" s="2">
        <v>197.9</v>
      </c>
      <c r="O1024" s="2">
        <v>3060</v>
      </c>
    </row>
    <row r="1025" spans="1:16" ht="24.95" customHeight="1" x14ac:dyDescent="0.25">
      <c r="A1025" s="1" t="s">
        <v>972</v>
      </c>
      <c r="B1025" s="2">
        <v>272</v>
      </c>
      <c r="C1025" s="2">
        <v>114</v>
      </c>
      <c r="D1025" s="2">
        <v>33.200000000000003</v>
      </c>
      <c r="E1025" s="2">
        <v>80</v>
      </c>
      <c r="F1025" s="2">
        <v>0.8</v>
      </c>
      <c r="I1025" s="2">
        <v>1299</v>
      </c>
      <c r="J1025" s="2">
        <v>204</v>
      </c>
      <c r="K1025" s="2">
        <v>148086</v>
      </c>
      <c r="L1025" s="2">
        <v>4281</v>
      </c>
      <c r="M1025" s="2">
        <v>197.9</v>
      </c>
      <c r="N1025" s="2">
        <v>313.2</v>
      </c>
      <c r="O1025" s="2">
        <v>14140</v>
      </c>
      <c r="P1025" s="2">
        <v>49</v>
      </c>
    </row>
    <row r="1026" spans="1:16" ht="24.95" customHeight="1" x14ac:dyDescent="0.25">
      <c r="A1026" s="1" t="s">
        <v>973</v>
      </c>
      <c r="B1026" s="2">
        <v>282</v>
      </c>
      <c r="C1026" s="2">
        <v>100</v>
      </c>
      <c r="D1026" s="2">
        <v>23.5</v>
      </c>
      <c r="E1026" s="2">
        <v>76.3</v>
      </c>
      <c r="F1026" s="2">
        <v>0.2</v>
      </c>
      <c r="I1026" s="2">
        <v>9950</v>
      </c>
      <c r="J1026" s="2">
        <v>252</v>
      </c>
      <c r="K1026" s="2">
        <v>995000</v>
      </c>
      <c r="L1026" s="2">
        <v>18739</v>
      </c>
      <c r="M1026" s="2">
        <v>1062.4000000000001</v>
      </c>
      <c r="N1026" s="2">
        <v>2471.8000000000002</v>
      </c>
      <c r="O1026" s="2">
        <v>57430</v>
      </c>
      <c r="P1026" s="2">
        <v>3.7</v>
      </c>
    </row>
    <row r="1027" spans="1:16" ht="24.95" customHeight="1" x14ac:dyDescent="0.25">
      <c r="A1027" s="1" t="s">
        <v>974</v>
      </c>
      <c r="B1027" s="2">
        <v>285</v>
      </c>
      <c r="C1027" s="2">
        <v>90</v>
      </c>
      <c r="D1027" s="2">
        <v>9.9</v>
      </c>
      <c r="E1027" s="2">
        <v>79.5</v>
      </c>
      <c r="F1027" s="2">
        <v>0.6</v>
      </c>
      <c r="I1027" s="2">
        <v>2808</v>
      </c>
      <c r="J1027" s="2">
        <v>255</v>
      </c>
      <c r="K1027" s="2">
        <v>252720</v>
      </c>
      <c r="L1027" s="2">
        <v>8650</v>
      </c>
      <c r="M1027" s="2">
        <v>448.2</v>
      </c>
      <c r="N1027" s="2">
        <v>694.8</v>
      </c>
      <c r="O1027" s="2">
        <v>27450</v>
      </c>
      <c r="P1027" s="2">
        <v>46.2</v>
      </c>
    </row>
    <row r="1028" spans="1:16" ht="24.95" customHeight="1" x14ac:dyDescent="0.25">
      <c r="A1028" s="1" t="s">
        <v>975</v>
      </c>
      <c r="B1028" s="2">
        <v>282</v>
      </c>
      <c r="C1028" s="2">
        <v>116</v>
      </c>
      <c r="D1028" s="2">
        <v>39.799999999999997</v>
      </c>
      <c r="E1028" s="2">
        <v>76.3</v>
      </c>
      <c r="F1028" s="2">
        <v>-0.1</v>
      </c>
      <c r="I1028" s="2">
        <v>5017</v>
      </c>
      <c r="J1028" s="2">
        <v>163</v>
      </c>
      <c r="K1028" s="2">
        <v>581972</v>
      </c>
      <c r="L1028" s="2">
        <v>13060</v>
      </c>
      <c r="M1028" s="2">
        <v>652.4</v>
      </c>
      <c r="N1028" s="2">
        <v>1275.0999999999999</v>
      </c>
      <c r="O1028" s="2">
        <v>43160</v>
      </c>
      <c r="P1028" s="2">
        <v>35.1</v>
      </c>
    </row>
    <row r="1029" spans="1:16" ht="24.95" customHeight="1" x14ac:dyDescent="0.25">
      <c r="A1029" s="1" t="s">
        <v>976</v>
      </c>
      <c r="B1029" s="2">
        <v>270</v>
      </c>
      <c r="C1029" s="2">
        <v>106</v>
      </c>
      <c r="D1029" s="2">
        <v>27.3</v>
      </c>
      <c r="E1029" s="2">
        <v>79.5</v>
      </c>
      <c r="F1029" s="2">
        <v>-0.8</v>
      </c>
      <c r="I1029" s="2">
        <v>7417</v>
      </c>
      <c r="J1029" s="2">
        <v>238</v>
      </c>
      <c r="K1029" s="2">
        <v>786202</v>
      </c>
      <c r="L1029" s="2">
        <v>12774</v>
      </c>
      <c r="M1029" s="2">
        <v>729.8</v>
      </c>
      <c r="N1029" s="2">
        <v>1819.7</v>
      </c>
      <c r="O1029" s="2">
        <v>40620</v>
      </c>
    </row>
    <row r="1030" spans="1:16" ht="24.95" customHeight="1" x14ac:dyDescent="0.25">
      <c r="A1030" s="1" t="s">
        <v>977</v>
      </c>
      <c r="B1030" s="2">
        <v>288</v>
      </c>
      <c r="C1030" s="2">
        <v>114</v>
      </c>
      <c r="D1030" s="2">
        <v>37.9</v>
      </c>
      <c r="E1030" s="2">
        <v>76</v>
      </c>
      <c r="F1030" s="2">
        <v>0.1</v>
      </c>
      <c r="I1030" s="2">
        <v>3421</v>
      </c>
      <c r="J1030" s="2">
        <v>218</v>
      </c>
      <c r="K1030" s="2">
        <v>389994</v>
      </c>
      <c r="L1030" s="2">
        <v>6404</v>
      </c>
      <c r="M1030" s="2">
        <v>313.7</v>
      </c>
      <c r="N1030" s="2">
        <v>904.8</v>
      </c>
      <c r="O1030" s="2">
        <v>21920</v>
      </c>
      <c r="P1030" s="2">
        <v>7.5</v>
      </c>
    </row>
    <row r="1031" spans="1:16" ht="24.95" customHeight="1" x14ac:dyDescent="0.25">
      <c r="A1031" s="1" t="s">
        <v>978</v>
      </c>
      <c r="B1031" s="2">
        <v>286</v>
      </c>
      <c r="C1031" s="2">
        <v>114</v>
      </c>
      <c r="D1031" s="2">
        <v>36.5</v>
      </c>
      <c r="E1031" s="2">
        <v>76.5</v>
      </c>
      <c r="F1031" s="2">
        <v>1</v>
      </c>
      <c r="I1031" s="2">
        <v>1775</v>
      </c>
      <c r="J1031" s="2">
        <v>174</v>
      </c>
      <c r="K1031" s="2">
        <v>202350</v>
      </c>
      <c r="L1031" s="2">
        <v>6288</v>
      </c>
      <c r="M1031" s="2">
        <v>259.10000000000002</v>
      </c>
      <c r="N1031" s="2">
        <v>453.9</v>
      </c>
      <c r="O1031" s="2">
        <v>20150</v>
      </c>
      <c r="P1031" s="2">
        <v>51.1</v>
      </c>
    </row>
    <row r="1032" spans="1:16" ht="24.95" customHeight="1" x14ac:dyDescent="0.25">
      <c r="A1032" s="1" t="s">
        <v>979</v>
      </c>
      <c r="B1032" s="2">
        <v>278</v>
      </c>
      <c r="C1032" s="2">
        <v>114</v>
      </c>
      <c r="D1032" s="2">
        <v>36.5</v>
      </c>
      <c r="E1032" s="2">
        <v>76.5</v>
      </c>
      <c r="F1032" s="2">
        <v>1</v>
      </c>
      <c r="I1032" s="2">
        <v>2500</v>
      </c>
      <c r="J1032" s="2">
        <v>175</v>
      </c>
      <c r="K1032" s="2">
        <v>285000</v>
      </c>
      <c r="L1032" s="2">
        <v>6659</v>
      </c>
      <c r="M1032" s="2">
        <v>301.89999999999998</v>
      </c>
      <c r="N1032" s="2">
        <v>650.70000000000005</v>
      </c>
      <c r="O1032" s="2">
        <v>19310</v>
      </c>
      <c r="P1032" s="2">
        <v>23.8</v>
      </c>
    </row>
    <row r="1033" spans="1:16" ht="24.95" customHeight="1" x14ac:dyDescent="0.25">
      <c r="A1033" s="1" t="s">
        <v>980</v>
      </c>
      <c r="B1033" s="2">
        <v>302</v>
      </c>
      <c r="C1033" s="2">
        <v>124</v>
      </c>
      <c r="D1033" s="2">
        <v>43.9</v>
      </c>
      <c r="E1033" s="2">
        <v>80</v>
      </c>
      <c r="F1033" s="2">
        <v>0.1</v>
      </c>
      <c r="I1033" s="2">
        <v>1576</v>
      </c>
      <c r="J1033" s="2">
        <v>183</v>
      </c>
      <c r="K1033" s="2">
        <v>195424</v>
      </c>
      <c r="L1033" s="2">
        <v>4146</v>
      </c>
      <c r="M1033" s="2">
        <v>219.4</v>
      </c>
      <c r="N1033" s="2">
        <v>412.3</v>
      </c>
      <c r="O1033" s="2">
        <v>13650</v>
      </c>
      <c r="P1033" s="2">
        <v>34.200000000000003</v>
      </c>
    </row>
    <row r="1034" spans="1:16" ht="24.95" customHeight="1" x14ac:dyDescent="0.25">
      <c r="A1034" s="1" t="s">
        <v>981</v>
      </c>
      <c r="B1034" s="2">
        <v>270</v>
      </c>
      <c r="C1034" s="2">
        <v>102</v>
      </c>
      <c r="D1034" s="2">
        <v>22.9</v>
      </c>
      <c r="E1034" s="2">
        <v>79.5</v>
      </c>
      <c r="F1034" s="2">
        <v>-0.4</v>
      </c>
      <c r="I1034" s="2">
        <v>3584</v>
      </c>
      <c r="J1034" s="2">
        <v>212</v>
      </c>
      <c r="K1034" s="2">
        <v>365568</v>
      </c>
      <c r="L1034" s="2">
        <v>9664</v>
      </c>
      <c r="M1034" s="2">
        <v>628.5</v>
      </c>
      <c r="N1034" s="2">
        <v>915.8</v>
      </c>
      <c r="O1034" s="2">
        <v>29940</v>
      </c>
      <c r="P1034" s="2">
        <v>34.9</v>
      </c>
    </row>
    <row r="1035" spans="1:16" ht="24.95" customHeight="1" x14ac:dyDescent="0.25">
      <c r="A1035" s="1" t="s">
        <v>982</v>
      </c>
      <c r="B1035" s="2">
        <v>272</v>
      </c>
      <c r="C1035" s="2">
        <v>112</v>
      </c>
      <c r="D1035" s="2">
        <v>34.5</v>
      </c>
      <c r="E1035" s="2">
        <v>80</v>
      </c>
      <c r="F1035" s="2">
        <v>-2.5</v>
      </c>
      <c r="I1035" s="2">
        <v>1180</v>
      </c>
      <c r="J1035" s="2">
        <v>181</v>
      </c>
      <c r="K1035" s="2">
        <v>132160</v>
      </c>
      <c r="L1035" s="2">
        <v>3081</v>
      </c>
      <c r="M1035" s="2">
        <v>157</v>
      </c>
      <c r="N1035" s="2">
        <v>306.39999999999998</v>
      </c>
      <c r="O1035" s="2">
        <v>9290</v>
      </c>
      <c r="P1035" s="2">
        <v>26.3</v>
      </c>
    </row>
    <row r="1036" spans="1:16" ht="24.95" customHeight="1" x14ac:dyDescent="0.25">
      <c r="A1036" s="1" t="s">
        <v>983</v>
      </c>
      <c r="B1036" s="2">
        <v>276</v>
      </c>
      <c r="C1036" s="2">
        <v>112</v>
      </c>
      <c r="D1036" s="2">
        <v>34.700000000000003</v>
      </c>
      <c r="E1036" s="2">
        <v>80</v>
      </c>
      <c r="F1036" s="2">
        <v>-2.7</v>
      </c>
      <c r="I1036" s="2">
        <v>2161</v>
      </c>
      <c r="J1036" s="2">
        <v>174</v>
      </c>
      <c r="K1036" s="2">
        <v>242032</v>
      </c>
      <c r="L1036" s="2">
        <v>4837</v>
      </c>
      <c r="M1036" s="2">
        <v>430.5</v>
      </c>
      <c r="N1036" s="2">
        <v>548.5</v>
      </c>
      <c r="O1036" s="2">
        <v>15360</v>
      </c>
      <c r="P1036" s="2">
        <v>19</v>
      </c>
    </row>
    <row r="1037" spans="1:16" ht="24.95" customHeight="1" x14ac:dyDescent="0.25">
      <c r="A1037" s="1" t="s">
        <v>984</v>
      </c>
      <c r="B1037" s="2">
        <v>276</v>
      </c>
      <c r="C1037" s="2">
        <v>108</v>
      </c>
      <c r="D1037" s="2">
        <v>31.3</v>
      </c>
      <c r="E1037" s="2">
        <v>80</v>
      </c>
      <c r="F1037" s="2">
        <v>-3.3</v>
      </c>
      <c r="I1037" s="2">
        <v>1128</v>
      </c>
      <c r="J1037" s="2">
        <v>165</v>
      </c>
      <c r="K1037" s="2">
        <v>121824</v>
      </c>
      <c r="L1037" s="2">
        <v>2569</v>
      </c>
      <c r="M1037" s="2">
        <v>132.6</v>
      </c>
      <c r="N1037" s="2">
        <v>304.8</v>
      </c>
      <c r="O1037" s="2">
        <v>8290</v>
      </c>
      <c r="P1037" s="2">
        <v>18.100000000000001</v>
      </c>
    </row>
    <row r="1038" spans="1:16" ht="24.95" customHeight="1" x14ac:dyDescent="0.25">
      <c r="A1038" s="1" t="s">
        <v>985</v>
      </c>
      <c r="B1038" s="2">
        <v>272</v>
      </c>
      <c r="C1038" s="2">
        <v>112</v>
      </c>
      <c r="D1038" s="2">
        <v>31.8</v>
      </c>
      <c r="E1038" s="2">
        <v>80</v>
      </c>
      <c r="F1038" s="2">
        <v>0.2</v>
      </c>
      <c r="I1038" s="2">
        <v>4736</v>
      </c>
      <c r="J1038" s="2">
        <v>173</v>
      </c>
      <c r="K1038" s="2">
        <v>530432</v>
      </c>
      <c r="L1038" s="2">
        <v>10305</v>
      </c>
      <c r="M1038" s="2">
        <v>619.1</v>
      </c>
      <c r="N1038" s="2">
        <v>1231.5</v>
      </c>
      <c r="O1038" s="2">
        <v>34200</v>
      </c>
      <c r="P1038" s="2">
        <v>18</v>
      </c>
    </row>
    <row r="1039" spans="1:16" ht="24.95" customHeight="1" x14ac:dyDescent="0.25">
      <c r="A1039" s="1" t="s">
        <v>986</v>
      </c>
      <c r="B1039" s="2">
        <v>272</v>
      </c>
      <c r="C1039" s="2">
        <v>108</v>
      </c>
      <c r="D1039" s="2">
        <v>32.700000000000003</v>
      </c>
      <c r="E1039" s="2">
        <v>76</v>
      </c>
      <c r="F1039" s="2">
        <v>-0.7</v>
      </c>
      <c r="I1039" s="2">
        <v>5375</v>
      </c>
      <c r="J1039" s="2">
        <v>216</v>
      </c>
      <c r="K1039" s="2">
        <v>580400</v>
      </c>
      <c r="L1039" s="2">
        <v>10619</v>
      </c>
      <c r="M1039" s="2">
        <v>565.4</v>
      </c>
      <c r="N1039" s="2">
        <v>1345.3</v>
      </c>
      <c r="O1039" s="2">
        <v>33750</v>
      </c>
      <c r="P1039" s="2">
        <v>10.7</v>
      </c>
    </row>
    <row r="1040" spans="1:16" ht="24.95" customHeight="1" x14ac:dyDescent="0.25">
      <c r="A1040" s="1" t="s">
        <v>975</v>
      </c>
      <c r="B1040" s="2">
        <v>258</v>
      </c>
      <c r="C1040" s="2">
        <v>102</v>
      </c>
      <c r="D1040" s="2">
        <v>21.5</v>
      </c>
      <c r="E1040" s="2">
        <v>80</v>
      </c>
      <c r="F1040" s="2">
        <v>0.5</v>
      </c>
      <c r="H1040" s="2">
        <v>105.4</v>
      </c>
      <c r="I1040" s="2">
        <v>3470</v>
      </c>
      <c r="J1040" s="2">
        <v>172</v>
      </c>
      <c r="K1040" s="2">
        <v>365824</v>
      </c>
      <c r="L1040" s="2">
        <v>9339</v>
      </c>
      <c r="M1040" s="2">
        <v>495</v>
      </c>
      <c r="N1040" s="2">
        <v>877.2</v>
      </c>
      <c r="O1040" s="2">
        <v>31540</v>
      </c>
      <c r="P1040" s="2">
        <v>36</v>
      </c>
    </row>
    <row r="1041" spans="1:16" ht="24.95" customHeight="1" x14ac:dyDescent="0.25">
      <c r="A1041" s="1" t="s">
        <v>987</v>
      </c>
      <c r="B1041" s="2">
        <v>234</v>
      </c>
      <c r="C1041" s="2">
        <v>100</v>
      </c>
      <c r="D1041" s="2">
        <v>20</v>
      </c>
      <c r="E1041" s="2">
        <v>80</v>
      </c>
      <c r="H1041" s="2">
        <v>103.4</v>
      </c>
      <c r="I1041" s="2">
        <v>4319</v>
      </c>
      <c r="J1041" s="2">
        <v>215</v>
      </c>
      <c r="K1041" s="2">
        <v>446774</v>
      </c>
      <c r="L1041" s="2">
        <v>11887</v>
      </c>
      <c r="M1041" s="2">
        <v>559.4</v>
      </c>
      <c r="N1041" s="2">
        <v>1104.3</v>
      </c>
      <c r="O1041" s="2">
        <v>40130</v>
      </c>
      <c r="P1041" s="2">
        <v>37.299999999999997</v>
      </c>
    </row>
    <row r="1042" spans="1:16" ht="24.95" customHeight="1" x14ac:dyDescent="0.25">
      <c r="A1042" s="1" t="s">
        <v>979</v>
      </c>
      <c r="B1042" s="2">
        <v>264</v>
      </c>
      <c r="C1042" s="2">
        <v>96</v>
      </c>
      <c r="D1042" s="2">
        <v>15</v>
      </c>
      <c r="E1042" s="2">
        <v>80</v>
      </c>
      <c r="F1042" s="2">
        <v>1</v>
      </c>
      <c r="H1042" s="2">
        <v>98.4</v>
      </c>
      <c r="I1042" s="2">
        <v>1669</v>
      </c>
      <c r="J1042" s="2">
        <v>195</v>
      </c>
      <c r="K1042" s="2">
        <v>164201</v>
      </c>
      <c r="L1042" s="2">
        <v>6422</v>
      </c>
      <c r="M1042" s="2">
        <v>316.8</v>
      </c>
      <c r="N1042" s="2">
        <v>428.6</v>
      </c>
      <c r="O1042" s="2">
        <v>19940</v>
      </c>
      <c r="P1042" s="2">
        <v>51.7</v>
      </c>
    </row>
    <row r="1043" spans="1:16" ht="24.95" customHeight="1" x14ac:dyDescent="0.25">
      <c r="A1043" s="1" t="s">
        <v>963</v>
      </c>
      <c r="B1043" s="2">
        <v>238</v>
      </c>
      <c r="C1043" s="2">
        <v>100</v>
      </c>
      <c r="D1043" s="2">
        <v>20.100000000000001</v>
      </c>
      <c r="E1043" s="2">
        <v>80</v>
      </c>
      <c r="F1043" s="2">
        <v>-0.1</v>
      </c>
      <c r="H1043" s="2">
        <v>102</v>
      </c>
      <c r="I1043" s="2">
        <v>5797</v>
      </c>
      <c r="J1043" s="2">
        <v>230</v>
      </c>
      <c r="K1043" s="2">
        <v>591468</v>
      </c>
      <c r="L1043" s="2">
        <v>12195</v>
      </c>
      <c r="M1043" s="2">
        <v>713.9</v>
      </c>
      <c r="N1043" s="2">
        <v>1384.7</v>
      </c>
      <c r="O1043" s="2">
        <v>40710</v>
      </c>
      <c r="P1043" s="2">
        <v>21.2</v>
      </c>
    </row>
    <row r="1044" spans="1:16" ht="24.95" customHeight="1" x14ac:dyDescent="0.25">
      <c r="A1044" s="1" t="s">
        <v>988</v>
      </c>
      <c r="B1044" s="2">
        <v>255</v>
      </c>
      <c r="C1044" s="2">
        <v>104</v>
      </c>
      <c r="D1044" s="2">
        <v>22.6</v>
      </c>
      <c r="E1044" s="2">
        <v>80</v>
      </c>
      <c r="F1044" s="2">
        <v>1.4</v>
      </c>
      <c r="H1044" s="2">
        <v>109</v>
      </c>
      <c r="I1044" s="2">
        <v>1770</v>
      </c>
      <c r="J1044" s="2">
        <v>181</v>
      </c>
      <c r="K1044" s="2">
        <v>192982</v>
      </c>
      <c r="L1044" s="2">
        <v>5851</v>
      </c>
      <c r="M1044" s="2">
        <v>269.89999999999998</v>
      </c>
      <c r="N1044" s="2">
        <v>453</v>
      </c>
      <c r="O1044" s="2">
        <v>18340</v>
      </c>
      <c r="P1044" s="2">
        <v>43.8</v>
      </c>
    </row>
    <row r="1045" spans="1:16" ht="24.95" customHeight="1" x14ac:dyDescent="0.25">
      <c r="A1045" s="1" t="s">
        <v>989</v>
      </c>
      <c r="B1045" s="2">
        <v>248</v>
      </c>
      <c r="C1045" s="2">
        <v>97</v>
      </c>
      <c r="D1045" s="2">
        <v>18.100000000000001</v>
      </c>
      <c r="E1045" s="2">
        <v>80</v>
      </c>
      <c r="F1045" s="2">
        <v>-1.1000000000000001</v>
      </c>
      <c r="H1045" s="2">
        <v>99.5</v>
      </c>
      <c r="I1045" s="2">
        <v>5670</v>
      </c>
      <c r="J1045" s="2">
        <v>191</v>
      </c>
      <c r="K1045" s="2">
        <v>564266</v>
      </c>
      <c r="L1045" s="2">
        <v>12316</v>
      </c>
      <c r="M1045" s="2">
        <v>905.6</v>
      </c>
      <c r="N1045" s="2">
        <v>1389.6</v>
      </c>
      <c r="O1045" s="2">
        <v>38860</v>
      </c>
      <c r="P1045" s="2">
        <v>19.899999999999999</v>
      </c>
    </row>
    <row r="1046" spans="1:16" ht="24.95" customHeight="1" x14ac:dyDescent="0.25">
      <c r="A1046" s="1" t="s">
        <v>966</v>
      </c>
      <c r="B1046" s="2">
        <v>238</v>
      </c>
      <c r="C1046" s="2">
        <v>98</v>
      </c>
      <c r="D1046" s="2">
        <v>18.7</v>
      </c>
      <c r="E1046" s="2">
        <v>80</v>
      </c>
      <c r="F1046" s="2">
        <v>-0.7</v>
      </c>
      <c r="H1046" s="2">
        <v>99.2</v>
      </c>
      <c r="I1046" s="2">
        <v>2393</v>
      </c>
      <c r="J1046" s="2">
        <v>156</v>
      </c>
      <c r="K1046" s="2">
        <v>237372</v>
      </c>
      <c r="L1046" s="2">
        <v>5560</v>
      </c>
      <c r="M1046" s="2">
        <v>308.3</v>
      </c>
      <c r="N1046" s="2">
        <v>506.1</v>
      </c>
      <c r="O1046" s="2">
        <v>19030</v>
      </c>
      <c r="P1046" s="2">
        <v>33.299999999999997</v>
      </c>
    </row>
    <row r="1047" spans="1:16" ht="24.95" customHeight="1" x14ac:dyDescent="0.25">
      <c r="A1047" s="1" t="s">
        <v>990</v>
      </c>
      <c r="B1047" s="2">
        <v>240</v>
      </c>
      <c r="C1047" s="2">
        <v>98</v>
      </c>
      <c r="D1047" s="2">
        <v>18.8</v>
      </c>
      <c r="E1047" s="2">
        <v>80</v>
      </c>
      <c r="F1047" s="2">
        <v>-0.8</v>
      </c>
      <c r="H1047" s="2">
        <v>98.5</v>
      </c>
      <c r="I1047" s="2">
        <v>2991</v>
      </c>
      <c r="J1047" s="2">
        <v>132</v>
      </c>
      <c r="K1047" s="2">
        <v>294512</v>
      </c>
      <c r="L1047" s="2">
        <v>5081</v>
      </c>
      <c r="M1047" s="2">
        <v>308.39999999999998</v>
      </c>
      <c r="N1047" s="2">
        <v>733.4</v>
      </c>
      <c r="O1047" s="2">
        <v>18890</v>
      </c>
      <c r="P1047" s="2">
        <v>6.8</v>
      </c>
    </row>
    <row r="1048" spans="1:16" ht="24.95" customHeight="1" x14ac:dyDescent="0.25">
      <c r="A1048" s="1" t="s">
        <v>991</v>
      </c>
      <c r="B1048" s="2">
        <v>236</v>
      </c>
      <c r="C1048" s="2">
        <v>94</v>
      </c>
      <c r="D1048" s="2">
        <v>15.8</v>
      </c>
      <c r="E1048" s="2">
        <v>80</v>
      </c>
      <c r="F1048" s="2">
        <v>-1.8</v>
      </c>
      <c r="H1048" s="2">
        <v>97.1</v>
      </c>
      <c r="I1048" s="2">
        <v>2744</v>
      </c>
      <c r="J1048" s="2">
        <v>178</v>
      </c>
      <c r="K1048" s="2">
        <v>266379</v>
      </c>
      <c r="L1048" s="2">
        <v>5837</v>
      </c>
      <c r="M1048" s="2">
        <v>357.2</v>
      </c>
      <c r="N1048" s="2">
        <v>624.4</v>
      </c>
      <c r="O1048" s="2">
        <v>18100</v>
      </c>
      <c r="P1048" s="2">
        <v>17.8</v>
      </c>
    </row>
    <row r="1049" spans="1:16" ht="24.95" customHeight="1" x14ac:dyDescent="0.25">
      <c r="A1049" s="1" t="s">
        <v>984</v>
      </c>
      <c r="B1049" s="2">
        <v>254</v>
      </c>
      <c r="C1049" s="2">
        <v>104</v>
      </c>
      <c r="D1049" s="2">
        <v>25.1</v>
      </c>
      <c r="E1049" s="2">
        <v>80</v>
      </c>
      <c r="F1049" s="2">
        <v>-1.1000000000000001</v>
      </c>
      <c r="H1049" s="2">
        <v>106</v>
      </c>
      <c r="I1049" s="2">
        <v>1417</v>
      </c>
      <c r="J1049" s="2">
        <v>139</v>
      </c>
      <c r="K1049" s="2">
        <v>150188</v>
      </c>
      <c r="L1049" s="2">
        <v>3146</v>
      </c>
      <c r="M1049" s="2">
        <v>129.80000000000001</v>
      </c>
      <c r="N1049" s="2">
        <v>301.39999999999998</v>
      </c>
      <c r="O1049" s="2">
        <v>11710</v>
      </c>
      <c r="P1049" s="2">
        <v>31.8</v>
      </c>
    </row>
    <row r="1050" spans="1:16" ht="24.95" customHeight="1" x14ac:dyDescent="0.25">
      <c r="A1050" s="1" t="s">
        <v>6793</v>
      </c>
      <c r="B1050" s="2">
        <v>210</v>
      </c>
      <c r="C1050" s="2">
        <v>86</v>
      </c>
      <c r="I1050" s="2">
        <v>26190</v>
      </c>
      <c r="J1050" s="2">
        <v>149</v>
      </c>
      <c r="K1050" s="2">
        <v>2252340</v>
      </c>
      <c r="L1050" s="2">
        <v>76157</v>
      </c>
      <c r="M1050" s="2">
        <v>3600.7</v>
      </c>
      <c r="N1050" s="2">
        <v>6443.2</v>
      </c>
      <c r="O1050" s="2">
        <v>234880</v>
      </c>
      <c r="P1050" s="2">
        <v>37.4</v>
      </c>
    </row>
    <row r="1051" spans="1:16" ht="24.95" customHeight="1" x14ac:dyDescent="0.25">
      <c r="A1051" s="1" t="s">
        <v>993</v>
      </c>
      <c r="B1051" s="2">
        <v>296</v>
      </c>
      <c r="C1051" s="2">
        <v>124</v>
      </c>
      <c r="D1051" s="2">
        <v>39.6</v>
      </c>
      <c r="E1051" s="2">
        <v>89</v>
      </c>
      <c r="F1051" s="2">
        <v>-4.5999999999999996</v>
      </c>
      <c r="I1051" s="2">
        <v>440</v>
      </c>
      <c r="J1051" s="2">
        <v>123</v>
      </c>
      <c r="K1051" s="2">
        <v>54560</v>
      </c>
      <c r="L1051" s="2">
        <v>1187</v>
      </c>
      <c r="M1051" s="2">
        <v>81.599999999999994</v>
      </c>
      <c r="N1051" s="2">
        <v>110</v>
      </c>
      <c r="O1051" s="2">
        <v>2920</v>
      </c>
      <c r="P1051" s="2">
        <v>15</v>
      </c>
    </row>
    <row r="1052" spans="1:16" ht="24.95" customHeight="1" x14ac:dyDescent="0.25">
      <c r="A1052" s="1" t="s">
        <v>994</v>
      </c>
      <c r="B1052" s="2">
        <v>303</v>
      </c>
      <c r="C1052" s="2">
        <v>130</v>
      </c>
      <c r="D1052" s="2">
        <v>41.8</v>
      </c>
      <c r="E1052" s="2">
        <v>89</v>
      </c>
      <c r="F1052" s="2">
        <v>-0.8</v>
      </c>
      <c r="I1052" s="2">
        <v>950</v>
      </c>
      <c r="J1052" s="2">
        <v>141</v>
      </c>
      <c r="K1052" s="2">
        <v>123500</v>
      </c>
      <c r="L1052" s="2">
        <v>2634</v>
      </c>
      <c r="M1052" s="2">
        <v>122.8</v>
      </c>
      <c r="N1052" s="2">
        <v>234.2</v>
      </c>
      <c r="O1052" s="2">
        <v>7400</v>
      </c>
      <c r="P1052" s="2">
        <v>28.4</v>
      </c>
    </row>
    <row r="1053" spans="1:16" ht="24.95" customHeight="1" x14ac:dyDescent="0.25">
      <c r="A1053" s="1" t="s">
        <v>995</v>
      </c>
      <c r="B1053" s="2">
        <v>258</v>
      </c>
      <c r="C1053" s="2">
        <v>108</v>
      </c>
      <c r="D1053" s="2">
        <v>23.9</v>
      </c>
      <c r="E1053" s="2">
        <v>89</v>
      </c>
      <c r="F1053" s="2">
        <v>-4.9000000000000004</v>
      </c>
      <c r="I1053" s="2">
        <v>160</v>
      </c>
      <c r="J1053" s="2">
        <v>105</v>
      </c>
      <c r="K1053" s="2">
        <v>17280</v>
      </c>
      <c r="L1053" s="2">
        <v>512</v>
      </c>
      <c r="M1053" s="2">
        <v>20.399999999999999</v>
      </c>
      <c r="N1053" s="2">
        <v>40.5</v>
      </c>
      <c r="O1053" s="2">
        <v>1550</v>
      </c>
      <c r="P1053" s="2">
        <v>39.299999999999997</v>
      </c>
    </row>
    <row r="1054" spans="1:16" ht="24.95" customHeight="1" x14ac:dyDescent="0.25">
      <c r="A1054" s="1" t="s">
        <v>998</v>
      </c>
      <c r="B1054" s="2">
        <v>294</v>
      </c>
      <c r="C1054" s="2">
        <v>126</v>
      </c>
      <c r="D1054" s="2">
        <v>41.4</v>
      </c>
      <c r="E1054" s="2">
        <v>86</v>
      </c>
      <c r="F1054" s="2">
        <v>-1.4</v>
      </c>
      <c r="I1054" s="2">
        <v>6500</v>
      </c>
      <c r="J1054" s="2">
        <v>165</v>
      </c>
      <c r="K1054" s="2">
        <v>819000</v>
      </c>
      <c r="L1054" s="2">
        <v>15412</v>
      </c>
      <c r="M1054" s="2">
        <v>762.5</v>
      </c>
      <c r="N1054" s="2">
        <v>1629.9</v>
      </c>
      <c r="O1054" s="2">
        <v>46340</v>
      </c>
      <c r="P1054" s="2">
        <v>23.6</v>
      </c>
    </row>
    <row r="1055" spans="1:16" ht="24.95" customHeight="1" x14ac:dyDescent="0.25">
      <c r="A1055" s="1" t="s">
        <v>999</v>
      </c>
      <c r="B1055" s="2">
        <v>280</v>
      </c>
      <c r="C1055" s="2">
        <v>118</v>
      </c>
      <c r="D1055" s="2">
        <v>33.200000000000003</v>
      </c>
      <c r="E1055" s="2">
        <v>89</v>
      </c>
      <c r="F1055" s="2">
        <v>-4.2</v>
      </c>
      <c r="I1055" s="2">
        <v>417</v>
      </c>
      <c r="J1055" s="2">
        <v>145</v>
      </c>
      <c r="K1055" s="2">
        <v>49206</v>
      </c>
      <c r="L1055" s="2">
        <v>1036</v>
      </c>
      <c r="M1055" s="2">
        <v>65.2</v>
      </c>
      <c r="N1055" s="2">
        <v>103.8</v>
      </c>
      <c r="O1055" s="2">
        <v>2200</v>
      </c>
    </row>
    <row r="1056" spans="1:16" ht="24.95" customHeight="1" x14ac:dyDescent="0.25">
      <c r="A1056" s="1" t="s">
        <v>1001</v>
      </c>
      <c r="B1056" s="2">
        <v>291</v>
      </c>
      <c r="C1056" s="2">
        <v>114</v>
      </c>
      <c r="D1056" s="2">
        <v>26</v>
      </c>
      <c r="E1056" s="2">
        <v>89</v>
      </c>
      <c r="F1056" s="2">
        <v>-1</v>
      </c>
      <c r="I1056" s="2">
        <v>454</v>
      </c>
      <c r="J1056" s="2">
        <v>156</v>
      </c>
      <c r="K1056" s="2">
        <v>51756</v>
      </c>
      <c r="L1056" s="2">
        <v>1201</v>
      </c>
      <c r="M1056" s="2">
        <v>50.4</v>
      </c>
      <c r="N1056" s="2">
        <v>113.7</v>
      </c>
      <c r="O1056" s="2">
        <v>3630</v>
      </c>
      <c r="P1056" s="2">
        <v>30.1</v>
      </c>
    </row>
    <row r="1057" spans="1:16" ht="24.95" customHeight="1" x14ac:dyDescent="0.25">
      <c r="A1057" s="1" t="s">
        <v>1002</v>
      </c>
      <c r="B1057" s="2">
        <v>315</v>
      </c>
      <c r="C1057" s="2">
        <v>130</v>
      </c>
      <c r="D1057" s="2">
        <v>45.5</v>
      </c>
      <c r="E1057" s="2">
        <v>89</v>
      </c>
      <c r="F1057" s="2">
        <v>-4.5</v>
      </c>
      <c r="I1057" s="2">
        <v>2550</v>
      </c>
      <c r="J1057" s="2">
        <v>116</v>
      </c>
      <c r="K1057" s="2">
        <v>331500</v>
      </c>
      <c r="L1057" s="2">
        <v>5559</v>
      </c>
      <c r="M1057" s="2">
        <v>395.4</v>
      </c>
      <c r="N1057" s="2">
        <v>620.5</v>
      </c>
      <c r="O1057" s="2">
        <v>17440</v>
      </c>
      <c r="P1057" s="2">
        <v>18</v>
      </c>
    </row>
    <row r="1058" spans="1:16" ht="24.95" customHeight="1" x14ac:dyDescent="0.25">
      <c r="A1058" s="1" t="s">
        <v>1003</v>
      </c>
      <c r="B1058" s="2">
        <v>280</v>
      </c>
      <c r="C1058" s="2">
        <v>114</v>
      </c>
      <c r="D1058" s="2">
        <v>27.7</v>
      </c>
      <c r="E1058" s="2">
        <v>89</v>
      </c>
      <c r="F1058" s="2">
        <v>-2.7</v>
      </c>
      <c r="I1058" s="2">
        <v>266</v>
      </c>
      <c r="J1058" s="2">
        <v>113</v>
      </c>
      <c r="K1058" s="2">
        <v>30324</v>
      </c>
      <c r="L1058" s="2">
        <v>842</v>
      </c>
      <c r="M1058" s="2">
        <v>36.9</v>
      </c>
      <c r="N1058" s="2">
        <v>68.900000000000006</v>
      </c>
      <c r="O1058" s="2">
        <v>2290</v>
      </c>
      <c r="P1058" s="2">
        <v>32</v>
      </c>
    </row>
    <row r="1059" spans="1:16" ht="24.95" customHeight="1" x14ac:dyDescent="0.25">
      <c r="A1059" s="1" t="s">
        <v>1004</v>
      </c>
      <c r="B1059" s="2">
        <v>270</v>
      </c>
      <c r="C1059" s="2">
        <v>110</v>
      </c>
      <c r="D1059" s="2">
        <v>23.9</v>
      </c>
      <c r="E1059" s="2">
        <v>89</v>
      </c>
      <c r="F1059" s="2">
        <v>-2.9</v>
      </c>
      <c r="I1059" s="2">
        <v>520</v>
      </c>
      <c r="J1059" s="2">
        <v>180</v>
      </c>
      <c r="K1059" s="2">
        <v>57200</v>
      </c>
      <c r="L1059" s="2">
        <v>1548</v>
      </c>
      <c r="M1059" s="2">
        <v>61.1</v>
      </c>
      <c r="N1059" s="2">
        <v>142.69999999999999</v>
      </c>
      <c r="O1059" s="2">
        <v>4770</v>
      </c>
      <c r="P1059" s="2">
        <v>33.299999999999997</v>
      </c>
    </row>
    <row r="1060" spans="1:16" ht="24.95" customHeight="1" x14ac:dyDescent="0.25">
      <c r="A1060" s="1" t="s">
        <v>1005</v>
      </c>
      <c r="B1060" s="2">
        <v>280</v>
      </c>
      <c r="C1060" s="2">
        <v>110</v>
      </c>
      <c r="D1060" s="2">
        <v>26.3</v>
      </c>
      <c r="E1060" s="2">
        <v>89</v>
      </c>
      <c r="F1060" s="2">
        <v>-5.3</v>
      </c>
      <c r="I1060" s="2">
        <v>206</v>
      </c>
      <c r="J1060" s="2">
        <v>98</v>
      </c>
      <c r="K1060" s="2">
        <v>22600</v>
      </c>
      <c r="L1060" s="2">
        <v>525</v>
      </c>
      <c r="M1060" s="2">
        <v>23.4</v>
      </c>
      <c r="N1060" s="2">
        <v>50.6</v>
      </c>
      <c r="O1060" s="2">
        <v>1510</v>
      </c>
      <c r="P1060" s="2">
        <v>22.2</v>
      </c>
    </row>
    <row r="1061" spans="1:16" ht="24.95" customHeight="1" x14ac:dyDescent="0.25">
      <c r="A1061" s="1" t="s">
        <v>1006</v>
      </c>
      <c r="B1061" s="2">
        <v>270</v>
      </c>
      <c r="C1061" s="2">
        <v>114</v>
      </c>
      <c r="D1061" s="2">
        <v>28</v>
      </c>
      <c r="E1061" s="2">
        <v>89</v>
      </c>
      <c r="F1061" s="2">
        <v>-3</v>
      </c>
      <c r="I1061" s="2">
        <v>1500</v>
      </c>
      <c r="J1061" s="2">
        <v>180</v>
      </c>
      <c r="K1061" s="2">
        <v>171000</v>
      </c>
      <c r="L1061" s="2">
        <v>2592</v>
      </c>
      <c r="M1061" s="2">
        <v>130.5</v>
      </c>
      <c r="N1061" s="2">
        <v>371</v>
      </c>
      <c r="O1061" s="2">
        <v>7870</v>
      </c>
    </row>
    <row r="1062" spans="1:16" ht="24.95" customHeight="1" x14ac:dyDescent="0.25">
      <c r="A1062" s="1" t="s">
        <v>1007</v>
      </c>
      <c r="B1062" s="2">
        <v>273</v>
      </c>
      <c r="C1062" s="2">
        <v>116</v>
      </c>
      <c r="D1062" s="2">
        <v>29.6</v>
      </c>
      <c r="E1062" s="2">
        <v>89</v>
      </c>
      <c r="F1062" s="2">
        <v>-2.6</v>
      </c>
      <c r="I1062" s="2">
        <v>695</v>
      </c>
      <c r="J1062" s="2">
        <v>116</v>
      </c>
      <c r="K1062" s="2">
        <v>80620</v>
      </c>
      <c r="L1062" s="2">
        <v>2104</v>
      </c>
      <c r="M1062" s="2">
        <v>111.2</v>
      </c>
      <c r="N1062" s="2">
        <v>175.3</v>
      </c>
      <c r="O1062" s="2">
        <v>6070</v>
      </c>
      <c r="P1062" s="2">
        <v>35.299999999999997</v>
      </c>
    </row>
    <row r="1063" spans="1:16" ht="24.95" customHeight="1" x14ac:dyDescent="0.25">
      <c r="A1063" s="1" t="s">
        <v>855</v>
      </c>
      <c r="B1063" s="2">
        <v>264</v>
      </c>
      <c r="C1063" s="2">
        <v>112</v>
      </c>
      <c r="D1063" s="2">
        <v>21.5</v>
      </c>
      <c r="E1063" s="2">
        <v>89</v>
      </c>
      <c r="F1063" s="2">
        <v>1.5</v>
      </c>
      <c r="H1063" s="2">
        <v>113.9</v>
      </c>
      <c r="I1063" s="2">
        <v>1275</v>
      </c>
      <c r="J1063" s="2">
        <v>130</v>
      </c>
      <c r="K1063" s="2">
        <v>145226</v>
      </c>
      <c r="L1063" s="2">
        <v>6584</v>
      </c>
      <c r="M1063" s="2">
        <v>251</v>
      </c>
      <c r="N1063" s="2">
        <v>335</v>
      </c>
      <c r="O1063" s="2">
        <v>18920</v>
      </c>
      <c r="P1063" s="2">
        <v>61</v>
      </c>
    </row>
    <row r="1064" spans="1:16" ht="24.95" customHeight="1" x14ac:dyDescent="0.25">
      <c r="A1064" s="1" t="s">
        <v>1008</v>
      </c>
      <c r="B1064" s="2">
        <v>250</v>
      </c>
      <c r="C1064" s="2">
        <v>104</v>
      </c>
      <c r="D1064" s="2">
        <v>15.2</v>
      </c>
      <c r="E1064" s="2">
        <v>89</v>
      </c>
      <c r="F1064" s="2">
        <v>-0.2</v>
      </c>
      <c r="H1064" s="2">
        <v>104.9</v>
      </c>
      <c r="I1064" s="2">
        <v>3200</v>
      </c>
      <c r="J1064" s="2">
        <v>132</v>
      </c>
      <c r="K1064" s="2">
        <v>335582</v>
      </c>
      <c r="L1064" s="2">
        <v>9745</v>
      </c>
      <c r="M1064" s="2">
        <v>501.7</v>
      </c>
      <c r="N1064" s="2">
        <v>721.2</v>
      </c>
      <c r="O1064" s="2">
        <v>34300</v>
      </c>
      <c r="P1064" s="2">
        <v>48.2</v>
      </c>
    </row>
    <row r="1065" spans="1:16" ht="24.95" customHeight="1" x14ac:dyDescent="0.25">
      <c r="A1065" s="1" t="s">
        <v>1009</v>
      </c>
      <c r="B1065" s="2">
        <v>256</v>
      </c>
      <c r="C1065" s="2">
        <v>104</v>
      </c>
      <c r="D1065" s="2">
        <v>14.3</v>
      </c>
      <c r="E1065" s="2">
        <v>89</v>
      </c>
      <c r="F1065" s="2">
        <v>0.7</v>
      </c>
      <c r="H1065" s="2">
        <v>106.2</v>
      </c>
      <c r="I1065" s="2">
        <v>1890</v>
      </c>
      <c r="J1065" s="2">
        <v>178</v>
      </c>
      <c r="K1065" s="2">
        <v>200702</v>
      </c>
      <c r="L1065" s="2">
        <v>6207</v>
      </c>
      <c r="M1065" s="2">
        <v>250.7</v>
      </c>
      <c r="N1065" s="2">
        <v>439.2</v>
      </c>
      <c r="O1065" s="2">
        <v>20160</v>
      </c>
      <c r="P1065" s="2">
        <v>48.7</v>
      </c>
    </row>
    <row r="1066" spans="1:16" ht="24.95" customHeight="1" x14ac:dyDescent="0.25">
      <c r="A1066" s="1" t="s">
        <v>5445</v>
      </c>
      <c r="B1066" s="2">
        <v>270</v>
      </c>
      <c r="C1066" s="2">
        <v>109</v>
      </c>
      <c r="D1066" s="2">
        <v>18.5</v>
      </c>
      <c r="E1066" s="2">
        <v>89</v>
      </c>
      <c r="F1066" s="2">
        <v>1.6</v>
      </c>
      <c r="H1066" s="2">
        <v>110</v>
      </c>
      <c r="I1066" s="2">
        <v>1078</v>
      </c>
      <c r="J1066" s="2">
        <v>140</v>
      </c>
      <c r="K1066" s="2">
        <v>118560</v>
      </c>
      <c r="L1066" s="2">
        <v>5602</v>
      </c>
      <c r="M1066" s="2">
        <v>196.4</v>
      </c>
      <c r="N1066" s="2">
        <v>278.10000000000002</v>
      </c>
      <c r="O1066" s="2">
        <v>16240</v>
      </c>
      <c r="P1066" s="2">
        <v>62.8</v>
      </c>
    </row>
    <row r="1067" spans="1:16" ht="24.95" customHeight="1" x14ac:dyDescent="0.25">
      <c r="A1067" s="1" t="s">
        <v>1011</v>
      </c>
      <c r="B1067" s="2">
        <v>270</v>
      </c>
      <c r="C1067" s="2">
        <v>112</v>
      </c>
      <c r="D1067" s="2">
        <v>22.5</v>
      </c>
      <c r="E1067" s="2">
        <v>89</v>
      </c>
      <c r="F1067" s="2">
        <v>0.5</v>
      </c>
      <c r="H1067" s="2">
        <v>115.1</v>
      </c>
      <c r="I1067" s="2">
        <v>1650</v>
      </c>
      <c r="J1067" s="2">
        <v>170</v>
      </c>
      <c r="K1067" s="2">
        <v>189890</v>
      </c>
      <c r="L1067" s="2">
        <v>6016</v>
      </c>
      <c r="M1067" s="2">
        <v>244.6</v>
      </c>
      <c r="N1067" s="2">
        <v>432.5</v>
      </c>
      <c r="O1067" s="2">
        <v>16600</v>
      </c>
      <c r="P1067" s="2">
        <v>41.7</v>
      </c>
    </row>
    <row r="1068" spans="1:16" ht="24.95" customHeight="1" x14ac:dyDescent="0.25">
      <c r="A1068" s="1" t="s">
        <v>1012</v>
      </c>
      <c r="B1068" s="2">
        <v>260</v>
      </c>
      <c r="C1068" s="2">
        <v>104</v>
      </c>
      <c r="D1068" s="2">
        <v>14.7</v>
      </c>
      <c r="E1068" s="2">
        <v>89</v>
      </c>
      <c r="F1068" s="2">
        <v>0.3</v>
      </c>
      <c r="H1068" s="2">
        <v>104.7</v>
      </c>
      <c r="I1068" s="2">
        <v>2010</v>
      </c>
      <c r="J1068" s="2">
        <v>161</v>
      </c>
      <c r="K1068" s="2">
        <v>210481</v>
      </c>
      <c r="L1068" s="2">
        <v>4728</v>
      </c>
      <c r="M1068" s="2">
        <v>220.9</v>
      </c>
      <c r="N1068" s="2">
        <v>465.9</v>
      </c>
      <c r="O1068" s="2">
        <v>18380</v>
      </c>
      <c r="P1068" s="2">
        <v>37.1</v>
      </c>
    </row>
    <row r="1069" spans="1:16" ht="24.95" customHeight="1" x14ac:dyDescent="0.25">
      <c r="A1069" s="1" t="s">
        <v>1013</v>
      </c>
      <c r="B1069" s="2">
        <v>252</v>
      </c>
      <c r="C1069" s="2">
        <v>102</v>
      </c>
      <c r="D1069" s="2">
        <v>11.4</v>
      </c>
      <c r="E1069" s="2">
        <v>89</v>
      </c>
      <c r="F1069" s="2">
        <v>1.6</v>
      </c>
      <c r="H1069" s="2">
        <v>102.6</v>
      </c>
      <c r="I1069" s="2">
        <v>420</v>
      </c>
      <c r="J1069" s="2">
        <v>163</v>
      </c>
      <c r="K1069" s="2">
        <v>43106</v>
      </c>
      <c r="L1069" s="2">
        <v>2122</v>
      </c>
      <c r="M1069" s="2">
        <v>74.099999999999994</v>
      </c>
      <c r="N1069" s="2">
        <v>110</v>
      </c>
      <c r="O1069" s="2">
        <v>6290</v>
      </c>
      <c r="P1069" s="2">
        <v>61.1</v>
      </c>
    </row>
    <row r="1070" spans="1:16" ht="24.95" customHeight="1" x14ac:dyDescent="0.25">
      <c r="A1070" s="1" t="s">
        <v>6794</v>
      </c>
      <c r="B1070" s="2">
        <v>172</v>
      </c>
      <c r="C1070" s="2">
        <v>77</v>
      </c>
      <c r="I1070" s="2">
        <v>13814</v>
      </c>
      <c r="J1070" s="2">
        <v>154</v>
      </c>
      <c r="K1070" s="2">
        <v>1063678</v>
      </c>
      <c r="L1070" s="2">
        <v>41201</v>
      </c>
      <c r="M1070" s="2">
        <v>1809.5</v>
      </c>
      <c r="N1070" s="2">
        <v>3345.6</v>
      </c>
      <c r="O1070" s="2">
        <v>135080</v>
      </c>
      <c r="P1070" s="2">
        <v>41</v>
      </c>
    </row>
    <row r="1071" spans="1:16" ht="24.95" customHeight="1" x14ac:dyDescent="0.25">
      <c r="A1071" s="1" t="s">
        <v>1015</v>
      </c>
      <c r="B1071" s="2">
        <v>298</v>
      </c>
      <c r="C1071" s="2">
        <v>124</v>
      </c>
      <c r="D1071" s="2">
        <v>47</v>
      </c>
      <c r="E1071" s="2">
        <v>77</v>
      </c>
      <c r="I1071" s="2">
        <v>3540</v>
      </c>
      <c r="J1071" s="2">
        <v>178</v>
      </c>
      <c r="K1071" s="2">
        <v>438960</v>
      </c>
      <c r="L1071" s="2">
        <v>6746</v>
      </c>
      <c r="M1071" s="2">
        <v>405.5</v>
      </c>
      <c r="N1071" s="2">
        <v>891.4</v>
      </c>
      <c r="O1071" s="2">
        <v>21680</v>
      </c>
      <c r="P1071" s="2">
        <v>6.6</v>
      </c>
    </row>
    <row r="1072" spans="1:16" ht="24.95" customHeight="1" x14ac:dyDescent="0.25">
      <c r="A1072" s="1" t="s">
        <v>1016</v>
      </c>
      <c r="B1072" s="2">
        <v>270</v>
      </c>
      <c r="C1072" s="2">
        <v>116</v>
      </c>
      <c r="D1072" s="2">
        <v>34.299999999999997</v>
      </c>
      <c r="E1072" s="2">
        <v>82</v>
      </c>
      <c r="F1072" s="2">
        <v>-0.3</v>
      </c>
      <c r="I1072" s="2">
        <v>912</v>
      </c>
      <c r="J1072" s="2">
        <v>151</v>
      </c>
      <c r="K1072" s="2">
        <v>105792</v>
      </c>
      <c r="L1072" s="2">
        <v>2344</v>
      </c>
      <c r="M1072" s="2">
        <v>106.1</v>
      </c>
      <c r="N1072" s="2">
        <v>231.4</v>
      </c>
      <c r="O1072" s="2">
        <v>6550</v>
      </c>
      <c r="P1072" s="2">
        <v>20.100000000000001</v>
      </c>
    </row>
    <row r="1073" spans="1:16" ht="24.95" customHeight="1" x14ac:dyDescent="0.25">
      <c r="A1073" s="1" t="s">
        <v>1275</v>
      </c>
      <c r="B1073" s="2">
        <v>266</v>
      </c>
      <c r="C1073" s="2">
        <v>118</v>
      </c>
      <c r="D1073" s="2">
        <v>35.4</v>
      </c>
      <c r="E1073" s="2">
        <v>82</v>
      </c>
      <c r="F1073" s="2">
        <v>0.6</v>
      </c>
      <c r="I1073" s="2">
        <v>357</v>
      </c>
      <c r="J1073" s="2">
        <v>164</v>
      </c>
      <c r="K1073" s="2">
        <v>42126</v>
      </c>
      <c r="L1073" s="2">
        <v>1186</v>
      </c>
      <c r="M1073" s="2">
        <v>52</v>
      </c>
      <c r="N1073" s="2">
        <v>87.8</v>
      </c>
      <c r="O1073" s="2">
        <v>3450</v>
      </c>
      <c r="P1073" s="2">
        <v>41.1</v>
      </c>
    </row>
    <row r="1074" spans="1:16" ht="24.95" customHeight="1" x14ac:dyDescent="0.25">
      <c r="A1074" s="1" t="s">
        <v>1276</v>
      </c>
      <c r="B1074" s="2">
        <v>286</v>
      </c>
      <c r="C1074" s="2">
        <v>114</v>
      </c>
      <c r="D1074" s="2">
        <v>31.5</v>
      </c>
      <c r="E1074" s="2">
        <v>82</v>
      </c>
      <c r="F1074" s="2">
        <v>0.5</v>
      </c>
      <c r="I1074" s="2">
        <v>785</v>
      </c>
      <c r="J1074" s="2">
        <v>243</v>
      </c>
      <c r="K1074" s="2">
        <v>89490</v>
      </c>
      <c r="L1074" s="2">
        <v>2188</v>
      </c>
      <c r="M1074" s="2">
        <v>93.6</v>
      </c>
      <c r="N1074" s="2">
        <v>193</v>
      </c>
      <c r="O1074" s="2">
        <v>6040</v>
      </c>
      <c r="P1074" s="2">
        <v>29.8</v>
      </c>
    </row>
    <row r="1075" spans="1:16" ht="24.95" customHeight="1" x14ac:dyDescent="0.25">
      <c r="A1075" s="1" t="s">
        <v>221</v>
      </c>
      <c r="B1075" s="2">
        <v>274</v>
      </c>
      <c r="C1075" s="2">
        <v>126</v>
      </c>
      <c r="D1075" s="2">
        <v>43.8</v>
      </c>
      <c r="E1075" s="2">
        <v>82</v>
      </c>
      <c r="F1075" s="2">
        <v>0.3</v>
      </c>
      <c r="I1075" s="2">
        <v>1454</v>
      </c>
      <c r="J1075" s="2">
        <v>152</v>
      </c>
      <c r="K1075" s="2">
        <v>183204</v>
      </c>
      <c r="L1075" s="2">
        <v>3566</v>
      </c>
      <c r="M1075" s="2">
        <v>186.3</v>
      </c>
      <c r="N1075" s="2">
        <v>359.6</v>
      </c>
      <c r="O1075" s="2">
        <v>11200</v>
      </c>
      <c r="P1075" s="2">
        <v>27.2</v>
      </c>
    </row>
    <row r="1076" spans="1:16" ht="24.95" customHeight="1" x14ac:dyDescent="0.25">
      <c r="A1076" s="1" t="s">
        <v>1017</v>
      </c>
      <c r="B1076" s="2">
        <v>268</v>
      </c>
      <c r="C1076" s="2">
        <v>108</v>
      </c>
      <c r="D1076" s="2">
        <v>25</v>
      </c>
      <c r="E1076" s="2">
        <v>82</v>
      </c>
      <c r="F1076" s="2">
        <v>1</v>
      </c>
      <c r="H1076" s="2">
        <v>111.8</v>
      </c>
      <c r="I1076" s="2">
        <v>754</v>
      </c>
      <c r="J1076" s="2">
        <v>121</v>
      </c>
      <c r="K1076" s="2">
        <v>84260</v>
      </c>
      <c r="L1076" s="2">
        <v>2919</v>
      </c>
      <c r="M1076" s="2">
        <v>93.5</v>
      </c>
      <c r="N1076" s="2">
        <v>163.1</v>
      </c>
      <c r="O1076" s="2">
        <v>9380</v>
      </c>
      <c r="P1076" s="2">
        <v>55.3</v>
      </c>
    </row>
    <row r="1077" spans="1:16" ht="24.95" customHeight="1" x14ac:dyDescent="0.25">
      <c r="A1077" s="1" t="s">
        <v>1018</v>
      </c>
      <c r="B1077" s="2">
        <v>230</v>
      </c>
      <c r="C1077" s="2">
        <v>99</v>
      </c>
      <c r="D1077" s="2">
        <v>15.3</v>
      </c>
      <c r="E1077" s="2">
        <v>82</v>
      </c>
      <c r="F1077" s="2">
        <v>1.7</v>
      </c>
      <c r="H1077" s="2">
        <v>100.7</v>
      </c>
      <c r="I1077" s="2">
        <v>750</v>
      </c>
      <c r="J1077" s="2">
        <v>155</v>
      </c>
      <c r="K1077" s="2">
        <v>75500</v>
      </c>
      <c r="L1077" s="2">
        <v>3414</v>
      </c>
      <c r="M1077" s="2">
        <v>145.80000000000001</v>
      </c>
      <c r="N1077" s="2">
        <v>189.7</v>
      </c>
      <c r="O1077" s="2">
        <v>9060</v>
      </c>
      <c r="P1077" s="2">
        <v>52.6</v>
      </c>
    </row>
    <row r="1078" spans="1:16" ht="24.95" customHeight="1" x14ac:dyDescent="0.25">
      <c r="A1078" s="1" t="s">
        <v>1019</v>
      </c>
      <c r="B1078" s="2">
        <v>272</v>
      </c>
      <c r="C1078" s="2">
        <v>116</v>
      </c>
      <c r="D1078" s="2">
        <v>32.5</v>
      </c>
      <c r="E1078" s="2">
        <v>82</v>
      </c>
      <c r="F1078" s="2">
        <v>1.5</v>
      </c>
      <c r="H1078" s="2">
        <v>118.8</v>
      </c>
      <c r="I1078" s="2">
        <v>1190</v>
      </c>
      <c r="J1078" s="2">
        <v>167</v>
      </c>
      <c r="K1078" s="2">
        <v>141375</v>
      </c>
      <c r="L1078" s="2">
        <v>4827</v>
      </c>
      <c r="M1078" s="2">
        <v>216.2</v>
      </c>
      <c r="N1078" s="2">
        <v>307.60000000000002</v>
      </c>
      <c r="O1078" s="2">
        <v>13650</v>
      </c>
      <c r="P1078" s="2">
        <v>49.7</v>
      </c>
    </row>
    <row r="1079" spans="1:16" ht="24.95" customHeight="1" x14ac:dyDescent="0.25">
      <c r="A1079" s="1" t="s">
        <v>1020</v>
      </c>
      <c r="B1079" s="2">
        <v>200</v>
      </c>
      <c r="C1079" s="2">
        <v>90</v>
      </c>
      <c r="D1079" s="2">
        <v>7.6</v>
      </c>
      <c r="E1079" s="2">
        <v>82</v>
      </c>
      <c r="F1079" s="2">
        <v>0.4</v>
      </c>
      <c r="H1079" s="2">
        <v>92.7</v>
      </c>
      <c r="I1079" s="2">
        <v>1932</v>
      </c>
      <c r="J1079" s="2">
        <v>119</v>
      </c>
      <c r="K1079" s="2">
        <v>179058</v>
      </c>
      <c r="L1079" s="2">
        <v>5126</v>
      </c>
      <c r="M1079" s="2">
        <v>190.7</v>
      </c>
      <c r="N1079" s="2">
        <v>460.2</v>
      </c>
      <c r="O1079" s="2">
        <v>23070</v>
      </c>
      <c r="P1079" s="2">
        <v>54.1</v>
      </c>
    </row>
    <row r="1080" spans="1:16" ht="24.95" customHeight="1" x14ac:dyDescent="0.25">
      <c r="A1080" s="1" t="s">
        <v>1021</v>
      </c>
      <c r="B1080" s="2">
        <v>236</v>
      </c>
      <c r="C1080" s="2">
        <v>108</v>
      </c>
      <c r="D1080" s="2">
        <v>25</v>
      </c>
      <c r="E1080" s="2">
        <v>82</v>
      </c>
      <c r="F1080" s="2">
        <v>1</v>
      </c>
      <c r="H1080" s="2">
        <v>109.6</v>
      </c>
      <c r="I1080" s="2">
        <v>590</v>
      </c>
      <c r="J1080" s="2">
        <v>150</v>
      </c>
      <c r="K1080" s="2">
        <v>64650</v>
      </c>
      <c r="L1080" s="2">
        <v>3141</v>
      </c>
      <c r="M1080" s="2">
        <v>111.9</v>
      </c>
      <c r="N1080" s="2">
        <v>155.6</v>
      </c>
      <c r="O1080" s="2">
        <v>9380</v>
      </c>
      <c r="P1080" s="2">
        <v>63</v>
      </c>
    </row>
    <row r="1081" spans="1:16" ht="24.95" customHeight="1" x14ac:dyDescent="0.25">
      <c r="A1081" s="1" t="s">
        <v>1022</v>
      </c>
      <c r="B1081" s="2">
        <v>208</v>
      </c>
      <c r="C1081" s="2">
        <v>96</v>
      </c>
      <c r="D1081" s="2">
        <v>12.6</v>
      </c>
      <c r="E1081" s="2">
        <v>82</v>
      </c>
      <c r="F1081" s="2">
        <v>1.4</v>
      </c>
      <c r="H1081" s="2">
        <v>97.5</v>
      </c>
      <c r="I1081" s="2">
        <v>1550</v>
      </c>
      <c r="J1081" s="2">
        <v>135</v>
      </c>
      <c r="K1081" s="2">
        <v>151198</v>
      </c>
      <c r="L1081" s="2">
        <v>5744</v>
      </c>
      <c r="M1081" s="2">
        <v>207.9</v>
      </c>
      <c r="N1081" s="2">
        <v>360.1</v>
      </c>
      <c r="O1081" s="2">
        <v>21620</v>
      </c>
      <c r="P1081" s="2">
        <v>53.1</v>
      </c>
    </row>
    <row r="1082" spans="1:16" ht="24.95" customHeight="1" x14ac:dyDescent="0.25">
      <c r="A1082" s="1" t="s">
        <v>6795</v>
      </c>
      <c r="B1082" s="2">
        <v>144</v>
      </c>
      <c r="C1082" s="2">
        <v>57</v>
      </c>
      <c r="I1082" s="2">
        <v>322072</v>
      </c>
      <c r="J1082" s="2">
        <v>172</v>
      </c>
      <c r="K1082" s="2">
        <v>18358104</v>
      </c>
      <c r="L1082" s="2">
        <v>454560</v>
      </c>
      <c r="M1082" s="2">
        <v>50921.599999999999</v>
      </c>
      <c r="N1082" s="2">
        <v>79273.8</v>
      </c>
      <c r="O1082" s="2">
        <v>1491000</v>
      </c>
    </row>
    <row r="1083" spans="1:16" ht="24.95" customHeight="1" x14ac:dyDescent="0.25">
      <c r="A1083" s="1" t="s">
        <v>1024</v>
      </c>
      <c r="B1083" s="2">
        <v>254</v>
      </c>
      <c r="C1083" s="2">
        <v>102</v>
      </c>
      <c r="D1083" s="2">
        <v>45.1</v>
      </c>
      <c r="E1083" s="2">
        <v>57</v>
      </c>
      <c r="F1083" s="2">
        <v>-0.1</v>
      </c>
      <c r="I1083" s="2">
        <v>9800</v>
      </c>
      <c r="J1083" s="2">
        <v>168</v>
      </c>
      <c r="K1083" s="2">
        <v>999600</v>
      </c>
      <c r="L1083" s="2">
        <v>12734</v>
      </c>
      <c r="M1083" s="2">
        <v>1745.8</v>
      </c>
      <c r="N1083" s="2">
        <v>2408</v>
      </c>
      <c r="O1083" s="2">
        <v>38950</v>
      </c>
    </row>
    <row r="1084" spans="1:16" ht="24.95" customHeight="1" x14ac:dyDescent="0.25">
      <c r="A1084" s="1" t="s">
        <v>1025</v>
      </c>
      <c r="B1084" s="2">
        <v>256</v>
      </c>
      <c r="C1084" s="2">
        <v>98</v>
      </c>
      <c r="D1084" s="2">
        <v>40.799999999999997</v>
      </c>
      <c r="E1084" s="2">
        <v>57</v>
      </c>
      <c r="F1084" s="2">
        <v>0.2</v>
      </c>
      <c r="I1084" s="2">
        <v>9130</v>
      </c>
      <c r="J1084" s="2">
        <v>205</v>
      </c>
      <c r="K1084" s="2">
        <v>894740</v>
      </c>
      <c r="L1084" s="2">
        <v>10395</v>
      </c>
      <c r="M1084" s="2">
        <v>1226.7</v>
      </c>
      <c r="N1084" s="2">
        <v>2253.4</v>
      </c>
      <c r="O1084" s="2">
        <v>32600</v>
      </c>
    </row>
    <row r="1085" spans="1:16" ht="24.95" customHeight="1" x14ac:dyDescent="0.25">
      <c r="A1085" s="1" t="s">
        <v>1026</v>
      </c>
      <c r="B1085" s="2">
        <v>260</v>
      </c>
      <c r="C1085" s="2">
        <v>106</v>
      </c>
      <c r="D1085" s="2">
        <v>47</v>
      </c>
      <c r="E1085" s="2">
        <v>59.8</v>
      </c>
      <c r="F1085" s="2">
        <v>-0.8</v>
      </c>
      <c r="I1085" s="2">
        <v>15167</v>
      </c>
      <c r="J1085" s="2">
        <v>162</v>
      </c>
      <c r="K1085" s="2">
        <v>1607702</v>
      </c>
      <c r="L1085" s="2">
        <v>20807</v>
      </c>
      <c r="M1085" s="2">
        <v>2558.6</v>
      </c>
      <c r="N1085" s="2">
        <v>3554.3</v>
      </c>
      <c r="O1085" s="2">
        <v>70380</v>
      </c>
    </row>
    <row r="1086" spans="1:16" ht="24.95" customHeight="1" x14ac:dyDescent="0.25">
      <c r="A1086" s="1" t="s">
        <v>1027</v>
      </c>
      <c r="B1086" s="2">
        <v>270</v>
      </c>
      <c r="C1086" s="2">
        <v>108</v>
      </c>
      <c r="D1086" s="2">
        <v>42.7</v>
      </c>
      <c r="E1086" s="2">
        <v>65.900000000000006</v>
      </c>
      <c r="F1086" s="2">
        <v>-0.6</v>
      </c>
      <c r="I1086" s="2">
        <v>3077</v>
      </c>
      <c r="J1086" s="2">
        <v>155</v>
      </c>
      <c r="K1086" s="2">
        <v>332316</v>
      </c>
      <c r="L1086" s="2">
        <v>5245</v>
      </c>
      <c r="M1086" s="2">
        <v>460.5</v>
      </c>
      <c r="N1086" s="2">
        <v>766.9</v>
      </c>
      <c r="O1086" s="2">
        <v>16940</v>
      </c>
    </row>
    <row r="1087" spans="1:16" ht="24.95" customHeight="1" x14ac:dyDescent="0.25">
      <c r="A1087" s="1" t="s">
        <v>1028</v>
      </c>
      <c r="B1087" s="2">
        <v>248</v>
      </c>
      <c r="C1087" s="2">
        <v>96</v>
      </c>
      <c r="D1087" s="2">
        <v>32.799999999999997</v>
      </c>
      <c r="E1087" s="2">
        <v>63.3</v>
      </c>
      <c r="F1087" s="2">
        <v>-0.1</v>
      </c>
      <c r="I1087" s="2">
        <v>14350</v>
      </c>
      <c r="J1087" s="2">
        <v>179</v>
      </c>
      <c r="K1087" s="2">
        <v>1377600</v>
      </c>
      <c r="L1087" s="2">
        <v>16880</v>
      </c>
      <c r="M1087" s="2">
        <v>1867.8</v>
      </c>
      <c r="N1087" s="2">
        <v>3603.3</v>
      </c>
      <c r="O1087" s="2">
        <v>54100</v>
      </c>
    </row>
    <row r="1088" spans="1:16" ht="24.95" customHeight="1" x14ac:dyDescent="0.25">
      <c r="A1088" s="1" t="s">
        <v>1029</v>
      </c>
      <c r="B1088" s="2">
        <v>266</v>
      </c>
      <c r="C1088" s="2">
        <v>98</v>
      </c>
      <c r="D1088" s="2">
        <v>40.700000000000003</v>
      </c>
      <c r="E1088" s="2">
        <v>50.7</v>
      </c>
      <c r="F1088" s="2">
        <v>0.3</v>
      </c>
      <c r="I1088" s="2">
        <v>13800</v>
      </c>
      <c r="J1088" s="2">
        <v>189</v>
      </c>
      <c r="K1088" s="2">
        <v>1352400</v>
      </c>
      <c r="L1088" s="2">
        <v>11728</v>
      </c>
      <c r="M1088" s="2">
        <v>1119.3</v>
      </c>
      <c r="N1088" s="2">
        <v>3398.5</v>
      </c>
      <c r="O1088" s="2">
        <v>35990</v>
      </c>
    </row>
    <row r="1089" spans="1:16" ht="24.95" customHeight="1" x14ac:dyDescent="0.25">
      <c r="A1089" s="1" t="s">
        <v>1030</v>
      </c>
      <c r="B1089" s="2">
        <v>254</v>
      </c>
      <c r="C1089" s="2">
        <v>102</v>
      </c>
      <c r="D1089" s="2">
        <v>43.5</v>
      </c>
      <c r="E1089" s="2">
        <v>59.5</v>
      </c>
      <c r="F1089" s="2">
        <v>-1</v>
      </c>
      <c r="I1089" s="2">
        <v>9300</v>
      </c>
      <c r="J1089" s="2">
        <v>157</v>
      </c>
      <c r="K1089" s="2">
        <v>948600</v>
      </c>
      <c r="L1089" s="2">
        <v>14406</v>
      </c>
      <c r="M1089" s="2">
        <v>1795.5</v>
      </c>
      <c r="N1089" s="2">
        <v>2312</v>
      </c>
      <c r="O1089" s="2">
        <v>46750</v>
      </c>
    </row>
    <row r="1090" spans="1:16" ht="24.95" customHeight="1" x14ac:dyDescent="0.25">
      <c r="A1090" s="1" t="s">
        <v>1031</v>
      </c>
      <c r="B1090" s="2">
        <v>275</v>
      </c>
      <c r="C1090" s="2">
        <v>106</v>
      </c>
      <c r="D1090" s="2">
        <v>49.3</v>
      </c>
      <c r="E1090" s="2">
        <v>57</v>
      </c>
      <c r="F1090" s="2">
        <v>-0.3</v>
      </c>
      <c r="I1090" s="2">
        <v>13200</v>
      </c>
      <c r="J1090" s="2">
        <v>197</v>
      </c>
      <c r="K1090" s="2">
        <v>1399200</v>
      </c>
      <c r="L1090" s="2">
        <v>19989</v>
      </c>
      <c r="M1090" s="2">
        <v>1851.3</v>
      </c>
      <c r="N1090" s="2">
        <v>3264.5</v>
      </c>
      <c r="O1090" s="2">
        <v>63660</v>
      </c>
    </row>
    <row r="1091" spans="1:16" ht="24.95" customHeight="1" x14ac:dyDescent="0.25">
      <c r="A1091" s="1" t="s">
        <v>1032</v>
      </c>
      <c r="B1091" s="2">
        <v>252</v>
      </c>
      <c r="C1091" s="2">
        <v>98</v>
      </c>
      <c r="D1091" s="2">
        <v>33.1</v>
      </c>
      <c r="E1091" s="2">
        <v>65.8</v>
      </c>
      <c r="F1091" s="2">
        <v>-0.8</v>
      </c>
      <c r="I1091" s="2">
        <v>10600</v>
      </c>
      <c r="J1091" s="2">
        <v>165</v>
      </c>
      <c r="K1091" s="2">
        <v>1038800</v>
      </c>
      <c r="L1091" s="2">
        <v>16120</v>
      </c>
      <c r="M1091" s="2">
        <v>1584.4</v>
      </c>
      <c r="N1091" s="2">
        <v>2667.8</v>
      </c>
      <c r="O1091" s="2">
        <v>54680</v>
      </c>
    </row>
    <row r="1092" spans="1:16" ht="24.95" customHeight="1" x14ac:dyDescent="0.25">
      <c r="A1092" s="1" t="s">
        <v>1033</v>
      </c>
      <c r="B1092" s="2">
        <v>259</v>
      </c>
      <c r="C1092" s="2">
        <v>108</v>
      </c>
      <c r="D1092" s="2">
        <v>51.4</v>
      </c>
      <c r="E1092" s="2">
        <v>57</v>
      </c>
      <c r="F1092" s="2">
        <v>-0.3</v>
      </c>
      <c r="I1092" s="2">
        <v>10147</v>
      </c>
      <c r="J1092" s="2">
        <v>144</v>
      </c>
      <c r="K1092" s="2">
        <v>1095876</v>
      </c>
      <c r="L1092" s="2">
        <v>12585</v>
      </c>
      <c r="M1092" s="2">
        <v>1578.6</v>
      </c>
      <c r="N1092" s="2">
        <v>2550.3000000000002</v>
      </c>
      <c r="O1092" s="2">
        <v>40680</v>
      </c>
    </row>
    <row r="1093" spans="1:16" ht="24.95" customHeight="1" x14ac:dyDescent="0.25">
      <c r="A1093" s="1" t="s">
        <v>1034</v>
      </c>
      <c r="B1093" s="2">
        <v>252</v>
      </c>
      <c r="C1093" s="2">
        <v>103</v>
      </c>
      <c r="D1093" s="2">
        <v>46.6</v>
      </c>
      <c r="E1093" s="2">
        <v>57</v>
      </c>
      <c r="F1093" s="2">
        <v>-0.6</v>
      </c>
      <c r="I1093" s="2">
        <v>14500</v>
      </c>
      <c r="J1093" s="2">
        <v>177</v>
      </c>
      <c r="K1093" s="2">
        <v>1493500</v>
      </c>
      <c r="L1093" s="2">
        <v>20171</v>
      </c>
      <c r="M1093" s="2">
        <v>2176.1999999999998</v>
      </c>
      <c r="N1093" s="2">
        <v>3538</v>
      </c>
      <c r="O1093" s="2">
        <v>63170</v>
      </c>
    </row>
    <row r="1094" spans="1:16" ht="24.95" customHeight="1" x14ac:dyDescent="0.25">
      <c r="A1094" s="1" t="s">
        <v>1035</v>
      </c>
      <c r="B1094" s="2">
        <v>262</v>
      </c>
      <c r="C1094" s="2">
        <v>108</v>
      </c>
      <c r="D1094" s="2">
        <v>51.7</v>
      </c>
      <c r="E1094" s="2">
        <v>57</v>
      </c>
      <c r="F1094" s="2">
        <v>-0.7</v>
      </c>
      <c r="I1094" s="2">
        <v>17830</v>
      </c>
      <c r="J1094" s="2">
        <v>158</v>
      </c>
      <c r="K1094" s="2">
        <v>1925640</v>
      </c>
      <c r="L1094" s="2">
        <v>25676</v>
      </c>
      <c r="M1094" s="2">
        <v>3004.7</v>
      </c>
      <c r="N1094" s="2">
        <v>4443.1000000000004</v>
      </c>
      <c r="O1094" s="2">
        <v>78430</v>
      </c>
    </row>
    <row r="1095" spans="1:16" ht="24.95" customHeight="1" x14ac:dyDescent="0.25">
      <c r="A1095" s="1" t="s">
        <v>1036</v>
      </c>
      <c r="B1095" s="2">
        <v>272</v>
      </c>
      <c r="C1095" s="2">
        <v>105</v>
      </c>
      <c r="D1095" s="2">
        <v>48</v>
      </c>
      <c r="E1095" s="2">
        <v>57</v>
      </c>
      <c r="I1095" s="2">
        <v>14478</v>
      </c>
      <c r="J1095" s="2">
        <v>164</v>
      </c>
      <c r="K1095" s="2">
        <v>1520190</v>
      </c>
      <c r="L1095" s="2">
        <v>17625</v>
      </c>
      <c r="M1095" s="2">
        <v>2272.3000000000002</v>
      </c>
      <c r="N1095" s="2">
        <v>3567.4</v>
      </c>
      <c r="O1095" s="2">
        <v>56850</v>
      </c>
    </row>
    <row r="1096" spans="1:16" ht="24.95" customHeight="1" x14ac:dyDescent="0.25">
      <c r="A1096" s="1" t="s">
        <v>1038</v>
      </c>
      <c r="B1096" s="2">
        <v>248</v>
      </c>
      <c r="C1096" s="2">
        <v>104</v>
      </c>
      <c r="D1096" s="2">
        <v>45</v>
      </c>
      <c r="E1096" s="2">
        <v>59.8</v>
      </c>
      <c r="F1096" s="2">
        <v>-0.8</v>
      </c>
      <c r="I1096" s="2">
        <v>8550</v>
      </c>
      <c r="J1096" s="2">
        <v>160</v>
      </c>
      <c r="K1096" s="2">
        <v>889200</v>
      </c>
      <c r="L1096" s="2">
        <v>12237</v>
      </c>
      <c r="M1096" s="2">
        <v>1583.8</v>
      </c>
      <c r="N1096" s="2">
        <v>2046.2</v>
      </c>
      <c r="O1096" s="2">
        <v>41370</v>
      </c>
    </row>
    <row r="1097" spans="1:16" ht="24.95" customHeight="1" x14ac:dyDescent="0.25">
      <c r="A1097" s="1" t="s">
        <v>1039</v>
      </c>
      <c r="B1097" s="2">
        <v>276</v>
      </c>
      <c r="C1097" s="2">
        <v>105</v>
      </c>
      <c r="D1097" s="2">
        <v>48.9</v>
      </c>
      <c r="E1097" s="2">
        <v>57.3</v>
      </c>
      <c r="F1097" s="2">
        <v>-1.1000000000000001</v>
      </c>
      <c r="I1097" s="2">
        <v>9344</v>
      </c>
      <c r="J1097" s="2">
        <v>159</v>
      </c>
      <c r="K1097" s="2">
        <v>981120</v>
      </c>
      <c r="L1097" s="2">
        <v>17390</v>
      </c>
      <c r="M1097" s="2">
        <v>1734</v>
      </c>
      <c r="N1097" s="2">
        <v>2220.8000000000002</v>
      </c>
      <c r="O1097" s="2">
        <v>56380</v>
      </c>
      <c r="P1097" s="2">
        <v>7.6</v>
      </c>
    </row>
    <row r="1098" spans="1:16" ht="24.95" customHeight="1" x14ac:dyDescent="0.25">
      <c r="A1098" s="1" t="s">
        <v>1040</v>
      </c>
      <c r="B1098" s="2">
        <v>236</v>
      </c>
      <c r="C1098" s="2">
        <v>98</v>
      </c>
      <c r="D1098" s="2">
        <v>33.6</v>
      </c>
      <c r="E1098" s="2">
        <v>65.8</v>
      </c>
      <c r="F1098" s="2">
        <v>-1.4</v>
      </c>
      <c r="I1098" s="2">
        <v>5600</v>
      </c>
      <c r="J1098" s="2">
        <v>162</v>
      </c>
      <c r="K1098" s="2">
        <v>548800</v>
      </c>
      <c r="L1098" s="2">
        <v>9641</v>
      </c>
      <c r="M1098" s="2">
        <v>1021.6</v>
      </c>
      <c r="N1098" s="2">
        <v>1348.4</v>
      </c>
      <c r="O1098" s="2">
        <v>35110</v>
      </c>
      <c r="P1098" s="2">
        <v>9.9</v>
      </c>
    </row>
    <row r="1099" spans="1:16" ht="24.95" customHeight="1" x14ac:dyDescent="0.25">
      <c r="A1099" s="1" t="s">
        <v>1041</v>
      </c>
      <c r="B1099" s="2">
        <v>260</v>
      </c>
      <c r="C1099" s="2">
        <v>100</v>
      </c>
      <c r="D1099" s="2">
        <v>36.799999999999997</v>
      </c>
      <c r="E1099" s="2">
        <v>63.3</v>
      </c>
      <c r="F1099" s="2">
        <v>0.1</v>
      </c>
      <c r="I1099" s="2">
        <v>6500</v>
      </c>
      <c r="J1099" s="2">
        <v>188</v>
      </c>
      <c r="K1099" s="2">
        <v>650000</v>
      </c>
      <c r="L1099" s="2">
        <v>10427</v>
      </c>
      <c r="M1099" s="2">
        <v>859</v>
      </c>
      <c r="N1099" s="2">
        <v>1600.6</v>
      </c>
      <c r="O1099" s="2">
        <v>41790</v>
      </c>
      <c r="P1099" s="2">
        <v>10.7</v>
      </c>
    </row>
    <row r="1100" spans="1:16" ht="24.95" customHeight="1" x14ac:dyDescent="0.25">
      <c r="A1100" s="1" t="s">
        <v>1042</v>
      </c>
      <c r="B1100" s="2">
        <v>254</v>
      </c>
      <c r="C1100" s="2">
        <v>102</v>
      </c>
      <c r="D1100" s="2">
        <v>45.4</v>
      </c>
      <c r="E1100" s="2">
        <v>57.3</v>
      </c>
      <c r="F1100" s="2">
        <v>-0.7</v>
      </c>
      <c r="I1100" s="2">
        <v>15480</v>
      </c>
      <c r="J1100" s="2">
        <v>166</v>
      </c>
      <c r="K1100" s="2">
        <v>1578960</v>
      </c>
      <c r="L1100" s="2">
        <v>22019</v>
      </c>
      <c r="M1100" s="2">
        <v>3158</v>
      </c>
      <c r="N1100" s="2">
        <v>3739.2</v>
      </c>
      <c r="O1100" s="2">
        <v>74260</v>
      </c>
    </row>
    <row r="1101" spans="1:16" ht="24.95" customHeight="1" x14ac:dyDescent="0.25">
      <c r="A1101" s="1" t="s">
        <v>1045</v>
      </c>
      <c r="B1101" s="2">
        <v>256</v>
      </c>
      <c r="C1101" s="2">
        <v>105</v>
      </c>
      <c r="D1101" s="2">
        <v>40.1</v>
      </c>
      <c r="E1101" s="2">
        <v>65.900000000000006</v>
      </c>
      <c r="F1101" s="2">
        <v>-0.9</v>
      </c>
      <c r="I1101" s="2">
        <v>4320</v>
      </c>
      <c r="J1101" s="2">
        <v>163</v>
      </c>
      <c r="K1101" s="2">
        <v>453600</v>
      </c>
      <c r="L1101" s="2">
        <v>6883</v>
      </c>
      <c r="M1101" s="2">
        <v>681.1</v>
      </c>
      <c r="N1101" s="2">
        <v>1051.0999999999999</v>
      </c>
      <c r="O1101" s="2">
        <v>22540</v>
      </c>
    </row>
    <row r="1102" spans="1:16" ht="24.95" customHeight="1" x14ac:dyDescent="0.25">
      <c r="A1102" s="1" t="s">
        <v>1046</v>
      </c>
      <c r="B1102" s="2">
        <v>274</v>
      </c>
      <c r="C1102" s="2">
        <v>108</v>
      </c>
      <c r="D1102" s="2">
        <v>42.7</v>
      </c>
      <c r="E1102" s="2">
        <v>65.900000000000006</v>
      </c>
      <c r="F1102" s="2">
        <v>-0.6</v>
      </c>
      <c r="I1102" s="2">
        <v>5520</v>
      </c>
      <c r="J1102" s="2">
        <v>163</v>
      </c>
      <c r="K1102" s="2">
        <v>596160</v>
      </c>
      <c r="L1102" s="2">
        <v>8721</v>
      </c>
      <c r="M1102" s="2">
        <v>878.5</v>
      </c>
      <c r="N1102" s="2">
        <v>1503.3</v>
      </c>
      <c r="O1102" s="2">
        <v>31150</v>
      </c>
    </row>
    <row r="1103" spans="1:16" ht="24.95" customHeight="1" x14ac:dyDescent="0.25">
      <c r="A1103" s="1" t="s">
        <v>1047</v>
      </c>
      <c r="B1103" s="2">
        <v>246</v>
      </c>
      <c r="C1103" s="2">
        <v>97</v>
      </c>
      <c r="D1103" s="2">
        <v>37.5</v>
      </c>
      <c r="E1103" s="2">
        <v>59.8</v>
      </c>
      <c r="F1103" s="2">
        <v>-0.2</v>
      </c>
      <c r="I1103" s="2">
        <v>15500</v>
      </c>
      <c r="J1103" s="2">
        <v>180</v>
      </c>
      <c r="K1103" s="2">
        <v>1503500</v>
      </c>
      <c r="L1103" s="2">
        <v>19227</v>
      </c>
      <c r="M1103" s="2">
        <v>2605.1</v>
      </c>
      <c r="N1103" s="2">
        <v>3756.6</v>
      </c>
      <c r="O1103" s="2">
        <v>60970</v>
      </c>
    </row>
    <row r="1104" spans="1:16" ht="24.95" customHeight="1" x14ac:dyDescent="0.25">
      <c r="A1104" s="1" t="s">
        <v>1048</v>
      </c>
      <c r="B1104" s="2">
        <v>242</v>
      </c>
      <c r="C1104" s="2">
        <v>96</v>
      </c>
      <c r="D1104" s="2">
        <v>30.3</v>
      </c>
      <c r="E1104" s="2">
        <v>66.400000000000006</v>
      </c>
      <c r="F1104" s="2">
        <v>-0.7</v>
      </c>
      <c r="I1104" s="2">
        <v>5846</v>
      </c>
      <c r="J1104" s="2">
        <v>185</v>
      </c>
      <c r="K1104" s="2">
        <v>561216</v>
      </c>
      <c r="L1104" s="2">
        <v>9335</v>
      </c>
      <c r="M1104" s="2">
        <v>977.5</v>
      </c>
      <c r="N1104" s="2">
        <v>1507.3</v>
      </c>
      <c r="O1104" s="2">
        <v>27520</v>
      </c>
    </row>
    <row r="1105" spans="1:16" ht="24.95" customHeight="1" x14ac:dyDescent="0.25">
      <c r="A1105" s="1" t="s">
        <v>1049</v>
      </c>
      <c r="B1105" s="2">
        <v>256</v>
      </c>
      <c r="C1105" s="2">
        <v>106</v>
      </c>
      <c r="D1105" s="2">
        <v>40.799999999999997</v>
      </c>
      <c r="E1105" s="2">
        <v>65.8</v>
      </c>
      <c r="F1105" s="2">
        <v>-0.6</v>
      </c>
      <c r="I1105" s="2">
        <v>6710</v>
      </c>
      <c r="J1105" s="2">
        <v>181</v>
      </c>
      <c r="K1105" s="2">
        <v>711260</v>
      </c>
      <c r="L1105" s="2">
        <v>8783</v>
      </c>
      <c r="M1105" s="2">
        <v>937.9</v>
      </c>
      <c r="N1105" s="2">
        <v>1628.1</v>
      </c>
      <c r="O1105" s="2">
        <v>31650</v>
      </c>
    </row>
    <row r="1106" spans="1:16" ht="24.95" customHeight="1" x14ac:dyDescent="0.25">
      <c r="A1106" s="1" t="s">
        <v>1050</v>
      </c>
      <c r="B1106" s="2">
        <v>256</v>
      </c>
      <c r="C1106" s="2">
        <v>107</v>
      </c>
      <c r="D1106" s="2">
        <v>41.9</v>
      </c>
      <c r="E1106" s="2">
        <v>65.900000000000006</v>
      </c>
      <c r="F1106" s="2">
        <v>-0.7</v>
      </c>
      <c r="I1106" s="2">
        <v>2615</v>
      </c>
      <c r="J1106" s="2">
        <v>156</v>
      </c>
      <c r="K1106" s="2">
        <v>279805</v>
      </c>
      <c r="L1106" s="2">
        <v>3710</v>
      </c>
      <c r="M1106" s="2">
        <v>438.3</v>
      </c>
      <c r="N1106" s="2">
        <v>651.9</v>
      </c>
      <c r="O1106" s="2">
        <v>12990</v>
      </c>
    </row>
    <row r="1107" spans="1:16" ht="24.95" customHeight="1" x14ac:dyDescent="0.25">
      <c r="A1107" s="1" t="s">
        <v>1051</v>
      </c>
      <c r="B1107" s="2">
        <v>258</v>
      </c>
      <c r="C1107" s="2">
        <v>99</v>
      </c>
      <c r="D1107" s="2">
        <v>33.9</v>
      </c>
      <c r="E1107" s="2">
        <v>65.8</v>
      </c>
      <c r="F1107" s="2">
        <v>-0.6</v>
      </c>
      <c r="I1107" s="2">
        <v>8000</v>
      </c>
      <c r="J1107" s="2">
        <v>184</v>
      </c>
      <c r="K1107" s="2">
        <v>792000</v>
      </c>
      <c r="L1107" s="2">
        <v>11328</v>
      </c>
      <c r="M1107" s="2">
        <v>1349.5</v>
      </c>
      <c r="N1107" s="2">
        <v>1946.9</v>
      </c>
      <c r="O1107" s="2">
        <v>36650</v>
      </c>
    </row>
    <row r="1108" spans="1:16" ht="24.95" customHeight="1" x14ac:dyDescent="0.25">
      <c r="A1108" s="1" t="s">
        <v>1052</v>
      </c>
      <c r="B1108" s="2">
        <v>240</v>
      </c>
      <c r="C1108" s="2">
        <v>92</v>
      </c>
      <c r="D1108" s="2">
        <v>33</v>
      </c>
      <c r="E1108" s="2">
        <v>59.5</v>
      </c>
      <c r="F1108" s="2">
        <v>-0.5</v>
      </c>
      <c r="I1108" s="2">
        <v>15920</v>
      </c>
      <c r="J1108" s="2">
        <v>184</v>
      </c>
      <c r="K1108" s="2">
        <v>1464640</v>
      </c>
      <c r="L1108" s="2">
        <v>22618</v>
      </c>
      <c r="M1108" s="2">
        <v>2370.3000000000002</v>
      </c>
      <c r="N1108" s="2">
        <v>3949.7</v>
      </c>
      <c r="O1108" s="2">
        <v>67560</v>
      </c>
    </row>
    <row r="1109" spans="1:16" ht="24.95" customHeight="1" x14ac:dyDescent="0.25">
      <c r="A1109" s="1" t="s">
        <v>1053</v>
      </c>
      <c r="B1109" s="2">
        <v>240</v>
      </c>
      <c r="C1109" s="2">
        <v>94</v>
      </c>
      <c r="D1109" s="2">
        <v>28.1</v>
      </c>
      <c r="E1109" s="2">
        <v>65.900000000000006</v>
      </c>
      <c r="I1109" s="2">
        <v>12000</v>
      </c>
      <c r="J1109" s="2">
        <v>197</v>
      </c>
      <c r="K1109" s="2">
        <v>1128000</v>
      </c>
      <c r="L1109" s="2">
        <v>13925</v>
      </c>
      <c r="M1109" s="2">
        <v>1575.1</v>
      </c>
      <c r="N1109" s="2">
        <v>2915.1</v>
      </c>
      <c r="O1109" s="2">
        <v>45910</v>
      </c>
    </row>
    <row r="1110" spans="1:16" ht="24.95" customHeight="1" x14ac:dyDescent="0.25">
      <c r="A1110" s="1" t="s">
        <v>192</v>
      </c>
      <c r="B1110" s="2">
        <v>254</v>
      </c>
      <c r="C1110" s="2">
        <v>102</v>
      </c>
      <c r="D1110" s="2">
        <v>37</v>
      </c>
      <c r="E1110" s="2">
        <v>65.8</v>
      </c>
      <c r="F1110" s="2">
        <v>-0.8</v>
      </c>
      <c r="I1110" s="2">
        <v>13075</v>
      </c>
      <c r="J1110" s="2">
        <v>179</v>
      </c>
      <c r="K1110" s="2">
        <v>1333650</v>
      </c>
      <c r="L1110" s="2">
        <v>19910</v>
      </c>
      <c r="M1110" s="2">
        <v>2080.6999999999998</v>
      </c>
      <c r="N1110" s="2">
        <v>3168.3</v>
      </c>
      <c r="O1110" s="2">
        <v>70610</v>
      </c>
    </row>
    <row r="1111" spans="1:16" ht="24.95" customHeight="1" x14ac:dyDescent="0.25">
      <c r="A1111" s="1" t="s">
        <v>1054</v>
      </c>
      <c r="B1111" s="2">
        <v>248</v>
      </c>
      <c r="C1111" s="2">
        <v>97</v>
      </c>
      <c r="D1111" s="2">
        <v>30.9</v>
      </c>
      <c r="E1111" s="2">
        <v>65.900000000000006</v>
      </c>
      <c r="F1111" s="2">
        <v>0.3</v>
      </c>
      <c r="H1111" s="2">
        <v>99.8</v>
      </c>
      <c r="I1111" s="2">
        <v>2655</v>
      </c>
      <c r="J1111" s="2">
        <v>171</v>
      </c>
      <c r="K1111" s="2">
        <v>265011</v>
      </c>
      <c r="L1111" s="2">
        <v>5150</v>
      </c>
      <c r="M1111" s="2">
        <v>500.5</v>
      </c>
      <c r="N1111" s="2">
        <v>663.9</v>
      </c>
      <c r="O1111" s="2">
        <v>16610</v>
      </c>
      <c r="P1111" s="2">
        <v>9.4</v>
      </c>
    </row>
    <row r="1112" spans="1:16" ht="24.95" customHeight="1" x14ac:dyDescent="0.25">
      <c r="A1112" s="1" t="s">
        <v>1055</v>
      </c>
      <c r="B1112" s="2">
        <v>227</v>
      </c>
      <c r="C1112" s="2">
        <v>90</v>
      </c>
      <c r="D1112" s="2">
        <v>23.9</v>
      </c>
      <c r="E1112" s="2">
        <v>65.900000000000006</v>
      </c>
      <c r="F1112" s="2">
        <v>0.3</v>
      </c>
      <c r="H1112" s="2">
        <v>91.3</v>
      </c>
      <c r="I1112" s="2">
        <v>6850</v>
      </c>
      <c r="J1112" s="2">
        <v>163</v>
      </c>
      <c r="K1112" s="2">
        <v>625230</v>
      </c>
      <c r="L1112" s="2">
        <v>9816</v>
      </c>
      <c r="M1112" s="2">
        <v>915.8</v>
      </c>
      <c r="N1112" s="2">
        <v>1712.6</v>
      </c>
      <c r="O1112" s="2">
        <v>32400</v>
      </c>
    </row>
    <row r="1113" spans="1:16" ht="24.95" customHeight="1" x14ac:dyDescent="0.25">
      <c r="A1113" s="1" t="s">
        <v>1056</v>
      </c>
      <c r="B1113" s="2">
        <v>224</v>
      </c>
      <c r="C1113" s="2">
        <v>86</v>
      </c>
      <c r="D1113" s="2">
        <v>19.899999999999999</v>
      </c>
      <c r="E1113" s="2">
        <v>65.900000000000006</v>
      </c>
      <c r="F1113" s="2">
        <v>0.2</v>
      </c>
      <c r="H1113" s="2">
        <v>87.3</v>
      </c>
      <c r="I1113" s="2">
        <v>6760</v>
      </c>
      <c r="J1113" s="2">
        <v>161</v>
      </c>
      <c r="K1113" s="2">
        <v>589999</v>
      </c>
      <c r="L1113" s="2">
        <v>11927</v>
      </c>
      <c r="M1113" s="2">
        <v>1229.5</v>
      </c>
      <c r="N1113" s="2">
        <v>1700.7</v>
      </c>
      <c r="O1113" s="2">
        <v>40940</v>
      </c>
      <c r="P1113" s="2">
        <v>4.5</v>
      </c>
    </row>
    <row r="1114" spans="1:16" ht="24.95" customHeight="1" x14ac:dyDescent="0.25">
      <c r="A1114" s="1" t="s">
        <v>1028</v>
      </c>
      <c r="B1114" s="2">
        <v>238</v>
      </c>
      <c r="C1114" s="2">
        <v>96</v>
      </c>
      <c r="D1114" s="2">
        <v>30</v>
      </c>
      <c r="E1114" s="2">
        <v>65.900000000000006</v>
      </c>
      <c r="F1114" s="2">
        <v>0.2</v>
      </c>
      <c r="H1114" s="2">
        <v>97.9</v>
      </c>
      <c r="I1114" s="2">
        <v>9608</v>
      </c>
      <c r="J1114" s="2">
        <v>170</v>
      </c>
      <c r="K1114" s="2">
        <v>940292</v>
      </c>
      <c r="L1114" s="2">
        <v>16539</v>
      </c>
      <c r="M1114" s="2">
        <v>1682.8</v>
      </c>
      <c r="N1114" s="2">
        <v>2378.1</v>
      </c>
      <c r="O1114" s="2">
        <v>55830</v>
      </c>
      <c r="P1114" s="2">
        <v>2.1</v>
      </c>
    </row>
    <row r="1115" spans="1:16" ht="24.95" customHeight="1" x14ac:dyDescent="0.25">
      <c r="A1115" s="1" t="s">
        <v>1057</v>
      </c>
      <c r="B1115" s="2">
        <v>242</v>
      </c>
      <c r="C1115" s="2">
        <v>95</v>
      </c>
      <c r="D1115" s="2">
        <v>28.9</v>
      </c>
      <c r="E1115" s="2">
        <v>65.900000000000006</v>
      </c>
      <c r="F1115" s="2">
        <v>0.2</v>
      </c>
      <c r="H1115" s="2">
        <v>97.3</v>
      </c>
      <c r="I1115" s="2">
        <v>5950</v>
      </c>
      <c r="J1115" s="2">
        <v>158</v>
      </c>
      <c r="K1115" s="2">
        <v>579005</v>
      </c>
      <c r="L1115" s="2">
        <v>10613</v>
      </c>
      <c r="M1115" s="2">
        <v>1100.9000000000001</v>
      </c>
      <c r="N1115" s="2">
        <v>1457.3</v>
      </c>
      <c r="O1115" s="2">
        <v>35580</v>
      </c>
      <c r="P1115" s="2">
        <v>6.7</v>
      </c>
    </row>
    <row r="1116" spans="1:16" ht="24.95" customHeight="1" x14ac:dyDescent="0.25">
      <c r="A1116" s="1" t="s">
        <v>6796</v>
      </c>
      <c r="B1116" s="2">
        <v>186</v>
      </c>
      <c r="C1116" s="2">
        <v>85</v>
      </c>
      <c r="I1116" s="2">
        <v>74756</v>
      </c>
      <c r="J1116" s="2">
        <v>170</v>
      </c>
      <c r="K1116" s="2">
        <v>6354260</v>
      </c>
      <c r="L1116" s="2">
        <v>134609</v>
      </c>
      <c r="M1116" s="2">
        <v>13410.1</v>
      </c>
      <c r="N1116" s="2">
        <v>18605.8</v>
      </c>
      <c r="O1116" s="2">
        <v>383100</v>
      </c>
    </row>
    <row r="1117" spans="1:16" ht="24.95" customHeight="1" x14ac:dyDescent="0.25">
      <c r="A1117" s="1" t="s">
        <v>1059</v>
      </c>
      <c r="B1117" s="2">
        <v>286</v>
      </c>
      <c r="C1117" s="2">
        <v>128</v>
      </c>
      <c r="D1117" s="2">
        <v>40.700000000000003</v>
      </c>
      <c r="E1117" s="2">
        <v>89</v>
      </c>
      <c r="F1117" s="2">
        <v>-1.7</v>
      </c>
      <c r="I1117" s="2">
        <v>6635</v>
      </c>
      <c r="J1117" s="2">
        <v>160</v>
      </c>
      <c r="K1117" s="2">
        <v>849280</v>
      </c>
      <c r="L1117" s="2">
        <v>11359</v>
      </c>
      <c r="M1117" s="2">
        <v>1253.0999999999999</v>
      </c>
      <c r="N1117" s="2">
        <v>1628.6</v>
      </c>
      <c r="O1117" s="2">
        <v>30680</v>
      </c>
    </row>
    <row r="1118" spans="1:16" ht="24.95" customHeight="1" x14ac:dyDescent="0.25">
      <c r="A1118" s="1" t="s">
        <v>1060</v>
      </c>
      <c r="B1118" s="2">
        <v>240</v>
      </c>
      <c r="C1118" s="2">
        <v>108</v>
      </c>
      <c r="D1118" s="2">
        <v>24.4</v>
      </c>
      <c r="E1118" s="2">
        <v>85</v>
      </c>
      <c r="F1118" s="2">
        <v>-1.4</v>
      </c>
      <c r="I1118" s="2">
        <v>22836</v>
      </c>
      <c r="J1118" s="2">
        <v>188</v>
      </c>
      <c r="K1118" s="2">
        <v>2466288</v>
      </c>
      <c r="L1118" s="2">
        <v>27175</v>
      </c>
      <c r="M1118" s="2">
        <v>4130.1000000000004</v>
      </c>
      <c r="N1118" s="2">
        <v>5704.3</v>
      </c>
      <c r="O1118" s="2">
        <v>71980</v>
      </c>
    </row>
    <row r="1119" spans="1:16" ht="24.95" customHeight="1" x14ac:dyDescent="0.25">
      <c r="A1119" s="1" t="s">
        <v>1061</v>
      </c>
      <c r="B1119" s="2">
        <v>279</v>
      </c>
      <c r="C1119" s="2">
        <v>126</v>
      </c>
      <c r="D1119" s="2">
        <v>42</v>
      </c>
      <c r="E1119" s="2">
        <v>86.3</v>
      </c>
      <c r="F1119" s="2">
        <v>-2.2999999999999998</v>
      </c>
      <c r="I1119" s="2">
        <v>2832</v>
      </c>
      <c r="J1119" s="2">
        <v>173</v>
      </c>
      <c r="K1119" s="2">
        <v>356832</v>
      </c>
      <c r="L1119" s="2">
        <v>4467</v>
      </c>
      <c r="M1119" s="2">
        <v>376.2</v>
      </c>
      <c r="N1119" s="2">
        <v>695.1</v>
      </c>
      <c r="O1119" s="2">
        <v>13810</v>
      </c>
    </row>
    <row r="1120" spans="1:16" ht="24.95" customHeight="1" x14ac:dyDescent="0.25">
      <c r="A1120" s="1" t="s">
        <v>1062</v>
      </c>
      <c r="B1120" s="2">
        <v>274</v>
      </c>
      <c r="C1120" s="2">
        <v>150</v>
      </c>
      <c r="D1120" s="2">
        <v>64.7</v>
      </c>
      <c r="E1120" s="2">
        <v>89</v>
      </c>
      <c r="F1120" s="2">
        <v>-3.7</v>
      </c>
      <c r="I1120" s="2">
        <v>656</v>
      </c>
      <c r="J1120" s="2">
        <v>126</v>
      </c>
      <c r="K1120" s="2">
        <v>98400</v>
      </c>
      <c r="L1120" s="2">
        <v>1513</v>
      </c>
      <c r="M1120" s="2">
        <v>102.8</v>
      </c>
      <c r="N1120" s="2">
        <v>170.7</v>
      </c>
      <c r="O1120" s="2">
        <v>4360</v>
      </c>
      <c r="P1120" s="2">
        <v>12.4</v>
      </c>
    </row>
    <row r="1121" spans="1:16" ht="24.95" customHeight="1" x14ac:dyDescent="0.25">
      <c r="A1121" s="1" t="s">
        <v>1063</v>
      </c>
      <c r="B1121" s="2">
        <v>278</v>
      </c>
      <c r="C1121" s="2">
        <v>120</v>
      </c>
      <c r="D1121" s="2">
        <v>32.5</v>
      </c>
      <c r="E1121" s="2">
        <v>89</v>
      </c>
      <c r="F1121" s="2">
        <v>-1.5</v>
      </c>
      <c r="I1121" s="2">
        <v>3000</v>
      </c>
      <c r="J1121" s="2">
        <v>235</v>
      </c>
      <c r="K1121" s="2">
        <v>360000</v>
      </c>
      <c r="L1121" s="2">
        <v>4862</v>
      </c>
      <c r="M1121" s="2">
        <v>479.1</v>
      </c>
      <c r="N1121" s="2">
        <v>754.6</v>
      </c>
      <c r="O1121" s="2">
        <v>14660</v>
      </c>
    </row>
    <row r="1122" spans="1:16" ht="24.95" customHeight="1" x14ac:dyDescent="0.25">
      <c r="A1122" s="1" t="s">
        <v>1064</v>
      </c>
      <c r="B1122" s="2">
        <v>246</v>
      </c>
      <c r="C1122" s="2">
        <v>114</v>
      </c>
      <c r="D1122" s="2">
        <v>27.2</v>
      </c>
      <c r="E1122" s="2">
        <v>89</v>
      </c>
      <c r="F1122" s="2">
        <v>-2.2000000000000002</v>
      </c>
      <c r="I1122" s="2">
        <v>4200</v>
      </c>
      <c r="J1122" s="2">
        <v>177</v>
      </c>
      <c r="K1122" s="2">
        <v>478800</v>
      </c>
      <c r="L1122" s="2">
        <v>6600</v>
      </c>
      <c r="M1122" s="2">
        <v>712.5</v>
      </c>
      <c r="N1122" s="2">
        <v>1011.6</v>
      </c>
      <c r="O1122" s="2">
        <v>20840</v>
      </c>
    </row>
    <row r="1123" spans="1:16" ht="24.95" customHeight="1" x14ac:dyDescent="0.25">
      <c r="A1123" s="1" t="s">
        <v>1065</v>
      </c>
      <c r="B1123" s="2">
        <v>258</v>
      </c>
      <c r="C1123" s="2">
        <v>118</v>
      </c>
      <c r="D1123" s="2">
        <v>31.1</v>
      </c>
      <c r="E1123" s="2">
        <v>89</v>
      </c>
      <c r="F1123" s="2">
        <v>-2.1</v>
      </c>
      <c r="I1123" s="2">
        <v>3063</v>
      </c>
      <c r="J1123" s="2">
        <v>153</v>
      </c>
      <c r="K1123" s="2">
        <v>361434</v>
      </c>
      <c r="L1123" s="2">
        <v>4990</v>
      </c>
      <c r="M1123" s="2">
        <v>471.6</v>
      </c>
      <c r="N1123" s="2">
        <v>757.4</v>
      </c>
      <c r="O1123" s="2">
        <v>15860</v>
      </c>
    </row>
    <row r="1124" spans="1:16" ht="24.95" customHeight="1" x14ac:dyDescent="0.25">
      <c r="A1124" s="1" t="s">
        <v>1066</v>
      </c>
      <c r="B1124" s="2">
        <v>294</v>
      </c>
      <c r="C1124" s="2">
        <v>132</v>
      </c>
      <c r="D1124" s="2">
        <v>43.4</v>
      </c>
      <c r="E1124" s="2">
        <v>89</v>
      </c>
      <c r="F1124" s="2">
        <v>-0.4</v>
      </c>
      <c r="I1124" s="2">
        <v>1385</v>
      </c>
      <c r="J1124" s="2">
        <v>218</v>
      </c>
      <c r="K1124" s="2">
        <v>182820</v>
      </c>
      <c r="L1124" s="2">
        <v>2745</v>
      </c>
      <c r="M1124" s="2">
        <v>193.4</v>
      </c>
      <c r="N1124" s="2">
        <v>360.6</v>
      </c>
      <c r="O1124" s="2">
        <v>8520</v>
      </c>
      <c r="P1124" s="2">
        <v>7.1</v>
      </c>
    </row>
    <row r="1125" spans="1:16" ht="24.95" customHeight="1" x14ac:dyDescent="0.25">
      <c r="A1125" s="1" t="s">
        <v>1067</v>
      </c>
      <c r="B1125" s="2">
        <v>240</v>
      </c>
      <c r="C1125" s="2">
        <v>108</v>
      </c>
      <c r="D1125" s="2">
        <v>20.6</v>
      </c>
      <c r="E1125" s="2">
        <v>89</v>
      </c>
      <c r="F1125" s="2">
        <v>-1.7</v>
      </c>
      <c r="I1125" s="2">
        <v>3791</v>
      </c>
      <c r="J1125" s="2">
        <v>194</v>
      </c>
      <c r="K1125" s="2">
        <v>409428</v>
      </c>
      <c r="L1125" s="2">
        <v>5550</v>
      </c>
      <c r="M1125" s="2">
        <v>542.79999999999995</v>
      </c>
      <c r="N1125" s="2">
        <v>932</v>
      </c>
      <c r="O1125" s="2">
        <v>16650</v>
      </c>
    </row>
    <row r="1126" spans="1:16" ht="24.95" customHeight="1" x14ac:dyDescent="0.25">
      <c r="A1126" s="1" t="s">
        <v>1068</v>
      </c>
      <c r="B1126" s="2">
        <v>264</v>
      </c>
      <c r="C1126" s="2">
        <v>122</v>
      </c>
      <c r="D1126" s="2">
        <v>35.6</v>
      </c>
      <c r="E1126" s="2">
        <v>89</v>
      </c>
      <c r="F1126" s="2">
        <v>-2.6</v>
      </c>
      <c r="I1126" s="2">
        <v>2120</v>
      </c>
      <c r="J1126" s="2">
        <v>147</v>
      </c>
      <c r="K1126" s="2">
        <v>258640</v>
      </c>
      <c r="L1126" s="2">
        <v>4294</v>
      </c>
      <c r="M1126" s="2">
        <v>419.2</v>
      </c>
      <c r="N1126" s="2">
        <v>533.29999999999995</v>
      </c>
      <c r="O1126" s="2">
        <v>12230</v>
      </c>
      <c r="P1126" s="2">
        <v>4.2</v>
      </c>
    </row>
    <row r="1127" spans="1:16" ht="24.95" customHeight="1" x14ac:dyDescent="0.25">
      <c r="A1127" s="1" t="s">
        <v>1069</v>
      </c>
      <c r="B1127" s="2">
        <v>252</v>
      </c>
      <c r="C1127" s="2">
        <v>115</v>
      </c>
      <c r="D1127" s="2">
        <v>25.6</v>
      </c>
      <c r="E1127" s="2">
        <v>89</v>
      </c>
      <c r="F1127" s="2">
        <v>0.4</v>
      </c>
      <c r="H1127" s="2">
        <v>117.4</v>
      </c>
      <c r="I1127" s="2">
        <v>3960</v>
      </c>
      <c r="J1127" s="2">
        <v>150</v>
      </c>
      <c r="K1127" s="2">
        <v>464980</v>
      </c>
      <c r="L1127" s="2">
        <v>11450</v>
      </c>
      <c r="M1127" s="2">
        <v>736.7</v>
      </c>
      <c r="N1127" s="2">
        <v>1007.1</v>
      </c>
      <c r="O1127" s="2">
        <v>30710</v>
      </c>
      <c r="P1127" s="2">
        <v>25.8</v>
      </c>
    </row>
    <row r="1128" spans="1:16" ht="24.95" customHeight="1" x14ac:dyDescent="0.25">
      <c r="A1128" s="1" t="s">
        <v>1070</v>
      </c>
      <c r="B1128" s="2">
        <v>254</v>
      </c>
      <c r="C1128" s="2">
        <v>112</v>
      </c>
      <c r="D1128" s="2">
        <v>23.9</v>
      </c>
      <c r="E1128" s="2">
        <v>89</v>
      </c>
      <c r="F1128" s="2">
        <v>-0.9</v>
      </c>
      <c r="H1128" s="2">
        <v>113.7</v>
      </c>
      <c r="I1128" s="2">
        <v>4450</v>
      </c>
      <c r="J1128" s="2">
        <v>200</v>
      </c>
      <c r="K1128" s="2">
        <v>506124</v>
      </c>
      <c r="L1128" s="2">
        <v>8796</v>
      </c>
      <c r="M1128" s="2">
        <v>921.4</v>
      </c>
      <c r="N1128" s="2">
        <v>1128.0999999999999</v>
      </c>
      <c r="O1128" s="2">
        <v>23500</v>
      </c>
    </row>
    <row r="1129" spans="1:16" ht="24.95" customHeight="1" x14ac:dyDescent="0.25">
      <c r="A1129" s="1" t="s">
        <v>1064</v>
      </c>
      <c r="B1129" s="2">
        <v>236</v>
      </c>
      <c r="C1129" s="2">
        <v>108</v>
      </c>
      <c r="D1129" s="2">
        <v>18.8</v>
      </c>
      <c r="E1129" s="2">
        <v>89</v>
      </c>
      <c r="F1129" s="2">
        <v>0.2</v>
      </c>
      <c r="H1129" s="2">
        <v>110.2</v>
      </c>
      <c r="I1129" s="2">
        <v>4265</v>
      </c>
      <c r="J1129" s="2">
        <v>164</v>
      </c>
      <c r="K1129" s="2">
        <v>469935</v>
      </c>
      <c r="L1129" s="2">
        <v>9898</v>
      </c>
      <c r="M1129" s="2">
        <v>814.8</v>
      </c>
      <c r="N1129" s="2">
        <v>1061.3</v>
      </c>
      <c r="O1129" s="2">
        <v>30770</v>
      </c>
      <c r="P1129" s="2">
        <v>22.3</v>
      </c>
    </row>
    <row r="1130" spans="1:16" ht="24.95" customHeight="1" x14ac:dyDescent="0.25">
      <c r="A1130" s="1" t="s">
        <v>1071</v>
      </c>
      <c r="B1130" s="2">
        <v>231</v>
      </c>
      <c r="C1130" s="2">
        <v>108</v>
      </c>
      <c r="D1130" s="2">
        <v>19.5</v>
      </c>
      <c r="E1130" s="2">
        <v>89</v>
      </c>
      <c r="F1130" s="2">
        <v>-0.5</v>
      </c>
      <c r="H1130" s="2">
        <v>111.6</v>
      </c>
      <c r="I1130" s="2">
        <v>5900</v>
      </c>
      <c r="J1130" s="2">
        <v>138</v>
      </c>
      <c r="K1130" s="2">
        <v>658522</v>
      </c>
      <c r="L1130" s="2">
        <v>15972</v>
      </c>
      <c r="M1130" s="2">
        <v>1161.8</v>
      </c>
      <c r="N1130" s="2">
        <v>1456.2</v>
      </c>
      <c r="O1130" s="2">
        <v>43760</v>
      </c>
      <c r="P1130" s="2">
        <v>24</v>
      </c>
    </row>
    <row r="1131" spans="1:16" ht="24.95" customHeight="1" x14ac:dyDescent="0.25">
      <c r="A1131" s="1" t="s">
        <v>1072</v>
      </c>
      <c r="B1131" s="2">
        <v>240</v>
      </c>
      <c r="C1131" s="2">
        <v>109</v>
      </c>
      <c r="D1131" s="2">
        <v>20.6</v>
      </c>
      <c r="E1131" s="2">
        <v>89</v>
      </c>
      <c r="F1131" s="2">
        <v>-0.6</v>
      </c>
      <c r="H1131" s="2">
        <v>111.5</v>
      </c>
      <c r="I1131" s="2">
        <v>5663</v>
      </c>
      <c r="J1131" s="2">
        <v>120</v>
      </c>
      <c r="K1131" s="2">
        <v>631604</v>
      </c>
      <c r="L1131" s="2">
        <v>14938</v>
      </c>
      <c r="M1131" s="2">
        <v>1094.5999999999999</v>
      </c>
      <c r="N1131" s="2">
        <v>1405.1</v>
      </c>
      <c r="O1131" s="2">
        <v>44770</v>
      </c>
      <c r="P1131" s="2">
        <v>28.6</v>
      </c>
    </row>
    <row r="1132" spans="1:16" ht="24.95" customHeight="1" x14ac:dyDescent="0.25">
      <c r="A1132" s="1" t="s">
        <v>6797</v>
      </c>
      <c r="B1132" s="2">
        <v>156</v>
      </c>
      <c r="C1132" s="2">
        <v>68</v>
      </c>
      <c r="I1132" s="2">
        <v>90153</v>
      </c>
      <c r="J1132" s="2">
        <v>162</v>
      </c>
      <c r="K1132" s="2">
        <v>6220557</v>
      </c>
      <c r="L1132" s="2">
        <v>145770</v>
      </c>
      <c r="M1132" s="2">
        <v>14445.9</v>
      </c>
      <c r="N1132" s="2">
        <v>22002.799999999999</v>
      </c>
      <c r="O1132" s="2">
        <v>418470</v>
      </c>
    </row>
    <row r="1133" spans="1:16" ht="24.95" customHeight="1" x14ac:dyDescent="0.25">
      <c r="A1133" s="1" t="s">
        <v>1074</v>
      </c>
      <c r="B1133" s="2">
        <v>234</v>
      </c>
      <c r="C1133" s="2">
        <v>106</v>
      </c>
      <c r="D1133" s="2">
        <v>35.6</v>
      </c>
      <c r="E1133" s="2">
        <v>71</v>
      </c>
      <c r="F1133" s="2">
        <v>-0.6</v>
      </c>
      <c r="I1133" s="2">
        <v>448</v>
      </c>
      <c r="J1133" s="2">
        <v>140</v>
      </c>
      <c r="K1133" s="2">
        <v>47488</v>
      </c>
      <c r="L1133" s="2">
        <v>941</v>
      </c>
      <c r="M1133" s="2">
        <v>70.7</v>
      </c>
      <c r="N1133" s="2">
        <v>112.7</v>
      </c>
      <c r="O1133" s="2">
        <v>2650</v>
      </c>
      <c r="P1133" s="2">
        <v>4.9000000000000004</v>
      </c>
    </row>
    <row r="1134" spans="1:16" ht="24.95" customHeight="1" x14ac:dyDescent="0.25">
      <c r="A1134" s="1" t="s">
        <v>1075</v>
      </c>
      <c r="B1134" s="2">
        <v>246</v>
      </c>
      <c r="C1134" s="2">
        <v>108</v>
      </c>
      <c r="D1134" s="2">
        <v>36.9</v>
      </c>
      <c r="E1134" s="2">
        <v>71</v>
      </c>
      <c r="F1134" s="2">
        <v>0.1</v>
      </c>
      <c r="I1134" s="2">
        <v>3950</v>
      </c>
      <c r="J1134" s="2">
        <v>138</v>
      </c>
      <c r="K1134" s="2">
        <v>426600</v>
      </c>
      <c r="L1134" s="2">
        <v>6132</v>
      </c>
      <c r="M1134" s="2">
        <v>473.8</v>
      </c>
      <c r="N1134" s="2">
        <v>974</v>
      </c>
      <c r="O1134" s="2">
        <v>19540</v>
      </c>
    </row>
    <row r="1135" spans="1:16" ht="24.95" customHeight="1" x14ac:dyDescent="0.25">
      <c r="A1135" s="1" t="s">
        <v>1076</v>
      </c>
      <c r="B1135" s="2">
        <v>238</v>
      </c>
      <c r="C1135" s="2">
        <v>110</v>
      </c>
      <c r="D1135" s="2">
        <v>40.799999999999997</v>
      </c>
      <c r="E1135" s="2">
        <v>69</v>
      </c>
      <c r="F1135" s="2">
        <v>0.2</v>
      </c>
      <c r="I1135" s="2">
        <v>20200</v>
      </c>
      <c r="J1135" s="2">
        <v>142</v>
      </c>
      <c r="K1135" s="2">
        <v>2222000</v>
      </c>
      <c r="L1135" s="2">
        <v>30982</v>
      </c>
      <c r="M1135" s="2">
        <v>3593</v>
      </c>
      <c r="N1135" s="2">
        <v>4957.3999999999996</v>
      </c>
      <c r="O1135" s="2">
        <v>79750</v>
      </c>
    </row>
    <row r="1136" spans="1:16" ht="24.95" customHeight="1" x14ac:dyDescent="0.25">
      <c r="A1136" s="1" t="s">
        <v>1077</v>
      </c>
      <c r="B1136" s="2">
        <v>248</v>
      </c>
      <c r="C1136" s="2">
        <v>104</v>
      </c>
      <c r="D1136" s="2">
        <v>32.9</v>
      </c>
      <c r="E1136" s="2">
        <v>71</v>
      </c>
      <c r="F1136" s="2">
        <v>0.1</v>
      </c>
      <c r="I1136" s="2">
        <v>7220</v>
      </c>
      <c r="J1136" s="2">
        <v>164</v>
      </c>
      <c r="K1136" s="2">
        <v>750880</v>
      </c>
      <c r="L1136" s="2">
        <v>10514</v>
      </c>
      <c r="M1136" s="2">
        <v>1198.0999999999999</v>
      </c>
      <c r="N1136" s="2">
        <v>1826.3</v>
      </c>
      <c r="O1136" s="2">
        <v>28070</v>
      </c>
    </row>
    <row r="1137" spans="1:16" ht="24.95" customHeight="1" x14ac:dyDescent="0.25">
      <c r="A1137" s="1" t="s">
        <v>1078</v>
      </c>
      <c r="B1137" s="2">
        <v>255</v>
      </c>
      <c r="C1137" s="2">
        <v>109</v>
      </c>
      <c r="D1137" s="2">
        <v>37.6</v>
      </c>
      <c r="E1137" s="2">
        <v>71</v>
      </c>
      <c r="F1137" s="2">
        <v>0.4</v>
      </c>
      <c r="I1137" s="2">
        <v>12975</v>
      </c>
      <c r="J1137" s="2">
        <v>182</v>
      </c>
      <c r="K1137" s="2">
        <v>1414275</v>
      </c>
      <c r="L1137" s="2">
        <v>16436</v>
      </c>
      <c r="M1137" s="2">
        <v>1538</v>
      </c>
      <c r="N1137" s="2">
        <v>3147.8</v>
      </c>
      <c r="O1137" s="2">
        <v>55360</v>
      </c>
    </row>
    <row r="1138" spans="1:16" ht="24.95" customHeight="1" x14ac:dyDescent="0.25">
      <c r="A1138" s="1" t="s">
        <v>1079</v>
      </c>
      <c r="B1138" s="2">
        <v>234</v>
      </c>
      <c r="C1138" s="2">
        <v>98</v>
      </c>
      <c r="D1138" s="2">
        <v>27</v>
      </c>
      <c r="E1138" s="2">
        <v>71</v>
      </c>
      <c r="I1138" s="2">
        <v>5230</v>
      </c>
      <c r="J1138" s="2">
        <v>195</v>
      </c>
      <c r="K1138" s="2">
        <v>512540</v>
      </c>
      <c r="L1138" s="2">
        <v>7235</v>
      </c>
      <c r="M1138" s="2">
        <v>716.9</v>
      </c>
      <c r="N1138" s="2">
        <v>1211.7</v>
      </c>
      <c r="O1138" s="2">
        <v>21950</v>
      </c>
    </row>
    <row r="1139" spans="1:16" ht="24.95" customHeight="1" x14ac:dyDescent="0.25">
      <c r="A1139" s="1" t="s">
        <v>1080</v>
      </c>
      <c r="B1139" s="2">
        <v>240</v>
      </c>
      <c r="C1139" s="2">
        <v>108</v>
      </c>
      <c r="D1139" s="2">
        <v>37.1</v>
      </c>
      <c r="E1139" s="2">
        <v>71</v>
      </c>
      <c r="F1139" s="2">
        <v>-0.1</v>
      </c>
      <c r="I1139" s="2">
        <v>3000</v>
      </c>
      <c r="J1139" s="2">
        <v>140</v>
      </c>
      <c r="K1139" s="2">
        <v>324000</v>
      </c>
      <c r="L1139" s="2">
        <v>5169</v>
      </c>
      <c r="M1139" s="2">
        <v>465</v>
      </c>
      <c r="N1139" s="2">
        <v>733.4</v>
      </c>
      <c r="O1139" s="2">
        <v>15920</v>
      </c>
    </row>
    <row r="1140" spans="1:16" ht="24.95" customHeight="1" x14ac:dyDescent="0.25">
      <c r="A1140" s="1" t="s">
        <v>1081</v>
      </c>
      <c r="B1140" s="2">
        <v>226</v>
      </c>
      <c r="C1140" s="2">
        <v>95</v>
      </c>
      <c r="D1140" s="2">
        <v>23.9</v>
      </c>
      <c r="E1140" s="2">
        <v>71</v>
      </c>
      <c r="F1140" s="2">
        <v>0.1</v>
      </c>
      <c r="I1140" s="2">
        <v>4185</v>
      </c>
      <c r="J1140" s="2">
        <v>192</v>
      </c>
      <c r="K1140" s="2">
        <v>397575</v>
      </c>
      <c r="L1140" s="2">
        <v>5637</v>
      </c>
      <c r="M1140" s="2">
        <v>642.79999999999995</v>
      </c>
      <c r="N1140" s="2">
        <v>1041.5</v>
      </c>
      <c r="O1140" s="2">
        <v>17520</v>
      </c>
    </row>
    <row r="1141" spans="1:16" ht="24.95" customHeight="1" x14ac:dyDescent="0.25">
      <c r="A1141" s="1" t="s">
        <v>1082</v>
      </c>
      <c r="B1141" s="2">
        <v>228</v>
      </c>
      <c r="C1141" s="2">
        <v>98</v>
      </c>
      <c r="D1141" s="2">
        <v>25.7</v>
      </c>
      <c r="E1141" s="2">
        <v>71</v>
      </c>
      <c r="F1141" s="2">
        <v>1.3</v>
      </c>
      <c r="I1141" s="2">
        <v>3575</v>
      </c>
      <c r="J1141" s="2">
        <v>159</v>
      </c>
      <c r="K1141" s="2">
        <v>350350</v>
      </c>
      <c r="L1141" s="2">
        <v>4145</v>
      </c>
      <c r="M1141" s="2">
        <v>450.9</v>
      </c>
      <c r="N1141" s="2">
        <v>878.3</v>
      </c>
      <c r="O1141" s="2">
        <v>11870</v>
      </c>
    </row>
    <row r="1142" spans="1:16" ht="24.95" customHeight="1" x14ac:dyDescent="0.25">
      <c r="A1142" s="1" t="s">
        <v>1084</v>
      </c>
      <c r="B1142" s="2">
        <v>237</v>
      </c>
      <c r="C1142" s="2">
        <v>101</v>
      </c>
      <c r="D1142" s="2">
        <v>29.5</v>
      </c>
      <c r="E1142" s="2">
        <v>71</v>
      </c>
      <c r="F1142" s="2">
        <v>0.5</v>
      </c>
      <c r="H1142" s="2">
        <v>103.3</v>
      </c>
      <c r="I1142" s="2">
        <v>4235</v>
      </c>
      <c r="J1142" s="2">
        <v>180</v>
      </c>
      <c r="K1142" s="2">
        <v>437644</v>
      </c>
      <c r="L1142" s="2">
        <v>8191</v>
      </c>
      <c r="M1142" s="2">
        <v>707.5</v>
      </c>
      <c r="N1142" s="2">
        <v>1061.8</v>
      </c>
      <c r="O1142" s="2">
        <v>23070</v>
      </c>
    </row>
    <row r="1143" spans="1:16" ht="24.95" customHeight="1" x14ac:dyDescent="0.25">
      <c r="A1143" s="1" t="s">
        <v>1075</v>
      </c>
      <c r="B1143" s="2">
        <v>227</v>
      </c>
      <c r="C1143" s="2">
        <v>98</v>
      </c>
      <c r="D1143" s="2">
        <v>26.7</v>
      </c>
      <c r="E1143" s="2">
        <v>71</v>
      </c>
      <c r="F1143" s="2">
        <v>0.3</v>
      </c>
      <c r="H1143" s="2">
        <v>99.1</v>
      </c>
      <c r="I1143" s="2">
        <v>9500</v>
      </c>
      <c r="J1143" s="2">
        <v>162</v>
      </c>
      <c r="K1143" s="2">
        <v>941691</v>
      </c>
      <c r="L1143" s="2">
        <v>17917</v>
      </c>
      <c r="M1143" s="2">
        <v>1617.4</v>
      </c>
      <c r="N1143" s="2">
        <v>2230.6999999999998</v>
      </c>
      <c r="O1143" s="2">
        <v>51520</v>
      </c>
    </row>
    <row r="1144" spans="1:16" ht="24.95" customHeight="1" x14ac:dyDescent="0.25">
      <c r="A1144" s="1" t="s">
        <v>1079</v>
      </c>
      <c r="B1144" s="2">
        <v>216</v>
      </c>
      <c r="C1144" s="2">
        <v>91</v>
      </c>
      <c r="D1144" s="2">
        <v>19.3</v>
      </c>
      <c r="E1144" s="2">
        <v>71</v>
      </c>
      <c r="F1144" s="2">
        <v>0.7</v>
      </c>
      <c r="H1144" s="2">
        <v>92.4</v>
      </c>
      <c r="I1144" s="2">
        <v>3475</v>
      </c>
      <c r="J1144" s="2">
        <v>167</v>
      </c>
      <c r="K1144" s="2">
        <v>321095</v>
      </c>
      <c r="L1144" s="2">
        <v>7259</v>
      </c>
      <c r="M1144" s="2">
        <v>625.9</v>
      </c>
      <c r="N1144" s="2">
        <v>860.4</v>
      </c>
      <c r="O1144" s="2">
        <v>24590</v>
      </c>
      <c r="P1144" s="2">
        <v>21</v>
      </c>
    </row>
    <row r="1145" spans="1:16" ht="24.95" customHeight="1" x14ac:dyDescent="0.25">
      <c r="A1145" s="1" t="s">
        <v>1085</v>
      </c>
      <c r="B1145" s="2">
        <v>222</v>
      </c>
      <c r="C1145" s="2">
        <v>94</v>
      </c>
      <c r="D1145" s="2">
        <v>22.4</v>
      </c>
      <c r="E1145" s="2">
        <v>71</v>
      </c>
      <c r="F1145" s="2">
        <v>0.6</v>
      </c>
      <c r="H1145" s="2">
        <v>95.6</v>
      </c>
      <c r="I1145" s="2">
        <v>2590</v>
      </c>
      <c r="J1145" s="2">
        <v>170</v>
      </c>
      <c r="K1145" s="2">
        <v>247596</v>
      </c>
      <c r="L1145" s="2">
        <v>5741</v>
      </c>
      <c r="M1145" s="2">
        <v>472.9</v>
      </c>
      <c r="N1145" s="2">
        <v>643.5</v>
      </c>
      <c r="O1145" s="2">
        <v>17890</v>
      </c>
      <c r="P1145" s="2">
        <v>20</v>
      </c>
    </row>
    <row r="1146" spans="1:16" ht="24.95" customHeight="1" x14ac:dyDescent="0.25">
      <c r="A1146" s="1" t="s">
        <v>1086</v>
      </c>
      <c r="B1146" s="2">
        <v>224</v>
      </c>
      <c r="C1146" s="2">
        <v>96</v>
      </c>
      <c r="D1146" s="2">
        <v>24.1</v>
      </c>
      <c r="E1146" s="2">
        <v>71</v>
      </c>
      <c r="F1146" s="2">
        <v>0.9</v>
      </c>
      <c r="H1146" s="2">
        <v>97.8</v>
      </c>
      <c r="I1146" s="2">
        <v>1305</v>
      </c>
      <c r="J1146" s="2">
        <v>180</v>
      </c>
      <c r="K1146" s="2">
        <v>127582</v>
      </c>
      <c r="L1146" s="2">
        <v>3314</v>
      </c>
      <c r="M1146" s="2">
        <v>255.1</v>
      </c>
      <c r="N1146" s="2">
        <v>327.3</v>
      </c>
      <c r="O1146" s="2">
        <v>9770</v>
      </c>
      <c r="P1146" s="2">
        <v>26.1</v>
      </c>
    </row>
    <row r="1147" spans="1:16" ht="24.95" customHeight="1" x14ac:dyDescent="0.25">
      <c r="A1147" s="1" t="s">
        <v>1076</v>
      </c>
      <c r="B1147" s="2">
        <v>212</v>
      </c>
      <c r="C1147" s="2">
        <v>91</v>
      </c>
      <c r="D1147" s="2">
        <v>19.600000000000001</v>
      </c>
      <c r="E1147" s="2">
        <v>71</v>
      </c>
      <c r="F1147" s="2">
        <v>0.4</v>
      </c>
      <c r="H1147" s="2">
        <v>93.7</v>
      </c>
      <c r="I1147" s="2">
        <v>8265</v>
      </c>
      <c r="J1147" s="2">
        <v>157</v>
      </c>
      <c r="K1147" s="2">
        <v>774545</v>
      </c>
      <c r="L1147" s="2">
        <v>16157</v>
      </c>
      <c r="M1147" s="2">
        <v>1618.1</v>
      </c>
      <c r="N1147" s="2">
        <v>1996.2</v>
      </c>
      <c r="O1147" s="2">
        <v>39000</v>
      </c>
    </row>
    <row r="1148" spans="1:16" ht="24.95" customHeight="1" x14ac:dyDescent="0.25">
      <c r="A1148" s="1" t="s">
        <v>6798</v>
      </c>
      <c r="B1148" s="2">
        <v>204</v>
      </c>
      <c r="C1148" s="2">
        <v>80</v>
      </c>
      <c r="I1148" s="2">
        <v>99184</v>
      </c>
      <c r="J1148" s="2">
        <v>170</v>
      </c>
      <c r="K1148" s="2">
        <v>7934720</v>
      </c>
      <c r="L1148" s="2">
        <v>194573</v>
      </c>
      <c r="M1148" s="2">
        <v>14279.8</v>
      </c>
      <c r="N1148" s="2">
        <v>24488.2</v>
      </c>
      <c r="O1148" s="2">
        <v>633230</v>
      </c>
      <c r="P1148" s="2">
        <v>12.3</v>
      </c>
    </row>
    <row r="1149" spans="1:16" ht="24.95" customHeight="1" x14ac:dyDescent="0.25">
      <c r="A1149" s="1" t="s">
        <v>1089</v>
      </c>
      <c r="B1149" s="2">
        <v>300</v>
      </c>
      <c r="C1149" s="2">
        <v>118</v>
      </c>
      <c r="D1149" s="2">
        <v>37.6</v>
      </c>
      <c r="E1149" s="2">
        <v>80</v>
      </c>
      <c r="F1149" s="2">
        <v>0.4</v>
      </c>
      <c r="I1149" s="2">
        <v>8290</v>
      </c>
      <c r="J1149" s="2">
        <v>188</v>
      </c>
      <c r="K1149" s="2">
        <v>978220</v>
      </c>
      <c r="L1149" s="2">
        <v>18053</v>
      </c>
      <c r="M1149" s="2">
        <v>1040</v>
      </c>
      <c r="N1149" s="2">
        <v>2025.4</v>
      </c>
      <c r="O1149" s="2">
        <v>58770</v>
      </c>
      <c r="P1149" s="2">
        <v>22.4</v>
      </c>
    </row>
    <row r="1150" spans="1:16" ht="24.95" customHeight="1" x14ac:dyDescent="0.25">
      <c r="A1150" s="1" t="s">
        <v>5448</v>
      </c>
      <c r="B1150" s="2">
        <v>324</v>
      </c>
      <c r="C1150" s="2">
        <v>130</v>
      </c>
      <c r="D1150" s="2">
        <v>52.1</v>
      </c>
      <c r="E1150" s="2">
        <v>80</v>
      </c>
      <c r="F1150" s="2">
        <v>-2.1</v>
      </c>
      <c r="I1150" s="2">
        <v>7200</v>
      </c>
      <c r="J1150" s="2">
        <v>159</v>
      </c>
      <c r="K1150" s="2">
        <v>936000</v>
      </c>
      <c r="L1150" s="2">
        <v>12768</v>
      </c>
      <c r="M1150" s="2">
        <v>924.6</v>
      </c>
      <c r="N1150" s="2">
        <v>1815.6</v>
      </c>
      <c r="O1150" s="2">
        <v>42950</v>
      </c>
      <c r="P1150" s="2">
        <v>3.6</v>
      </c>
    </row>
    <row r="1151" spans="1:16" ht="24.95" customHeight="1" x14ac:dyDescent="0.25">
      <c r="A1151" s="1" t="s">
        <v>1090</v>
      </c>
      <c r="B1151" s="2">
        <v>288</v>
      </c>
      <c r="C1151" s="2">
        <v>120</v>
      </c>
      <c r="D1151" s="2">
        <v>42.3</v>
      </c>
      <c r="E1151" s="2">
        <v>80</v>
      </c>
      <c r="F1151" s="2">
        <v>-2.2999999999999998</v>
      </c>
      <c r="I1151" s="2">
        <v>8000</v>
      </c>
      <c r="J1151" s="2">
        <v>133</v>
      </c>
      <c r="K1151" s="2">
        <v>960000</v>
      </c>
      <c r="L1151" s="2">
        <v>16369</v>
      </c>
      <c r="M1151" s="2">
        <v>1078.7</v>
      </c>
      <c r="N1151" s="2">
        <v>2065.9</v>
      </c>
      <c r="O1151" s="2">
        <v>53510</v>
      </c>
      <c r="P1151" s="2">
        <v>12</v>
      </c>
    </row>
    <row r="1152" spans="1:16" ht="24.95" customHeight="1" x14ac:dyDescent="0.25">
      <c r="A1152" s="1" t="s">
        <v>1091</v>
      </c>
      <c r="B1152" s="2">
        <v>304</v>
      </c>
      <c r="C1152" s="2">
        <v>119</v>
      </c>
      <c r="D1152" s="2">
        <v>41</v>
      </c>
      <c r="E1152" s="2">
        <v>80</v>
      </c>
      <c r="F1152" s="2">
        <v>-2</v>
      </c>
      <c r="I1152" s="2">
        <v>17550</v>
      </c>
      <c r="J1152" s="2">
        <v>189</v>
      </c>
      <c r="K1152" s="2">
        <v>2088450</v>
      </c>
      <c r="L1152" s="2">
        <v>31290</v>
      </c>
      <c r="M1152" s="2">
        <v>2962.8</v>
      </c>
      <c r="N1152" s="2">
        <v>4348.8999999999996</v>
      </c>
      <c r="O1152" s="2">
        <v>98670</v>
      </c>
      <c r="P1152" s="2">
        <v>0.9</v>
      </c>
    </row>
    <row r="1153" spans="1:16" ht="24.95" customHeight="1" x14ac:dyDescent="0.25">
      <c r="A1153" s="1" t="s">
        <v>1092</v>
      </c>
      <c r="B1153" s="2">
        <v>312</v>
      </c>
      <c r="C1153" s="2">
        <v>124</v>
      </c>
      <c r="D1153" s="2">
        <v>45.3</v>
      </c>
      <c r="E1153" s="2">
        <v>80.3</v>
      </c>
      <c r="F1153" s="2">
        <v>-1.6</v>
      </c>
      <c r="I1153" s="2">
        <v>3804</v>
      </c>
      <c r="J1153" s="2">
        <v>199</v>
      </c>
      <c r="K1153" s="2">
        <v>471696</v>
      </c>
      <c r="L1153" s="2">
        <v>5542</v>
      </c>
      <c r="M1153" s="2">
        <v>438.8</v>
      </c>
      <c r="N1153" s="2">
        <v>942</v>
      </c>
      <c r="O1153" s="2">
        <v>16700</v>
      </c>
    </row>
    <row r="1154" spans="1:16" ht="24.95" customHeight="1" x14ac:dyDescent="0.25">
      <c r="A1154" s="1" t="s">
        <v>1093</v>
      </c>
      <c r="B1154" s="2">
        <v>288</v>
      </c>
      <c r="C1154" s="2">
        <v>118</v>
      </c>
      <c r="D1154" s="2">
        <v>39.9</v>
      </c>
      <c r="E1154" s="2">
        <v>80</v>
      </c>
      <c r="F1154" s="2">
        <v>-1.9</v>
      </c>
      <c r="I1154" s="2">
        <v>13400</v>
      </c>
      <c r="J1154" s="2">
        <v>165</v>
      </c>
      <c r="K1154" s="2">
        <v>1581200</v>
      </c>
      <c r="L1154" s="2">
        <v>24047</v>
      </c>
      <c r="M1154" s="2">
        <v>2334.4</v>
      </c>
      <c r="N1154" s="2">
        <v>3263.5</v>
      </c>
      <c r="O1154" s="2">
        <v>75220</v>
      </c>
      <c r="P1154" s="2">
        <v>4.5</v>
      </c>
    </row>
    <row r="1155" spans="1:16" ht="24.95" customHeight="1" x14ac:dyDescent="0.25">
      <c r="A1155" s="1" t="s">
        <v>1094</v>
      </c>
      <c r="B1155" s="2">
        <v>318</v>
      </c>
      <c r="C1155" s="2">
        <v>132</v>
      </c>
      <c r="D1155" s="2">
        <v>52.5</v>
      </c>
      <c r="E1155" s="2">
        <v>80.3</v>
      </c>
      <c r="F1155" s="2">
        <v>-0.8</v>
      </c>
      <c r="I1155" s="2">
        <v>3160</v>
      </c>
      <c r="J1155" s="2">
        <v>175</v>
      </c>
      <c r="K1155" s="2">
        <v>417120</v>
      </c>
      <c r="L1155" s="2">
        <v>5068</v>
      </c>
      <c r="M1155" s="2">
        <v>315.8</v>
      </c>
      <c r="N1155" s="2" t="s">
        <v>6799</v>
      </c>
      <c r="O1155" s="2">
        <v>16300</v>
      </c>
    </row>
    <row r="1156" spans="1:16" ht="24.95" customHeight="1" x14ac:dyDescent="0.25">
      <c r="A1156" s="1" t="s">
        <v>1095</v>
      </c>
      <c r="B1156" s="2">
        <v>291</v>
      </c>
      <c r="C1156" s="2">
        <v>118</v>
      </c>
      <c r="D1156" s="2">
        <v>33.4</v>
      </c>
      <c r="E1156" s="2">
        <v>84</v>
      </c>
      <c r="F1156" s="2">
        <v>0.6</v>
      </c>
      <c r="I1156" s="2">
        <v>3910</v>
      </c>
      <c r="J1156" s="2">
        <v>157</v>
      </c>
      <c r="K1156" s="2">
        <v>461380</v>
      </c>
      <c r="L1156" s="2">
        <v>10305</v>
      </c>
      <c r="M1156" s="2">
        <v>573.20000000000005</v>
      </c>
      <c r="N1156" s="2">
        <v>934.6</v>
      </c>
      <c r="O1156" s="2">
        <v>33380</v>
      </c>
      <c r="P1156" s="2">
        <v>35.299999999999997</v>
      </c>
    </row>
    <row r="1157" spans="1:16" ht="24.95" customHeight="1" x14ac:dyDescent="0.25">
      <c r="A1157" s="1" t="s">
        <v>1096</v>
      </c>
      <c r="B1157" s="2">
        <v>312</v>
      </c>
      <c r="C1157" s="2">
        <v>130</v>
      </c>
      <c r="D1157" s="2">
        <v>46.4</v>
      </c>
      <c r="E1157" s="2">
        <v>84</v>
      </c>
      <c r="F1157" s="2">
        <v>-0.4</v>
      </c>
      <c r="I1157" s="2">
        <v>2300</v>
      </c>
      <c r="J1157" s="2">
        <v>175</v>
      </c>
      <c r="K1157" s="2">
        <v>299000</v>
      </c>
      <c r="L1157" s="2">
        <v>5126</v>
      </c>
      <c r="M1157" s="2">
        <v>402.7</v>
      </c>
      <c r="N1157" s="2">
        <v>580.79999999999995</v>
      </c>
      <c r="O1157" s="2">
        <v>15330</v>
      </c>
      <c r="P1157" s="2">
        <v>16.7</v>
      </c>
    </row>
    <row r="1158" spans="1:16" ht="24.95" customHeight="1" x14ac:dyDescent="0.25">
      <c r="A1158" s="1" t="s">
        <v>1097</v>
      </c>
      <c r="B1158" s="2">
        <v>246</v>
      </c>
      <c r="C1158" s="2">
        <v>102</v>
      </c>
      <c r="D1158" s="2">
        <v>17.899999999999999</v>
      </c>
      <c r="E1158" s="2">
        <v>84</v>
      </c>
      <c r="F1158" s="2">
        <v>0.1</v>
      </c>
      <c r="H1158" s="2">
        <v>104.4</v>
      </c>
      <c r="I1158" s="2">
        <v>2055</v>
      </c>
      <c r="J1158" s="2">
        <v>199</v>
      </c>
      <c r="K1158" s="2">
        <v>214584</v>
      </c>
      <c r="L1158" s="2">
        <v>5189</v>
      </c>
      <c r="M1158" s="2">
        <v>292.3</v>
      </c>
      <c r="N1158" s="2">
        <v>533.29999999999995</v>
      </c>
      <c r="O1158" s="2">
        <v>16350</v>
      </c>
      <c r="P1158" s="2">
        <v>28.2</v>
      </c>
    </row>
    <row r="1159" spans="1:16" ht="24.95" customHeight="1" x14ac:dyDescent="0.25">
      <c r="A1159" s="1" t="s">
        <v>1098</v>
      </c>
      <c r="B1159" s="2">
        <v>268</v>
      </c>
      <c r="C1159" s="2">
        <v>106</v>
      </c>
      <c r="D1159" s="2">
        <v>20.6</v>
      </c>
      <c r="E1159" s="2">
        <v>84</v>
      </c>
      <c r="F1159" s="2">
        <v>1.4</v>
      </c>
      <c r="H1159" s="2">
        <v>108.3</v>
      </c>
      <c r="I1159" s="2">
        <v>2972</v>
      </c>
      <c r="J1159" s="2">
        <v>158</v>
      </c>
      <c r="K1159" s="2">
        <v>321728</v>
      </c>
      <c r="L1159" s="2">
        <v>7932</v>
      </c>
      <c r="M1159" s="2">
        <v>430.7</v>
      </c>
      <c r="N1159" s="2">
        <v>786.4</v>
      </c>
      <c r="O1159" s="2">
        <v>25070</v>
      </c>
      <c r="P1159" s="2">
        <v>30</v>
      </c>
    </row>
    <row r="1160" spans="1:16" ht="24.95" customHeight="1" x14ac:dyDescent="0.25">
      <c r="A1160" s="1" t="s">
        <v>1099</v>
      </c>
      <c r="B1160" s="2">
        <v>274</v>
      </c>
      <c r="C1160" s="2">
        <v>112</v>
      </c>
      <c r="D1160" s="2">
        <v>27.8</v>
      </c>
      <c r="E1160" s="2">
        <v>84</v>
      </c>
      <c r="F1160" s="2">
        <v>0.2</v>
      </c>
      <c r="H1160" s="2">
        <v>113.6</v>
      </c>
      <c r="I1160" s="2">
        <v>10300</v>
      </c>
      <c r="J1160" s="2">
        <v>150</v>
      </c>
      <c r="K1160" s="2">
        <v>1170212</v>
      </c>
      <c r="L1160" s="2">
        <v>17363</v>
      </c>
      <c r="M1160" s="2">
        <v>1284.0999999999999</v>
      </c>
      <c r="N1160" s="2">
        <v>2557.9</v>
      </c>
      <c r="O1160" s="2">
        <v>60430</v>
      </c>
      <c r="P1160" s="2">
        <v>3.8</v>
      </c>
    </row>
    <row r="1161" spans="1:16" ht="24.95" customHeight="1" x14ac:dyDescent="0.25">
      <c r="A1161" s="1" t="s">
        <v>1090</v>
      </c>
      <c r="B1161" s="2">
        <v>272</v>
      </c>
      <c r="C1161" s="2">
        <v>106</v>
      </c>
      <c r="D1161" s="2">
        <v>21.9</v>
      </c>
      <c r="E1161" s="2">
        <v>84</v>
      </c>
      <c r="F1161" s="2">
        <v>0.1</v>
      </c>
      <c r="H1161" s="2">
        <v>107.3</v>
      </c>
      <c r="I1161" s="2">
        <v>3310</v>
      </c>
      <c r="J1161" s="2">
        <v>170</v>
      </c>
      <c r="K1161" s="2">
        <v>355129</v>
      </c>
      <c r="L1161" s="2">
        <v>6507</v>
      </c>
      <c r="M1161" s="2">
        <v>360.1</v>
      </c>
      <c r="N1161" s="2">
        <v>745.4</v>
      </c>
      <c r="O1161" s="2">
        <v>23100</v>
      </c>
      <c r="P1161" s="2">
        <v>24.9</v>
      </c>
    </row>
    <row r="1162" spans="1:16" ht="24.95" customHeight="1" x14ac:dyDescent="0.25">
      <c r="A1162" s="1" t="s">
        <v>1100</v>
      </c>
      <c r="B1162" s="2">
        <v>270</v>
      </c>
      <c r="C1162" s="2">
        <v>106</v>
      </c>
      <c r="D1162" s="2">
        <v>21</v>
      </c>
      <c r="E1162" s="2">
        <v>84</v>
      </c>
      <c r="F1162" s="2">
        <v>1</v>
      </c>
      <c r="H1162" s="2">
        <v>107.9</v>
      </c>
      <c r="I1162" s="2">
        <v>1033</v>
      </c>
      <c r="J1162" s="2">
        <v>187</v>
      </c>
      <c r="K1162" s="2">
        <v>111462</v>
      </c>
      <c r="L1162" s="2">
        <v>3111</v>
      </c>
      <c r="M1162" s="2">
        <v>180.8</v>
      </c>
      <c r="N1162" s="2">
        <v>261.60000000000002</v>
      </c>
      <c r="O1162" s="2">
        <v>8710</v>
      </c>
      <c r="P1162" s="2">
        <v>34.299999999999997</v>
      </c>
    </row>
    <row r="1163" spans="1:16" ht="24.95" customHeight="1" x14ac:dyDescent="0.25">
      <c r="A1163" s="1" t="s">
        <v>1101</v>
      </c>
      <c r="B1163" s="2">
        <v>286</v>
      </c>
      <c r="C1163" s="2">
        <v>112</v>
      </c>
      <c r="D1163" s="2">
        <v>27.7</v>
      </c>
      <c r="E1163" s="2">
        <v>84</v>
      </c>
      <c r="F1163" s="2">
        <v>0.4</v>
      </c>
      <c r="H1163" s="2">
        <v>113.4</v>
      </c>
      <c r="I1163" s="2">
        <v>2215</v>
      </c>
      <c r="J1163" s="2">
        <v>187</v>
      </c>
      <c r="K1163" s="2">
        <v>251142</v>
      </c>
      <c r="L1163" s="2">
        <v>4392</v>
      </c>
      <c r="M1163" s="2">
        <v>230.6</v>
      </c>
      <c r="N1163" s="2">
        <v>480.5</v>
      </c>
      <c r="O1163" s="2">
        <v>16450</v>
      </c>
      <c r="P1163" s="2">
        <v>26.2</v>
      </c>
    </row>
    <row r="1164" spans="1:16" ht="24.95" customHeight="1" x14ac:dyDescent="0.25">
      <c r="A1164" s="1" t="s">
        <v>1102</v>
      </c>
      <c r="B1164" s="2">
        <v>273</v>
      </c>
      <c r="C1164" s="2">
        <v>106</v>
      </c>
      <c r="D1164" s="2">
        <v>21.3</v>
      </c>
      <c r="E1164" s="2">
        <v>84</v>
      </c>
      <c r="F1164" s="2">
        <v>0.7</v>
      </c>
      <c r="H1164" s="2">
        <v>107.5</v>
      </c>
      <c r="I1164" s="2">
        <v>3006</v>
      </c>
      <c r="J1164" s="2">
        <v>174</v>
      </c>
      <c r="K1164" s="2">
        <v>323106</v>
      </c>
      <c r="L1164" s="2">
        <v>6965</v>
      </c>
      <c r="M1164" s="2">
        <v>457.1</v>
      </c>
      <c r="N1164" s="2">
        <v>712.9</v>
      </c>
      <c r="O1164" s="2">
        <v>25060</v>
      </c>
      <c r="P1164" s="2">
        <v>32.6</v>
      </c>
    </row>
    <row r="1165" spans="1:16" ht="24.95" customHeight="1" x14ac:dyDescent="0.25">
      <c r="A1165" s="1" t="s">
        <v>967</v>
      </c>
      <c r="B1165" s="2">
        <v>265</v>
      </c>
      <c r="C1165" s="2">
        <v>103</v>
      </c>
      <c r="D1165" s="2">
        <v>17.899999999999999</v>
      </c>
      <c r="E1165" s="2">
        <v>84</v>
      </c>
      <c r="F1165" s="2">
        <v>1.1000000000000001</v>
      </c>
      <c r="H1165" s="2">
        <v>106.2</v>
      </c>
      <c r="I1165" s="2">
        <v>2556</v>
      </c>
      <c r="J1165" s="2">
        <v>229</v>
      </c>
      <c r="K1165" s="2">
        <v>271497</v>
      </c>
      <c r="L1165" s="2">
        <v>6427</v>
      </c>
      <c r="M1165" s="2">
        <v>345.6</v>
      </c>
      <c r="N1165" s="2">
        <v>626.79999999999995</v>
      </c>
      <c r="O1165" s="2">
        <v>19690</v>
      </c>
      <c r="P1165" s="2">
        <v>29.5</v>
      </c>
    </row>
    <row r="1166" spans="1:16" ht="24.95" customHeight="1" x14ac:dyDescent="0.25">
      <c r="A1166" s="1" t="s">
        <v>1094</v>
      </c>
      <c r="B1166" s="2">
        <v>266</v>
      </c>
      <c r="C1166" s="2">
        <v>108</v>
      </c>
      <c r="D1166" s="2">
        <v>24</v>
      </c>
      <c r="E1166" s="2">
        <v>84</v>
      </c>
      <c r="H1166" s="2">
        <v>108.1</v>
      </c>
      <c r="I1166" s="2">
        <v>4123</v>
      </c>
      <c r="J1166" s="2">
        <v>160</v>
      </c>
      <c r="K1166" s="2">
        <v>445899</v>
      </c>
      <c r="L1166" s="2">
        <v>8119</v>
      </c>
      <c r="M1166" s="2">
        <v>627.1</v>
      </c>
      <c r="N1166" s="2">
        <v>1001</v>
      </c>
      <c r="O1166" s="2">
        <v>27540</v>
      </c>
      <c r="P1166" s="2">
        <v>15</v>
      </c>
    </row>
    <row r="1167" spans="1:16" ht="24.95" customHeight="1" x14ac:dyDescent="0.25">
      <c r="A1167" s="1" t="s">
        <v>6800</v>
      </c>
      <c r="B1167" s="2">
        <v>195</v>
      </c>
      <c r="C1167" s="2">
        <v>80</v>
      </c>
      <c r="I1167" s="2">
        <v>8441</v>
      </c>
      <c r="J1167" s="2">
        <v>143</v>
      </c>
      <c r="K1167" s="2">
        <v>675280</v>
      </c>
      <c r="L1167" s="2">
        <v>22010</v>
      </c>
      <c r="M1167" s="2">
        <v>1135.2</v>
      </c>
      <c r="N1167" s="2">
        <v>2132.4</v>
      </c>
      <c r="O1167" s="2">
        <v>66900</v>
      </c>
      <c r="P1167" s="2">
        <v>34.200000000000003</v>
      </c>
    </row>
    <row r="1168" spans="1:16" ht="24.95" customHeight="1" x14ac:dyDescent="0.25">
      <c r="A1168" s="1" t="s">
        <v>1104</v>
      </c>
      <c r="B1168" s="2">
        <v>264</v>
      </c>
      <c r="C1168" s="2">
        <v>128</v>
      </c>
      <c r="D1168" s="2">
        <v>44.3</v>
      </c>
      <c r="E1168" s="2">
        <v>83</v>
      </c>
      <c r="F1168" s="2">
        <v>0.7</v>
      </c>
      <c r="I1168" s="2">
        <v>250</v>
      </c>
      <c r="J1168" s="2">
        <v>213</v>
      </c>
      <c r="K1168" s="2">
        <v>32000</v>
      </c>
      <c r="L1168" s="2">
        <v>549</v>
      </c>
      <c r="M1168" s="2">
        <v>25.5</v>
      </c>
      <c r="N1168" s="2">
        <v>64.599999999999994</v>
      </c>
      <c r="O1168" s="2">
        <v>1770</v>
      </c>
      <c r="P1168" s="2">
        <v>16.600000000000001</v>
      </c>
    </row>
    <row r="1169" spans="1:16" ht="24.95" customHeight="1" x14ac:dyDescent="0.25">
      <c r="A1169" s="1" t="s">
        <v>1105</v>
      </c>
      <c r="B1169" s="2">
        <v>291</v>
      </c>
      <c r="C1169" s="2">
        <v>120</v>
      </c>
      <c r="D1169" s="2">
        <v>39.200000000000003</v>
      </c>
      <c r="E1169" s="2">
        <v>80</v>
      </c>
      <c r="F1169" s="2">
        <v>0.8</v>
      </c>
      <c r="I1169" s="2">
        <v>2800</v>
      </c>
      <c r="J1169" s="2">
        <v>151</v>
      </c>
      <c r="K1169" s="2">
        <v>336000</v>
      </c>
      <c r="L1169" s="2">
        <v>6317</v>
      </c>
      <c r="M1169" s="2">
        <v>357</v>
      </c>
      <c r="N1169" s="2">
        <v>697.5</v>
      </c>
      <c r="O1169" s="2">
        <v>18630</v>
      </c>
      <c r="P1169" s="2">
        <v>15.1</v>
      </c>
    </row>
    <row r="1170" spans="1:16" ht="24.95" customHeight="1" x14ac:dyDescent="0.25">
      <c r="A1170" s="1" t="s">
        <v>1106</v>
      </c>
      <c r="B1170" s="2">
        <v>284</v>
      </c>
      <c r="C1170" s="2">
        <v>120</v>
      </c>
      <c r="D1170" s="2">
        <v>36.5</v>
      </c>
      <c r="E1170" s="2">
        <v>83</v>
      </c>
      <c r="F1170" s="2">
        <v>0.5</v>
      </c>
      <c r="I1170" s="2">
        <v>827</v>
      </c>
      <c r="J1170" s="2">
        <v>145</v>
      </c>
      <c r="K1170" s="2">
        <v>99240</v>
      </c>
      <c r="L1170" s="2">
        <v>1728</v>
      </c>
      <c r="M1170" s="2">
        <v>98.9</v>
      </c>
      <c r="N1170" s="2">
        <v>204.5</v>
      </c>
      <c r="O1170" s="2">
        <v>5510</v>
      </c>
      <c r="P1170" s="2">
        <v>17.5</v>
      </c>
    </row>
    <row r="1171" spans="1:16" ht="24.95" customHeight="1" x14ac:dyDescent="0.25">
      <c r="A1171" s="1" t="s">
        <v>1107</v>
      </c>
      <c r="B1171" s="2">
        <v>279</v>
      </c>
      <c r="C1171" s="2">
        <v>124</v>
      </c>
      <c r="D1171" s="2">
        <v>43.4</v>
      </c>
      <c r="E1171" s="2">
        <v>80</v>
      </c>
      <c r="F1171" s="2">
        <v>0.6</v>
      </c>
      <c r="I1171" s="2">
        <v>1014</v>
      </c>
      <c r="J1171" s="2">
        <v>125</v>
      </c>
      <c r="K1171" s="2">
        <v>125736</v>
      </c>
      <c r="L1171" s="2">
        <v>2258</v>
      </c>
      <c r="M1171" s="2">
        <v>162.5</v>
      </c>
      <c r="N1171" s="2">
        <v>262.39999999999998</v>
      </c>
      <c r="O1171" s="2">
        <v>6640</v>
      </c>
      <c r="P1171" s="2">
        <v>9.4</v>
      </c>
    </row>
    <row r="1172" spans="1:16" ht="24.95" customHeight="1" x14ac:dyDescent="0.25">
      <c r="A1172" s="1" t="s">
        <v>1108</v>
      </c>
      <c r="B1172" s="2">
        <v>232</v>
      </c>
      <c r="C1172" s="2">
        <v>104</v>
      </c>
      <c r="D1172" s="2">
        <v>19</v>
      </c>
      <c r="E1172" s="2">
        <v>83</v>
      </c>
      <c r="F1172" s="2">
        <v>2</v>
      </c>
      <c r="H1172" s="2">
        <v>105.4</v>
      </c>
      <c r="I1172" s="2">
        <v>1320</v>
      </c>
      <c r="J1172" s="2">
        <v>123</v>
      </c>
      <c r="K1172" s="2">
        <v>139180</v>
      </c>
      <c r="L1172" s="2">
        <v>5031</v>
      </c>
      <c r="M1172" s="2">
        <v>178.2</v>
      </c>
      <c r="N1172" s="2">
        <v>336.6</v>
      </c>
      <c r="O1172" s="2">
        <v>15240</v>
      </c>
      <c r="P1172" s="2">
        <v>50.8</v>
      </c>
    </row>
    <row r="1173" spans="1:16" ht="24.95" customHeight="1" x14ac:dyDescent="0.25">
      <c r="A1173" s="1" t="s">
        <v>1109</v>
      </c>
      <c r="B1173" s="2">
        <v>262</v>
      </c>
      <c r="C1173" s="2">
        <v>106</v>
      </c>
      <c r="D1173" s="2">
        <v>21.5</v>
      </c>
      <c r="E1173" s="2">
        <v>83</v>
      </c>
      <c r="F1173" s="2">
        <v>1.5</v>
      </c>
      <c r="H1173" s="2">
        <v>107.3</v>
      </c>
      <c r="I1173" s="2">
        <v>2230</v>
      </c>
      <c r="J1173" s="2">
        <v>146</v>
      </c>
      <c r="K1173" s="2">
        <v>239196</v>
      </c>
      <c r="L1173" s="2">
        <v>6127</v>
      </c>
      <c r="M1173" s="2">
        <v>313.3</v>
      </c>
      <c r="N1173" s="2">
        <v>566.79999999999995</v>
      </c>
      <c r="O1173" s="2">
        <v>19110</v>
      </c>
      <c r="P1173" s="2">
        <v>33.799999999999997</v>
      </c>
    </row>
    <row r="1174" spans="1:16" ht="24.95" customHeight="1" x14ac:dyDescent="0.25">
      <c r="A1174" s="1" t="s">
        <v>6801</v>
      </c>
      <c r="B1174" s="2">
        <v>183</v>
      </c>
      <c r="C1174" s="2">
        <v>78</v>
      </c>
      <c r="I1174" s="2">
        <v>59716</v>
      </c>
      <c r="J1174" s="2">
        <v>169</v>
      </c>
      <c r="K1174" s="2">
        <v>4657848</v>
      </c>
      <c r="L1174" s="2">
        <v>126662</v>
      </c>
      <c r="M1174" s="2">
        <v>7309.1</v>
      </c>
      <c r="N1174" s="2">
        <v>14231.2</v>
      </c>
      <c r="O1174" s="2">
        <v>439260</v>
      </c>
      <c r="P1174" s="2">
        <v>22.9</v>
      </c>
    </row>
    <row r="1175" spans="1:16" ht="24.95" customHeight="1" x14ac:dyDescent="0.25">
      <c r="A1175" s="1" t="s">
        <v>1111</v>
      </c>
      <c r="B1175" s="2">
        <v>300</v>
      </c>
      <c r="C1175" s="2">
        <v>128</v>
      </c>
      <c r="D1175" s="2">
        <v>45.1</v>
      </c>
      <c r="E1175" s="2">
        <v>82</v>
      </c>
      <c r="F1175" s="2">
        <v>0.9</v>
      </c>
      <c r="I1175" s="2">
        <v>881</v>
      </c>
      <c r="J1175" s="2">
        <v>165</v>
      </c>
      <c r="K1175" s="2">
        <v>112768</v>
      </c>
      <c r="L1175" s="2">
        <v>2114</v>
      </c>
      <c r="M1175" s="2">
        <v>114.8</v>
      </c>
      <c r="N1175" s="2">
        <v>219.1</v>
      </c>
      <c r="O1175" s="2">
        <v>6680</v>
      </c>
      <c r="P1175" s="2">
        <v>24.9</v>
      </c>
    </row>
    <row r="1176" spans="1:16" ht="24.95" customHeight="1" x14ac:dyDescent="0.25">
      <c r="A1176" s="1" t="s">
        <v>1112</v>
      </c>
      <c r="B1176" s="2">
        <v>276</v>
      </c>
      <c r="C1176" s="2">
        <v>120</v>
      </c>
      <c r="D1176" s="2">
        <v>37.6</v>
      </c>
      <c r="E1176" s="2">
        <v>82</v>
      </c>
      <c r="F1176" s="2">
        <v>0.4</v>
      </c>
      <c r="I1176" s="2">
        <v>2750</v>
      </c>
      <c r="J1176" s="2">
        <v>161</v>
      </c>
      <c r="K1176" s="2">
        <v>330000</v>
      </c>
      <c r="L1176" s="2">
        <v>5609</v>
      </c>
      <c r="M1176" s="2">
        <v>332.8</v>
      </c>
      <c r="N1176" s="2">
        <v>677.2</v>
      </c>
      <c r="O1176" s="2">
        <v>17930</v>
      </c>
      <c r="P1176" s="2">
        <v>12.4</v>
      </c>
    </row>
    <row r="1177" spans="1:16" ht="24.95" customHeight="1" x14ac:dyDescent="0.25">
      <c r="A1177" s="1" t="s">
        <v>1113</v>
      </c>
      <c r="B1177" s="2">
        <v>286</v>
      </c>
      <c r="C1177" s="2">
        <v>124</v>
      </c>
      <c r="D1177" s="2">
        <v>40.1</v>
      </c>
      <c r="E1177" s="2">
        <v>82</v>
      </c>
      <c r="F1177" s="2">
        <v>1.9</v>
      </c>
      <c r="I1177" s="2">
        <v>1215</v>
      </c>
      <c r="J1177" s="2">
        <v>159</v>
      </c>
      <c r="K1177" s="2">
        <v>150660</v>
      </c>
      <c r="L1177" s="2">
        <v>2811</v>
      </c>
      <c r="M1177" s="2">
        <v>160.6</v>
      </c>
      <c r="N1177" s="2">
        <v>323.5</v>
      </c>
      <c r="O1177" s="2">
        <v>8680</v>
      </c>
      <c r="P1177" s="2">
        <v>15.7</v>
      </c>
    </row>
    <row r="1178" spans="1:16" ht="24.95" customHeight="1" x14ac:dyDescent="0.25">
      <c r="A1178" s="1" t="s">
        <v>1114</v>
      </c>
      <c r="B1178" s="2">
        <v>270</v>
      </c>
      <c r="C1178" s="2">
        <v>128</v>
      </c>
      <c r="D1178" s="2">
        <v>46.1</v>
      </c>
      <c r="E1178" s="2">
        <v>82</v>
      </c>
      <c r="F1178" s="2">
        <v>-0.1</v>
      </c>
      <c r="I1178" s="2">
        <v>353</v>
      </c>
      <c r="J1178" s="2">
        <v>149</v>
      </c>
      <c r="K1178" s="2">
        <v>45184</v>
      </c>
      <c r="L1178" s="2">
        <v>868</v>
      </c>
      <c r="M1178" s="2">
        <v>35</v>
      </c>
      <c r="N1178" s="2">
        <v>88.8</v>
      </c>
      <c r="O1178" s="2">
        <v>2600</v>
      </c>
      <c r="P1178" s="2">
        <v>22</v>
      </c>
    </row>
    <row r="1179" spans="1:16" ht="24.95" customHeight="1" x14ac:dyDescent="0.25">
      <c r="A1179" s="1" t="s">
        <v>1115</v>
      </c>
      <c r="B1179" s="2">
        <v>264</v>
      </c>
      <c r="C1179" s="2">
        <v>116</v>
      </c>
      <c r="D1179" s="2">
        <v>34.1</v>
      </c>
      <c r="E1179" s="2">
        <v>82</v>
      </c>
      <c r="F1179" s="2">
        <v>-0.1</v>
      </c>
      <c r="I1179" s="2">
        <v>700</v>
      </c>
      <c r="J1179" s="2">
        <v>119</v>
      </c>
      <c r="K1179" s="2">
        <v>81200</v>
      </c>
      <c r="L1179" s="2">
        <v>1541</v>
      </c>
      <c r="M1179" s="2">
        <v>91.7</v>
      </c>
      <c r="N1179" s="2">
        <v>198.1</v>
      </c>
      <c r="O1179" s="2">
        <v>5650</v>
      </c>
      <c r="P1179" s="2">
        <v>23.6</v>
      </c>
    </row>
    <row r="1180" spans="1:16" ht="24.95" customHeight="1" x14ac:dyDescent="0.25">
      <c r="A1180" s="1" t="s">
        <v>1116</v>
      </c>
      <c r="B1180" s="2">
        <v>290</v>
      </c>
      <c r="C1180" s="2">
        <v>132</v>
      </c>
      <c r="D1180" s="2">
        <v>53.9</v>
      </c>
      <c r="E1180" s="2">
        <v>78.8</v>
      </c>
      <c r="F1180" s="2">
        <v>-0.7</v>
      </c>
      <c r="I1180" s="2">
        <v>6379</v>
      </c>
      <c r="J1180" s="2">
        <v>140</v>
      </c>
      <c r="K1180" s="2">
        <v>842028</v>
      </c>
      <c r="L1180" s="2">
        <v>10825</v>
      </c>
      <c r="M1180" s="2">
        <v>819.7</v>
      </c>
      <c r="N1180" s="2">
        <v>1614.9</v>
      </c>
      <c r="O1180" s="2">
        <v>35440</v>
      </c>
    </row>
    <row r="1181" spans="1:16" ht="24.95" customHeight="1" x14ac:dyDescent="0.25">
      <c r="A1181" s="1" t="s">
        <v>1117</v>
      </c>
      <c r="B1181" s="2">
        <v>300</v>
      </c>
      <c r="C1181" s="2">
        <v>123</v>
      </c>
      <c r="D1181" s="2">
        <v>43.7</v>
      </c>
      <c r="E1181" s="2">
        <v>78.8</v>
      </c>
      <c r="F1181" s="2">
        <v>0.6</v>
      </c>
      <c r="I1181" s="2">
        <v>14050</v>
      </c>
      <c r="J1181" s="2">
        <v>182</v>
      </c>
      <c r="K1181" s="2">
        <v>1728150</v>
      </c>
      <c r="L1181" s="2">
        <v>28811</v>
      </c>
      <c r="M1181" s="2">
        <v>1721.5</v>
      </c>
      <c r="N1181" s="2">
        <v>3403.3</v>
      </c>
      <c r="O1181" s="2">
        <v>94560</v>
      </c>
      <c r="P1181" s="2">
        <v>16.8</v>
      </c>
    </row>
    <row r="1182" spans="1:16" ht="24.95" customHeight="1" x14ac:dyDescent="0.25">
      <c r="A1182" s="1" t="s">
        <v>1118</v>
      </c>
      <c r="B1182" s="2">
        <v>234</v>
      </c>
      <c r="C1182" s="2">
        <v>100</v>
      </c>
      <c r="D1182" s="2">
        <v>18</v>
      </c>
      <c r="E1182" s="2">
        <v>82</v>
      </c>
      <c r="I1182" s="2">
        <v>485</v>
      </c>
      <c r="J1182" s="2">
        <v>149</v>
      </c>
      <c r="K1182" s="2">
        <v>48500</v>
      </c>
      <c r="L1182" s="2">
        <v>1021</v>
      </c>
      <c r="M1182" s="2">
        <v>69.599999999999994</v>
      </c>
      <c r="N1182" s="2">
        <v>121.4</v>
      </c>
      <c r="O1182" s="2">
        <v>3930</v>
      </c>
      <c r="P1182" s="2">
        <v>24.6</v>
      </c>
    </row>
    <row r="1183" spans="1:16" ht="24.95" customHeight="1" x14ac:dyDescent="0.25">
      <c r="A1183" s="1" t="s">
        <v>1119</v>
      </c>
      <c r="B1183" s="2">
        <v>261</v>
      </c>
      <c r="C1183" s="2">
        <v>112</v>
      </c>
      <c r="D1183" s="2">
        <v>29.6</v>
      </c>
      <c r="E1183" s="2">
        <v>82</v>
      </c>
      <c r="F1183" s="2">
        <v>0.4</v>
      </c>
      <c r="I1183" s="2">
        <v>682</v>
      </c>
      <c r="J1183" s="2">
        <v>183</v>
      </c>
      <c r="K1183" s="2">
        <v>76384</v>
      </c>
      <c r="L1183" s="2">
        <v>2029</v>
      </c>
      <c r="M1183" s="2">
        <v>110</v>
      </c>
      <c r="N1183" s="2">
        <v>176.3</v>
      </c>
      <c r="O1183" s="2">
        <v>5860</v>
      </c>
      <c r="P1183" s="2">
        <v>33</v>
      </c>
    </row>
    <row r="1184" spans="1:16" ht="24.95" customHeight="1" x14ac:dyDescent="0.25">
      <c r="A1184" s="1" t="s">
        <v>1120</v>
      </c>
      <c r="B1184" s="2">
        <v>270</v>
      </c>
      <c r="C1184" s="2">
        <v>108</v>
      </c>
      <c r="D1184" s="2">
        <v>25</v>
      </c>
      <c r="E1184" s="2">
        <v>82</v>
      </c>
      <c r="F1184" s="2">
        <v>1</v>
      </c>
      <c r="I1184" s="2">
        <v>1470</v>
      </c>
      <c r="J1184" s="2">
        <v>185</v>
      </c>
      <c r="K1184" s="2">
        <v>158760</v>
      </c>
      <c r="L1184" s="2">
        <v>2677</v>
      </c>
      <c r="M1184" s="2">
        <v>163.4</v>
      </c>
      <c r="N1184" s="2">
        <v>365.7</v>
      </c>
      <c r="O1184" s="2">
        <v>8560</v>
      </c>
      <c r="P1184" s="2">
        <v>2.8</v>
      </c>
    </row>
    <row r="1185" spans="1:16" ht="24.95" customHeight="1" x14ac:dyDescent="0.25">
      <c r="A1185" s="1" t="s">
        <v>1121</v>
      </c>
      <c r="B1185" s="2">
        <v>282</v>
      </c>
      <c r="C1185" s="2">
        <v>120</v>
      </c>
      <c r="D1185" s="2">
        <v>36.9</v>
      </c>
      <c r="E1185" s="2">
        <v>82</v>
      </c>
      <c r="F1185" s="2">
        <v>1.1000000000000001</v>
      </c>
      <c r="I1185" s="2">
        <v>2850</v>
      </c>
      <c r="J1185" s="2">
        <v>171</v>
      </c>
      <c r="K1185" s="2">
        <v>342000</v>
      </c>
      <c r="L1185" s="2">
        <v>5462</v>
      </c>
      <c r="M1185" s="2">
        <v>327.3</v>
      </c>
      <c r="N1185" s="2">
        <v>712.7</v>
      </c>
      <c r="O1185" s="2">
        <v>16020</v>
      </c>
      <c r="P1185" s="2">
        <v>1.9</v>
      </c>
    </row>
    <row r="1186" spans="1:16" ht="24.95" customHeight="1" x14ac:dyDescent="0.25">
      <c r="A1186" s="1" t="s">
        <v>1122</v>
      </c>
      <c r="B1186" s="2">
        <v>242</v>
      </c>
      <c r="C1186" s="2">
        <v>104</v>
      </c>
      <c r="D1186" s="2">
        <v>22.3</v>
      </c>
      <c r="E1186" s="2">
        <v>82</v>
      </c>
      <c r="F1186" s="2">
        <v>-0.3</v>
      </c>
      <c r="I1186" s="2">
        <v>1475</v>
      </c>
      <c r="J1186" s="2">
        <v>149</v>
      </c>
      <c r="K1186" s="2">
        <v>153400</v>
      </c>
      <c r="L1186" s="2">
        <v>2673</v>
      </c>
      <c r="M1186" s="2">
        <v>159.80000000000001</v>
      </c>
      <c r="N1186" s="2">
        <v>316.60000000000002</v>
      </c>
      <c r="O1186" s="2">
        <v>9780</v>
      </c>
      <c r="P1186" s="2">
        <v>18.399999999999999</v>
      </c>
    </row>
    <row r="1187" spans="1:16" ht="24.95" customHeight="1" x14ac:dyDescent="0.25">
      <c r="A1187" s="1" t="s">
        <v>1123</v>
      </c>
      <c r="B1187" s="2">
        <v>264</v>
      </c>
      <c r="C1187" s="2">
        <v>14</v>
      </c>
      <c r="D1187" s="2">
        <v>31.4</v>
      </c>
      <c r="E1187" s="2">
        <v>82</v>
      </c>
      <c r="F1187" s="2">
        <v>0.6</v>
      </c>
      <c r="I1187" s="2">
        <v>740</v>
      </c>
      <c r="J1187" s="2">
        <v>194</v>
      </c>
      <c r="K1187" s="2">
        <v>84360</v>
      </c>
      <c r="L1187" s="2">
        <v>1780</v>
      </c>
      <c r="M1187" s="2">
        <v>90.2</v>
      </c>
      <c r="N1187" s="2">
        <v>294.89999999999998</v>
      </c>
      <c r="O1187" s="2">
        <v>5440</v>
      </c>
      <c r="P1187" s="2">
        <v>29.6</v>
      </c>
    </row>
    <row r="1188" spans="1:16" ht="24.95" customHeight="1" x14ac:dyDescent="0.25">
      <c r="A1188" s="1" t="s">
        <v>1124</v>
      </c>
      <c r="B1188" s="2">
        <v>248</v>
      </c>
      <c r="C1188" s="2">
        <v>100</v>
      </c>
      <c r="D1188" s="2">
        <v>17.600000000000001</v>
      </c>
      <c r="E1188" s="2">
        <v>82</v>
      </c>
      <c r="F1188" s="2">
        <v>0.4</v>
      </c>
      <c r="H1188" s="2">
        <v>102.3</v>
      </c>
      <c r="I1188" s="2">
        <v>3354</v>
      </c>
      <c r="J1188" s="2">
        <v>148</v>
      </c>
      <c r="K1188" s="2">
        <v>343265</v>
      </c>
      <c r="L1188" s="2">
        <v>4564</v>
      </c>
      <c r="M1188" s="2">
        <v>312.10000000000002</v>
      </c>
      <c r="N1188" s="2">
        <v>644.4</v>
      </c>
      <c r="O1188" s="2">
        <v>24750</v>
      </c>
      <c r="P1188" s="2">
        <v>25.2</v>
      </c>
    </row>
    <row r="1189" spans="1:16" ht="24.95" customHeight="1" x14ac:dyDescent="0.25">
      <c r="A1189" s="1" t="s">
        <v>1125</v>
      </c>
      <c r="B1189" s="2">
        <v>244</v>
      </c>
      <c r="C1189" s="2">
        <v>94.3</v>
      </c>
      <c r="D1189" s="2">
        <v>10.199999999999999</v>
      </c>
      <c r="E1189" s="2">
        <v>82</v>
      </c>
      <c r="F1189" s="2">
        <v>2.1</v>
      </c>
      <c r="H1189" s="2">
        <v>98.2</v>
      </c>
      <c r="I1189" s="2">
        <v>1080</v>
      </c>
      <c r="J1189" s="2">
        <v>132</v>
      </c>
      <c r="K1189" s="2">
        <v>106106</v>
      </c>
      <c r="L1189" s="2">
        <v>3475</v>
      </c>
      <c r="M1189" s="2">
        <v>181.8</v>
      </c>
      <c r="N1189" s="2">
        <v>268.5</v>
      </c>
      <c r="O1189" s="2">
        <v>13000</v>
      </c>
      <c r="P1189" s="2">
        <v>49.2</v>
      </c>
    </row>
    <row r="1190" spans="1:16" ht="24.95" customHeight="1" x14ac:dyDescent="0.25">
      <c r="A1190" s="1" t="s">
        <v>1126</v>
      </c>
      <c r="B1190" s="2">
        <v>249</v>
      </c>
      <c r="C1190" s="2">
        <v>107</v>
      </c>
      <c r="D1190" s="2">
        <v>24</v>
      </c>
      <c r="E1190" s="2">
        <v>82</v>
      </c>
      <c r="F1190" s="2">
        <v>1</v>
      </c>
      <c r="H1190" s="2">
        <v>110.6</v>
      </c>
      <c r="I1190" s="2">
        <v>3655</v>
      </c>
      <c r="J1190" s="2">
        <v>150</v>
      </c>
      <c r="K1190" s="2">
        <v>404334</v>
      </c>
      <c r="L1190" s="2">
        <v>8093</v>
      </c>
      <c r="M1190" s="2">
        <v>386</v>
      </c>
      <c r="N1190" s="2">
        <v>734.1</v>
      </c>
      <c r="O1190" s="2">
        <v>33510</v>
      </c>
      <c r="P1190" s="2">
        <v>40.799999999999997</v>
      </c>
    </row>
    <row r="1191" spans="1:16" ht="24.95" customHeight="1" x14ac:dyDescent="0.25">
      <c r="A1191" s="1" t="s">
        <v>1127</v>
      </c>
      <c r="B1191" s="2">
        <v>230</v>
      </c>
      <c r="C1191" s="2">
        <v>94</v>
      </c>
      <c r="D1191" s="2">
        <v>11.1</v>
      </c>
      <c r="E1191" s="2">
        <v>82</v>
      </c>
      <c r="F1191" s="2">
        <v>0.9</v>
      </c>
      <c r="H1191" s="2">
        <v>96.2</v>
      </c>
      <c r="I1191" s="2">
        <v>2040</v>
      </c>
      <c r="J1191" s="2">
        <v>168</v>
      </c>
      <c r="K1191" s="2">
        <v>196330</v>
      </c>
      <c r="L1191" s="2">
        <v>4740</v>
      </c>
      <c r="M1191" s="2">
        <v>255.7</v>
      </c>
      <c r="N1191" s="2">
        <v>434.5</v>
      </c>
      <c r="O1191" s="2">
        <v>19550</v>
      </c>
      <c r="P1191" s="2">
        <v>444</v>
      </c>
    </row>
    <row r="1192" spans="1:16" ht="24.95" customHeight="1" x14ac:dyDescent="0.25">
      <c r="A1192" s="1" t="s">
        <v>1113</v>
      </c>
      <c r="B1192" s="2">
        <v>252</v>
      </c>
      <c r="C1192" s="2">
        <v>108</v>
      </c>
      <c r="D1192" s="2">
        <v>23.6</v>
      </c>
      <c r="E1192" s="2">
        <v>82</v>
      </c>
      <c r="F1192" s="2">
        <v>2.2999999999999998</v>
      </c>
      <c r="H1192" s="2">
        <v>109.9</v>
      </c>
      <c r="I1192" s="2">
        <v>1175</v>
      </c>
      <c r="J1192" s="2">
        <v>258</v>
      </c>
      <c r="K1192" s="2">
        <v>129165</v>
      </c>
      <c r="L1192" s="2">
        <v>4033</v>
      </c>
      <c r="M1192" s="2">
        <v>185.8</v>
      </c>
      <c r="N1192" s="2">
        <v>282.2</v>
      </c>
      <c r="O1192" s="2">
        <v>14230</v>
      </c>
      <c r="P1192" s="2">
        <v>48.8</v>
      </c>
    </row>
    <row r="1193" spans="1:16" ht="24.95" customHeight="1" x14ac:dyDescent="0.25">
      <c r="A1193" s="1" t="s">
        <v>1129</v>
      </c>
      <c r="B1193" s="2">
        <v>248</v>
      </c>
      <c r="C1193" s="2">
        <v>100</v>
      </c>
      <c r="D1193" s="2">
        <v>17.5</v>
      </c>
      <c r="E1193" s="2">
        <v>82</v>
      </c>
      <c r="F1193" s="2">
        <v>0.5</v>
      </c>
      <c r="H1193" s="2">
        <v>102</v>
      </c>
      <c r="I1193" s="2">
        <v>6050</v>
      </c>
      <c r="J1193" s="2">
        <v>267</v>
      </c>
      <c r="K1193" s="2">
        <v>617114</v>
      </c>
      <c r="L1193" s="2">
        <v>8490</v>
      </c>
      <c r="M1193" s="2">
        <v>504.5</v>
      </c>
      <c r="N1193" s="2">
        <v>1408.3</v>
      </c>
      <c r="O1193" s="2">
        <v>28330</v>
      </c>
    </row>
    <row r="1194" spans="1:16" ht="24.95" customHeight="1" x14ac:dyDescent="0.25">
      <c r="A1194" s="1" t="s">
        <v>1114</v>
      </c>
      <c r="B1194" s="2">
        <v>236</v>
      </c>
      <c r="C1194" s="2">
        <v>100</v>
      </c>
      <c r="D1194" s="2">
        <v>17</v>
      </c>
      <c r="E1194" s="2">
        <v>82</v>
      </c>
      <c r="F1194" s="2">
        <v>1</v>
      </c>
      <c r="H1194" s="2">
        <v>101</v>
      </c>
      <c r="I1194" s="2">
        <v>1030</v>
      </c>
      <c r="J1194" s="2">
        <v>129</v>
      </c>
      <c r="K1194" s="2">
        <v>104044</v>
      </c>
      <c r="L1194" s="2">
        <v>3013</v>
      </c>
      <c r="M1194" s="2">
        <v>148.6</v>
      </c>
      <c r="N1194" s="2">
        <v>232.2</v>
      </c>
      <c r="O1194" s="2">
        <v>10700</v>
      </c>
      <c r="P1194" s="2">
        <v>45.2</v>
      </c>
    </row>
    <row r="1195" spans="1:16" ht="24.95" customHeight="1" x14ac:dyDescent="0.25">
      <c r="A1195" s="1" t="s">
        <v>1130</v>
      </c>
      <c r="B1195" s="2">
        <v>252</v>
      </c>
      <c r="C1195" s="2">
        <v>106</v>
      </c>
      <c r="D1195" s="2">
        <v>22</v>
      </c>
      <c r="E1195" s="2">
        <v>82</v>
      </c>
      <c r="F1195" s="2">
        <v>2</v>
      </c>
      <c r="H1195" s="2">
        <v>108.2</v>
      </c>
      <c r="I1195" s="2">
        <v>840</v>
      </c>
      <c r="J1195" s="2">
        <v>153</v>
      </c>
      <c r="K1195" s="2">
        <v>90886</v>
      </c>
      <c r="L1195" s="2">
        <v>3267</v>
      </c>
      <c r="M1195" s="2">
        <v>162.5</v>
      </c>
      <c r="N1195" s="2">
        <v>212.8</v>
      </c>
      <c r="O1195" s="2">
        <v>10050</v>
      </c>
      <c r="P1195" s="2">
        <v>52.1</v>
      </c>
    </row>
    <row r="1196" spans="1:16" ht="24.95" customHeight="1" x14ac:dyDescent="0.25">
      <c r="A1196" s="1" t="s">
        <v>1131</v>
      </c>
      <c r="B1196" s="2">
        <v>242</v>
      </c>
      <c r="C1196" s="2">
        <v>103</v>
      </c>
      <c r="D1196" s="2">
        <v>19.3</v>
      </c>
      <c r="E1196" s="2">
        <v>82</v>
      </c>
      <c r="F1196" s="2">
        <v>1.7</v>
      </c>
      <c r="H1196" s="2">
        <v>106.6</v>
      </c>
      <c r="I1196" s="2">
        <v>1050</v>
      </c>
      <c r="J1196" s="2">
        <v>147</v>
      </c>
      <c r="K1196" s="2">
        <v>111898</v>
      </c>
      <c r="L1196" s="2">
        <v>3866</v>
      </c>
      <c r="M1196" s="2">
        <v>183.8</v>
      </c>
      <c r="N1196" s="2">
        <v>269.89999999999998</v>
      </c>
      <c r="O1196" s="2">
        <v>11480</v>
      </c>
      <c r="P1196" s="2">
        <v>47.1</v>
      </c>
    </row>
    <row r="1197" spans="1:16" ht="24.95" customHeight="1" x14ac:dyDescent="0.25">
      <c r="A1197" s="1" t="s">
        <v>1132</v>
      </c>
      <c r="B1197" s="2">
        <v>244</v>
      </c>
      <c r="C1197" s="2">
        <v>100</v>
      </c>
      <c r="D1197" s="2">
        <v>17.3</v>
      </c>
      <c r="E1197" s="2">
        <v>82</v>
      </c>
      <c r="F1197" s="2">
        <v>0.7</v>
      </c>
      <c r="H1197" s="2">
        <v>101.6</v>
      </c>
      <c r="I1197" s="2">
        <v>2135</v>
      </c>
      <c r="J1197" s="2">
        <v>140</v>
      </c>
      <c r="K1197" s="2">
        <v>217010</v>
      </c>
      <c r="L1197" s="2">
        <v>4350</v>
      </c>
      <c r="M1197" s="2">
        <v>207.5</v>
      </c>
      <c r="N1197" s="2">
        <v>413.3</v>
      </c>
      <c r="O1197" s="2">
        <v>19890</v>
      </c>
      <c r="P1197" s="2">
        <v>36.5</v>
      </c>
    </row>
    <row r="1198" spans="1:16" ht="24.95" customHeight="1" x14ac:dyDescent="0.25">
      <c r="A1198" s="1" t="s">
        <v>1133</v>
      </c>
      <c r="B1198" s="2">
        <v>252</v>
      </c>
      <c r="C1198" s="2">
        <v>102</v>
      </c>
      <c r="D1198" s="2">
        <v>19.5</v>
      </c>
      <c r="E1198" s="2">
        <v>82</v>
      </c>
      <c r="F1198" s="2">
        <v>0.5</v>
      </c>
      <c r="H1198" s="2">
        <v>103.4</v>
      </c>
      <c r="I1198" s="2">
        <v>2245</v>
      </c>
      <c r="J1198" s="2">
        <v>174</v>
      </c>
      <c r="K1198" s="2">
        <v>232140</v>
      </c>
      <c r="L1198" s="2">
        <v>6210</v>
      </c>
      <c r="M1198" s="2">
        <v>389.5</v>
      </c>
      <c r="N1198" s="2">
        <v>549.70000000000005</v>
      </c>
      <c r="O1198" s="2">
        <v>19270</v>
      </c>
      <c r="P1198" s="2">
        <v>30.6</v>
      </c>
    </row>
    <row r="1199" spans="1:16" ht="24.95" customHeight="1" x14ac:dyDescent="0.25">
      <c r="A1199" s="1" t="s">
        <v>1134</v>
      </c>
      <c r="B1199" s="2">
        <v>220</v>
      </c>
      <c r="C1199" s="2">
        <v>96</v>
      </c>
      <c r="D1199" s="2">
        <v>13</v>
      </c>
      <c r="E1199" s="2">
        <v>82</v>
      </c>
      <c r="F1199" s="2">
        <v>1</v>
      </c>
      <c r="H1199" s="2">
        <v>97.1</v>
      </c>
      <c r="I1199" s="2">
        <v>1050</v>
      </c>
      <c r="J1199" s="2">
        <v>184</v>
      </c>
      <c r="K1199" s="2">
        <v>101915</v>
      </c>
      <c r="L1199" s="2">
        <v>4340</v>
      </c>
      <c r="M1199" s="2">
        <v>194.9</v>
      </c>
      <c r="N1199" s="2">
        <v>268.60000000000002</v>
      </c>
      <c r="O1199" s="2">
        <v>13370</v>
      </c>
      <c r="P1199" s="2">
        <v>51.7</v>
      </c>
    </row>
    <row r="1200" spans="1:16" ht="24.95" customHeight="1" x14ac:dyDescent="0.25">
      <c r="A1200" s="1" t="s">
        <v>6802</v>
      </c>
      <c r="B1200" s="2">
        <v>186</v>
      </c>
      <c r="C1200" s="2">
        <v>75</v>
      </c>
      <c r="I1200" s="2">
        <v>66375</v>
      </c>
      <c r="J1200" s="2">
        <v>188</v>
      </c>
      <c r="K1200" s="2">
        <v>4978125</v>
      </c>
      <c r="L1200" s="2">
        <v>141699</v>
      </c>
      <c r="M1200" s="2">
        <v>8615.4</v>
      </c>
      <c r="N1200" s="2">
        <v>16374</v>
      </c>
      <c r="O1200" s="2">
        <v>450400</v>
      </c>
      <c r="P1200" s="2">
        <v>16.7</v>
      </c>
    </row>
    <row r="1201" spans="1:16" ht="24.95" customHeight="1" x14ac:dyDescent="0.25">
      <c r="A1201" s="1" t="s">
        <v>1136</v>
      </c>
      <c r="B1201" s="2">
        <v>282</v>
      </c>
      <c r="C1201" s="2">
        <v>114</v>
      </c>
      <c r="D1201" s="2">
        <v>34.6</v>
      </c>
      <c r="E1201" s="2">
        <v>78.2</v>
      </c>
      <c r="F1201" s="2">
        <v>1.2</v>
      </c>
      <c r="I1201" s="2">
        <v>525</v>
      </c>
      <c r="J1201" s="2">
        <v>195</v>
      </c>
      <c r="K1201" s="2">
        <v>59850</v>
      </c>
      <c r="L1201" s="2">
        <v>1675</v>
      </c>
      <c r="M1201" s="2">
        <v>84.3</v>
      </c>
      <c r="N1201" s="2">
        <v>125.6</v>
      </c>
      <c r="O1201" s="2">
        <v>5140</v>
      </c>
      <c r="P1201" s="2">
        <v>44.8</v>
      </c>
    </row>
    <row r="1202" spans="1:16" ht="24.95" customHeight="1" x14ac:dyDescent="0.25">
      <c r="A1202" s="1" t="s">
        <v>1137</v>
      </c>
      <c r="B1202" s="2">
        <v>284</v>
      </c>
      <c r="C1202" s="2">
        <v>116</v>
      </c>
      <c r="D1202" s="2">
        <v>39.5</v>
      </c>
      <c r="E1202" s="2">
        <v>78.3</v>
      </c>
      <c r="F1202" s="2">
        <v>-1.8</v>
      </c>
      <c r="I1202" s="2">
        <v>1260</v>
      </c>
      <c r="J1202" s="2">
        <v>165</v>
      </c>
      <c r="K1202" s="2">
        <v>146160</v>
      </c>
      <c r="L1202" s="2">
        <v>2324</v>
      </c>
      <c r="M1202" s="2">
        <v>149.80000000000001</v>
      </c>
      <c r="N1202" s="2">
        <v>304.2</v>
      </c>
      <c r="O1202" s="2">
        <v>8100</v>
      </c>
      <c r="P1202" s="2">
        <v>11.5</v>
      </c>
    </row>
    <row r="1203" spans="1:16" ht="24.95" customHeight="1" x14ac:dyDescent="0.25">
      <c r="A1203" s="1" t="s">
        <v>1138</v>
      </c>
      <c r="B1203" s="2">
        <v>290</v>
      </c>
      <c r="C1203" s="2">
        <v>120</v>
      </c>
      <c r="D1203" s="2">
        <v>46.9</v>
      </c>
      <c r="E1203" s="2">
        <v>75.8</v>
      </c>
      <c r="F1203" s="2">
        <v>-2.6</v>
      </c>
      <c r="I1203" s="2">
        <v>2050</v>
      </c>
      <c r="J1203" s="2">
        <v>140</v>
      </c>
      <c r="K1203" s="2">
        <v>246000</v>
      </c>
      <c r="L1203" s="2">
        <v>4141</v>
      </c>
      <c r="M1203" s="2">
        <v>247</v>
      </c>
      <c r="N1203" s="2">
        <v>509.8</v>
      </c>
      <c r="O1203" s="2">
        <v>12600</v>
      </c>
      <c r="P1203" s="2">
        <v>7.9</v>
      </c>
    </row>
    <row r="1204" spans="1:16" ht="24.95" customHeight="1" x14ac:dyDescent="0.25">
      <c r="A1204" s="1" t="s">
        <v>1139</v>
      </c>
      <c r="B1204" s="2">
        <v>271</v>
      </c>
      <c r="C1204" s="2">
        <v>112</v>
      </c>
      <c r="D1204" s="2">
        <v>36.700000000000003</v>
      </c>
      <c r="E1204" s="2">
        <v>75.2</v>
      </c>
      <c r="F1204" s="2">
        <v>0.1</v>
      </c>
      <c r="I1204" s="2">
        <v>7550</v>
      </c>
      <c r="J1204" s="2">
        <v>228</v>
      </c>
      <c r="K1204" s="2">
        <v>845600</v>
      </c>
      <c r="L1204" s="2">
        <v>14802</v>
      </c>
      <c r="M1204" s="2">
        <v>934.6</v>
      </c>
      <c r="N1204" s="2">
        <v>1877.8</v>
      </c>
      <c r="O1204" s="2">
        <v>44510</v>
      </c>
      <c r="P1204" s="2">
        <v>5.2</v>
      </c>
    </row>
    <row r="1205" spans="1:16" ht="24.95" customHeight="1" x14ac:dyDescent="0.25">
      <c r="A1205" s="1" t="s">
        <v>1140</v>
      </c>
      <c r="B1205" s="2">
        <v>282</v>
      </c>
      <c r="C1205" s="2">
        <v>114</v>
      </c>
      <c r="D1205" s="2">
        <v>39.1</v>
      </c>
      <c r="E1205" s="2">
        <v>75.5</v>
      </c>
      <c r="F1205" s="2">
        <v>-0.6</v>
      </c>
      <c r="I1205" s="2">
        <v>7200</v>
      </c>
      <c r="J1205" s="2">
        <v>219</v>
      </c>
      <c r="K1205" s="2">
        <v>820800</v>
      </c>
      <c r="L1205" s="2">
        <v>13715</v>
      </c>
      <c r="M1205" s="2">
        <v>764.9</v>
      </c>
      <c r="N1205" s="2">
        <v>1805.7</v>
      </c>
      <c r="O1205" s="2">
        <v>42470</v>
      </c>
      <c r="P1205" s="2">
        <v>4.3</v>
      </c>
    </row>
    <row r="1206" spans="1:16" ht="24.95" customHeight="1" x14ac:dyDescent="0.25">
      <c r="A1206" s="1" t="s">
        <v>1141</v>
      </c>
      <c r="B1206" s="2">
        <v>276</v>
      </c>
      <c r="C1206" s="2">
        <v>106</v>
      </c>
      <c r="D1206" s="2">
        <v>31.3</v>
      </c>
      <c r="E1206" s="2">
        <v>75</v>
      </c>
      <c r="F1206" s="2">
        <v>-0.3</v>
      </c>
      <c r="I1206" s="2">
        <v>9300</v>
      </c>
      <c r="J1206" s="2">
        <v>212</v>
      </c>
      <c r="K1206" s="2">
        <v>985800</v>
      </c>
      <c r="L1206" s="2">
        <v>16245</v>
      </c>
      <c r="M1206" s="2">
        <v>959.2</v>
      </c>
      <c r="N1206" s="2">
        <v>2295.5</v>
      </c>
      <c r="O1206" s="2">
        <v>54420</v>
      </c>
      <c r="P1206" s="2">
        <v>4.8</v>
      </c>
    </row>
    <row r="1207" spans="1:16" ht="24.95" customHeight="1" x14ac:dyDescent="0.25">
      <c r="A1207" s="1" t="s">
        <v>1142</v>
      </c>
      <c r="B1207" s="2">
        <v>278</v>
      </c>
      <c r="C1207" s="2">
        <v>108</v>
      </c>
      <c r="D1207" s="2">
        <v>32.9</v>
      </c>
      <c r="E1207" s="2">
        <v>75</v>
      </c>
      <c r="F1207" s="2">
        <v>0.1</v>
      </c>
      <c r="I1207" s="2">
        <v>6550</v>
      </c>
      <c r="J1207" s="2">
        <v>201</v>
      </c>
      <c r="K1207" s="2">
        <v>707400</v>
      </c>
      <c r="L1207" s="2">
        <v>14313</v>
      </c>
      <c r="M1207" s="2">
        <v>886.9</v>
      </c>
      <c r="N1207" s="2">
        <v>1632.5</v>
      </c>
      <c r="O1207" s="2">
        <v>44010</v>
      </c>
      <c r="P1207" s="2">
        <v>17.399999999999999</v>
      </c>
    </row>
    <row r="1208" spans="1:16" ht="24.95" customHeight="1" x14ac:dyDescent="0.25">
      <c r="A1208" s="1" t="s">
        <v>1143</v>
      </c>
      <c r="B1208" s="2">
        <v>276</v>
      </c>
      <c r="C1208" s="2">
        <v>108</v>
      </c>
      <c r="D1208" s="2">
        <v>29.8</v>
      </c>
      <c r="E1208" s="2">
        <v>78.3</v>
      </c>
      <c r="F1208" s="2">
        <v>-0.1</v>
      </c>
      <c r="I1208" s="2">
        <v>4760</v>
      </c>
      <c r="J1208" s="2">
        <v>192</v>
      </c>
      <c r="K1208" s="2">
        <v>514080</v>
      </c>
      <c r="L1208" s="2">
        <v>10505</v>
      </c>
      <c r="M1208" s="2">
        <v>693.3</v>
      </c>
      <c r="N1208" s="2">
        <v>1198</v>
      </c>
      <c r="O1208" s="2">
        <v>35300</v>
      </c>
      <c r="P1208" s="2">
        <v>22.6</v>
      </c>
    </row>
    <row r="1209" spans="1:16" ht="24.95" customHeight="1" x14ac:dyDescent="0.25">
      <c r="A1209" s="1" t="s">
        <v>1144</v>
      </c>
      <c r="B1209" s="2">
        <v>286</v>
      </c>
      <c r="C1209" s="2">
        <v>114</v>
      </c>
      <c r="D1209" s="2">
        <v>39.799999999999997</v>
      </c>
      <c r="E1209" s="2">
        <v>75.8</v>
      </c>
      <c r="F1209" s="2">
        <v>-1.5</v>
      </c>
      <c r="I1209" s="2">
        <v>3620</v>
      </c>
      <c r="J1209" s="2">
        <v>155</v>
      </c>
      <c r="K1209" s="2">
        <v>412680</v>
      </c>
      <c r="L1209" s="2">
        <v>7847</v>
      </c>
      <c r="M1209" s="2">
        <v>508.7</v>
      </c>
      <c r="N1209" s="2">
        <v>858.8</v>
      </c>
      <c r="O1209" s="2">
        <v>27040</v>
      </c>
      <c r="P1209" s="2">
        <v>24.1</v>
      </c>
    </row>
    <row r="1210" spans="1:16" ht="24.95" customHeight="1" x14ac:dyDescent="0.25">
      <c r="A1210" s="1" t="s">
        <v>1145</v>
      </c>
      <c r="B1210" s="2">
        <v>306</v>
      </c>
      <c r="C1210" s="2">
        <v>124</v>
      </c>
      <c r="D1210" s="2">
        <v>48.3</v>
      </c>
      <c r="E1210" s="2">
        <v>75.8</v>
      </c>
      <c r="F1210" s="2">
        <v>-0.1</v>
      </c>
      <c r="I1210" s="2">
        <v>5500</v>
      </c>
      <c r="J1210" s="2">
        <v>176</v>
      </c>
      <c r="K1210" s="2">
        <v>682000</v>
      </c>
      <c r="L1210" s="2">
        <v>11026</v>
      </c>
      <c r="M1210" s="2">
        <v>620.79999999999995</v>
      </c>
      <c r="N1210" s="2">
        <v>1352.3</v>
      </c>
      <c r="O1210" s="2">
        <v>34780</v>
      </c>
      <c r="P1210" s="2">
        <v>13.2</v>
      </c>
    </row>
    <row r="1211" spans="1:16" ht="24.95" customHeight="1" x14ac:dyDescent="0.25">
      <c r="A1211" s="1" t="s">
        <v>1146</v>
      </c>
      <c r="B1211" s="2">
        <v>266</v>
      </c>
      <c r="C1211" s="2">
        <v>108</v>
      </c>
      <c r="D1211" s="2">
        <v>28.6</v>
      </c>
      <c r="E1211" s="2">
        <v>78.3</v>
      </c>
      <c r="F1211" s="2">
        <v>1.2</v>
      </c>
      <c r="I1211" s="2">
        <v>2490</v>
      </c>
      <c r="J1211" s="2">
        <v>180</v>
      </c>
      <c r="K1211" s="2">
        <v>268920</v>
      </c>
      <c r="L1211" s="2">
        <v>4018</v>
      </c>
      <c r="M1211" s="2">
        <v>235.7</v>
      </c>
      <c r="N1211" s="2">
        <v>602.20000000000005</v>
      </c>
      <c r="O1211" s="2">
        <v>12230</v>
      </c>
    </row>
    <row r="1212" spans="1:16" ht="24.95" customHeight="1" x14ac:dyDescent="0.25">
      <c r="A1212" s="1" t="s">
        <v>1143</v>
      </c>
      <c r="B1212" s="2">
        <v>244</v>
      </c>
      <c r="C1212" s="2">
        <v>96</v>
      </c>
      <c r="D1212" s="2">
        <v>17.5</v>
      </c>
      <c r="E1212" s="2">
        <v>78.3</v>
      </c>
      <c r="F1212" s="2">
        <v>0.3</v>
      </c>
      <c r="H1212" s="2">
        <v>97.8</v>
      </c>
      <c r="I1212" s="2">
        <v>5200</v>
      </c>
      <c r="J1212" s="2">
        <v>195</v>
      </c>
      <c r="K1212" s="2">
        <v>508417</v>
      </c>
      <c r="L1212" s="2">
        <v>11082</v>
      </c>
      <c r="M1212" s="2">
        <v>849</v>
      </c>
      <c r="N1212" s="2">
        <v>1258.0999999999999</v>
      </c>
      <c r="O1212" s="2">
        <v>36040</v>
      </c>
      <c r="P1212" s="2">
        <v>19.899999999999999</v>
      </c>
    </row>
    <row r="1213" spans="1:16" ht="24.95" customHeight="1" x14ac:dyDescent="0.25">
      <c r="A1213" s="1" t="s">
        <v>1137</v>
      </c>
      <c r="B1213" s="2">
        <v>248</v>
      </c>
      <c r="C1213" s="2">
        <v>100</v>
      </c>
      <c r="D1213" s="2">
        <v>22</v>
      </c>
      <c r="E1213" s="2">
        <v>78.3</v>
      </c>
      <c r="F1213" s="2">
        <v>-0.3</v>
      </c>
      <c r="H1213" s="2">
        <v>100</v>
      </c>
      <c r="I1213" s="2">
        <v>1905</v>
      </c>
      <c r="J1213" s="2">
        <v>153</v>
      </c>
      <c r="K1213" s="2">
        <v>190500</v>
      </c>
      <c r="L1213" s="2">
        <v>4463</v>
      </c>
      <c r="M1213" s="2">
        <v>254.1</v>
      </c>
      <c r="N1213" s="2" t="s">
        <v>6803</v>
      </c>
      <c r="O1213" s="2">
        <v>14200</v>
      </c>
      <c r="P1213" s="2">
        <v>27.5</v>
      </c>
    </row>
    <row r="1214" spans="1:16" ht="24.95" customHeight="1" x14ac:dyDescent="0.25">
      <c r="A1214" s="1" t="s">
        <v>1138</v>
      </c>
      <c r="B1214" s="2">
        <v>236</v>
      </c>
      <c r="C1214" s="2">
        <v>92</v>
      </c>
      <c r="D1214" s="2">
        <v>13.7</v>
      </c>
      <c r="E1214" s="2">
        <v>78.3</v>
      </c>
      <c r="F1214" s="2">
        <v>0.1</v>
      </c>
      <c r="H1214" s="2">
        <v>94.2</v>
      </c>
      <c r="I1214" s="2">
        <v>2100</v>
      </c>
      <c r="J1214" s="2">
        <v>128</v>
      </c>
      <c r="K1214" s="2">
        <v>197882</v>
      </c>
      <c r="L1214" s="2">
        <v>5851</v>
      </c>
      <c r="M1214" s="2">
        <v>347.7</v>
      </c>
      <c r="N1214" s="2">
        <v>508.9</v>
      </c>
      <c r="O1214" s="2">
        <v>17610</v>
      </c>
      <c r="P1214" s="2">
        <v>29.2</v>
      </c>
    </row>
    <row r="1215" spans="1:16" ht="24.95" customHeight="1" x14ac:dyDescent="0.25">
      <c r="A1215" s="1" t="s">
        <v>1140</v>
      </c>
      <c r="B1215" s="2">
        <v>242</v>
      </c>
      <c r="C1215" s="2">
        <v>96</v>
      </c>
      <c r="D1215" s="2">
        <v>17.5</v>
      </c>
      <c r="E1215" s="2">
        <v>78.3</v>
      </c>
      <c r="F1215" s="2">
        <v>0.3</v>
      </c>
      <c r="H1215" s="2">
        <v>97.2</v>
      </c>
      <c r="I1215" s="2">
        <v>1355</v>
      </c>
      <c r="J1215" s="2">
        <v>151</v>
      </c>
      <c r="K1215" s="2">
        <v>131680</v>
      </c>
      <c r="L1215" s="2">
        <v>4113</v>
      </c>
      <c r="M1215" s="2">
        <v>237.7</v>
      </c>
      <c r="N1215" s="2">
        <v>355.8</v>
      </c>
      <c r="O1215" s="2">
        <v>11990</v>
      </c>
      <c r="P1215" s="2">
        <v>30.2</v>
      </c>
    </row>
    <row r="1216" spans="1:16" ht="24.95" customHeight="1" x14ac:dyDescent="0.25">
      <c r="A1216" s="1" t="s">
        <v>1147</v>
      </c>
      <c r="B1216" s="2">
        <v>252</v>
      </c>
      <c r="C1216" s="2">
        <v>104</v>
      </c>
      <c r="D1216" s="2">
        <v>24.5</v>
      </c>
      <c r="E1216" s="2">
        <v>78.3</v>
      </c>
      <c r="F1216" s="2">
        <v>1.3</v>
      </c>
      <c r="H1216" s="2">
        <v>104.1</v>
      </c>
      <c r="I1216" s="2">
        <v>1050</v>
      </c>
      <c r="J1216" s="2">
        <v>173</v>
      </c>
      <c r="K1216" s="2">
        <v>109298</v>
      </c>
      <c r="L1216" s="2">
        <v>3978</v>
      </c>
      <c r="M1216" s="2">
        <v>206</v>
      </c>
      <c r="N1216" s="2">
        <v>271.89999999999998</v>
      </c>
      <c r="O1216" s="2">
        <v>12080</v>
      </c>
      <c r="P1216" s="2">
        <v>49.7</v>
      </c>
    </row>
    <row r="1217" spans="1:16" ht="24.95" customHeight="1" x14ac:dyDescent="0.25">
      <c r="A1217" s="1" t="s">
        <v>1148</v>
      </c>
      <c r="B1217" s="2">
        <v>260</v>
      </c>
      <c r="C1217" s="2">
        <v>110</v>
      </c>
      <c r="D1217" s="2">
        <v>31</v>
      </c>
      <c r="E1217" s="2">
        <v>78.3</v>
      </c>
      <c r="F1217" s="2">
        <v>0.8</v>
      </c>
      <c r="H1217" s="2">
        <v>112</v>
      </c>
      <c r="I1217" s="2">
        <v>2250</v>
      </c>
      <c r="J1217" s="2">
        <v>163</v>
      </c>
      <c r="K1217" s="2">
        <v>125948</v>
      </c>
      <c r="L1217" s="2">
        <v>5739</v>
      </c>
      <c r="M1217" s="2">
        <v>326.39999999999998</v>
      </c>
      <c r="N1217" s="2">
        <v>568.9</v>
      </c>
      <c r="O1217" s="2">
        <v>18230</v>
      </c>
      <c r="P1217" s="2">
        <v>23.7</v>
      </c>
    </row>
    <row r="1218" spans="1:16" ht="24.95" customHeight="1" x14ac:dyDescent="0.25">
      <c r="A1218" s="1" t="s">
        <v>1149</v>
      </c>
      <c r="B1218" s="2">
        <v>246</v>
      </c>
      <c r="C1218" s="2">
        <v>94</v>
      </c>
      <c r="D1218" s="2">
        <v>15.1</v>
      </c>
      <c r="E1218" s="2">
        <v>78.3</v>
      </c>
      <c r="F1218" s="2">
        <v>0.6</v>
      </c>
      <c r="H1218" s="2">
        <v>99.5</v>
      </c>
      <c r="I1218" s="2">
        <v>440</v>
      </c>
      <c r="J1218" s="2">
        <v>172</v>
      </c>
      <c r="K1218" s="2">
        <v>21895</v>
      </c>
      <c r="L1218" s="2">
        <v>1695</v>
      </c>
      <c r="M1218" s="2">
        <v>73.900000000000006</v>
      </c>
      <c r="N1218" s="2">
        <v>109.4</v>
      </c>
      <c r="O1218" s="2">
        <v>5330</v>
      </c>
      <c r="P1218" s="2">
        <v>54</v>
      </c>
    </row>
    <row r="1219" spans="1:16" ht="24.95" customHeight="1" x14ac:dyDescent="0.25">
      <c r="A1219" s="1" t="s">
        <v>1150</v>
      </c>
      <c r="B1219" s="2">
        <v>258</v>
      </c>
      <c r="C1219" s="2">
        <v>100</v>
      </c>
      <c r="D1219" s="2">
        <v>20.5</v>
      </c>
      <c r="E1219" s="2">
        <v>78.3</v>
      </c>
      <c r="F1219" s="2">
        <v>1.3</v>
      </c>
      <c r="H1219" s="2">
        <v>102.4</v>
      </c>
      <c r="I1219" s="2">
        <v>1270</v>
      </c>
      <c r="J1219" s="2">
        <v>151</v>
      </c>
      <c r="K1219" s="2">
        <v>129984</v>
      </c>
      <c r="L1219" s="2">
        <v>4167</v>
      </c>
      <c r="M1219" s="2">
        <v>235.3</v>
      </c>
      <c r="N1219" s="2">
        <v>320.89999999999998</v>
      </c>
      <c r="O1219" s="2">
        <v>14320</v>
      </c>
      <c r="P1219" s="2">
        <v>48</v>
      </c>
    </row>
    <row r="1220" spans="1:16" ht="24.95" customHeight="1" x14ac:dyDescent="0.25">
      <c r="A1220" s="1" t="s">
        <v>1151</v>
      </c>
      <c r="B1220" s="2">
        <v>180</v>
      </c>
      <c r="C1220" s="2">
        <v>72</v>
      </c>
      <c r="I1220" s="2">
        <v>27011</v>
      </c>
      <c r="J1220" s="2">
        <v>140</v>
      </c>
      <c r="K1220" s="2">
        <v>1944792</v>
      </c>
      <c r="L1220" s="2">
        <v>76465</v>
      </c>
      <c r="M1220" s="2">
        <v>3960.6</v>
      </c>
      <c r="N1220" s="2">
        <v>6686.2</v>
      </c>
      <c r="O1220" s="2">
        <v>228530</v>
      </c>
      <c r="P1220" s="2">
        <v>32.4</v>
      </c>
    </row>
    <row r="1221" spans="1:16" ht="24.95" customHeight="1" x14ac:dyDescent="0.25">
      <c r="A1221" s="1" t="s">
        <v>1152</v>
      </c>
      <c r="B1221" s="2">
        <v>260</v>
      </c>
      <c r="C1221" s="2">
        <v>108</v>
      </c>
      <c r="D1221" s="2">
        <v>36</v>
      </c>
      <c r="E1221" s="2">
        <v>72</v>
      </c>
      <c r="I1221" s="2">
        <v>1960</v>
      </c>
      <c r="J1221" s="2">
        <v>143</v>
      </c>
      <c r="K1221" s="2">
        <v>211680</v>
      </c>
      <c r="L1221" s="2">
        <v>5345</v>
      </c>
      <c r="M1221" s="2">
        <v>259.7</v>
      </c>
      <c r="N1221" s="2">
        <v>501</v>
      </c>
      <c r="O1221" s="2">
        <v>16010</v>
      </c>
      <c r="P1221" s="2">
        <v>29.1</v>
      </c>
    </row>
    <row r="1222" spans="1:16" ht="24.95" customHeight="1" x14ac:dyDescent="0.25">
      <c r="A1222" s="1" t="s">
        <v>1153</v>
      </c>
      <c r="B1222" s="2">
        <v>270</v>
      </c>
      <c r="C1222" s="2">
        <v>123</v>
      </c>
      <c r="D1222" s="2">
        <v>54</v>
      </c>
      <c r="E1222" s="2">
        <v>72</v>
      </c>
      <c r="F1222" s="2">
        <v>-3</v>
      </c>
      <c r="I1222" s="2">
        <v>3851</v>
      </c>
      <c r="J1222" s="2">
        <v>110</v>
      </c>
      <c r="K1222" s="2">
        <v>473673</v>
      </c>
      <c r="L1222" s="2">
        <v>9610</v>
      </c>
      <c r="M1222" s="2">
        <v>578.70000000000005</v>
      </c>
      <c r="N1222" s="2">
        <v>952.9</v>
      </c>
      <c r="O1222" s="2">
        <v>25730</v>
      </c>
      <c r="P1222" s="2">
        <v>16.7</v>
      </c>
    </row>
    <row r="1223" spans="1:16" ht="24.95" customHeight="1" x14ac:dyDescent="0.25">
      <c r="A1223" s="1" t="s">
        <v>1154</v>
      </c>
      <c r="B1223" s="2">
        <v>240</v>
      </c>
      <c r="C1223" s="2">
        <v>96</v>
      </c>
      <c r="D1223" s="2">
        <v>20.7</v>
      </c>
      <c r="E1223" s="2">
        <v>75</v>
      </c>
      <c r="F1223" s="2">
        <v>0.3</v>
      </c>
      <c r="I1223" s="2">
        <v>192</v>
      </c>
      <c r="J1223" s="2">
        <v>143</v>
      </c>
      <c r="K1223" s="2">
        <v>18432</v>
      </c>
      <c r="L1223" s="2">
        <v>805</v>
      </c>
      <c r="M1223" s="2">
        <v>38.5</v>
      </c>
      <c r="N1223" s="2">
        <v>50.1</v>
      </c>
      <c r="O1223" s="2">
        <v>2380</v>
      </c>
      <c r="P1223" s="2">
        <v>53.4</v>
      </c>
    </row>
    <row r="1224" spans="1:16" ht="24.95" customHeight="1" x14ac:dyDescent="0.25">
      <c r="A1224" s="1" t="s">
        <v>1155</v>
      </c>
      <c r="B1224" s="2">
        <v>262</v>
      </c>
      <c r="C1224" s="2">
        <v>117</v>
      </c>
      <c r="D1224" s="2">
        <v>43.6</v>
      </c>
      <c r="E1224" s="2">
        <v>75</v>
      </c>
      <c r="F1224" s="2">
        <v>-1.6</v>
      </c>
      <c r="I1224" s="2">
        <v>755</v>
      </c>
      <c r="J1224" s="2">
        <v>106</v>
      </c>
      <c r="K1224" s="2">
        <v>88335</v>
      </c>
      <c r="L1224" s="2">
        <v>2212</v>
      </c>
      <c r="M1224" s="2">
        <v>93.1</v>
      </c>
      <c r="N1224" s="2">
        <v>185.4</v>
      </c>
      <c r="O1224" s="2">
        <v>6880</v>
      </c>
      <c r="P1224" s="2">
        <v>37.9</v>
      </c>
    </row>
    <row r="1225" spans="1:16" ht="24.95" customHeight="1" x14ac:dyDescent="0.25">
      <c r="A1225" s="1" t="s">
        <v>1277</v>
      </c>
      <c r="B1225" s="2">
        <v>270</v>
      </c>
      <c r="C1225" s="2">
        <v>120</v>
      </c>
      <c r="D1225" s="2">
        <v>47.2</v>
      </c>
      <c r="E1225" s="2">
        <v>75</v>
      </c>
      <c r="F1225" s="2">
        <v>-2.2000000000000002</v>
      </c>
      <c r="I1225" s="2">
        <v>1053</v>
      </c>
      <c r="J1225" s="2">
        <v>133</v>
      </c>
      <c r="K1225" s="2">
        <v>126360</v>
      </c>
      <c r="L1225" s="2">
        <v>2020</v>
      </c>
      <c r="M1225" s="2">
        <v>105.3</v>
      </c>
      <c r="N1225" s="2">
        <v>265.39999999999998</v>
      </c>
      <c r="O1225" s="2">
        <v>4490</v>
      </c>
    </row>
    <row r="1226" spans="1:16" ht="24.95" customHeight="1" x14ac:dyDescent="0.25">
      <c r="A1226" s="1" t="s">
        <v>1278</v>
      </c>
      <c r="B1226" s="2">
        <v>276</v>
      </c>
      <c r="C1226" s="2">
        <v>106</v>
      </c>
      <c r="D1226" s="2">
        <v>31.6</v>
      </c>
      <c r="E1226" s="2">
        <v>75</v>
      </c>
      <c r="F1226" s="2">
        <v>-0.6</v>
      </c>
      <c r="I1226" s="2">
        <v>5631</v>
      </c>
      <c r="J1226" s="2">
        <v>156</v>
      </c>
      <c r="K1226" s="2">
        <v>596886</v>
      </c>
      <c r="L1226" s="2">
        <v>14457</v>
      </c>
      <c r="M1226" s="2">
        <v>1042.8</v>
      </c>
      <c r="N1226" s="2">
        <v>1351.6</v>
      </c>
      <c r="O1226" s="2">
        <v>43650</v>
      </c>
      <c r="P1226" s="2">
        <v>25.7</v>
      </c>
    </row>
    <row r="1227" spans="1:16" ht="24.95" customHeight="1" x14ac:dyDescent="0.25">
      <c r="A1227" s="1" t="s">
        <v>1279</v>
      </c>
      <c r="B1227" s="2">
        <v>272</v>
      </c>
      <c r="C1227" s="2">
        <v>122</v>
      </c>
      <c r="D1227" s="2">
        <v>47.9</v>
      </c>
      <c r="E1227" s="2">
        <v>75</v>
      </c>
      <c r="F1227" s="2">
        <v>-0.9</v>
      </c>
      <c r="I1227" s="2">
        <v>775</v>
      </c>
      <c r="J1227" s="2">
        <v>144</v>
      </c>
      <c r="K1227" s="2">
        <v>94550</v>
      </c>
      <c r="L1227" s="2">
        <v>2152</v>
      </c>
      <c r="M1227" s="2">
        <v>132</v>
      </c>
      <c r="N1227" s="2">
        <v>192</v>
      </c>
      <c r="O1227" s="2">
        <v>5880</v>
      </c>
      <c r="P1227" s="2">
        <v>27.4</v>
      </c>
    </row>
    <row r="1228" spans="1:16" ht="24.95" customHeight="1" x14ac:dyDescent="0.25">
      <c r="A1228" s="1" t="s">
        <v>1280</v>
      </c>
      <c r="B1228" s="2">
        <v>240</v>
      </c>
      <c r="C1228" s="2">
        <v>100</v>
      </c>
      <c r="D1228" s="2">
        <v>25</v>
      </c>
      <c r="E1228" s="2">
        <v>75</v>
      </c>
      <c r="I1228" s="2">
        <v>415</v>
      </c>
      <c r="J1228" s="2">
        <v>121</v>
      </c>
      <c r="K1228" s="2">
        <v>41500</v>
      </c>
      <c r="L1228" s="2">
        <v>1615</v>
      </c>
      <c r="M1228" s="2">
        <v>67.099999999999994</v>
      </c>
      <c r="N1228" s="2">
        <v>101</v>
      </c>
      <c r="O1228" s="2">
        <v>4850</v>
      </c>
      <c r="P1228" s="2">
        <v>53.8</v>
      </c>
    </row>
    <row r="1229" spans="1:16" ht="24.95" customHeight="1" x14ac:dyDescent="0.25">
      <c r="A1229" s="1" t="s">
        <v>1281</v>
      </c>
      <c r="B1229" s="2">
        <v>270</v>
      </c>
      <c r="C1229" s="2">
        <v>140</v>
      </c>
      <c r="D1229" s="2">
        <v>65.3</v>
      </c>
      <c r="E1229" s="2">
        <v>75</v>
      </c>
      <c r="F1229" s="2">
        <v>-0.3</v>
      </c>
      <c r="I1229" s="2">
        <v>542</v>
      </c>
      <c r="J1229" s="2">
        <v>131</v>
      </c>
      <c r="K1229" s="2">
        <v>75880</v>
      </c>
      <c r="L1229" s="2">
        <v>1865</v>
      </c>
      <c r="M1229" s="2">
        <v>83.5</v>
      </c>
      <c r="N1229" s="2">
        <v>136.6</v>
      </c>
      <c r="O1229" s="2">
        <v>4850</v>
      </c>
      <c r="P1229" s="2">
        <v>37.799999999999997</v>
      </c>
    </row>
    <row r="1230" spans="1:16" ht="24.95" customHeight="1" x14ac:dyDescent="0.25">
      <c r="A1230" s="1" t="s">
        <v>1152</v>
      </c>
      <c r="B1230" s="2">
        <v>228</v>
      </c>
      <c r="C1230" s="2">
        <v>94</v>
      </c>
      <c r="D1230" s="2">
        <v>19</v>
      </c>
      <c r="E1230" s="2">
        <v>75</v>
      </c>
      <c r="H1230" s="2">
        <v>96</v>
      </c>
      <c r="I1230" s="2">
        <v>3306</v>
      </c>
      <c r="J1230" s="2">
        <v>159</v>
      </c>
      <c r="K1230" s="2">
        <v>317502</v>
      </c>
      <c r="L1230" s="2">
        <v>7324</v>
      </c>
      <c r="M1230" s="2">
        <v>453.6</v>
      </c>
      <c r="N1230" s="2">
        <v>822.9</v>
      </c>
      <c r="O1230" s="2">
        <v>24460</v>
      </c>
      <c r="P1230" s="2">
        <v>22.1</v>
      </c>
    </row>
    <row r="1231" spans="1:16" ht="24.95" customHeight="1" x14ac:dyDescent="0.25">
      <c r="A1231" s="1" t="s">
        <v>1153</v>
      </c>
      <c r="B1231" s="2">
        <v>234</v>
      </c>
      <c r="C1231" s="2">
        <v>99</v>
      </c>
      <c r="D1231" s="2">
        <v>23.6</v>
      </c>
      <c r="E1231" s="2">
        <v>75</v>
      </c>
      <c r="F1231" s="2">
        <v>0.4</v>
      </c>
      <c r="H1231" s="2">
        <v>101.3</v>
      </c>
      <c r="I1231" s="2">
        <v>835</v>
      </c>
      <c r="J1231" s="2">
        <v>131</v>
      </c>
      <c r="K1231" s="2">
        <v>84576</v>
      </c>
      <c r="L1231" s="2">
        <v>3752</v>
      </c>
      <c r="M1231" s="2">
        <v>140.80000000000001</v>
      </c>
      <c r="N1231" s="2">
        <v>225.9</v>
      </c>
      <c r="O1231" s="2">
        <v>9080</v>
      </c>
      <c r="P1231" s="2">
        <v>42.7</v>
      </c>
    </row>
    <row r="1232" spans="1:16" ht="24.95" customHeight="1" x14ac:dyDescent="0.25">
      <c r="A1232" s="1" t="s">
        <v>1283</v>
      </c>
      <c r="B1232" s="2">
        <v>242</v>
      </c>
      <c r="C1232" s="2">
        <v>98</v>
      </c>
      <c r="D1232" s="2">
        <v>22.5</v>
      </c>
      <c r="E1232" s="2">
        <v>75</v>
      </c>
      <c r="F1232" s="2">
        <v>0.5</v>
      </c>
      <c r="H1232" s="2">
        <v>100.7</v>
      </c>
      <c r="I1232" s="2">
        <v>1560</v>
      </c>
      <c r="J1232" s="2">
        <v>164</v>
      </c>
      <c r="K1232" s="2">
        <v>157022</v>
      </c>
      <c r="L1232" s="2">
        <v>4352</v>
      </c>
      <c r="M1232" s="2">
        <v>182.4</v>
      </c>
      <c r="N1232" s="2">
        <v>386.3</v>
      </c>
      <c r="O1232" s="2">
        <v>13870</v>
      </c>
      <c r="P1232" s="2">
        <v>34.1</v>
      </c>
    </row>
    <row r="1233" spans="1:16" ht="24.95" customHeight="1" x14ac:dyDescent="0.25">
      <c r="A1233" s="1" t="s">
        <v>1155</v>
      </c>
      <c r="B1233" s="2">
        <v>212</v>
      </c>
      <c r="C1233" s="2">
        <v>89</v>
      </c>
      <c r="D1233" s="2">
        <v>13</v>
      </c>
      <c r="E1233" s="2">
        <v>75</v>
      </c>
      <c r="F1233" s="2">
        <v>1</v>
      </c>
      <c r="H1233" s="2">
        <v>91.2</v>
      </c>
      <c r="I1233" s="2">
        <v>710</v>
      </c>
      <c r="J1233" s="2">
        <v>86</v>
      </c>
      <c r="K1233" s="2">
        <v>64727</v>
      </c>
      <c r="L1233" s="2">
        <v>3151</v>
      </c>
      <c r="M1233" s="2">
        <v>100.7</v>
      </c>
      <c r="N1233" s="2">
        <v>173.9</v>
      </c>
      <c r="O1233" s="2">
        <v>11370</v>
      </c>
      <c r="P1233" s="2">
        <v>60.9</v>
      </c>
    </row>
    <row r="1234" spans="1:16" ht="24.95" customHeight="1" x14ac:dyDescent="0.25">
      <c r="A1234" s="1" t="s">
        <v>1156</v>
      </c>
      <c r="B1234" s="2">
        <v>242</v>
      </c>
      <c r="C1234" s="2">
        <v>100</v>
      </c>
      <c r="D1234" s="2">
        <v>24.9</v>
      </c>
      <c r="E1234" s="2">
        <v>75</v>
      </c>
      <c r="F1234" s="2">
        <v>0.1</v>
      </c>
      <c r="H1234" s="2">
        <v>101.4</v>
      </c>
      <c r="I1234" s="2">
        <v>2904</v>
      </c>
      <c r="J1234" s="2">
        <v>159</v>
      </c>
      <c r="K1234" s="2">
        <v>294493</v>
      </c>
      <c r="L1234" s="2">
        <v>7091</v>
      </c>
      <c r="M1234" s="2">
        <v>308.39999999999998</v>
      </c>
      <c r="N1234" s="2">
        <v>712.8</v>
      </c>
      <c r="O1234" s="2">
        <v>21580</v>
      </c>
      <c r="P1234" s="2">
        <v>25.6</v>
      </c>
    </row>
    <row r="1235" spans="1:16" ht="24.95" customHeight="1" x14ac:dyDescent="0.25">
      <c r="A1235" s="1" t="s">
        <v>1157</v>
      </c>
      <c r="B1235" s="2">
        <v>232</v>
      </c>
      <c r="C1235" s="2">
        <v>96</v>
      </c>
      <c r="D1235" s="2">
        <v>19.7</v>
      </c>
      <c r="E1235" s="2">
        <v>75</v>
      </c>
      <c r="F1235" s="2">
        <v>1.4</v>
      </c>
      <c r="H1235" s="2">
        <v>99.7</v>
      </c>
      <c r="I1235" s="2">
        <v>890</v>
      </c>
      <c r="J1235" s="2">
        <v>154</v>
      </c>
      <c r="K1235" s="2">
        <v>88689</v>
      </c>
      <c r="L1235" s="2">
        <v>3763</v>
      </c>
      <c r="M1235" s="2">
        <v>119.4</v>
      </c>
      <c r="N1235" s="2">
        <v>216.5</v>
      </c>
      <c r="O1235" s="2">
        <v>12120</v>
      </c>
      <c r="P1235" s="2">
        <v>57.8</v>
      </c>
    </row>
    <row r="1236" spans="1:16" ht="24.95" customHeight="1" x14ac:dyDescent="0.25">
      <c r="A1236" s="1" t="s">
        <v>1158</v>
      </c>
      <c r="B1236" s="2">
        <v>232</v>
      </c>
      <c r="C1236" s="2">
        <v>94</v>
      </c>
      <c r="D1236" s="2">
        <v>17.899999999999999</v>
      </c>
      <c r="E1236" s="2">
        <v>75</v>
      </c>
      <c r="F1236" s="2">
        <v>1.1000000000000001</v>
      </c>
      <c r="H1236" s="2">
        <v>95</v>
      </c>
      <c r="I1236" s="2">
        <v>540</v>
      </c>
      <c r="J1236" s="2">
        <v>162</v>
      </c>
      <c r="K1236" s="2">
        <v>51320</v>
      </c>
      <c r="L1236" s="2">
        <v>2314</v>
      </c>
      <c r="M1236" s="2">
        <v>78.3</v>
      </c>
      <c r="N1236" s="2">
        <v>141.9</v>
      </c>
      <c r="O1236" s="2">
        <v>7060</v>
      </c>
      <c r="P1236" s="2">
        <v>55.3</v>
      </c>
    </row>
    <row r="1237" spans="1:16" ht="24.95" customHeight="1" x14ac:dyDescent="0.25">
      <c r="A1237" s="1" t="s">
        <v>1284</v>
      </c>
      <c r="B1237" s="2">
        <v>250</v>
      </c>
      <c r="C1237" s="2">
        <v>106</v>
      </c>
      <c r="D1237" s="2">
        <v>30.1</v>
      </c>
      <c r="E1237" s="2">
        <v>75</v>
      </c>
      <c r="F1237" s="2">
        <v>0.9</v>
      </c>
      <c r="H1237" s="2">
        <v>109.8</v>
      </c>
      <c r="I1237" s="2">
        <v>1057</v>
      </c>
      <c r="J1237" s="2">
        <v>114</v>
      </c>
      <c r="K1237" s="2">
        <v>116018</v>
      </c>
      <c r="L1237" s="2">
        <v>4637</v>
      </c>
      <c r="M1237" s="2">
        <v>176.4</v>
      </c>
      <c r="N1237" s="2">
        <v>270</v>
      </c>
      <c r="O1237" s="2">
        <v>14270</v>
      </c>
      <c r="P1237" s="2">
        <v>58.1</v>
      </c>
    </row>
    <row r="1238" spans="1:16" ht="24.95" customHeight="1" x14ac:dyDescent="0.25">
      <c r="A1238" s="1" t="s">
        <v>1159</v>
      </c>
      <c r="B1238" s="2">
        <v>184</v>
      </c>
      <c r="C1238" s="2">
        <v>77</v>
      </c>
      <c r="I1238" s="2">
        <v>57726</v>
      </c>
      <c r="J1238" s="2">
        <v>159</v>
      </c>
      <c r="K1238" s="2">
        <v>4444902</v>
      </c>
      <c r="L1238" s="2">
        <v>127581</v>
      </c>
      <c r="M1238" s="2">
        <v>6511.9</v>
      </c>
      <c r="N1238" s="2">
        <v>14338.6</v>
      </c>
      <c r="O1238" s="2">
        <v>407390</v>
      </c>
      <c r="P1238" s="2">
        <v>18.899999999999999</v>
      </c>
    </row>
    <row r="1239" spans="1:16" ht="24.95" customHeight="1" x14ac:dyDescent="0.25">
      <c r="A1239" s="1" t="s">
        <v>1160</v>
      </c>
      <c r="B1239" s="2">
        <v>306</v>
      </c>
      <c r="C1239" s="2">
        <v>124</v>
      </c>
      <c r="D1239" s="2">
        <v>46</v>
      </c>
      <c r="E1239" s="2">
        <v>78</v>
      </c>
      <c r="I1239" s="2">
        <v>6490</v>
      </c>
      <c r="J1239" s="2">
        <v>165</v>
      </c>
      <c r="K1239" s="2">
        <v>804760</v>
      </c>
      <c r="L1239" s="2">
        <v>10535</v>
      </c>
      <c r="M1239" s="2">
        <v>672.8</v>
      </c>
      <c r="N1239" s="2">
        <v>1695.5</v>
      </c>
      <c r="O1239" s="2">
        <v>32520</v>
      </c>
    </row>
    <row r="1240" spans="1:16" ht="24.95" customHeight="1" x14ac:dyDescent="0.25">
      <c r="A1240" s="1" t="s">
        <v>1033</v>
      </c>
      <c r="B1240" s="2">
        <v>328</v>
      </c>
      <c r="C1240" s="2">
        <v>144</v>
      </c>
      <c r="D1240" s="2">
        <v>61.2</v>
      </c>
      <c r="E1240" s="2">
        <v>82</v>
      </c>
      <c r="F1240" s="2">
        <v>0.8</v>
      </c>
      <c r="I1240" s="2">
        <v>658</v>
      </c>
      <c r="J1240" s="2">
        <v>122</v>
      </c>
      <c r="K1240" s="2">
        <v>94752</v>
      </c>
      <c r="L1240" s="2">
        <v>1944</v>
      </c>
      <c r="M1240" s="2">
        <v>102.2</v>
      </c>
      <c r="N1240" s="2">
        <v>178</v>
      </c>
      <c r="O1240" s="2">
        <v>6570</v>
      </c>
      <c r="P1240" s="2">
        <v>42.6</v>
      </c>
    </row>
    <row r="1241" spans="1:16" ht="24.95" customHeight="1" x14ac:dyDescent="0.25">
      <c r="A1241" s="1" t="s">
        <v>1161</v>
      </c>
      <c r="B1241" s="2">
        <v>291</v>
      </c>
      <c r="C1241" s="2">
        <v>130</v>
      </c>
      <c r="D1241" s="2">
        <v>54.9</v>
      </c>
      <c r="E1241" s="2">
        <v>77</v>
      </c>
      <c r="F1241" s="2">
        <v>-1.9</v>
      </c>
      <c r="I1241" s="2">
        <v>7460</v>
      </c>
      <c r="J1241" s="2">
        <v>106</v>
      </c>
      <c r="K1241" s="2">
        <v>969800</v>
      </c>
      <c r="L1241" s="2">
        <v>14508</v>
      </c>
      <c r="M1241" s="2">
        <v>930.7</v>
      </c>
      <c r="N1241" s="2">
        <v>1872.5</v>
      </c>
      <c r="O1241" s="2">
        <v>41900</v>
      </c>
    </row>
    <row r="1242" spans="1:16" ht="24.95" customHeight="1" x14ac:dyDescent="0.25">
      <c r="A1242" s="1" t="s">
        <v>1162</v>
      </c>
      <c r="B1242" s="2">
        <v>294</v>
      </c>
      <c r="C1242" s="2">
        <v>116</v>
      </c>
      <c r="D1242" s="2">
        <v>37.5</v>
      </c>
      <c r="E1242" s="2">
        <v>78</v>
      </c>
      <c r="F1242" s="2">
        <v>0.5</v>
      </c>
      <c r="I1242" s="2">
        <v>2250</v>
      </c>
      <c r="J1242" s="2">
        <v>190</v>
      </c>
      <c r="K1242" s="2">
        <v>261000</v>
      </c>
      <c r="L1242" s="2">
        <v>6688</v>
      </c>
      <c r="M1242" s="2">
        <v>312.3</v>
      </c>
      <c r="N1242" s="2">
        <v>611.1</v>
      </c>
      <c r="O1242" s="2">
        <v>22950</v>
      </c>
      <c r="P1242" s="2">
        <v>41.5</v>
      </c>
    </row>
    <row r="1243" spans="1:16" ht="24.95" customHeight="1" x14ac:dyDescent="0.25">
      <c r="A1243" s="1" t="s">
        <v>1163</v>
      </c>
      <c r="B1243" s="2">
        <v>252</v>
      </c>
      <c r="C1243" s="2">
        <v>106</v>
      </c>
      <c r="D1243" s="2">
        <v>24.1</v>
      </c>
      <c r="E1243" s="2">
        <v>82</v>
      </c>
      <c r="F1243" s="2">
        <v>-0.1</v>
      </c>
      <c r="I1243" s="2">
        <v>11275</v>
      </c>
      <c r="J1243" s="2">
        <v>225</v>
      </c>
      <c r="K1243" s="2">
        <v>1195150</v>
      </c>
      <c r="L1243" s="2">
        <v>11111</v>
      </c>
      <c r="M1243" s="2">
        <v>501.9</v>
      </c>
      <c r="N1243" s="2">
        <v>2803.2</v>
      </c>
      <c r="O1243" s="2">
        <v>37410</v>
      </c>
    </row>
    <row r="1244" spans="1:16" ht="24.95" customHeight="1" x14ac:dyDescent="0.25">
      <c r="A1244" s="1" t="s">
        <v>1164</v>
      </c>
      <c r="B1244" s="2">
        <v>264</v>
      </c>
      <c r="C1244" s="2">
        <v>104</v>
      </c>
      <c r="D1244" s="2">
        <v>21.9</v>
      </c>
      <c r="E1244" s="2">
        <v>82</v>
      </c>
      <c r="F1244" s="2">
        <v>0.1</v>
      </c>
      <c r="I1244" s="2">
        <v>3985</v>
      </c>
      <c r="J1244" s="2">
        <v>239</v>
      </c>
      <c r="K1244" s="2">
        <v>414440</v>
      </c>
      <c r="L1244" s="2">
        <v>3874</v>
      </c>
      <c r="M1244" s="2">
        <v>200.2</v>
      </c>
      <c r="N1244" s="2">
        <v>965.9</v>
      </c>
      <c r="O1244" s="2">
        <v>12520</v>
      </c>
    </row>
    <row r="1245" spans="1:16" ht="24.95" customHeight="1" x14ac:dyDescent="0.25">
      <c r="A1245" s="1" t="s">
        <v>1165</v>
      </c>
      <c r="B1245" s="2">
        <v>270</v>
      </c>
      <c r="C1245" s="2">
        <v>114</v>
      </c>
      <c r="D1245" s="2">
        <v>32</v>
      </c>
      <c r="E1245" s="2">
        <v>82</v>
      </c>
      <c r="I1245" s="2">
        <v>1115</v>
      </c>
      <c r="J1245" s="2">
        <v>218</v>
      </c>
      <c r="K1245" s="2">
        <v>127110</v>
      </c>
      <c r="L1245" s="2">
        <v>2652</v>
      </c>
      <c r="M1245" s="2">
        <v>96</v>
      </c>
      <c r="N1245" s="2">
        <v>287.5</v>
      </c>
      <c r="O1245" s="2">
        <v>8050</v>
      </c>
      <c r="P1245" s="2">
        <v>20.100000000000001</v>
      </c>
    </row>
    <row r="1246" spans="1:16" ht="24.95" customHeight="1" x14ac:dyDescent="0.25">
      <c r="A1246" s="1" t="s">
        <v>1166</v>
      </c>
      <c r="B1246" s="2">
        <v>300</v>
      </c>
      <c r="C1246" s="2">
        <v>124</v>
      </c>
      <c r="D1246" s="2">
        <v>41.9</v>
      </c>
      <c r="E1246" s="2">
        <v>82</v>
      </c>
      <c r="F1246" s="2">
        <v>0.1</v>
      </c>
      <c r="I1246" s="2">
        <v>519</v>
      </c>
      <c r="J1246" s="2">
        <v>123</v>
      </c>
      <c r="K1246" s="2">
        <v>64356</v>
      </c>
      <c r="L1246" s="2">
        <v>1293</v>
      </c>
      <c r="M1246" s="2">
        <v>59.5</v>
      </c>
      <c r="N1246" s="2">
        <v>127</v>
      </c>
      <c r="O1246" s="2">
        <v>4250</v>
      </c>
      <c r="P1246" s="2">
        <v>30.4</v>
      </c>
    </row>
    <row r="1247" spans="1:16" ht="24.95" customHeight="1" x14ac:dyDescent="0.25">
      <c r="A1247" s="1" t="s">
        <v>1167</v>
      </c>
      <c r="B1247" s="2">
        <v>294</v>
      </c>
      <c r="C1247" s="2">
        <v>122</v>
      </c>
      <c r="D1247" s="2">
        <v>41.1</v>
      </c>
      <c r="E1247" s="2">
        <v>82</v>
      </c>
      <c r="F1247" s="2">
        <v>-1.1000000000000001</v>
      </c>
      <c r="I1247" s="2">
        <v>1070</v>
      </c>
      <c r="J1247" s="2">
        <v>182</v>
      </c>
      <c r="K1247" s="2">
        <v>130540</v>
      </c>
      <c r="L1247" s="2">
        <v>2042</v>
      </c>
      <c r="M1247" s="2">
        <v>107.8</v>
      </c>
      <c r="N1247" s="2">
        <v>247.5</v>
      </c>
      <c r="O1247" s="2">
        <v>6430</v>
      </c>
      <c r="P1247" s="2">
        <v>7.9</v>
      </c>
    </row>
    <row r="1248" spans="1:16" ht="24.95" customHeight="1" x14ac:dyDescent="0.25">
      <c r="A1248" s="1" t="s">
        <v>1168</v>
      </c>
      <c r="B1248" s="2">
        <v>280</v>
      </c>
      <c r="C1248" s="2">
        <v>118</v>
      </c>
      <c r="D1248" s="2">
        <v>35.200000000000003</v>
      </c>
      <c r="E1248" s="2">
        <v>82</v>
      </c>
      <c r="F1248" s="2">
        <v>0.9</v>
      </c>
      <c r="I1248" s="2">
        <v>435</v>
      </c>
      <c r="J1248" s="2">
        <v>142</v>
      </c>
      <c r="K1248" s="2">
        <v>51330</v>
      </c>
      <c r="L1248" s="2">
        <v>1480</v>
      </c>
      <c r="M1248" s="2">
        <v>64.3</v>
      </c>
      <c r="N1248" s="2">
        <v>111.2</v>
      </c>
      <c r="O1248" s="2">
        <v>4200</v>
      </c>
      <c r="P1248" s="2">
        <v>40.6</v>
      </c>
    </row>
    <row r="1249" spans="1:16" ht="24.95" customHeight="1" x14ac:dyDescent="0.25">
      <c r="A1249" s="1" t="s">
        <v>1169</v>
      </c>
      <c r="B1249" s="2">
        <v>294</v>
      </c>
      <c r="C1249" s="2">
        <v>118</v>
      </c>
      <c r="D1249" s="2">
        <v>36.799999999999997</v>
      </c>
      <c r="E1249" s="2">
        <v>82</v>
      </c>
      <c r="F1249" s="2">
        <v>-0.8</v>
      </c>
      <c r="I1249" s="2">
        <v>1515</v>
      </c>
      <c r="J1249" s="2">
        <v>178</v>
      </c>
      <c r="K1249" s="2">
        <v>178770</v>
      </c>
      <c r="L1249" s="2">
        <v>4236</v>
      </c>
      <c r="M1249" s="2">
        <v>274.8</v>
      </c>
      <c r="N1249" s="2">
        <v>389.8</v>
      </c>
      <c r="O1249" s="2">
        <v>13200</v>
      </c>
      <c r="P1249" s="2">
        <v>35.799999999999997</v>
      </c>
    </row>
    <row r="1250" spans="1:16" ht="24.95" customHeight="1" x14ac:dyDescent="0.25">
      <c r="A1250" s="1" t="s">
        <v>1170</v>
      </c>
      <c r="B1250" s="2">
        <v>243</v>
      </c>
      <c r="C1250" s="2">
        <v>106</v>
      </c>
      <c r="D1250" s="2">
        <v>26.6</v>
      </c>
      <c r="E1250" s="2">
        <v>82</v>
      </c>
      <c r="F1250" s="2">
        <v>-2.6</v>
      </c>
      <c r="I1250" s="2">
        <v>960</v>
      </c>
      <c r="J1250" s="2">
        <v>129</v>
      </c>
      <c r="K1250" s="2">
        <v>101760</v>
      </c>
      <c r="L1250" s="2">
        <v>2815</v>
      </c>
      <c r="M1250" s="2">
        <v>212.5</v>
      </c>
      <c r="N1250" s="2">
        <v>243.2</v>
      </c>
      <c r="O1250" s="2">
        <v>7360</v>
      </c>
      <c r="P1250" s="2">
        <v>26</v>
      </c>
    </row>
    <row r="1251" spans="1:16" ht="24.95" customHeight="1" x14ac:dyDescent="0.25">
      <c r="A1251" s="1" t="s">
        <v>1171</v>
      </c>
      <c r="B1251" s="2">
        <v>280</v>
      </c>
      <c r="C1251" s="2">
        <v>112</v>
      </c>
      <c r="D1251" s="2">
        <v>28</v>
      </c>
      <c r="E1251" s="2">
        <v>82</v>
      </c>
      <c r="F1251" s="2">
        <v>2</v>
      </c>
      <c r="I1251" s="2">
        <v>914</v>
      </c>
      <c r="J1251" s="2">
        <v>164</v>
      </c>
      <c r="K1251" s="2">
        <v>102368</v>
      </c>
      <c r="L1251" s="2">
        <v>4364</v>
      </c>
      <c r="M1251" s="2">
        <v>151.6</v>
      </c>
      <c r="N1251" s="2">
        <v>239.6</v>
      </c>
      <c r="O1251" s="2">
        <v>13270</v>
      </c>
      <c r="P1251" s="2">
        <v>60.3</v>
      </c>
    </row>
    <row r="1252" spans="1:16" ht="24.95" customHeight="1" x14ac:dyDescent="0.25">
      <c r="A1252" s="1" t="s">
        <v>1172</v>
      </c>
      <c r="B1252" s="2">
        <v>328</v>
      </c>
      <c r="C1252" s="2">
        <v>159</v>
      </c>
      <c r="D1252" s="2">
        <v>76.900000000000006</v>
      </c>
      <c r="E1252" s="2">
        <v>82</v>
      </c>
      <c r="F1252" s="2">
        <v>0.1</v>
      </c>
      <c r="I1252" s="2">
        <v>1405</v>
      </c>
      <c r="J1252" s="2">
        <v>122</v>
      </c>
      <c r="K1252" s="2">
        <v>233395</v>
      </c>
      <c r="L1252" s="2">
        <v>4067</v>
      </c>
      <c r="M1252" s="2">
        <v>212.8</v>
      </c>
      <c r="N1252" s="2">
        <v>364.7</v>
      </c>
      <c r="O1252" s="2">
        <v>11720</v>
      </c>
      <c r="P1252" s="2">
        <v>31</v>
      </c>
    </row>
    <row r="1253" spans="1:16" ht="24.95" customHeight="1" x14ac:dyDescent="0.25">
      <c r="A1253" s="1" t="s">
        <v>1173</v>
      </c>
      <c r="B1253" s="2">
        <v>240</v>
      </c>
      <c r="C1253" s="2">
        <v>100</v>
      </c>
      <c r="D1253" s="2">
        <v>16</v>
      </c>
      <c r="E1253" s="2">
        <v>82</v>
      </c>
      <c r="F1253" s="2">
        <v>2</v>
      </c>
      <c r="H1253" s="2">
        <v>100</v>
      </c>
      <c r="I1253" s="2">
        <v>233</v>
      </c>
      <c r="J1253" s="2">
        <v>148</v>
      </c>
      <c r="K1253" s="2">
        <v>23300</v>
      </c>
      <c r="L1253" s="2">
        <v>1197</v>
      </c>
      <c r="M1253" s="2">
        <v>38.9</v>
      </c>
      <c r="N1253" s="2">
        <v>59.2</v>
      </c>
      <c r="O1253" s="2">
        <v>3250</v>
      </c>
      <c r="P1253" s="2">
        <v>59.1</v>
      </c>
    </row>
    <row r="1254" spans="1:16" ht="24.95" customHeight="1" x14ac:dyDescent="0.25">
      <c r="A1254" s="1" t="s">
        <v>1174</v>
      </c>
      <c r="B1254" s="2">
        <v>244</v>
      </c>
      <c r="C1254" s="2">
        <v>100</v>
      </c>
      <c r="D1254" s="2">
        <v>17.600000000000001</v>
      </c>
      <c r="E1254" s="2">
        <v>82</v>
      </c>
      <c r="F1254" s="2">
        <v>0.4</v>
      </c>
      <c r="H1254" s="2">
        <v>101.5</v>
      </c>
      <c r="I1254" s="2">
        <v>864</v>
      </c>
      <c r="J1254" s="2">
        <v>127</v>
      </c>
      <c r="K1254" s="2">
        <v>87669</v>
      </c>
      <c r="L1254" s="2">
        <v>2288</v>
      </c>
      <c r="M1254" s="2">
        <v>100.4</v>
      </c>
      <c r="N1254" s="2">
        <v>196.7</v>
      </c>
      <c r="O1254" s="2">
        <v>8110</v>
      </c>
      <c r="P1254" s="2">
        <v>38.700000000000003</v>
      </c>
    </row>
    <row r="1255" spans="1:16" ht="24.95" customHeight="1" x14ac:dyDescent="0.25">
      <c r="A1255" s="1" t="s">
        <v>1175</v>
      </c>
      <c r="B1255" s="2">
        <v>224</v>
      </c>
      <c r="C1255" s="2">
        <v>92</v>
      </c>
      <c r="D1255" s="2">
        <v>9.5</v>
      </c>
      <c r="E1255" s="2">
        <v>82</v>
      </c>
      <c r="F1255" s="2">
        <v>0.5</v>
      </c>
      <c r="H1255" s="2">
        <v>94.4</v>
      </c>
      <c r="I1255" s="2">
        <v>202</v>
      </c>
      <c r="J1255" s="2">
        <v>193</v>
      </c>
      <c r="K1255" s="2">
        <v>19070</v>
      </c>
      <c r="L1255" s="2">
        <v>671</v>
      </c>
      <c r="M1255" s="2">
        <v>34.200000000000003</v>
      </c>
      <c r="N1255" s="2">
        <v>57.3</v>
      </c>
      <c r="O1255" s="2">
        <v>2060</v>
      </c>
      <c r="P1255" s="2">
        <v>41.4</v>
      </c>
    </row>
    <row r="1256" spans="1:16" ht="24.95" customHeight="1" x14ac:dyDescent="0.25">
      <c r="A1256" s="1" t="s">
        <v>1176</v>
      </c>
      <c r="B1256" s="2">
        <v>236</v>
      </c>
      <c r="C1256" s="2">
        <v>94</v>
      </c>
      <c r="D1256" s="2">
        <v>11.1</v>
      </c>
      <c r="E1256" s="2">
        <v>82</v>
      </c>
      <c r="F1256" s="2">
        <v>0.9</v>
      </c>
      <c r="H1256" s="2">
        <v>95.7</v>
      </c>
      <c r="I1256" s="2">
        <v>910</v>
      </c>
      <c r="J1256" s="2">
        <v>103</v>
      </c>
      <c r="K1256" s="2">
        <v>87084</v>
      </c>
      <c r="L1256" s="2">
        <v>3137</v>
      </c>
      <c r="M1256" s="2">
        <v>123.6</v>
      </c>
      <c r="N1256" s="2">
        <v>207.3</v>
      </c>
      <c r="O1256" s="2">
        <v>11480</v>
      </c>
      <c r="P1256" s="2">
        <v>54.6</v>
      </c>
    </row>
    <row r="1257" spans="1:16" ht="24.95" customHeight="1" x14ac:dyDescent="0.25">
      <c r="A1257" s="1" t="s">
        <v>1177</v>
      </c>
      <c r="B1257" s="2">
        <v>224</v>
      </c>
      <c r="C1257" s="2">
        <v>94</v>
      </c>
      <c r="D1257" s="2">
        <v>11.3</v>
      </c>
      <c r="E1257" s="2">
        <v>82</v>
      </c>
      <c r="F1257" s="2">
        <v>0.7</v>
      </c>
      <c r="H1257" s="2">
        <v>96.5</v>
      </c>
      <c r="I1257" s="2">
        <v>2800</v>
      </c>
      <c r="J1257" s="2">
        <v>147</v>
      </c>
      <c r="K1257" s="2">
        <v>270222</v>
      </c>
      <c r="L1257" s="2">
        <v>9825</v>
      </c>
      <c r="M1257" s="2">
        <v>502.1</v>
      </c>
      <c r="N1257" s="2">
        <v>666.1</v>
      </c>
      <c r="O1257" s="2">
        <v>31920</v>
      </c>
      <c r="P1257" s="2">
        <v>49.9</v>
      </c>
    </row>
    <row r="1258" spans="1:16" ht="24.95" customHeight="1" x14ac:dyDescent="0.25">
      <c r="A1258" s="1" t="s">
        <v>1178</v>
      </c>
      <c r="B1258" s="2">
        <v>239</v>
      </c>
      <c r="C1258" s="2">
        <v>102</v>
      </c>
      <c r="D1258" s="2">
        <v>18.399999999999999</v>
      </c>
      <c r="E1258" s="2">
        <v>82</v>
      </c>
      <c r="F1258" s="2">
        <v>1.6</v>
      </c>
      <c r="H1258" s="2">
        <v>103.6</v>
      </c>
      <c r="I1258" s="2">
        <v>320</v>
      </c>
      <c r="J1258" s="2">
        <v>113</v>
      </c>
      <c r="K1258" s="2">
        <v>33164</v>
      </c>
      <c r="L1258" s="2">
        <v>1406</v>
      </c>
      <c r="M1258" s="2">
        <v>49.5</v>
      </c>
      <c r="N1258" s="2">
        <v>91.7</v>
      </c>
      <c r="O1258" s="2">
        <v>5320</v>
      </c>
      <c r="P1258" s="2">
        <v>62.6</v>
      </c>
    </row>
    <row r="1259" spans="1:16" ht="24.95" customHeight="1" x14ac:dyDescent="0.25">
      <c r="A1259" s="1" t="s">
        <v>1179</v>
      </c>
      <c r="B1259" s="2">
        <v>251</v>
      </c>
      <c r="C1259" s="2">
        <v>108</v>
      </c>
      <c r="D1259" s="2">
        <v>24.5</v>
      </c>
      <c r="E1259" s="2">
        <v>82</v>
      </c>
      <c r="F1259" s="2">
        <v>1.5</v>
      </c>
      <c r="H1259" s="2">
        <v>109.3</v>
      </c>
      <c r="I1259" s="2">
        <v>286</v>
      </c>
      <c r="J1259" s="2">
        <v>120</v>
      </c>
      <c r="K1259" s="2">
        <v>31264</v>
      </c>
      <c r="L1259" s="2">
        <v>1467</v>
      </c>
      <c r="M1259" s="2">
        <v>50.6</v>
      </c>
      <c r="N1259" s="2">
        <v>77.400000000000006</v>
      </c>
      <c r="O1259" s="2">
        <v>4520</v>
      </c>
      <c r="P1259" s="2">
        <v>61.8</v>
      </c>
    </row>
    <row r="1260" spans="1:16" ht="24.95" customHeight="1" x14ac:dyDescent="0.25">
      <c r="A1260" s="1" t="s">
        <v>1180</v>
      </c>
      <c r="B1260" s="2">
        <v>246</v>
      </c>
      <c r="C1260" s="2">
        <v>100</v>
      </c>
      <c r="D1260" s="2">
        <v>17</v>
      </c>
      <c r="E1260" s="2">
        <v>82</v>
      </c>
      <c r="F1260" s="2">
        <v>1</v>
      </c>
      <c r="H1260" s="2">
        <v>101.5</v>
      </c>
      <c r="I1260" s="2">
        <v>550</v>
      </c>
      <c r="J1260" s="2">
        <v>131</v>
      </c>
      <c r="K1260" s="2">
        <v>55835</v>
      </c>
      <c r="L1260" s="2">
        <v>2006</v>
      </c>
      <c r="M1260" s="2">
        <v>79.400000000000006</v>
      </c>
      <c r="N1260" s="2">
        <v>141.69999999999999</v>
      </c>
      <c r="O1260" s="2">
        <v>6250</v>
      </c>
      <c r="P1260" s="2">
        <v>48</v>
      </c>
    </row>
    <row r="1261" spans="1:16" ht="24.95" customHeight="1" x14ac:dyDescent="0.25">
      <c r="A1261" s="1" t="s">
        <v>1166</v>
      </c>
      <c r="B1261" s="2">
        <v>246</v>
      </c>
      <c r="C1261" s="2">
        <v>112</v>
      </c>
      <c r="D1261" s="2">
        <v>27.4</v>
      </c>
      <c r="E1261" s="2">
        <v>82</v>
      </c>
      <c r="F1261" s="2">
        <v>2.6</v>
      </c>
      <c r="H1261" s="2">
        <v>112.9</v>
      </c>
      <c r="I1261" s="2">
        <v>304</v>
      </c>
      <c r="J1261" s="2">
        <v>114</v>
      </c>
      <c r="K1261" s="2">
        <v>34334</v>
      </c>
      <c r="L1261" s="2">
        <v>1818</v>
      </c>
      <c r="M1261" s="2">
        <v>61.8</v>
      </c>
      <c r="N1261" s="2">
        <v>81.5</v>
      </c>
      <c r="O1261" s="2">
        <v>5320</v>
      </c>
      <c r="P1261" s="2">
        <v>66.5</v>
      </c>
    </row>
    <row r="1262" spans="1:16" ht="24.95" customHeight="1" x14ac:dyDescent="0.25">
      <c r="A1262" s="1" t="s">
        <v>1181</v>
      </c>
      <c r="B1262" s="2">
        <v>240</v>
      </c>
      <c r="C1262" s="2">
        <v>115</v>
      </c>
      <c r="D1262" s="2">
        <v>33.1</v>
      </c>
      <c r="E1262" s="2">
        <v>82</v>
      </c>
      <c r="F1262" s="2">
        <v>0.1</v>
      </c>
      <c r="H1262" s="2">
        <v>115</v>
      </c>
      <c r="I1262" s="2">
        <v>280</v>
      </c>
      <c r="J1262" s="2">
        <v>74</v>
      </c>
      <c r="K1262" s="2">
        <v>32300</v>
      </c>
      <c r="L1262" s="2">
        <v>563</v>
      </c>
      <c r="M1262" s="2">
        <v>21.1</v>
      </c>
      <c r="N1262" s="2">
        <v>68.8</v>
      </c>
      <c r="O1262" s="2">
        <v>1580</v>
      </c>
      <c r="P1262" s="2">
        <v>2.1</v>
      </c>
    </row>
    <row r="1263" spans="1:16" ht="24.95" customHeight="1" x14ac:dyDescent="0.25">
      <c r="A1263" s="1" t="s">
        <v>1167</v>
      </c>
      <c r="B1263" s="2">
        <v>260</v>
      </c>
      <c r="C1263" s="2">
        <v>100</v>
      </c>
      <c r="D1263" s="2">
        <v>16</v>
      </c>
      <c r="E1263" s="2">
        <v>82</v>
      </c>
      <c r="F1263" s="2">
        <v>2.1</v>
      </c>
      <c r="H1263" s="2">
        <v>102.6</v>
      </c>
      <c r="I1263" s="2">
        <v>800</v>
      </c>
      <c r="J1263" s="2">
        <v>146</v>
      </c>
      <c r="K1263" s="2">
        <v>82050</v>
      </c>
      <c r="L1263" s="2">
        <v>2992</v>
      </c>
      <c r="M1263" s="2">
        <v>139</v>
      </c>
      <c r="N1263" s="2">
        <v>204.7</v>
      </c>
      <c r="O1263" s="2">
        <v>8760</v>
      </c>
      <c r="P1263" s="2">
        <v>49.6</v>
      </c>
    </row>
    <row r="1264" spans="1:16" ht="24.95" customHeight="1" x14ac:dyDescent="0.25">
      <c r="A1264" s="1" t="s">
        <v>1168</v>
      </c>
      <c r="B1264" s="2">
        <v>226</v>
      </c>
      <c r="C1264" s="2">
        <v>94</v>
      </c>
      <c r="D1264" s="2">
        <v>11</v>
      </c>
      <c r="E1264" s="2">
        <v>82</v>
      </c>
      <c r="F1264" s="2">
        <v>1</v>
      </c>
      <c r="H1264" s="2">
        <v>95.6</v>
      </c>
      <c r="I1264" s="2">
        <v>375</v>
      </c>
      <c r="J1264" s="2">
        <v>168</v>
      </c>
      <c r="K1264" s="2">
        <v>35857</v>
      </c>
      <c r="L1264" s="2">
        <v>1773</v>
      </c>
      <c r="M1264" s="2">
        <v>64</v>
      </c>
      <c r="N1264" s="2">
        <v>85.8</v>
      </c>
      <c r="O1264" s="2">
        <v>4780</v>
      </c>
      <c r="P1264" s="2">
        <v>60</v>
      </c>
    </row>
    <row r="1265" spans="1:16" ht="24.95" customHeight="1" x14ac:dyDescent="0.25">
      <c r="A1265" s="1" t="s">
        <v>1182</v>
      </c>
      <c r="B1265" s="2">
        <v>239</v>
      </c>
      <c r="C1265" s="2">
        <v>104</v>
      </c>
      <c r="D1265" s="2">
        <v>21.2</v>
      </c>
      <c r="E1265" s="2">
        <v>82</v>
      </c>
      <c r="F1265" s="2">
        <v>0.8</v>
      </c>
      <c r="H1265" s="2">
        <v>107.3</v>
      </c>
      <c r="I1265" s="2">
        <v>120</v>
      </c>
      <c r="J1265" s="2">
        <v>111</v>
      </c>
      <c r="K1265" s="2">
        <v>12873</v>
      </c>
      <c r="L1265" s="2">
        <v>871</v>
      </c>
      <c r="M1265" s="2">
        <v>21.5</v>
      </c>
      <c r="N1265" s="2">
        <v>33.6</v>
      </c>
      <c r="O1265" s="2">
        <v>1740</v>
      </c>
      <c r="P1265" s="2">
        <v>57.3</v>
      </c>
    </row>
    <row r="1266" spans="1:16" ht="24.95" customHeight="1" x14ac:dyDescent="0.25">
      <c r="A1266" s="1" t="s">
        <v>1033</v>
      </c>
      <c r="B1266" s="2">
        <v>234</v>
      </c>
      <c r="C1266" s="2">
        <v>99</v>
      </c>
      <c r="D1266" s="2">
        <v>16.600000000000001</v>
      </c>
      <c r="E1266" s="2">
        <v>82</v>
      </c>
      <c r="F1266" s="2">
        <v>0.5</v>
      </c>
      <c r="H1266" s="2">
        <v>99.5</v>
      </c>
      <c r="I1266" s="2">
        <v>2455</v>
      </c>
      <c r="J1266" s="2">
        <v>153</v>
      </c>
      <c r="K1266" s="2">
        <v>244157</v>
      </c>
      <c r="L1266" s="2">
        <v>3327</v>
      </c>
      <c r="M1266" s="2">
        <v>151.6</v>
      </c>
      <c r="N1266" s="2">
        <v>431.6</v>
      </c>
      <c r="O1266" s="2">
        <v>22350</v>
      </c>
      <c r="P1266" s="2">
        <v>37.9</v>
      </c>
    </row>
    <row r="1267" spans="1:16" ht="24.95" customHeight="1" x14ac:dyDescent="0.25">
      <c r="A1267" s="1" t="s">
        <v>1161</v>
      </c>
      <c r="B1267" s="2">
        <v>273</v>
      </c>
      <c r="C1267" s="2">
        <v>112</v>
      </c>
      <c r="D1267" s="2">
        <v>29.4</v>
      </c>
      <c r="E1267" s="2">
        <v>82</v>
      </c>
      <c r="F1267" s="2">
        <v>0.6</v>
      </c>
      <c r="H1267" s="2">
        <v>114.4</v>
      </c>
      <c r="I1267" s="2">
        <v>898</v>
      </c>
      <c r="J1267" s="2">
        <v>157</v>
      </c>
      <c r="K1267" s="2">
        <v>102740</v>
      </c>
      <c r="L1267" s="2">
        <v>3087</v>
      </c>
      <c r="M1267" s="2">
        <v>159</v>
      </c>
      <c r="N1267" s="2">
        <v>229.2</v>
      </c>
      <c r="O1267" s="2">
        <v>7820</v>
      </c>
      <c r="P1267" s="2">
        <v>34.9</v>
      </c>
    </row>
    <row r="1268" spans="1:16" ht="24.95" customHeight="1" x14ac:dyDescent="0.25">
      <c r="A1268" s="1" t="s">
        <v>1183</v>
      </c>
      <c r="B1268" s="2">
        <v>227</v>
      </c>
      <c r="C1268" s="2">
        <v>105</v>
      </c>
      <c r="D1268" s="2">
        <v>23.8</v>
      </c>
      <c r="E1268" s="2">
        <v>82</v>
      </c>
      <c r="F1268" s="2">
        <v>-0.8</v>
      </c>
      <c r="H1268" s="2">
        <v>105.1</v>
      </c>
      <c r="I1268" s="2">
        <v>720</v>
      </c>
      <c r="J1268" s="2">
        <v>76</v>
      </c>
      <c r="K1268" s="2">
        <v>75642</v>
      </c>
      <c r="L1268" s="2">
        <v>1368</v>
      </c>
      <c r="M1268" s="2">
        <v>56.3</v>
      </c>
      <c r="N1268" s="2">
        <v>177.8</v>
      </c>
      <c r="O1268" s="2">
        <v>4360</v>
      </c>
      <c r="P1268" s="2">
        <v>6.2</v>
      </c>
    </row>
    <row r="1269" spans="1:16" ht="24.95" customHeight="1" x14ac:dyDescent="0.25">
      <c r="A1269" s="1" t="s">
        <v>1184</v>
      </c>
      <c r="B1269" s="2">
        <v>226</v>
      </c>
      <c r="C1269" s="2">
        <v>106</v>
      </c>
      <c r="D1269" s="2">
        <v>23</v>
      </c>
      <c r="E1269" s="2">
        <v>82</v>
      </c>
      <c r="F1269" s="2">
        <v>1</v>
      </c>
      <c r="H1269" s="2">
        <v>107.3</v>
      </c>
      <c r="I1269" s="2">
        <v>2750</v>
      </c>
      <c r="J1269" s="2">
        <v>175</v>
      </c>
      <c r="K1269" s="2">
        <v>294984</v>
      </c>
      <c r="L1269" s="2">
        <v>8942</v>
      </c>
      <c r="M1269" s="2">
        <v>576.9</v>
      </c>
      <c r="N1269" s="2">
        <v>737.8</v>
      </c>
      <c r="O1269" s="2">
        <v>27140</v>
      </c>
      <c r="P1269" s="2">
        <v>39.4</v>
      </c>
    </row>
    <row r="1270" spans="1:16" ht="24.95" customHeight="1" x14ac:dyDescent="0.25">
      <c r="A1270" s="1" t="s">
        <v>1185</v>
      </c>
      <c r="B1270" s="2">
        <v>244</v>
      </c>
      <c r="C1270" s="2">
        <v>102</v>
      </c>
      <c r="D1270" s="2">
        <v>19.2</v>
      </c>
      <c r="E1270" s="2">
        <v>82</v>
      </c>
      <c r="F1270" s="2">
        <v>0.8</v>
      </c>
      <c r="H1270" s="2">
        <v>105.7</v>
      </c>
      <c r="I1270" s="2">
        <v>1475</v>
      </c>
      <c r="J1270" s="2">
        <v>146</v>
      </c>
      <c r="K1270" s="2">
        <v>155930</v>
      </c>
      <c r="L1270" s="2">
        <v>4022</v>
      </c>
      <c r="M1270" s="2">
        <v>167.1</v>
      </c>
      <c r="N1270" s="2">
        <v>331.2</v>
      </c>
      <c r="O1270" s="2">
        <v>13590</v>
      </c>
      <c r="P1270" s="2">
        <v>40.6</v>
      </c>
    </row>
    <row r="1271" spans="1:16" ht="24.95" customHeight="1" x14ac:dyDescent="0.25">
      <c r="A1271" s="1" t="s">
        <v>1186</v>
      </c>
      <c r="B1271" s="2">
        <v>242</v>
      </c>
      <c r="C1271" s="2">
        <v>102</v>
      </c>
      <c r="D1271" s="2">
        <v>20.100000000000001</v>
      </c>
      <c r="E1271" s="2">
        <v>82</v>
      </c>
      <c r="F1271" s="2">
        <v>-0.1</v>
      </c>
      <c r="H1271" s="2">
        <v>102</v>
      </c>
      <c r="I1271" s="2">
        <v>454</v>
      </c>
      <c r="J1271" s="2">
        <v>115</v>
      </c>
      <c r="K1271" s="2">
        <v>46282</v>
      </c>
      <c r="L1271" s="2">
        <v>650</v>
      </c>
      <c r="M1271" s="2">
        <v>25.4</v>
      </c>
      <c r="N1271" s="2">
        <v>78.8</v>
      </c>
      <c r="O1271" s="2">
        <v>3280</v>
      </c>
      <c r="P1271" s="2">
        <v>25.3</v>
      </c>
    </row>
    <row r="1272" spans="1:16" ht="24.95" customHeight="1" x14ac:dyDescent="0.25">
      <c r="A1272" s="1" t="s">
        <v>1172</v>
      </c>
      <c r="B1272" s="2">
        <v>258</v>
      </c>
      <c r="C1272" s="2">
        <v>111</v>
      </c>
      <c r="D1272" s="2">
        <v>27.5</v>
      </c>
      <c r="E1272" s="2">
        <v>82</v>
      </c>
      <c r="F1272" s="2">
        <v>1.5</v>
      </c>
      <c r="H1272" s="2">
        <v>111.7</v>
      </c>
      <c r="I1272" s="2">
        <v>950</v>
      </c>
      <c r="J1272" s="2">
        <v>128</v>
      </c>
      <c r="K1272" s="2">
        <v>106104</v>
      </c>
      <c r="L1272" s="2">
        <v>4562</v>
      </c>
      <c r="M1272" s="2">
        <v>190.2</v>
      </c>
      <c r="N1272" s="2">
        <v>243.7</v>
      </c>
      <c r="O1272" s="2">
        <v>11410</v>
      </c>
      <c r="P1272" s="2">
        <v>52.6</v>
      </c>
    </row>
    <row r="1273" spans="1:16" ht="24.95" customHeight="1" x14ac:dyDescent="0.25">
      <c r="A1273" s="1" t="s">
        <v>1187</v>
      </c>
      <c r="B1273" s="2">
        <v>171.9</v>
      </c>
      <c r="C1273" s="2">
        <v>82.9</v>
      </c>
      <c r="I1273" s="2">
        <v>170093</v>
      </c>
      <c r="J1273" s="2">
        <v>151</v>
      </c>
      <c r="K1273" s="2">
        <v>14100710</v>
      </c>
      <c r="L1273" s="2">
        <v>554906</v>
      </c>
      <c r="M1273" s="2">
        <v>22766.7</v>
      </c>
      <c r="N1273" s="2">
        <v>43325</v>
      </c>
      <c r="O1273" s="2">
        <v>1677260</v>
      </c>
      <c r="P1273" s="2">
        <v>41.9</v>
      </c>
    </row>
    <row r="1274" spans="1:16" ht="24.95" customHeight="1" x14ac:dyDescent="0.25">
      <c r="A1274" s="1" t="s">
        <v>1189</v>
      </c>
      <c r="B1274" s="2">
        <v>276</v>
      </c>
      <c r="C1274" s="2">
        <v>130</v>
      </c>
      <c r="D1274" s="2">
        <v>45.8</v>
      </c>
      <c r="E1274" s="2">
        <v>82.9</v>
      </c>
      <c r="F1274" s="2">
        <v>1.3</v>
      </c>
      <c r="I1274" s="2">
        <v>3178</v>
      </c>
      <c r="J1274" s="2">
        <v>124</v>
      </c>
      <c r="K1274" s="2">
        <v>413140</v>
      </c>
      <c r="L1274" s="2">
        <v>14513</v>
      </c>
      <c r="M1274" s="2">
        <v>421.9</v>
      </c>
      <c r="N1274" s="2">
        <v>823.5</v>
      </c>
      <c r="O1274" s="2">
        <v>39890</v>
      </c>
      <c r="P1274" s="2">
        <v>53.8</v>
      </c>
    </row>
    <row r="1275" spans="1:16" ht="24.95" customHeight="1" x14ac:dyDescent="0.25">
      <c r="A1275" s="1" t="s">
        <v>1190</v>
      </c>
      <c r="B1275" s="2">
        <v>294</v>
      </c>
      <c r="C1275" s="2">
        <v>134</v>
      </c>
      <c r="D1275" s="2">
        <v>48.6</v>
      </c>
      <c r="E1275" s="2">
        <v>84</v>
      </c>
      <c r="F1275" s="2">
        <v>1.4</v>
      </c>
      <c r="I1275" s="2">
        <v>3150</v>
      </c>
      <c r="J1275" s="2">
        <v>146</v>
      </c>
      <c r="K1275" s="2">
        <v>422100</v>
      </c>
      <c r="L1275" s="2">
        <v>11833</v>
      </c>
      <c r="M1275" s="2">
        <v>413.3</v>
      </c>
      <c r="N1275" s="2">
        <v>785.9</v>
      </c>
      <c r="O1275" s="2">
        <v>31260</v>
      </c>
      <c r="P1275" s="2">
        <v>44</v>
      </c>
    </row>
    <row r="1276" spans="1:16" ht="24.95" customHeight="1" x14ac:dyDescent="0.25">
      <c r="A1276" s="1" t="s">
        <v>1191</v>
      </c>
      <c r="B1276" s="2">
        <v>306</v>
      </c>
      <c r="C1276" s="2">
        <v>150</v>
      </c>
      <c r="D1276" s="2">
        <v>64.900000000000006</v>
      </c>
      <c r="E1276" s="2">
        <v>83.9</v>
      </c>
      <c r="F1276" s="2">
        <v>1.3</v>
      </c>
      <c r="I1276" s="2">
        <v>4015</v>
      </c>
      <c r="J1276" s="2">
        <v>143</v>
      </c>
      <c r="K1276" s="2">
        <v>602250</v>
      </c>
      <c r="L1276" s="2">
        <v>12943</v>
      </c>
      <c r="M1276" s="2">
        <v>466.3</v>
      </c>
      <c r="N1276" s="2">
        <v>1069</v>
      </c>
      <c r="O1276" s="2">
        <v>40420</v>
      </c>
      <c r="P1276" s="2">
        <v>39.6</v>
      </c>
    </row>
    <row r="1277" spans="1:16" ht="24.95" customHeight="1" x14ac:dyDescent="0.25">
      <c r="A1277" s="1" t="s">
        <v>1192</v>
      </c>
      <c r="B1277" s="2">
        <v>300</v>
      </c>
      <c r="C1277" s="2">
        <v>134</v>
      </c>
      <c r="D1277" s="2">
        <v>49.3</v>
      </c>
      <c r="E1277" s="2">
        <v>84.4</v>
      </c>
      <c r="F1277" s="2">
        <v>0.3</v>
      </c>
      <c r="I1277" s="2">
        <v>1695</v>
      </c>
      <c r="J1277" s="2">
        <v>135</v>
      </c>
      <c r="K1277" s="2">
        <v>227130</v>
      </c>
      <c r="L1277" s="2">
        <v>6178</v>
      </c>
      <c r="M1277" s="2">
        <v>243.6</v>
      </c>
      <c r="N1277" s="2">
        <v>435.9</v>
      </c>
      <c r="O1277" s="2">
        <v>18860</v>
      </c>
      <c r="P1277" s="2">
        <v>48.8</v>
      </c>
    </row>
    <row r="1278" spans="1:16" ht="24.95" customHeight="1" x14ac:dyDescent="0.25">
      <c r="A1278" s="1" t="s">
        <v>1193</v>
      </c>
      <c r="B1278" s="2">
        <v>264</v>
      </c>
      <c r="C1278" s="2">
        <v>120</v>
      </c>
      <c r="D1278" s="2">
        <v>42.3</v>
      </c>
      <c r="E1278" s="2">
        <v>83.6</v>
      </c>
      <c r="F1278" s="2">
        <v>-5.9</v>
      </c>
      <c r="I1278" s="2">
        <v>9000</v>
      </c>
      <c r="J1278" s="2">
        <v>141</v>
      </c>
      <c r="K1278" s="2">
        <v>1080000</v>
      </c>
      <c r="L1278" s="2">
        <v>19021</v>
      </c>
      <c r="M1278" s="2">
        <v>1365.6</v>
      </c>
      <c r="N1278" s="2">
        <v>2216.4</v>
      </c>
      <c r="O1278" s="2">
        <v>56790</v>
      </c>
      <c r="P1278" s="2">
        <v>11.5</v>
      </c>
    </row>
    <row r="1279" spans="1:16" ht="24.95" customHeight="1" x14ac:dyDescent="0.25">
      <c r="A1279" s="1" t="s">
        <v>1194</v>
      </c>
      <c r="B1279" s="2">
        <v>282</v>
      </c>
      <c r="C1279" s="2">
        <v>132</v>
      </c>
      <c r="D1279" s="2">
        <v>50.2</v>
      </c>
      <c r="E1279" s="2">
        <v>83.1</v>
      </c>
      <c r="F1279" s="2">
        <v>-1.3</v>
      </c>
      <c r="I1279" s="2">
        <v>6100</v>
      </c>
      <c r="J1279" s="2">
        <v>125</v>
      </c>
      <c r="K1279" s="2">
        <v>805200</v>
      </c>
      <c r="L1279" s="2">
        <v>20293</v>
      </c>
      <c r="M1279" s="2">
        <v>762</v>
      </c>
      <c r="N1279" s="2">
        <v>1568.8</v>
      </c>
      <c r="O1279" s="2">
        <v>56070</v>
      </c>
      <c r="P1279" s="2">
        <v>37.5</v>
      </c>
    </row>
    <row r="1280" spans="1:16" ht="24.95" customHeight="1" x14ac:dyDescent="0.25">
      <c r="A1280" s="1" t="s">
        <v>1195</v>
      </c>
      <c r="B1280" s="2">
        <v>276</v>
      </c>
      <c r="C1280" s="2">
        <v>130</v>
      </c>
      <c r="D1280" s="2">
        <v>46.1</v>
      </c>
      <c r="E1280" s="2">
        <v>83</v>
      </c>
      <c r="F1280" s="2">
        <v>0.9</v>
      </c>
      <c r="I1280" s="2">
        <v>3460</v>
      </c>
      <c r="J1280" s="2">
        <v>123</v>
      </c>
      <c r="K1280" s="2">
        <v>449800</v>
      </c>
      <c r="L1280" s="2">
        <v>15084</v>
      </c>
      <c r="M1280" s="2">
        <v>480.1</v>
      </c>
      <c r="N1280" s="2">
        <v>907</v>
      </c>
      <c r="O1280" s="2">
        <v>41400</v>
      </c>
      <c r="P1280" s="2">
        <v>51.8</v>
      </c>
    </row>
    <row r="1281" spans="1:16" ht="24.95" customHeight="1" x14ac:dyDescent="0.25">
      <c r="A1281" s="1" t="s">
        <v>1196</v>
      </c>
      <c r="B1281" s="2">
        <v>252</v>
      </c>
      <c r="C1281" s="2">
        <v>120</v>
      </c>
      <c r="D1281" s="2">
        <v>35.6</v>
      </c>
      <c r="E1281" s="2">
        <v>84</v>
      </c>
      <c r="F1281" s="2">
        <v>0.4</v>
      </c>
      <c r="I1281" s="2">
        <v>1295</v>
      </c>
      <c r="J1281" s="2">
        <v>133</v>
      </c>
      <c r="K1281" s="2">
        <v>155400</v>
      </c>
      <c r="L1281" s="2">
        <v>5398</v>
      </c>
      <c r="M1281" s="2">
        <v>181.2</v>
      </c>
      <c r="N1281" s="2">
        <v>343.4</v>
      </c>
      <c r="O1281" s="2">
        <v>15180</v>
      </c>
      <c r="P1281" s="2">
        <v>50.2</v>
      </c>
    </row>
    <row r="1282" spans="1:16" ht="24.95" customHeight="1" x14ac:dyDescent="0.25">
      <c r="A1282" s="1" t="s">
        <v>1197</v>
      </c>
      <c r="B1282" s="2">
        <v>274</v>
      </c>
      <c r="C1282" s="2">
        <v>132</v>
      </c>
      <c r="D1282" s="2">
        <v>51</v>
      </c>
      <c r="E1282" s="2">
        <v>83.2</v>
      </c>
      <c r="F1282" s="2">
        <v>-2.2000000000000002</v>
      </c>
      <c r="I1282" s="2">
        <v>2950</v>
      </c>
      <c r="J1282" s="2">
        <v>134</v>
      </c>
      <c r="K1282" s="2">
        <v>389400</v>
      </c>
      <c r="L1282" s="2">
        <v>8370</v>
      </c>
      <c r="M1282" s="2">
        <v>386.7</v>
      </c>
      <c r="N1282" s="2">
        <v>734</v>
      </c>
      <c r="O1282" s="2">
        <v>27960</v>
      </c>
      <c r="P1282" s="2">
        <v>40.200000000000003</v>
      </c>
    </row>
    <row r="1283" spans="1:16" ht="24.95" customHeight="1" x14ac:dyDescent="0.25">
      <c r="A1283" s="1" t="s">
        <v>1198</v>
      </c>
      <c r="B1283" s="2">
        <v>276</v>
      </c>
      <c r="C1283" s="2">
        <v>127</v>
      </c>
      <c r="D1283" s="2">
        <v>37.5</v>
      </c>
      <c r="E1283" s="2">
        <v>89.5</v>
      </c>
      <c r="I1283" s="2">
        <v>3800</v>
      </c>
      <c r="J1283" s="2">
        <v>159</v>
      </c>
      <c r="K1283" s="2">
        <v>482600</v>
      </c>
      <c r="L1283" s="2">
        <v>12974</v>
      </c>
      <c r="M1283" s="2">
        <v>618.9</v>
      </c>
      <c r="N1283" s="2">
        <v>966.6</v>
      </c>
      <c r="O1283" s="2">
        <v>35980</v>
      </c>
      <c r="P1283" s="2">
        <v>39.799999999999997</v>
      </c>
    </row>
    <row r="1284" spans="1:16" ht="24.95" customHeight="1" x14ac:dyDescent="0.25">
      <c r="A1284" s="1" t="s">
        <v>1199</v>
      </c>
      <c r="B1284" s="2">
        <v>294</v>
      </c>
      <c r="C1284" s="2">
        <v>136</v>
      </c>
      <c r="D1284" s="2">
        <v>46.6</v>
      </c>
      <c r="E1284" s="2">
        <v>90</v>
      </c>
      <c r="F1284" s="2">
        <v>-0.6</v>
      </c>
      <c r="I1284" s="2">
        <v>1202</v>
      </c>
      <c r="J1284" s="2">
        <v>148</v>
      </c>
      <c r="K1284" s="2">
        <v>163472</v>
      </c>
      <c r="L1284" s="2">
        <v>3248</v>
      </c>
      <c r="M1284" s="2">
        <v>160.80000000000001</v>
      </c>
      <c r="N1284" s="2">
        <v>303</v>
      </c>
      <c r="O1284" s="2">
        <v>10540</v>
      </c>
      <c r="P1284" s="2">
        <v>34.299999999999997</v>
      </c>
    </row>
    <row r="1285" spans="1:16" ht="24.95" customHeight="1" x14ac:dyDescent="0.25">
      <c r="A1285" s="1" t="s">
        <v>1200</v>
      </c>
      <c r="B1285" s="2">
        <v>285</v>
      </c>
      <c r="C1285" s="2">
        <v>126</v>
      </c>
      <c r="D1285" s="2">
        <v>41.6</v>
      </c>
      <c r="E1285" s="2">
        <v>84</v>
      </c>
      <c r="F1285" s="2">
        <v>0.4</v>
      </c>
      <c r="I1285" s="2">
        <v>3650</v>
      </c>
      <c r="J1285" s="2">
        <v>152</v>
      </c>
      <c r="K1285" s="2">
        <v>459900</v>
      </c>
      <c r="L1285" s="2">
        <v>13670</v>
      </c>
      <c r="M1285" s="2">
        <v>460.1</v>
      </c>
      <c r="N1285" s="2">
        <v>919.6</v>
      </c>
      <c r="O1285" s="2">
        <v>37160</v>
      </c>
      <c r="P1285" s="2">
        <v>45.6</v>
      </c>
    </row>
    <row r="1286" spans="1:16" ht="24.95" customHeight="1" x14ac:dyDescent="0.25">
      <c r="A1286" s="1" t="s">
        <v>1201</v>
      </c>
      <c r="B1286" s="2">
        <v>282</v>
      </c>
      <c r="C1286" s="2">
        <v>135</v>
      </c>
      <c r="D1286" s="2">
        <v>50.1</v>
      </c>
      <c r="E1286" s="2">
        <v>84.4</v>
      </c>
      <c r="F1286" s="2">
        <v>0.5</v>
      </c>
      <c r="I1286" s="2">
        <v>1444</v>
      </c>
      <c r="J1286" s="2">
        <v>98</v>
      </c>
      <c r="K1286" s="2">
        <v>194940</v>
      </c>
      <c r="L1286" s="2">
        <v>6761</v>
      </c>
      <c r="M1286" s="2">
        <v>157.19999999999999</v>
      </c>
      <c r="N1286" s="2">
        <v>372.4</v>
      </c>
      <c r="O1286" s="2">
        <v>17300</v>
      </c>
      <c r="P1286" s="2">
        <v>52.3</v>
      </c>
    </row>
    <row r="1287" spans="1:16" ht="24.95" customHeight="1" x14ac:dyDescent="0.25">
      <c r="A1287" s="1" t="s">
        <v>1203</v>
      </c>
      <c r="B1287" s="2">
        <v>264</v>
      </c>
      <c r="C1287" s="2">
        <v>120</v>
      </c>
      <c r="D1287" s="2">
        <v>28.8</v>
      </c>
      <c r="E1287" s="2">
        <v>90</v>
      </c>
      <c r="F1287" s="2">
        <v>1.3</v>
      </c>
      <c r="I1287" s="2">
        <v>1620</v>
      </c>
      <c r="J1287" s="2">
        <v>154</v>
      </c>
      <c r="K1287" s="2">
        <v>194400</v>
      </c>
      <c r="L1287" s="2">
        <v>5369</v>
      </c>
      <c r="M1287" s="2">
        <v>230.4</v>
      </c>
      <c r="N1287" s="2">
        <v>418.8</v>
      </c>
      <c r="O1287" s="2">
        <v>18270</v>
      </c>
      <c r="P1287" s="2">
        <v>49.1</v>
      </c>
    </row>
    <row r="1288" spans="1:16" ht="24.95" customHeight="1" x14ac:dyDescent="0.25">
      <c r="A1288" s="1" t="s">
        <v>1204</v>
      </c>
      <c r="B1288" s="2">
        <v>284</v>
      </c>
      <c r="C1288" s="2">
        <v>126</v>
      </c>
      <c r="D1288" s="2">
        <v>41.9</v>
      </c>
      <c r="E1288" s="2">
        <v>84</v>
      </c>
      <c r="F1288" s="2">
        <v>0.2</v>
      </c>
      <c r="I1288" s="2">
        <v>3316</v>
      </c>
      <c r="J1288" s="2">
        <v>163</v>
      </c>
      <c r="K1288" s="2">
        <v>417816</v>
      </c>
      <c r="L1288" s="2">
        <v>9142</v>
      </c>
      <c r="M1288" s="2">
        <v>486.6</v>
      </c>
      <c r="N1288" s="2">
        <v>802.9</v>
      </c>
      <c r="O1288" s="2">
        <v>27920</v>
      </c>
      <c r="P1288" s="2">
        <v>33.700000000000003</v>
      </c>
    </row>
    <row r="1289" spans="1:16" ht="24.95" customHeight="1" x14ac:dyDescent="0.25">
      <c r="A1289" s="1" t="s">
        <v>1206</v>
      </c>
      <c r="B1289" s="2">
        <v>264</v>
      </c>
      <c r="C1289" s="2">
        <v>135</v>
      </c>
      <c r="D1289" s="2">
        <v>46.4</v>
      </c>
      <c r="E1289" s="2">
        <v>90</v>
      </c>
      <c r="F1289" s="2">
        <v>-1.4</v>
      </c>
      <c r="I1289" s="2">
        <v>1540</v>
      </c>
      <c r="J1289" s="2">
        <v>178</v>
      </c>
      <c r="K1289" s="2">
        <v>207900</v>
      </c>
      <c r="L1289" s="2">
        <v>4608</v>
      </c>
      <c r="M1289" s="2">
        <v>253.2</v>
      </c>
      <c r="N1289" s="2">
        <v>368.6</v>
      </c>
      <c r="O1289" s="2">
        <v>12380</v>
      </c>
      <c r="P1289" s="2">
        <v>34.299999999999997</v>
      </c>
    </row>
    <row r="1290" spans="1:16" ht="24.95" customHeight="1" x14ac:dyDescent="0.25">
      <c r="A1290" s="1" t="s">
        <v>1207</v>
      </c>
      <c r="B1290" s="2">
        <v>270</v>
      </c>
      <c r="C1290" s="2">
        <v>130</v>
      </c>
      <c r="D1290" s="2">
        <v>39.799999999999997</v>
      </c>
      <c r="E1290" s="2">
        <v>90</v>
      </c>
      <c r="F1290" s="2">
        <v>0.2</v>
      </c>
      <c r="I1290" s="2">
        <v>1035</v>
      </c>
      <c r="J1290" s="2">
        <v>132</v>
      </c>
      <c r="K1290" s="2">
        <v>134550</v>
      </c>
      <c r="L1290" s="2">
        <v>3733</v>
      </c>
      <c r="M1290" s="2">
        <v>138</v>
      </c>
      <c r="N1290" s="2">
        <v>273.89999999999998</v>
      </c>
      <c r="O1290" s="2">
        <v>10250</v>
      </c>
      <c r="P1290" s="2">
        <v>40.299999999999997</v>
      </c>
    </row>
    <row r="1291" spans="1:16" ht="24.95" customHeight="1" x14ac:dyDescent="0.25">
      <c r="A1291" s="1" t="s">
        <v>1208</v>
      </c>
      <c r="B1291" s="2">
        <v>252</v>
      </c>
      <c r="C1291" s="2">
        <v>123</v>
      </c>
      <c r="D1291" s="2">
        <v>32</v>
      </c>
      <c r="E1291" s="2">
        <v>90</v>
      </c>
      <c r="F1291" s="2">
        <v>1</v>
      </c>
      <c r="I1291" s="2">
        <v>1987</v>
      </c>
      <c r="J1291" s="2">
        <v>171</v>
      </c>
      <c r="K1291" s="2">
        <v>244401</v>
      </c>
      <c r="L1291" s="2">
        <v>6905</v>
      </c>
      <c r="M1291" s="2">
        <v>309.5</v>
      </c>
      <c r="N1291" s="2">
        <v>511.1</v>
      </c>
      <c r="O1291" s="2">
        <v>23160</v>
      </c>
      <c r="P1291" s="2">
        <v>51.5</v>
      </c>
    </row>
    <row r="1292" spans="1:16" ht="24.95" customHeight="1" x14ac:dyDescent="0.25">
      <c r="A1292" s="1" t="s">
        <v>1209</v>
      </c>
      <c r="B1292" s="2">
        <v>276</v>
      </c>
      <c r="C1292" s="2">
        <v>132</v>
      </c>
      <c r="D1292" s="2">
        <v>48</v>
      </c>
      <c r="E1292" s="2">
        <v>84.4</v>
      </c>
      <c r="F1292" s="2">
        <v>-0.4</v>
      </c>
      <c r="I1292" s="2">
        <v>2500</v>
      </c>
      <c r="J1292" s="2">
        <v>142</v>
      </c>
      <c r="K1292" s="2">
        <v>330000</v>
      </c>
      <c r="L1292" s="2">
        <v>8584</v>
      </c>
      <c r="M1292" s="2">
        <v>404</v>
      </c>
      <c r="N1292" s="2">
        <v>683.2</v>
      </c>
      <c r="O1292" s="2">
        <v>22990</v>
      </c>
      <c r="P1292" s="2">
        <v>35</v>
      </c>
    </row>
    <row r="1293" spans="1:16" ht="24.95" customHeight="1" x14ac:dyDescent="0.25">
      <c r="A1293" s="1" t="s">
        <v>1210</v>
      </c>
      <c r="B1293" s="2">
        <v>300</v>
      </c>
      <c r="C1293" s="2">
        <v>135</v>
      </c>
      <c r="D1293" s="2">
        <v>44.4</v>
      </c>
      <c r="E1293" s="2">
        <v>90</v>
      </c>
      <c r="F1293" s="2">
        <v>0.6</v>
      </c>
      <c r="I1293" s="2">
        <v>1800</v>
      </c>
      <c r="J1293" s="2">
        <v>101</v>
      </c>
      <c r="K1293" s="2">
        <v>243000</v>
      </c>
      <c r="L1293" s="2">
        <v>7971</v>
      </c>
      <c r="M1293" s="2">
        <v>202.4</v>
      </c>
      <c r="N1293" s="2">
        <v>457.7</v>
      </c>
      <c r="O1293" s="2">
        <v>21250</v>
      </c>
      <c r="P1293" s="2">
        <v>52.7</v>
      </c>
    </row>
    <row r="1294" spans="1:16" ht="24.95" customHeight="1" x14ac:dyDescent="0.25">
      <c r="A1294" s="1" t="s">
        <v>1211</v>
      </c>
      <c r="B1294" s="2">
        <v>276</v>
      </c>
      <c r="C1294" s="2">
        <v>132</v>
      </c>
      <c r="D1294" s="2">
        <v>38.1</v>
      </c>
      <c r="E1294" s="2">
        <v>90</v>
      </c>
      <c r="F1294" s="2">
        <v>4</v>
      </c>
      <c r="I1294" s="2">
        <v>1155</v>
      </c>
      <c r="J1294" s="2">
        <v>160</v>
      </c>
      <c r="K1294" s="2">
        <v>152460</v>
      </c>
      <c r="L1294" s="2">
        <v>5048</v>
      </c>
      <c r="M1294" s="2">
        <v>182.6</v>
      </c>
      <c r="N1294" s="2">
        <v>306.7</v>
      </c>
      <c r="O1294" s="2">
        <v>17740</v>
      </c>
      <c r="P1294" s="2">
        <v>62.1</v>
      </c>
    </row>
    <row r="1295" spans="1:16" ht="24.95" customHeight="1" x14ac:dyDescent="0.25">
      <c r="A1295" s="1" t="s">
        <v>1212</v>
      </c>
      <c r="B1295" s="2">
        <v>228</v>
      </c>
      <c r="C1295" s="2">
        <v>120</v>
      </c>
      <c r="D1295" s="2">
        <v>28.9</v>
      </c>
      <c r="E1295" s="2">
        <v>90</v>
      </c>
      <c r="F1295" s="2">
        <v>1.1000000000000001</v>
      </c>
      <c r="I1295" s="2">
        <v>600</v>
      </c>
      <c r="J1295" s="2">
        <v>155</v>
      </c>
      <c r="K1295" s="2">
        <v>72000</v>
      </c>
      <c r="L1295" s="2">
        <v>2730</v>
      </c>
      <c r="M1295" s="2">
        <v>96.3</v>
      </c>
      <c r="N1295" s="2">
        <v>160.5</v>
      </c>
      <c r="O1295" s="2">
        <v>9100</v>
      </c>
      <c r="P1295" s="2">
        <v>63.1</v>
      </c>
    </row>
    <row r="1296" spans="1:16" ht="24.95" customHeight="1" x14ac:dyDescent="0.25">
      <c r="A1296" s="1" t="s">
        <v>1213</v>
      </c>
      <c r="B1296" s="2">
        <v>270</v>
      </c>
      <c r="C1296" s="2">
        <v>112</v>
      </c>
      <c r="D1296" s="2">
        <v>19.899999999999999</v>
      </c>
      <c r="E1296" s="2">
        <v>90</v>
      </c>
      <c r="F1296" s="2">
        <v>2.1</v>
      </c>
      <c r="I1296" s="2">
        <v>442</v>
      </c>
      <c r="J1296" s="2">
        <v>158</v>
      </c>
      <c r="K1296" s="2">
        <v>49504</v>
      </c>
      <c r="L1296" s="2">
        <v>2158</v>
      </c>
      <c r="M1296" s="2">
        <v>82.2</v>
      </c>
      <c r="N1296" s="2">
        <v>117.2</v>
      </c>
      <c r="O1296" s="2">
        <v>6890</v>
      </c>
      <c r="P1296" s="2">
        <v>63.6</v>
      </c>
    </row>
    <row r="1297" spans="1:16" ht="24.95" customHeight="1" x14ac:dyDescent="0.25">
      <c r="A1297" s="1" t="s">
        <v>1214</v>
      </c>
      <c r="B1297" s="2">
        <v>270</v>
      </c>
      <c r="C1297" s="2">
        <v>122</v>
      </c>
      <c r="D1297" s="2">
        <v>32.299999999999997</v>
      </c>
      <c r="E1297" s="2">
        <v>89.6</v>
      </c>
      <c r="F1297" s="2">
        <v>0.2</v>
      </c>
      <c r="I1297" s="2">
        <v>1170</v>
      </c>
      <c r="J1297" s="2">
        <v>160</v>
      </c>
      <c r="K1297" s="2">
        <v>142740</v>
      </c>
      <c r="L1297" s="2">
        <v>4625</v>
      </c>
      <c r="M1297" s="2">
        <v>187.5</v>
      </c>
      <c r="N1297" s="2">
        <v>326.3</v>
      </c>
      <c r="O1297" s="2">
        <v>14320</v>
      </c>
      <c r="P1297" s="2">
        <v>52.2</v>
      </c>
    </row>
    <row r="1298" spans="1:16" ht="24.95" customHeight="1" x14ac:dyDescent="0.25">
      <c r="A1298" s="1" t="s">
        <v>1215</v>
      </c>
      <c r="B1298" s="2">
        <v>282</v>
      </c>
      <c r="C1298" s="2">
        <v>129</v>
      </c>
      <c r="D1298" s="2">
        <v>43.9</v>
      </c>
      <c r="E1298" s="2">
        <v>84.4</v>
      </c>
      <c r="F1298" s="2">
        <v>0.7</v>
      </c>
      <c r="I1298" s="2">
        <v>2000</v>
      </c>
      <c r="J1298" s="2">
        <v>170</v>
      </c>
      <c r="K1298" s="2">
        <v>258000</v>
      </c>
      <c r="L1298" s="2">
        <v>7680</v>
      </c>
      <c r="M1298" s="2">
        <v>317.3</v>
      </c>
      <c r="N1298" s="2">
        <v>526.20000000000005</v>
      </c>
      <c r="O1298" s="2">
        <v>26640</v>
      </c>
      <c r="P1298" s="2">
        <v>56.8</v>
      </c>
    </row>
    <row r="1299" spans="1:16" ht="24.95" customHeight="1" x14ac:dyDescent="0.25">
      <c r="A1299" s="1" t="s">
        <v>1216</v>
      </c>
      <c r="B1299" s="2">
        <v>276</v>
      </c>
      <c r="C1299" s="2">
        <v>126</v>
      </c>
      <c r="D1299" s="2">
        <v>34.4</v>
      </c>
      <c r="E1299" s="2">
        <v>90</v>
      </c>
      <c r="F1299" s="2">
        <v>1.6</v>
      </c>
      <c r="I1299" s="2">
        <v>675</v>
      </c>
      <c r="J1299" s="2">
        <v>144</v>
      </c>
      <c r="K1299" s="2">
        <v>85050</v>
      </c>
      <c r="L1299" s="2">
        <v>3431</v>
      </c>
      <c r="M1299" s="2">
        <v>95.9</v>
      </c>
      <c r="N1299" s="2">
        <v>177.1</v>
      </c>
      <c r="O1299" s="2">
        <v>9450</v>
      </c>
      <c r="P1299" s="2">
        <v>59.1</v>
      </c>
    </row>
    <row r="1300" spans="1:16" ht="24.95" customHeight="1" x14ac:dyDescent="0.25">
      <c r="A1300" s="1" t="s">
        <v>1217</v>
      </c>
      <c r="B1300" s="2">
        <v>264</v>
      </c>
      <c r="C1300" s="2">
        <v>123</v>
      </c>
      <c r="D1300" s="2">
        <v>30.8</v>
      </c>
      <c r="E1300" s="2">
        <v>89.6</v>
      </c>
      <c r="F1300" s="2">
        <v>2.6</v>
      </c>
      <c r="I1300" s="2">
        <v>243</v>
      </c>
      <c r="J1300" s="2">
        <v>117</v>
      </c>
      <c r="K1300" s="2">
        <v>29889</v>
      </c>
      <c r="L1300" s="2">
        <v>973</v>
      </c>
      <c r="M1300" s="2">
        <v>29.1</v>
      </c>
      <c r="N1300" s="2">
        <v>63.9</v>
      </c>
      <c r="O1300" s="2">
        <v>2580</v>
      </c>
      <c r="P1300" s="2">
        <v>45.5</v>
      </c>
    </row>
    <row r="1301" spans="1:16" ht="24.95" customHeight="1" x14ac:dyDescent="0.25">
      <c r="A1301" s="1" t="s">
        <v>1218</v>
      </c>
      <c r="B1301" s="2">
        <v>246</v>
      </c>
      <c r="C1301" s="2">
        <v>114</v>
      </c>
      <c r="D1301" s="2">
        <v>23.6</v>
      </c>
      <c r="E1301" s="2">
        <v>90</v>
      </c>
      <c r="F1301" s="2">
        <v>0.4</v>
      </c>
      <c r="I1301" s="2">
        <v>360</v>
      </c>
      <c r="J1301" s="2">
        <v>154</v>
      </c>
      <c r="K1301" s="2">
        <v>41040</v>
      </c>
      <c r="L1301" s="2">
        <v>1381</v>
      </c>
      <c r="M1301" s="2">
        <v>51.5</v>
      </c>
      <c r="N1301" s="2">
        <v>97.8</v>
      </c>
      <c r="O1301" s="2">
        <v>4120</v>
      </c>
      <c r="P1301" s="2">
        <v>49.3</v>
      </c>
    </row>
    <row r="1302" spans="1:16" ht="24.95" customHeight="1" x14ac:dyDescent="0.25">
      <c r="A1302" s="1" t="s">
        <v>1219</v>
      </c>
      <c r="B1302" s="2">
        <v>270</v>
      </c>
      <c r="C1302" s="2">
        <v>120</v>
      </c>
      <c r="D1302" s="2">
        <v>31.6</v>
      </c>
      <c r="E1302" s="2">
        <v>90</v>
      </c>
      <c r="F1302" s="2">
        <v>-1.5</v>
      </c>
      <c r="I1302" s="2">
        <v>440</v>
      </c>
      <c r="J1302" s="2">
        <v>126</v>
      </c>
      <c r="K1302" s="2">
        <v>52800</v>
      </c>
      <c r="L1302" s="2">
        <v>1835</v>
      </c>
      <c r="M1302" s="2">
        <v>67.099999999999994</v>
      </c>
      <c r="N1302" s="2">
        <v>117.6</v>
      </c>
      <c r="O1302" s="2">
        <v>5150</v>
      </c>
      <c r="P1302" s="2">
        <v>49.7</v>
      </c>
    </row>
    <row r="1303" spans="1:16" ht="24.95" customHeight="1" x14ac:dyDescent="0.25">
      <c r="A1303" s="1" t="s">
        <v>1220</v>
      </c>
      <c r="B1303" s="2">
        <v>276</v>
      </c>
      <c r="C1303" s="2">
        <v>130</v>
      </c>
      <c r="D1303" s="2">
        <v>45.7</v>
      </c>
      <c r="E1303" s="2">
        <v>84.4</v>
      </c>
      <c r="F1303" s="2">
        <v>-0.1</v>
      </c>
      <c r="I1303" s="2">
        <v>1940</v>
      </c>
      <c r="J1303" s="2">
        <v>118</v>
      </c>
      <c r="K1303" s="2">
        <v>252200</v>
      </c>
      <c r="L1303" s="2">
        <v>6959</v>
      </c>
      <c r="M1303" s="2">
        <v>193.9</v>
      </c>
      <c r="N1303" s="2">
        <v>516.79999999999995</v>
      </c>
      <c r="O1303" s="2">
        <v>18320</v>
      </c>
      <c r="P1303" s="2">
        <v>38</v>
      </c>
    </row>
    <row r="1304" spans="1:16" ht="24.95" customHeight="1" x14ac:dyDescent="0.25">
      <c r="A1304" s="1" t="s">
        <v>1221</v>
      </c>
      <c r="B1304" s="2">
        <v>264</v>
      </c>
      <c r="C1304" s="2">
        <v>123</v>
      </c>
      <c r="D1304" s="2">
        <v>31</v>
      </c>
      <c r="E1304" s="2">
        <v>89.6</v>
      </c>
      <c r="F1304" s="2">
        <v>2.4</v>
      </c>
      <c r="I1304" s="2">
        <v>1022</v>
      </c>
      <c r="J1304" s="2">
        <v>156</v>
      </c>
      <c r="K1304" s="2">
        <v>125706</v>
      </c>
      <c r="L1304" s="2">
        <v>4516</v>
      </c>
      <c r="M1304" s="2">
        <v>156.9</v>
      </c>
      <c r="N1304" s="2">
        <v>252.5</v>
      </c>
      <c r="O1304" s="2">
        <v>14820</v>
      </c>
      <c r="P1304" s="2">
        <v>62.3</v>
      </c>
    </row>
    <row r="1305" spans="1:16" ht="24.95" customHeight="1" x14ac:dyDescent="0.25">
      <c r="A1305" s="1" t="s">
        <v>1222</v>
      </c>
      <c r="B1305" s="2">
        <v>252</v>
      </c>
      <c r="C1305" s="2">
        <v>114</v>
      </c>
      <c r="D1305" s="2">
        <v>23.4</v>
      </c>
      <c r="E1305" s="2">
        <v>90</v>
      </c>
      <c r="F1305" s="2">
        <v>0.6</v>
      </c>
      <c r="I1305" s="2">
        <v>1186</v>
      </c>
      <c r="J1305" s="2">
        <v>168</v>
      </c>
      <c r="K1305" s="2">
        <v>135204</v>
      </c>
      <c r="L1305" s="2">
        <v>5156</v>
      </c>
      <c r="M1305" s="2">
        <v>214.5</v>
      </c>
      <c r="N1305" s="2">
        <v>299.10000000000002</v>
      </c>
      <c r="O1305" s="2">
        <v>15400</v>
      </c>
      <c r="P1305" s="2">
        <v>57.7</v>
      </c>
    </row>
    <row r="1306" spans="1:16" ht="24.95" customHeight="1" x14ac:dyDescent="0.25">
      <c r="A1306" s="1" t="s">
        <v>1223</v>
      </c>
      <c r="B1306" s="2">
        <v>294</v>
      </c>
      <c r="C1306" s="2">
        <v>134</v>
      </c>
      <c r="D1306" s="2">
        <v>43.5</v>
      </c>
      <c r="E1306" s="2">
        <v>90</v>
      </c>
      <c r="F1306" s="2">
        <v>0.5</v>
      </c>
      <c r="I1306" s="2">
        <v>900</v>
      </c>
      <c r="J1306" s="2">
        <v>107</v>
      </c>
      <c r="K1306" s="2">
        <v>120600</v>
      </c>
      <c r="L1306" s="2">
        <v>3741</v>
      </c>
      <c r="M1306" s="2">
        <v>101.5</v>
      </c>
      <c r="N1306" s="2">
        <v>227.8</v>
      </c>
      <c r="O1306" s="2">
        <v>9380</v>
      </c>
      <c r="P1306" s="2">
        <v>45.7</v>
      </c>
    </row>
    <row r="1307" spans="1:16" ht="24.95" customHeight="1" x14ac:dyDescent="0.25">
      <c r="A1307" s="1" t="s">
        <v>1224</v>
      </c>
      <c r="B1307" s="2">
        <v>276</v>
      </c>
      <c r="C1307" s="2">
        <v>129</v>
      </c>
      <c r="D1307" s="2">
        <v>44.5</v>
      </c>
      <c r="E1307" s="2">
        <v>84</v>
      </c>
      <c r="F1307" s="2">
        <v>0.5</v>
      </c>
      <c r="I1307" s="2">
        <v>800</v>
      </c>
      <c r="J1307" s="2">
        <v>135</v>
      </c>
      <c r="K1307" s="2">
        <v>103200</v>
      </c>
      <c r="L1307" s="2">
        <v>3201</v>
      </c>
      <c r="M1307" s="2">
        <v>94.2</v>
      </c>
      <c r="N1307" s="2">
        <v>208.6</v>
      </c>
      <c r="O1307" s="2">
        <v>8520</v>
      </c>
      <c r="P1307" s="2">
        <v>45.9</v>
      </c>
    </row>
    <row r="1308" spans="1:16" ht="24.95" customHeight="1" x14ac:dyDescent="0.25">
      <c r="A1308" s="1" t="s">
        <v>1225</v>
      </c>
      <c r="B1308" s="2">
        <v>258</v>
      </c>
      <c r="C1308" s="2">
        <v>126</v>
      </c>
      <c r="D1308" s="2">
        <v>33.799999999999997</v>
      </c>
      <c r="E1308" s="2">
        <v>90</v>
      </c>
      <c r="F1308" s="2">
        <v>2.2000000000000002</v>
      </c>
      <c r="I1308" s="2">
        <v>946</v>
      </c>
      <c r="J1308" s="2">
        <v>134</v>
      </c>
      <c r="K1308" s="2">
        <v>119196</v>
      </c>
      <c r="L1308" s="2">
        <v>4142</v>
      </c>
      <c r="M1308" s="2">
        <v>152</v>
      </c>
      <c r="N1308" s="2">
        <v>243.7</v>
      </c>
      <c r="O1308" s="2">
        <v>14530</v>
      </c>
      <c r="P1308" s="2">
        <v>63</v>
      </c>
    </row>
    <row r="1309" spans="1:16" ht="24.95" customHeight="1" x14ac:dyDescent="0.25">
      <c r="A1309" s="1" t="s">
        <v>1226</v>
      </c>
      <c r="B1309" s="2">
        <v>246</v>
      </c>
      <c r="C1309" s="2">
        <v>120</v>
      </c>
      <c r="D1309" s="2">
        <v>30.9</v>
      </c>
      <c r="E1309" s="2">
        <v>90</v>
      </c>
      <c r="F1309" s="2">
        <v>-0.9</v>
      </c>
      <c r="I1309" s="2">
        <v>1712</v>
      </c>
      <c r="J1309" s="2">
        <v>119</v>
      </c>
      <c r="K1309" s="2">
        <v>205440</v>
      </c>
      <c r="L1309" s="2">
        <v>6868</v>
      </c>
      <c r="M1309" s="2">
        <v>214.1</v>
      </c>
      <c r="N1309" s="2">
        <v>428.8</v>
      </c>
      <c r="O1309" s="2">
        <v>18510</v>
      </c>
      <c r="P1309" s="2">
        <v>47.9</v>
      </c>
    </row>
    <row r="1310" spans="1:16" ht="24.95" customHeight="1" x14ac:dyDescent="0.25">
      <c r="A1310" s="1" t="s">
        <v>1227</v>
      </c>
      <c r="B1310" s="2">
        <v>240</v>
      </c>
      <c r="C1310" s="2">
        <v>123</v>
      </c>
      <c r="D1310" s="2">
        <v>38.1</v>
      </c>
      <c r="E1310" s="2">
        <v>84</v>
      </c>
      <c r="F1310" s="2">
        <v>1</v>
      </c>
      <c r="I1310" s="2">
        <v>845</v>
      </c>
      <c r="J1310" s="2">
        <v>174</v>
      </c>
      <c r="K1310" s="2">
        <v>103935</v>
      </c>
      <c r="L1310" s="2">
        <v>3107</v>
      </c>
      <c r="M1310" s="2">
        <v>120.6</v>
      </c>
      <c r="N1310" s="2">
        <v>221.1</v>
      </c>
      <c r="O1310" s="2">
        <v>8710</v>
      </c>
      <c r="P1310" s="2">
        <v>43.8</v>
      </c>
    </row>
    <row r="1311" spans="1:16" ht="24.95" customHeight="1" x14ac:dyDescent="0.25">
      <c r="A1311" s="1" t="s">
        <v>1228</v>
      </c>
      <c r="B1311" s="2">
        <v>288</v>
      </c>
      <c r="C1311" s="2">
        <v>136</v>
      </c>
      <c r="D1311" s="2">
        <v>51.7</v>
      </c>
      <c r="E1311" s="2">
        <v>84</v>
      </c>
      <c r="F1311" s="2">
        <v>0.4</v>
      </c>
      <c r="I1311" s="2">
        <v>1858</v>
      </c>
      <c r="J1311" s="2">
        <v>174</v>
      </c>
      <c r="K1311" s="2">
        <v>252688</v>
      </c>
      <c r="L1311" s="2">
        <v>5457</v>
      </c>
      <c r="M1311" s="2">
        <v>307.89999999999998</v>
      </c>
      <c r="N1311" s="2">
        <v>463.8</v>
      </c>
      <c r="O1311" s="2">
        <v>15530</v>
      </c>
      <c r="P1311" s="2">
        <v>34.4</v>
      </c>
    </row>
    <row r="1312" spans="1:16" ht="24.95" customHeight="1" x14ac:dyDescent="0.25">
      <c r="A1312" s="1" t="s">
        <v>1229</v>
      </c>
      <c r="B1312" s="2">
        <v>288</v>
      </c>
      <c r="C1312" s="2">
        <v>126</v>
      </c>
      <c r="D1312" s="2">
        <v>33.799999999999997</v>
      </c>
      <c r="E1312" s="2">
        <v>90</v>
      </c>
      <c r="F1312" s="2">
        <v>2.2999999999999998</v>
      </c>
      <c r="I1312" s="2">
        <v>1191</v>
      </c>
      <c r="J1312" s="2">
        <v>173</v>
      </c>
      <c r="K1312" s="2">
        <v>150066</v>
      </c>
      <c r="L1312" s="2">
        <v>5034</v>
      </c>
      <c r="M1312" s="2">
        <v>184.4</v>
      </c>
      <c r="N1312" s="2">
        <v>311.8</v>
      </c>
      <c r="O1312" s="2">
        <v>15830</v>
      </c>
      <c r="P1312" s="2">
        <v>56.8</v>
      </c>
    </row>
    <row r="1313" spans="1:16" ht="24.95" customHeight="1" x14ac:dyDescent="0.25">
      <c r="A1313" s="1" t="s">
        <v>1230</v>
      </c>
      <c r="B1313" s="2">
        <v>312</v>
      </c>
      <c r="C1313" s="2">
        <v>141</v>
      </c>
      <c r="D1313" s="2">
        <v>56.6</v>
      </c>
      <c r="E1313" s="2">
        <v>84.4</v>
      </c>
      <c r="I1313" s="2">
        <v>2200</v>
      </c>
      <c r="J1313" s="2">
        <v>147</v>
      </c>
      <c r="K1313" s="2">
        <v>310200</v>
      </c>
      <c r="L1313" s="2">
        <v>6239</v>
      </c>
      <c r="M1313" s="2">
        <v>401.8</v>
      </c>
      <c r="N1313" s="2">
        <v>563</v>
      </c>
      <c r="O1313" s="2">
        <v>18360</v>
      </c>
      <c r="P1313" s="2">
        <v>30.5</v>
      </c>
    </row>
    <row r="1314" spans="1:16" ht="24.95" customHeight="1" x14ac:dyDescent="0.25">
      <c r="A1314" s="1" t="s">
        <v>1231</v>
      </c>
      <c r="B1314" s="2">
        <v>276</v>
      </c>
      <c r="C1314" s="2">
        <v>123</v>
      </c>
      <c r="D1314" s="2">
        <v>31.4</v>
      </c>
      <c r="E1314" s="2">
        <v>89.6</v>
      </c>
      <c r="F1314" s="2">
        <v>2</v>
      </c>
      <c r="I1314" s="2">
        <v>1275</v>
      </c>
      <c r="J1314" s="2">
        <v>148</v>
      </c>
      <c r="K1314" s="2">
        <v>156825</v>
      </c>
      <c r="L1314" s="2">
        <v>5700</v>
      </c>
      <c r="M1314" s="2">
        <v>175.1</v>
      </c>
      <c r="N1314" s="2">
        <v>304.8</v>
      </c>
      <c r="O1314" s="2">
        <v>18240</v>
      </c>
      <c r="P1314" s="2">
        <v>59.8</v>
      </c>
    </row>
    <row r="1315" spans="1:16" ht="24.95" customHeight="1" x14ac:dyDescent="0.25">
      <c r="A1315" s="1" t="s">
        <v>1232</v>
      </c>
      <c r="B1315" s="2">
        <v>276</v>
      </c>
      <c r="C1315" s="2">
        <v>132</v>
      </c>
      <c r="D1315" s="2">
        <v>42.2</v>
      </c>
      <c r="E1315" s="2">
        <v>90</v>
      </c>
      <c r="F1315" s="2">
        <v>-0.1</v>
      </c>
      <c r="I1315" s="2">
        <v>1020</v>
      </c>
      <c r="J1315" s="2">
        <v>159</v>
      </c>
      <c r="K1315" s="2">
        <v>134640</v>
      </c>
      <c r="L1315" s="2">
        <v>3135</v>
      </c>
      <c r="M1315" s="2">
        <v>178.2</v>
      </c>
      <c r="N1315" s="2">
        <v>256.89999999999998</v>
      </c>
      <c r="O1315" s="2">
        <v>9360</v>
      </c>
      <c r="P1315" s="2">
        <v>37.299999999999997</v>
      </c>
    </row>
    <row r="1316" spans="1:16" ht="24.95" customHeight="1" x14ac:dyDescent="0.25">
      <c r="A1316" s="1" t="s">
        <v>1233</v>
      </c>
      <c r="B1316" s="2">
        <v>272</v>
      </c>
      <c r="C1316" s="2">
        <v>126</v>
      </c>
      <c r="D1316" s="2">
        <v>35.1</v>
      </c>
      <c r="E1316" s="2">
        <v>90</v>
      </c>
      <c r="F1316" s="2">
        <v>0.9</v>
      </c>
      <c r="I1316" s="2">
        <v>2180</v>
      </c>
      <c r="J1316" s="2">
        <v>151</v>
      </c>
      <c r="K1316" s="2">
        <v>274680</v>
      </c>
      <c r="L1316" s="2">
        <v>3484</v>
      </c>
      <c r="M1316" s="2">
        <v>150.69999999999999</v>
      </c>
      <c r="N1316" s="2">
        <v>544.29999999999995</v>
      </c>
      <c r="O1316" s="2">
        <v>11420</v>
      </c>
    </row>
    <row r="1317" spans="1:16" ht="24.95" customHeight="1" x14ac:dyDescent="0.25">
      <c r="A1317" s="1" t="s">
        <v>1234</v>
      </c>
      <c r="B1317" s="2">
        <v>264</v>
      </c>
      <c r="C1317" s="2">
        <v>120</v>
      </c>
      <c r="D1317" s="2">
        <v>28.3</v>
      </c>
      <c r="E1317" s="2">
        <v>90</v>
      </c>
      <c r="F1317" s="2">
        <v>1.7</v>
      </c>
      <c r="I1317" s="2">
        <v>1281</v>
      </c>
      <c r="J1317" s="2">
        <v>179</v>
      </c>
      <c r="K1317" s="2">
        <v>153720</v>
      </c>
      <c r="L1317" s="2">
        <v>3862</v>
      </c>
      <c r="M1317" s="2">
        <v>171.4</v>
      </c>
      <c r="N1317" s="2">
        <v>317.2</v>
      </c>
      <c r="O1317" s="2">
        <v>14130</v>
      </c>
      <c r="P1317" s="2">
        <v>50.1</v>
      </c>
    </row>
    <row r="1318" spans="1:16" ht="24.95" customHeight="1" x14ac:dyDescent="0.25">
      <c r="A1318" s="1" t="s">
        <v>1235</v>
      </c>
      <c r="B1318" s="2">
        <v>264</v>
      </c>
      <c r="C1318" s="2">
        <v>132</v>
      </c>
      <c r="D1318" s="2">
        <v>43.9</v>
      </c>
      <c r="E1318" s="2">
        <v>90</v>
      </c>
      <c r="F1318" s="2">
        <v>-1.8</v>
      </c>
      <c r="I1318" s="2">
        <v>570</v>
      </c>
      <c r="J1318" s="2">
        <v>129</v>
      </c>
      <c r="K1318" s="2">
        <v>75240</v>
      </c>
      <c r="L1318" s="2">
        <v>1980</v>
      </c>
      <c r="M1318" s="2">
        <v>65.3</v>
      </c>
      <c r="N1318" s="2">
        <v>143.80000000000001</v>
      </c>
      <c r="O1318" s="2">
        <v>5510</v>
      </c>
      <c r="P1318" s="2">
        <v>42.6</v>
      </c>
    </row>
    <row r="1319" spans="1:16" ht="24.95" customHeight="1" x14ac:dyDescent="0.25">
      <c r="A1319" s="1" t="s">
        <v>1236</v>
      </c>
      <c r="B1319" s="2">
        <v>312</v>
      </c>
      <c r="C1319" s="2">
        <v>134</v>
      </c>
      <c r="D1319" s="2">
        <v>47.5</v>
      </c>
      <c r="E1319" s="2">
        <v>84.4</v>
      </c>
      <c r="F1319" s="2">
        <v>2.1</v>
      </c>
      <c r="I1319" s="2">
        <v>1550</v>
      </c>
      <c r="J1319" s="2">
        <v>133</v>
      </c>
      <c r="K1319" s="2">
        <v>207700</v>
      </c>
      <c r="L1319" s="2">
        <v>5520</v>
      </c>
      <c r="M1319" s="2">
        <v>195.9</v>
      </c>
      <c r="N1319" s="2">
        <v>393</v>
      </c>
      <c r="O1319" s="2">
        <v>16900</v>
      </c>
      <c r="P1319" s="2">
        <v>47.1</v>
      </c>
    </row>
    <row r="1320" spans="1:16" ht="24.95" customHeight="1" x14ac:dyDescent="0.25">
      <c r="A1320" s="1" t="s">
        <v>1237</v>
      </c>
      <c r="B1320" s="2">
        <v>252</v>
      </c>
      <c r="C1320" s="2">
        <v>117</v>
      </c>
      <c r="D1320" s="2">
        <v>26.8</v>
      </c>
      <c r="E1320" s="2">
        <v>89.6</v>
      </c>
      <c r="F1320" s="2">
        <v>0.7</v>
      </c>
      <c r="I1320" s="2">
        <v>1130</v>
      </c>
      <c r="J1320" s="2">
        <v>148</v>
      </c>
      <c r="K1320" s="2">
        <v>132210</v>
      </c>
      <c r="L1320" s="2">
        <v>4697</v>
      </c>
      <c r="M1320" s="2">
        <v>170.2</v>
      </c>
      <c r="N1320" s="2">
        <v>291.2</v>
      </c>
      <c r="O1320" s="2">
        <v>12810</v>
      </c>
      <c r="P1320" s="2">
        <v>49.5</v>
      </c>
    </row>
    <row r="1321" spans="1:16" ht="24.95" customHeight="1" x14ac:dyDescent="0.25">
      <c r="A1321" s="1" t="s">
        <v>1238</v>
      </c>
      <c r="B1321" s="2">
        <v>276</v>
      </c>
      <c r="C1321" s="2">
        <v>130</v>
      </c>
      <c r="D1321" s="2">
        <v>43.5</v>
      </c>
      <c r="E1321" s="2">
        <v>84.4</v>
      </c>
      <c r="F1321" s="2">
        <v>2.1</v>
      </c>
      <c r="I1321" s="2">
        <v>1250</v>
      </c>
      <c r="J1321" s="2">
        <v>149</v>
      </c>
      <c r="K1321" s="2">
        <v>162500</v>
      </c>
      <c r="L1321" s="2">
        <v>6016</v>
      </c>
      <c r="M1321" s="2">
        <v>205.8</v>
      </c>
      <c r="N1321" s="2">
        <v>325.39999999999998</v>
      </c>
      <c r="O1321" s="2">
        <v>18510</v>
      </c>
      <c r="P1321" s="2">
        <v>60.8</v>
      </c>
    </row>
    <row r="1322" spans="1:16" ht="24.95" customHeight="1" x14ac:dyDescent="0.25">
      <c r="A1322" s="1" t="s">
        <v>1239</v>
      </c>
      <c r="B1322" s="2">
        <v>298</v>
      </c>
      <c r="C1322" s="2">
        <v>134</v>
      </c>
      <c r="D1322" s="2">
        <v>42.9</v>
      </c>
      <c r="E1322" s="2">
        <v>90</v>
      </c>
      <c r="F1322" s="2">
        <v>1.1000000000000001</v>
      </c>
      <c r="I1322" s="2">
        <v>1200</v>
      </c>
      <c r="J1322" s="2">
        <v>140</v>
      </c>
      <c r="K1322" s="2">
        <v>160800</v>
      </c>
      <c r="L1322" s="2">
        <v>4056</v>
      </c>
      <c r="M1322" s="2">
        <v>173.1</v>
      </c>
      <c r="N1322" s="2">
        <v>331.6</v>
      </c>
      <c r="O1322" s="2">
        <v>11750</v>
      </c>
      <c r="P1322" s="2">
        <v>36.799999999999997</v>
      </c>
    </row>
    <row r="1323" spans="1:16" ht="24.95" customHeight="1" x14ac:dyDescent="0.25">
      <c r="A1323" s="1" t="s">
        <v>1240</v>
      </c>
      <c r="B1323" s="2">
        <v>273</v>
      </c>
      <c r="C1323" s="2">
        <v>120</v>
      </c>
      <c r="D1323" s="2">
        <v>35.700000000000003</v>
      </c>
      <c r="E1323" s="2">
        <v>84.4</v>
      </c>
      <c r="F1323" s="2">
        <v>-0.1</v>
      </c>
      <c r="I1323" s="2">
        <v>808</v>
      </c>
      <c r="J1323" s="2">
        <v>190</v>
      </c>
      <c r="K1323" s="2">
        <v>96960</v>
      </c>
      <c r="L1323" s="2">
        <v>2373</v>
      </c>
      <c r="M1323" s="2">
        <v>93.2</v>
      </c>
      <c r="N1323" s="2">
        <v>195.8</v>
      </c>
      <c r="O1323" s="2">
        <v>7130</v>
      </c>
      <c r="P1323" s="2">
        <v>38.700000000000003</v>
      </c>
    </row>
    <row r="1324" spans="1:16" ht="24.95" customHeight="1" x14ac:dyDescent="0.25">
      <c r="A1324" s="1" t="s">
        <v>1241</v>
      </c>
      <c r="B1324" s="2">
        <v>270</v>
      </c>
      <c r="C1324" s="2">
        <v>126</v>
      </c>
      <c r="D1324" s="2">
        <v>34</v>
      </c>
      <c r="E1324" s="2">
        <v>89.6</v>
      </c>
      <c r="F1324" s="2">
        <v>2.4</v>
      </c>
      <c r="I1324" s="2">
        <v>722</v>
      </c>
      <c r="J1324" s="2">
        <v>149</v>
      </c>
      <c r="K1324" s="2">
        <v>90972</v>
      </c>
      <c r="L1324" s="2">
        <v>3573</v>
      </c>
      <c r="M1324" s="2">
        <v>112.8</v>
      </c>
      <c r="N1324" s="2">
        <v>187.9</v>
      </c>
      <c r="O1324" s="2">
        <v>9370</v>
      </c>
      <c r="P1324" s="2">
        <v>56.8</v>
      </c>
    </row>
    <row r="1325" spans="1:16" ht="24.95" customHeight="1" x14ac:dyDescent="0.25">
      <c r="A1325" s="1" t="s">
        <v>1242</v>
      </c>
      <c r="B1325" s="2">
        <v>280</v>
      </c>
      <c r="C1325" s="2">
        <v>120</v>
      </c>
      <c r="D1325" s="2">
        <v>34.9</v>
      </c>
      <c r="E1325" s="2">
        <v>84.4</v>
      </c>
      <c r="F1325" s="2">
        <v>0.7</v>
      </c>
      <c r="I1325" s="2">
        <v>2549</v>
      </c>
      <c r="J1325" s="2">
        <v>206</v>
      </c>
      <c r="K1325" s="2">
        <v>305880</v>
      </c>
      <c r="L1325" s="2">
        <v>6118</v>
      </c>
      <c r="M1325" s="2">
        <v>227.8</v>
      </c>
      <c r="N1325" s="2">
        <v>639.70000000000005</v>
      </c>
      <c r="O1325" s="2">
        <v>19640</v>
      </c>
      <c r="P1325" s="2">
        <v>26.6</v>
      </c>
    </row>
    <row r="1326" spans="1:16" ht="24.95" customHeight="1" x14ac:dyDescent="0.25">
      <c r="A1326" s="1" t="s">
        <v>1243</v>
      </c>
      <c r="B1326" s="2">
        <v>264</v>
      </c>
      <c r="C1326" s="2">
        <v>132</v>
      </c>
      <c r="D1326" s="2">
        <v>44</v>
      </c>
      <c r="E1326" s="2">
        <v>90</v>
      </c>
      <c r="F1326" s="2">
        <v>-2</v>
      </c>
      <c r="I1326" s="2">
        <v>534</v>
      </c>
      <c r="J1326" s="2">
        <v>80</v>
      </c>
      <c r="K1326" s="2">
        <v>70488</v>
      </c>
      <c r="L1326" s="2">
        <v>1802</v>
      </c>
      <c r="M1326" s="2">
        <v>51.9</v>
      </c>
      <c r="N1326" s="2">
        <v>139.4</v>
      </c>
      <c r="O1326" s="2">
        <v>4940</v>
      </c>
      <c r="P1326" s="2">
        <v>38.299999999999997</v>
      </c>
    </row>
    <row r="1327" spans="1:16" ht="24.95" customHeight="1" x14ac:dyDescent="0.25">
      <c r="A1327" s="1" t="s">
        <v>846</v>
      </c>
      <c r="B1327" s="2">
        <v>288</v>
      </c>
      <c r="C1327" s="2">
        <v>134</v>
      </c>
      <c r="D1327" s="2">
        <v>48.8</v>
      </c>
      <c r="E1327" s="2">
        <v>84.4</v>
      </c>
      <c r="F1327" s="2">
        <v>0.8</v>
      </c>
      <c r="I1327" s="2">
        <v>2900</v>
      </c>
      <c r="J1327" s="2">
        <v>180</v>
      </c>
      <c r="K1327" s="2">
        <v>388600</v>
      </c>
      <c r="L1327" s="2">
        <v>8730</v>
      </c>
      <c r="M1327" s="2">
        <v>330</v>
      </c>
      <c r="N1327" s="2">
        <v>730.7</v>
      </c>
      <c r="O1327" s="2">
        <v>26030</v>
      </c>
      <c r="P1327" s="2">
        <v>36.299999999999997</v>
      </c>
    </row>
    <row r="1328" spans="1:16" ht="24.95" customHeight="1" x14ac:dyDescent="0.25">
      <c r="A1328" s="1" t="s">
        <v>537</v>
      </c>
      <c r="B1328" s="2">
        <v>240</v>
      </c>
      <c r="C1328" s="2">
        <v>117</v>
      </c>
      <c r="D1328" s="2">
        <v>25.6</v>
      </c>
      <c r="E1328" s="2">
        <v>89.6</v>
      </c>
      <c r="F1328" s="2">
        <v>1.9</v>
      </c>
      <c r="I1328" s="2">
        <v>525</v>
      </c>
      <c r="J1328" s="2">
        <v>134</v>
      </c>
      <c r="K1328" s="2">
        <v>61425</v>
      </c>
      <c r="L1328" s="2">
        <v>2806</v>
      </c>
      <c r="M1328" s="2">
        <v>105.8</v>
      </c>
      <c r="N1328" s="2">
        <v>150.30000000000001</v>
      </c>
      <c r="O1328" s="2">
        <v>8570</v>
      </c>
      <c r="P1328" s="2">
        <v>62.2</v>
      </c>
    </row>
    <row r="1329" spans="1:16" ht="24.95" customHeight="1" x14ac:dyDescent="0.25">
      <c r="A1329" s="1" t="s">
        <v>1244</v>
      </c>
      <c r="B1329" s="2">
        <v>270</v>
      </c>
      <c r="C1329" s="2">
        <v>123</v>
      </c>
      <c r="D1329" s="2">
        <v>32.299999999999997</v>
      </c>
      <c r="E1329" s="2">
        <v>90</v>
      </c>
      <c r="F1329" s="2">
        <v>0.8</v>
      </c>
      <c r="I1329" s="2">
        <v>1665</v>
      </c>
      <c r="J1329" s="2">
        <v>156</v>
      </c>
      <c r="K1329" s="2">
        <v>204795</v>
      </c>
      <c r="L1329" s="2">
        <v>6516</v>
      </c>
      <c r="M1329" s="2">
        <v>234.6</v>
      </c>
      <c r="N1329" s="2">
        <v>432.8</v>
      </c>
      <c r="O1329" s="2">
        <v>17320</v>
      </c>
      <c r="P1329" s="2">
        <v>45.4</v>
      </c>
    </row>
    <row r="1330" spans="1:16" ht="24.95" customHeight="1" x14ac:dyDescent="0.25">
      <c r="A1330" s="1" t="s">
        <v>1245</v>
      </c>
      <c r="B1330" s="2">
        <v>296</v>
      </c>
      <c r="C1330" s="2">
        <v>134</v>
      </c>
      <c r="D1330" s="2">
        <v>44.6</v>
      </c>
      <c r="E1330" s="2">
        <v>90</v>
      </c>
      <c r="F1330" s="2">
        <v>-0.6</v>
      </c>
      <c r="I1330" s="2">
        <v>1262</v>
      </c>
      <c r="J1330" s="2">
        <v>166</v>
      </c>
      <c r="K1330" s="2">
        <v>169108</v>
      </c>
      <c r="L1330" s="2">
        <v>3430</v>
      </c>
      <c r="M1330" s="2">
        <v>139.9</v>
      </c>
      <c r="N1330" s="2">
        <v>326.60000000000002</v>
      </c>
      <c r="O1330" s="2">
        <v>10500</v>
      </c>
      <c r="P1330" s="2">
        <v>31.6</v>
      </c>
    </row>
    <row r="1331" spans="1:16" ht="24.95" customHeight="1" x14ac:dyDescent="0.25">
      <c r="A1331" s="1" t="s">
        <v>1246</v>
      </c>
      <c r="B1331" s="2">
        <v>300</v>
      </c>
      <c r="C1331" s="2">
        <v>144</v>
      </c>
      <c r="D1331" s="2">
        <v>58.4</v>
      </c>
      <c r="E1331" s="2">
        <v>84.4</v>
      </c>
      <c r="F1331" s="2">
        <v>1.2</v>
      </c>
      <c r="I1331" s="2">
        <v>3375</v>
      </c>
      <c r="J1331" s="2">
        <v>144</v>
      </c>
      <c r="K1331" s="2">
        <v>486000</v>
      </c>
      <c r="L1331" s="2">
        <v>10388</v>
      </c>
      <c r="M1331" s="2">
        <v>504.2</v>
      </c>
      <c r="N1331" s="2">
        <v>851.1</v>
      </c>
      <c r="O1331" s="2">
        <v>29880</v>
      </c>
      <c r="P1331" s="2">
        <v>36.700000000000003</v>
      </c>
    </row>
    <row r="1332" spans="1:16" ht="24.95" customHeight="1" x14ac:dyDescent="0.25">
      <c r="A1332" s="1" t="s">
        <v>1247</v>
      </c>
      <c r="B1332" s="2">
        <v>273</v>
      </c>
      <c r="C1332" s="2">
        <v>132</v>
      </c>
      <c r="D1332" s="2">
        <v>47.9</v>
      </c>
      <c r="E1332" s="2">
        <v>84</v>
      </c>
      <c r="F1332" s="2">
        <v>0.1</v>
      </c>
      <c r="I1332" s="2">
        <v>489</v>
      </c>
      <c r="J1332" s="2">
        <v>125</v>
      </c>
      <c r="K1332" s="2">
        <v>64548</v>
      </c>
      <c r="L1332" s="2">
        <v>1970</v>
      </c>
      <c r="M1332" s="2">
        <v>78.8</v>
      </c>
      <c r="N1332" s="2">
        <v>133.4</v>
      </c>
      <c r="O1332" s="2">
        <v>5230</v>
      </c>
      <c r="P1332" s="2">
        <v>44</v>
      </c>
    </row>
    <row r="1333" spans="1:16" ht="24.95" customHeight="1" x14ac:dyDescent="0.25">
      <c r="A1333" s="1" t="s">
        <v>1248</v>
      </c>
      <c r="B1333" s="2">
        <v>288</v>
      </c>
      <c r="C1333" s="2">
        <v>135</v>
      </c>
      <c r="D1333" s="2">
        <v>53.5</v>
      </c>
      <c r="E1333" s="2">
        <v>84.4</v>
      </c>
      <c r="F1333" s="2">
        <v>-2.9</v>
      </c>
      <c r="I1333" s="2">
        <v>1582</v>
      </c>
      <c r="J1333" s="2">
        <v>149</v>
      </c>
      <c r="K1333" s="2">
        <v>213570</v>
      </c>
      <c r="L1333" s="2">
        <v>4483</v>
      </c>
      <c r="M1333" s="2">
        <v>196.4</v>
      </c>
      <c r="N1333" s="2">
        <v>416.5</v>
      </c>
      <c r="O1333" s="2">
        <v>13080</v>
      </c>
      <c r="P1333" s="2">
        <v>27.3</v>
      </c>
    </row>
    <row r="1334" spans="1:16" ht="24.95" customHeight="1" x14ac:dyDescent="0.25">
      <c r="A1334" s="1" t="s">
        <v>1249</v>
      </c>
      <c r="B1334" s="2">
        <v>306</v>
      </c>
      <c r="C1334" s="2">
        <v>138</v>
      </c>
      <c r="D1334" s="2">
        <v>51.3</v>
      </c>
      <c r="E1334" s="2">
        <v>84.4</v>
      </c>
      <c r="F1334" s="2">
        <v>2.2999999999999998</v>
      </c>
      <c r="I1334" s="2">
        <v>1372</v>
      </c>
      <c r="J1334" s="2">
        <v>123</v>
      </c>
      <c r="K1334" s="2">
        <v>189336</v>
      </c>
      <c r="L1334" s="2">
        <v>6662</v>
      </c>
      <c r="M1334" s="2">
        <v>169.7</v>
      </c>
      <c r="N1334" s="2">
        <v>367.8</v>
      </c>
      <c r="O1334" s="2">
        <v>17350</v>
      </c>
      <c r="P1334" s="2">
        <v>54.1</v>
      </c>
    </row>
    <row r="1335" spans="1:16" ht="24.95" customHeight="1" x14ac:dyDescent="0.25">
      <c r="A1335" s="1" t="s">
        <v>412</v>
      </c>
      <c r="B1335" s="2">
        <v>244</v>
      </c>
      <c r="C1335" s="2">
        <v>112</v>
      </c>
      <c r="D1335" s="2">
        <v>19.600000000000001</v>
      </c>
      <c r="E1335" s="2">
        <v>90</v>
      </c>
      <c r="F1335" s="2">
        <v>2.4</v>
      </c>
      <c r="I1335" s="2">
        <v>1278</v>
      </c>
      <c r="J1335" s="2">
        <v>157</v>
      </c>
      <c r="K1335" s="2">
        <v>143136</v>
      </c>
      <c r="L1335" s="2">
        <v>5830</v>
      </c>
      <c r="M1335" s="2">
        <v>219.3</v>
      </c>
      <c r="N1335" s="2">
        <v>331.2</v>
      </c>
      <c r="O1335" s="2">
        <v>17200</v>
      </c>
      <c r="P1335" s="2">
        <v>57.6</v>
      </c>
    </row>
    <row r="1336" spans="1:16" ht="24.95" customHeight="1" x14ac:dyDescent="0.25">
      <c r="A1336" s="1" t="s">
        <v>1250</v>
      </c>
      <c r="B1336" s="2">
        <v>282</v>
      </c>
      <c r="C1336" s="2">
        <v>118</v>
      </c>
      <c r="D1336" s="2">
        <v>28.3</v>
      </c>
      <c r="E1336" s="2">
        <v>90</v>
      </c>
      <c r="F1336" s="2">
        <v>-0.3</v>
      </c>
      <c r="I1336" s="2">
        <v>2525</v>
      </c>
      <c r="J1336" s="2">
        <v>280</v>
      </c>
      <c r="K1336" s="2">
        <v>297950</v>
      </c>
      <c r="L1336" s="2">
        <v>3675</v>
      </c>
      <c r="M1336" s="2">
        <v>156.30000000000001</v>
      </c>
      <c r="N1336" s="2">
        <v>640.20000000000005</v>
      </c>
      <c r="O1336" s="2">
        <v>11110</v>
      </c>
    </row>
    <row r="1337" spans="1:16" ht="24.95" customHeight="1" x14ac:dyDescent="0.25">
      <c r="A1337" s="1" t="s">
        <v>1251</v>
      </c>
      <c r="B1337" s="2">
        <v>258</v>
      </c>
      <c r="C1337" s="2">
        <v>116</v>
      </c>
      <c r="D1337" s="2">
        <v>31</v>
      </c>
      <c r="E1337" s="2">
        <v>84.4</v>
      </c>
      <c r="F1337" s="2">
        <v>0.6</v>
      </c>
      <c r="I1337" s="2">
        <v>1600</v>
      </c>
      <c r="J1337" s="2">
        <v>183</v>
      </c>
      <c r="K1337" s="2">
        <v>185600</v>
      </c>
      <c r="L1337" s="2">
        <v>4498</v>
      </c>
      <c r="M1337" s="2">
        <v>191.1</v>
      </c>
      <c r="N1337" s="2">
        <v>415.6</v>
      </c>
      <c r="O1337" s="2">
        <v>13740</v>
      </c>
      <c r="P1337" s="2">
        <v>33.799999999999997</v>
      </c>
    </row>
    <row r="1338" spans="1:16" ht="24.95" customHeight="1" x14ac:dyDescent="0.25">
      <c r="A1338" s="1" t="s">
        <v>1252</v>
      </c>
      <c r="B1338" s="2">
        <v>240</v>
      </c>
      <c r="C1338" s="2">
        <v>126</v>
      </c>
      <c r="D1338" s="2">
        <v>41.6</v>
      </c>
      <c r="E1338" s="2">
        <v>84.4</v>
      </c>
      <c r="I1338" s="2">
        <v>280</v>
      </c>
      <c r="J1338" s="2">
        <v>124</v>
      </c>
      <c r="K1338" s="2">
        <v>35280</v>
      </c>
      <c r="L1338" s="2">
        <v>880</v>
      </c>
      <c r="M1338" s="2">
        <v>40.9</v>
      </c>
      <c r="N1338" s="2">
        <v>72.3</v>
      </c>
      <c r="O1338" s="2">
        <v>2600</v>
      </c>
      <c r="P1338" s="2">
        <v>38.4</v>
      </c>
    </row>
    <row r="1339" spans="1:16" ht="24.95" customHeight="1" x14ac:dyDescent="0.25">
      <c r="A1339" s="1" t="s">
        <v>1253</v>
      </c>
      <c r="B1339" s="2">
        <v>288</v>
      </c>
      <c r="C1339" s="2">
        <v>126</v>
      </c>
      <c r="D1339" s="2">
        <v>35.799999999999997</v>
      </c>
      <c r="E1339" s="2">
        <v>90</v>
      </c>
      <c r="F1339" s="2">
        <v>0.3</v>
      </c>
      <c r="I1339" s="2">
        <v>2396</v>
      </c>
      <c r="J1339" s="2">
        <v>185</v>
      </c>
      <c r="K1339" s="2">
        <v>301896</v>
      </c>
      <c r="L1339" s="2">
        <v>4956</v>
      </c>
      <c r="M1339" s="2">
        <v>197.5</v>
      </c>
      <c r="N1339" s="2">
        <v>619.20000000000005</v>
      </c>
      <c r="O1339" s="2">
        <v>15260</v>
      </c>
      <c r="P1339" s="2">
        <v>9.1999999999999993</v>
      </c>
    </row>
    <row r="1340" spans="1:16" ht="24.95" customHeight="1" x14ac:dyDescent="0.25">
      <c r="A1340" s="1" t="s">
        <v>1254</v>
      </c>
      <c r="B1340" s="2">
        <v>270</v>
      </c>
      <c r="C1340" s="2">
        <v>120</v>
      </c>
      <c r="D1340" s="2">
        <v>33.700000000000003</v>
      </c>
      <c r="E1340" s="2">
        <v>84.4</v>
      </c>
      <c r="F1340" s="2">
        <v>2</v>
      </c>
      <c r="I1340" s="2">
        <v>1520</v>
      </c>
      <c r="J1340" s="2">
        <v>162</v>
      </c>
      <c r="K1340" s="2">
        <v>182400</v>
      </c>
      <c r="L1340" s="2">
        <v>5908</v>
      </c>
      <c r="M1340" s="2">
        <v>208.6</v>
      </c>
      <c r="N1340" s="2">
        <v>371.4</v>
      </c>
      <c r="O1340" s="2">
        <v>18950</v>
      </c>
      <c r="P1340" s="2">
        <v>56</v>
      </c>
    </row>
    <row r="1341" spans="1:16" ht="24.95" customHeight="1" x14ac:dyDescent="0.25">
      <c r="A1341" s="1" t="s">
        <v>1255</v>
      </c>
      <c r="B1341" s="2">
        <v>240</v>
      </c>
      <c r="C1341" s="2">
        <v>114</v>
      </c>
      <c r="D1341" s="2">
        <v>23.9</v>
      </c>
      <c r="E1341" s="2">
        <v>89.6</v>
      </c>
      <c r="F1341" s="2">
        <v>0.6</v>
      </c>
      <c r="I1341" s="2">
        <v>1475</v>
      </c>
      <c r="J1341" s="2">
        <v>188</v>
      </c>
      <c r="K1341" s="2">
        <v>168150</v>
      </c>
      <c r="L1341" s="2">
        <v>4695</v>
      </c>
      <c r="M1341" s="2">
        <v>183.9</v>
      </c>
      <c r="N1341" s="2">
        <v>364</v>
      </c>
      <c r="O1341" s="2">
        <v>14950</v>
      </c>
      <c r="P1341" s="2">
        <v>44.7</v>
      </c>
    </row>
    <row r="1342" spans="1:16" ht="24.95" customHeight="1" x14ac:dyDescent="0.25">
      <c r="A1342" s="1" t="s">
        <v>1256</v>
      </c>
      <c r="B1342" s="2">
        <v>228</v>
      </c>
      <c r="C1342" s="2">
        <v>108</v>
      </c>
      <c r="D1342" s="2">
        <v>23</v>
      </c>
      <c r="E1342" s="2">
        <v>90</v>
      </c>
      <c r="F1342" s="2">
        <v>-5</v>
      </c>
      <c r="H1342" s="2">
        <v>108.7</v>
      </c>
      <c r="I1342" s="2">
        <v>665</v>
      </c>
      <c r="J1342" s="2">
        <v>115</v>
      </c>
      <c r="K1342" s="2">
        <v>72301</v>
      </c>
      <c r="L1342" s="2">
        <v>1618</v>
      </c>
      <c r="M1342" s="2">
        <v>65.599999999999994</v>
      </c>
      <c r="N1342" s="2">
        <v>169</v>
      </c>
      <c r="O1342" s="2">
        <v>4740</v>
      </c>
      <c r="P1342" s="2">
        <v>21</v>
      </c>
    </row>
    <row r="1343" spans="1:16" ht="24.95" customHeight="1" x14ac:dyDescent="0.25">
      <c r="A1343" s="1" t="s">
        <v>119</v>
      </c>
      <c r="B1343" s="2">
        <v>242</v>
      </c>
      <c r="C1343" s="2">
        <v>111</v>
      </c>
      <c r="D1343" s="2">
        <v>20.8</v>
      </c>
      <c r="E1343" s="2">
        <v>90</v>
      </c>
      <c r="F1343" s="2">
        <v>0.2</v>
      </c>
      <c r="H1343" s="2">
        <v>112.8</v>
      </c>
      <c r="I1343" s="2">
        <v>7942</v>
      </c>
      <c r="J1343" s="2">
        <v>183</v>
      </c>
      <c r="K1343" s="2">
        <v>895714</v>
      </c>
      <c r="L1343" s="2">
        <v>20027</v>
      </c>
      <c r="M1343" s="2">
        <v>950.2</v>
      </c>
      <c r="N1343" s="2">
        <v>1953.2</v>
      </c>
      <c r="O1343" s="2">
        <v>68830</v>
      </c>
      <c r="P1343" s="2">
        <v>35.4</v>
      </c>
    </row>
    <row r="1344" spans="1:16" ht="24.95" customHeight="1" x14ac:dyDescent="0.25">
      <c r="A1344" s="1" t="s">
        <v>1192</v>
      </c>
      <c r="B1344" s="2">
        <v>217</v>
      </c>
      <c r="C1344" s="2">
        <v>103</v>
      </c>
      <c r="D1344" s="2">
        <v>13.5</v>
      </c>
      <c r="E1344" s="2">
        <v>90</v>
      </c>
      <c r="F1344" s="2">
        <v>-0.5</v>
      </c>
      <c r="H1344" s="2">
        <v>106.1</v>
      </c>
      <c r="I1344" s="2">
        <v>694</v>
      </c>
      <c r="J1344" s="2">
        <v>143</v>
      </c>
      <c r="K1344" s="2">
        <v>73602</v>
      </c>
      <c r="L1344" s="2">
        <v>2851</v>
      </c>
      <c r="M1344" s="2">
        <v>97.4</v>
      </c>
      <c r="N1344" s="2">
        <v>175</v>
      </c>
      <c r="O1344" s="2">
        <v>8660</v>
      </c>
      <c r="P1344" s="2">
        <v>51.7</v>
      </c>
    </row>
    <row r="1345" spans="1:16" ht="24.95" customHeight="1" x14ac:dyDescent="0.25">
      <c r="A1345" s="1" t="s">
        <v>1225</v>
      </c>
      <c r="B1345" s="2">
        <v>231</v>
      </c>
      <c r="C1345" s="2">
        <v>107</v>
      </c>
      <c r="D1345" s="2">
        <v>14.9</v>
      </c>
      <c r="E1345" s="2">
        <v>90</v>
      </c>
      <c r="F1345" s="2">
        <v>2.1</v>
      </c>
      <c r="H1345" s="2">
        <v>116.5</v>
      </c>
      <c r="I1345" s="2">
        <v>4662</v>
      </c>
      <c r="J1345" s="2">
        <v>170</v>
      </c>
      <c r="K1345" s="2">
        <v>543214</v>
      </c>
      <c r="L1345" s="2">
        <v>15330</v>
      </c>
      <c r="M1345" s="2">
        <v>593.6</v>
      </c>
      <c r="N1345" s="2">
        <v>1237</v>
      </c>
      <c r="O1345" s="2">
        <v>52400</v>
      </c>
      <c r="P1345" s="2">
        <v>46.6</v>
      </c>
    </row>
    <row r="1346" spans="1:16" ht="24.95" customHeight="1" x14ac:dyDescent="0.25">
      <c r="A1346" s="1" t="s">
        <v>1257</v>
      </c>
      <c r="B1346" s="2">
        <v>281</v>
      </c>
      <c r="C1346" s="2">
        <v>125</v>
      </c>
      <c r="D1346" s="2">
        <v>35.9</v>
      </c>
      <c r="E1346" s="2">
        <v>90</v>
      </c>
      <c r="F1346" s="2">
        <v>-0.9</v>
      </c>
      <c r="H1346" s="2">
        <v>126</v>
      </c>
      <c r="I1346" s="2">
        <v>348</v>
      </c>
      <c r="J1346" s="2">
        <v>71</v>
      </c>
      <c r="K1346" s="2">
        <v>438351</v>
      </c>
      <c r="L1346" s="2">
        <v>1591</v>
      </c>
      <c r="M1346" s="2">
        <v>36.299999999999997</v>
      </c>
      <c r="N1346" s="2">
        <v>88.3</v>
      </c>
      <c r="O1346" s="2">
        <v>3710</v>
      </c>
      <c r="P1346" s="2">
        <v>47.9</v>
      </c>
    </row>
    <row r="1347" spans="1:16" ht="24.95" customHeight="1" x14ac:dyDescent="0.25">
      <c r="A1347" s="1" t="s">
        <v>1258</v>
      </c>
      <c r="B1347" s="2">
        <v>228</v>
      </c>
      <c r="C1347" s="2">
        <v>106</v>
      </c>
      <c r="D1347" s="2">
        <v>16</v>
      </c>
      <c r="E1347" s="2">
        <v>90</v>
      </c>
      <c r="H1347" s="2">
        <v>107.7</v>
      </c>
      <c r="I1347" s="2">
        <v>1902</v>
      </c>
      <c r="J1347" s="2">
        <v>149</v>
      </c>
      <c r="K1347" s="2">
        <v>204918</v>
      </c>
      <c r="L1347" s="2">
        <v>6411</v>
      </c>
      <c r="M1347" s="2">
        <v>277.3</v>
      </c>
      <c r="N1347" s="2">
        <v>497.8</v>
      </c>
      <c r="O1347" s="2">
        <v>19880</v>
      </c>
      <c r="P1347" s="2">
        <v>45.1</v>
      </c>
    </row>
    <row r="1348" spans="1:16" ht="24.95" customHeight="1" x14ac:dyDescent="0.25">
      <c r="A1348" s="1" t="s">
        <v>1259</v>
      </c>
      <c r="B1348" s="2">
        <v>238</v>
      </c>
      <c r="C1348" s="2">
        <v>110</v>
      </c>
      <c r="D1348" s="2">
        <v>20.100000000000001</v>
      </c>
      <c r="E1348" s="2">
        <v>90</v>
      </c>
      <c r="F1348" s="2">
        <v>0.1</v>
      </c>
      <c r="H1348" s="2">
        <v>110.8</v>
      </c>
      <c r="I1348" s="2">
        <v>1500</v>
      </c>
      <c r="J1348" s="2">
        <v>152</v>
      </c>
      <c r="K1348" s="2">
        <v>166260</v>
      </c>
      <c r="L1348" s="2">
        <v>4592</v>
      </c>
      <c r="M1348" s="2">
        <v>229</v>
      </c>
      <c r="N1348" s="2">
        <v>355.7</v>
      </c>
      <c r="O1348" s="2">
        <v>15900</v>
      </c>
      <c r="P1348" s="2">
        <v>47.1</v>
      </c>
    </row>
    <row r="1349" spans="1:16" ht="24.95" customHeight="1" x14ac:dyDescent="0.25">
      <c r="A1349" s="1" t="s">
        <v>1260</v>
      </c>
      <c r="B1349" s="2">
        <v>232</v>
      </c>
      <c r="C1349" s="2">
        <v>110</v>
      </c>
      <c r="D1349" s="2">
        <v>19.8</v>
      </c>
      <c r="E1349" s="2">
        <v>90</v>
      </c>
      <c r="F1349" s="2">
        <v>0.2</v>
      </c>
      <c r="H1349" s="2">
        <v>113.9</v>
      </c>
      <c r="I1349" s="2">
        <v>590</v>
      </c>
      <c r="J1349" s="2">
        <v>141</v>
      </c>
      <c r="K1349" s="2">
        <v>67274</v>
      </c>
      <c r="L1349" s="2">
        <v>2486</v>
      </c>
      <c r="M1349" s="2">
        <v>96.6</v>
      </c>
      <c r="N1349" s="2">
        <v>164.8</v>
      </c>
      <c r="O1349" s="2">
        <v>8050</v>
      </c>
      <c r="P1349" s="2">
        <v>56.3</v>
      </c>
    </row>
    <row r="1350" spans="1:16" ht="24.95" customHeight="1" x14ac:dyDescent="0.25">
      <c r="A1350" s="1" t="s">
        <v>1240</v>
      </c>
      <c r="B1350" s="2">
        <v>234</v>
      </c>
      <c r="C1350" s="2">
        <v>102</v>
      </c>
      <c r="D1350" s="2">
        <v>12.4</v>
      </c>
      <c r="E1350" s="2">
        <v>90</v>
      </c>
      <c r="F1350" s="2">
        <v>-0.4</v>
      </c>
      <c r="H1350" s="2">
        <v>108.3</v>
      </c>
      <c r="I1350" s="2">
        <v>845</v>
      </c>
      <c r="J1350" s="2">
        <v>167</v>
      </c>
      <c r="K1350" s="2">
        <v>91513</v>
      </c>
      <c r="L1350" s="2">
        <v>2450</v>
      </c>
      <c r="M1350" s="2">
        <v>92.8</v>
      </c>
      <c r="N1350" s="2">
        <v>230</v>
      </c>
      <c r="O1350" s="2">
        <v>7360</v>
      </c>
      <c r="P1350" s="2">
        <v>29.1</v>
      </c>
    </row>
    <row r="1351" spans="1:16" ht="24.95" customHeight="1" x14ac:dyDescent="0.25">
      <c r="A1351" s="1" t="s">
        <v>1262</v>
      </c>
      <c r="B1351" s="2">
        <v>234</v>
      </c>
      <c r="C1351" s="2">
        <v>111</v>
      </c>
      <c r="D1351" s="2">
        <v>28.7</v>
      </c>
      <c r="E1351" s="2">
        <v>90</v>
      </c>
      <c r="F1351" s="2">
        <v>-7.7</v>
      </c>
      <c r="H1351" s="2">
        <v>112</v>
      </c>
      <c r="I1351" s="2">
        <v>1444</v>
      </c>
      <c r="J1351" s="2">
        <v>102</v>
      </c>
      <c r="K1351" s="2">
        <v>161703</v>
      </c>
      <c r="L1351" s="2">
        <v>3951</v>
      </c>
      <c r="M1351" s="2">
        <v>150.69999999999999</v>
      </c>
      <c r="N1351" s="2">
        <v>330.4</v>
      </c>
      <c r="O1351" s="2">
        <v>13230</v>
      </c>
      <c r="P1351" s="2">
        <v>40.299999999999997</v>
      </c>
    </row>
    <row r="1352" spans="1:16" ht="24.95" customHeight="1" x14ac:dyDescent="0.25">
      <c r="A1352" s="1" t="s">
        <v>149</v>
      </c>
      <c r="B1352" s="2">
        <v>237</v>
      </c>
      <c r="C1352" s="2">
        <v>103</v>
      </c>
      <c r="D1352" s="2">
        <v>12</v>
      </c>
      <c r="E1352" s="2">
        <v>90</v>
      </c>
      <c r="F1352" s="2">
        <v>1</v>
      </c>
      <c r="H1352" s="2">
        <v>108.3</v>
      </c>
      <c r="I1352" s="2">
        <v>5850</v>
      </c>
      <c r="J1352" s="2">
        <v>171</v>
      </c>
      <c r="K1352" s="2">
        <v>633742</v>
      </c>
      <c r="L1352" s="2">
        <v>18263</v>
      </c>
      <c r="M1352" s="2">
        <v>838.9</v>
      </c>
      <c r="N1352" s="2">
        <v>1478.3</v>
      </c>
      <c r="O1352" s="2">
        <v>61000</v>
      </c>
      <c r="P1352" s="2">
        <v>46.8</v>
      </c>
    </row>
    <row r="1353" spans="1:16" ht="24.95" customHeight="1" x14ac:dyDescent="0.25">
      <c r="A1353" s="1" t="s">
        <v>1263</v>
      </c>
      <c r="B1353" s="2">
        <v>222</v>
      </c>
      <c r="C1353" s="2">
        <v>106</v>
      </c>
      <c r="D1353" s="2">
        <v>15.9</v>
      </c>
      <c r="E1353" s="2">
        <v>90</v>
      </c>
      <c r="F1353" s="2">
        <v>0.1</v>
      </c>
      <c r="H1353" s="2">
        <v>109.9</v>
      </c>
      <c r="I1353" s="2">
        <v>255</v>
      </c>
      <c r="J1353" s="2">
        <v>138</v>
      </c>
      <c r="K1353" s="2">
        <v>28019</v>
      </c>
      <c r="L1353" s="2">
        <v>1210</v>
      </c>
      <c r="M1353" s="2">
        <v>41</v>
      </c>
      <c r="N1353" s="2">
        <v>71.3</v>
      </c>
      <c r="O1353" s="2">
        <v>3710</v>
      </c>
      <c r="P1353" s="2">
        <v>58.9</v>
      </c>
    </row>
    <row r="1354" spans="1:16" ht="24.95" customHeight="1" x14ac:dyDescent="0.25">
      <c r="A1354" s="1" t="s">
        <v>1245</v>
      </c>
      <c r="B1354" s="2">
        <v>248</v>
      </c>
      <c r="C1354" s="2">
        <v>108</v>
      </c>
      <c r="D1354" s="2">
        <v>18</v>
      </c>
      <c r="E1354" s="2">
        <v>90</v>
      </c>
      <c r="H1354" s="2">
        <v>111.4</v>
      </c>
      <c r="I1354" s="2">
        <v>455</v>
      </c>
      <c r="J1354" s="2">
        <v>137</v>
      </c>
      <c r="K1354" s="2">
        <v>50703</v>
      </c>
      <c r="L1354" s="2">
        <v>2202</v>
      </c>
      <c r="M1354" s="2">
        <v>84.6</v>
      </c>
      <c r="N1354" s="2">
        <v>121.9</v>
      </c>
      <c r="O1354" s="2">
        <v>6580</v>
      </c>
      <c r="P1354" s="2">
        <v>55.1</v>
      </c>
    </row>
    <row r="1355" spans="1:16" ht="24.95" customHeight="1" x14ac:dyDescent="0.25">
      <c r="A1355" s="1" t="s">
        <v>1264</v>
      </c>
      <c r="B1355" s="2">
        <v>258</v>
      </c>
      <c r="C1355" s="2">
        <v>116</v>
      </c>
      <c r="D1355" s="2">
        <v>26</v>
      </c>
      <c r="E1355" s="2">
        <v>90</v>
      </c>
      <c r="H1355" s="2">
        <v>118.5</v>
      </c>
      <c r="I1355" s="2">
        <v>1222</v>
      </c>
      <c r="J1355" s="2">
        <v>160</v>
      </c>
      <c r="K1355" s="2">
        <v>144759</v>
      </c>
      <c r="L1355" s="2">
        <v>4597</v>
      </c>
      <c r="M1355" s="2">
        <v>173.4</v>
      </c>
      <c r="N1355" s="2">
        <v>314.60000000000002</v>
      </c>
      <c r="O1355" s="2">
        <v>13780</v>
      </c>
      <c r="P1355" s="2">
        <v>49.5</v>
      </c>
    </row>
    <row r="1356" spans="1:16" ht="24.95" customHeight="1" x14ac:dyDescent="0.25">
      <c r="A1356" s="1" t="s">
        <v>1248</v>
      </c>
      <c r="B1356" s="2">
        <v>228</v>
      </c>
      <c r="C1356" s="2">
        <v>115</v>
      </c>
      <c r="D1356" s="2">
        <v>25.3</v>
      </c>
      <c r="E1356" s="2">
        <v>90</v>
      </c>
      <c r="F1356" s="2">
        <v>-0.3</v>
      </c>
      <c r="H1356" s="2">
        <v>120.3</v>
      </c>
      <c r="I1356" s="2">
        <v>2400</v>
      </c>
      <c r="J1356" s="2">
        <v>145</v>
      </c>
      <c r="K1356" s="2">
        <v>288772</v>
      </c>
      <c r="L1356" s="2">
        <v>8559</v>
      </c>
      <c r="M1356" s="2">
        <v>339.6</v>
      </c>
      <c r="N1356" s="2">
        <v>619.6</v>
      </c>
      <c r="O1356" s="2">
        <v>23900</v>
      </c>
      <c r="P1356" s="2">
        <v>41.5</v>
      </c>
    </row>
    <row r="1357" spans="1:16" ht="24.95" customHeight="1" x14ac:dyDescent="0.25">
      <c r="A1357" s="1" t="s">
        <v>1265</v>
      </c>
      <c r="B1357" s="2">
        <v>258</v>
      </c>
      <c r="C1357" s="2">
        <v>116</v>
      </c>
      <c r="D1357" s="2">
        <v>25.9</v>
      </c>
      <c r="E1357" s="2">
        <v>90</v>
      </c>
      <c r="F1357" s="2">
        <v>0.1</v>
      </c>
      <c r="H1357" s="2">
        <v>118.8</v>
      </c>
      <c r="I1357" s="2">
        <v>3300</v>
      </c>
      <c r="J1357" s="2">
        <v>153</v>
      </c>
      <c r="K1357" s="2">
        <v>391967</v>
      </c>
      <c r="L1357" s="2">
        <v>9061</v>
      </c>
      <c r="M1357" s="2">
        <v>395.6</v>
      </c>
      <c r="N1357" s="2">
        <v>814</v>
      </c>
      <c r="O1357" s="2">
        <v>27960</v>
      </c>
      <c r="P1357" s="2">
        <v>30.8</v>
      </c>
    </row>
    <row r="1358" spans="1:16" ht="24.95" customHeight="1" x14ac:dyDescent="0.25">
      <c r="A1358" s="1" t="s">
        <v>1266</v>
      </c>
      <c r="B1358" s="2">
        <v>225</v>
      </c>
      <c r="C1358" s="2">
        <v>114.4</v>
      </c>
      <c r="D1358" s="2">
        <v>28.8</v>
      </c>
      <c r="E1358" s="2">
        <v>84.4</v>
      </c>
      <c r="F1358" s="2">
        <v>1.2</v>
      </c>
      <c r="H1358" s="2">
        <v>125.2</v>
      </c>
      <c r="I1358" s="2">
        <v>2920</v>
      </c>
      <c r="J1358" s="2">
        <v>153</v>
      </c>
      <c r="K1358" s="2">
        <v>365483</v>
      </c>
      <c r="L1358" s="2">
        <v>9879</v>
      </c>
      <c r="M1358" s="2">
        <v>425</v>
      </c>
      <c r="N1358" s="2">
        <v>718.2</v>
      </c>
      <c r="O1358" s="2">
        <v>35760</v>
      </c>
      <c r="P1358" s="2">
        <v>51.3</v>
      </c>
    </row>
    <row r="1359" spans="1:16" ht="24.95" customHeight="1" x14ac:dyDescent="0.25">
      <c r="A1359" s="1" t="s">
        <v>162</v>
      </c>
      <c r="B1359" s="2">
        <v>232</v>
      </c>
      <c r="C1359" s="2">
        <v>108</v>
      </c>
      <c r="D1359" s="2">
        <v>16.7</v>
      </c>
      <c r="E1359" s="2">
        <v>90</v>
      </c>
      <c r="F1359" s="2">
        <v>1.3</v>
      </c>
      <c r="H1359" s="2">
        <v>114</v>
      </c>
      <c r="I1359" s="2">
        <v>2005</v>
      </c>
      <c r="J1359" s="2">
        <v>159</v>
      </c>
      <c r="K1359" s="2">
        <v>228601</v>
      </c>
      <c r="L1359" s="2">
        <v>6676</v>
      </c>
      <c r="M1359" s="2">
        <v>240.6</v>
      </c>
      <c r="N1359" s="2">
        <v>522</v>
      </c>
      <c r="O1359" s="2">
        <v>20960</v>
      </c>
      <c r="P1359" s="2">
        <v>45.5</v>
      </c>
    </row>
    <row r="1360" spans="1:16" ht="24.95" customHeight="1" x14ac:dyDescent="0.25">
      <c r="A1360" s="1" t="s">
        <v>1267</v>
      </c>
      <c r="B1360" s="2">
        <v>250</v>
      </c>
      <c r="C1360" s="2">
        <v>114</v>
      </c>
      <c r="D1360" s="2">
        <v>23.1</v>
      </c>
      <c r="E1360" s="2">
        <v>90</v>
      </c>
      <c r="F1360" s="2">
        <v>0.9</v>
      </c>
      <c r="H1360" s="2">
        <v>113</v>
      </c>
      <c r="I1360" s="2">
        <v>2727</v>
      </c>
      <c r="J1360" s="2">
        <v>171</v>
      </c>
      <c r="K1360" s="2">
        <v>308119</v>
      </c>
      <c r="L1360" s="2">
        <v>7453</v>
      </c>
      <c r="M1360" s="2">
        <v>476.4</v>
      </c>
      <c r="N1360" s="2">
        <v>684.2</v>
      </c>
      <c r="O1360" s="2">
        <v>23300</v>
      </c>
      <c r="P1360" s="2">
        <v>31.7</v>
      </c>
    </row>
    <row r="1361" spans="1:16" ht="24.95" customHeight="1" x14ac:dyDescent="0.25">
      <c r="A1361" s="1" t="s">
        <v>1268</v>
      </c>
      <c r="B1361" s="2">
        <v>220</v>
      </c>
      <c r="C1361" s="2">
        <v>114</v>
      </c>
      <c r="D1361" s="2">
        <v>27.9</v>
      </c>
      <c r="E1361" s="2">
        <v>90</v>
      </c>
      <c r="F1361" s="2">
        <v>-3.9</v>
      </c>
      <c r="H1361" s="2">
        <v>116.1</v>
      </c>
      <c r="I1361" s="2">
        <v>1226</v>
      </c>
      <c r="J1361" s="2">
        <v>100</v>
      </c>
      <c r="K1361" s="2">
        <v>136640</v>
      </c>
      <c r="L1361" s="2">
        <v>2323</v>
      </c>
      <c r="M1361" s="2">
        <v>162.9</v>
      </c>
      <c r="N1361" s="2">
        <v>309.10000000000002</v>
      </c>
      <c r="O1361" s="2">
        <v>7090</v>
      </c>
    </row>
    <row r="1362" spans="1:16" ht="24.95" customHeight="1" x14ac:dyDescent="0.25">
      <c r="A1362" s="1" t="s">
        <v>1269</v>
      </c>
      <c r="B1362" s="2">
        <v>240</v>
      </c>
      <c r="C1362" s="2">
        <v>111</v>
      </c>
      <c r="D1362" s="2">
        <v>21.2</v>
      </c>
      <c r="E1362" s="2">
        <v>90</v>
      </c>
      <c r="F1362" s="2">
        <v>-0.2</v>
      </c>
      <c r="H1362" s="2">
        <v>114.2</v>
      </c>
      <c r="I1362" s="2">
        <v>6570</v>
      </c>
      <c r="J1362" s="2">
        <v>184</v>
      </c>
      <c r="K1362" s="2">
        <v>750290</v>
      </c>
      <c r="L1362" s="2">
        <v>14754</v>
      </c>
      <c r="M1362" s="2">
        <v>677.9</v>
      </c>
      <c r="N1362" s="2">
        <v>1584.5</v>
      </c>
      <c r="O1362" s="2">
        <v>50050</v>
      </c>
      <c r="P1362" s="2">
        <v>27.2</v>
      </c>
    </row>
  </sheetData>
  <mergeCells count="14">
    <mergeCell ref="H7:H8"/>
    <mergeCell ref="F548:F549"/>
    <mergeCell ref="H548:H549"/>
    <mergeCell ref="P7:P8"/>
    <mergeCell ref="L8:M8"/>
    <mergeCell ref="F540:F541"/>
    <mergeCell ref="H540:H541"/>
    <mergeCell ref="A2:O2"/>
    <mergeCell ref="B7:C7"/>
    <mergeCell ref="D7:G7"/>
    <mergeCell ref="I7:I8"/>
    <mergeCell ref="J7:J8"/>
    <mergeCell ref="K7:K8"/>
    <mergeCell ref="L7:N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C534-7E03-4E40-9019-D153DE23907F}">
  <dimension ref="A2:M95"/>
  <sheetViews>
    <sheetView zoomScale="70" zoomScaleNormal="70" workbookViewId="0">
      <selection activeCell="E43" sqref="E43"/>
    </sheetView>
  </sheetViews>
  <sheetFormatPr defaultColWidth="8.7109375" defaultRowHeight="24.95" customHeight="1" x14ac:dyDescent="0.25"/>
  <cols>
    <col min="1" max="1" width="25.5703125" style="17" customWidth="1"/>
    <col min="2" max="2" width="7.5703125" style="2" customWidth="1"/>
    <col min="3" max="3" width="10.42578125" style="2" customWidth="1"/>
    <col min="4" max="4" width="7.5703125" style="2" customWidth="1"/>
    <col min="5" max="6" width="10.5703125" style="2" customWidth="1"/>
    <col min="7" max="7" width="8.140625" style="2" customWidth="1"/>
    <col min="8" max="8" width="12.85546875" style="2" customWidth="1"/>
    <col min="9" max="9" width="10.42578125" style="2" customWidth="1"/>
    <col min="10" max="10" width="10.7109375" style="2" customWidth="1"/>
    <col min="11" max="11" width="9.5703125" style="2" customWidth="1"/>
    <col min="12" max="16384" width="8.7109375" style="2"/>
  </cols>
  <sheetData>
    <row r="2" spans="1:13" ht="24.95" customHeight="1" x14ac:dyDescent="0.25">
      <c r="A2" s="14" t="s">
        <v>6681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3" ht="24.95" customHeight="1" x14ac:dyDescent="0.25">
      <c r="A4" s="17" t="s">
        <v>6707</v>
      </c>
    </row>
    <row r="6" spans="1:13" ht="24.95" customHeight="1" x14ac:dyDescent="0.25">
      <c r="A6" s="17" t="s">
        <v>6708</v>
      </c>
    </row>
    <row r="7" spans="1:13" ht="84" customHeight="1" x14ac:dyDescent="0.25">
      <c r="B7" s="15" t="s">
        <v>6684</v>
      </c>
      <c r="C7" s="15"/>
      <c r="D7" s="14" t="s">
        <v>6685</v>
      </c>
      <c r="E7" s="14"/>
      <c r="F7" s="14" t="s">
        <v>6686</v>
      </c>
      <c r="G7" s="14" t="s">
        <v>6687</v>
      </c>
      <c r="H7" s="14" t="s">
        <v>6688</v>
      </c>
      <c r="I7" s="14" t="s">
        <v>6689</v>
      </c>
      <c r="J7" s="14"/>
      <c r="K7" s="14"/>
      <c r="L7" s="18" t="s">
        <v>6690</v>
      </c>
      <c r="M7" s="14" t="s">
        <v>6691</v>
      </c>
    </row>
    <row r="8" spans="1:13" s="13" customFormat="1" ht="34.5" customHeight="1" x14ac:dyDescent="0.25">
      <c r="A8" s="19" t="s">
        <v>5478</v>
      </c>
      <c r="B8" s="18" t="s">
        <v>6692</v>
      </c>
      <c r="C8" s="18" t="s">
        <v>6693</v>
      </c>
      <c r="D8" s="18" t="s">
        <v>6694</v>
      </c>
      <c r="E8" s="18" t="s">
        <v>6696</v>
      </c>
      <c r="F8" s="14"/>
      <c r="G8" s="14"/>
      <c r="H8" s="14"/>
      <c r="I8" s="14" t="s">
        <v>6698</v>
      </c>
      <c r="J8" s="14"/>
      <c r="K8" s="18" t="s">
        <v>6699</v>
      </c>
      <c r="L8" s="18"/>
      <c r="M8" s="14"/>
    </row>
    <row r="9" spans="1:13" ht="37.5" customHeight="1" x14ac:dyDescent="0.25">
      <c r="A9" s="17" t="s">
        <v>6700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  <c r="J9" s="2">
        <v>9</v>
      </c>
      <c r="K9" s="2">
        <v>10</v>
      </c>
      <c r="L9" s="2">
        <v>11</v>
      </c>
      <c r="M9" s="2">
        <v>12</v>
      </c>
    </row>
    <row r="10" spans="1:13" ht="24.95" customHeight="1" x14ac:dyDescent="0.25">
      <c r="B10" s="2" t="s">
        <v>6701</v>
      </c>
      <c r="C10" s="2" t="s">
        <v>6701</v>
      </c>
      <c r="D10" s="2" t="s">
        <v>6701</v>
      </c>
      <c r="E10" s="2" t="s">
        <v>6701</v>
      </c>
      <c r="F10" s="2" t="s">
        <v>6702</v>
      </c>
      <c r="G10" s="2" t="s">
        <v>6703</v>
      </c>
      <c r="H10" s="2" t="s">
        <v>6702</v>
      </c>
      <c r="I10" s="2" t="s">
        <v>1</v>
      </c>
      <c r="J10" s="2" t="s">
        <v>6704</v>
      </c>
      <c r="K10" s="2" t="s">
        <v>6704</v>
      </c>
      <c r="M10" s="2" t="s">
        <v>6703</v>
      </c>
    </row>
    <row r="11" spans="1:13" ht="24.95" customHeight="1" x14ac:dyDescent="0.25">
      <c r="A11" s="17" t="s">
        <v>94</v>
      </c>
    </row>
    <row r="12" spans="1:13" ht="24.95" customHeight="1" x14ac:dyDescent="0.25">
      <c r="A12" s="17" t="s">
        <v>96</v>
      </c>
      <c r="B12" s="2">
        <v>324</v>
      </c>
      <c r="C12" s="2">
        <v>141</v>
      </c>
      <c r="D12" s="2">
        <v>141.5</v>
      </c>
      <c r="E12" s="2">
        <v>-0.5</v>
      </c>
      <c r="F12" s="2">
        <v>8417</v>
      </c>
      <c r="G12" s="2">
        <v>157</v>
      </c>
      <c r="H12" s="2">
        <v>1186797</v>
      </c>
      <c r="I12" s="2">
        <v>23685</v>
      </c>
      <c r="J12" s="2">
        <v>903.6</v>
      </c>
      <c r="K12" s="2">
        <v>2135.6</v>
      </c>
      <c r="L12" s="2">
        <v>74910</v>
      </c>
      <c r="M12" s="2">
        <v>35.799999999999997</v>
      </c>
    </row>
    <row r="13" spans="1:13" ht="24.95" customHeight="1" x14ac:dyDescent="0.25">
      <c r="A13" s="17" t="s">
        <v>97</v>
      </c>
      <c r="B13" s="2">
        <v>288</v>
      </c>
      <c r="C13" s="2">
        <v>126</v>
      </c>
      <c r="D13" s="2">
        <v>125.6</v>
      </c>
      <c r="E13" s="2">
        <v>0.4</v>
      </c>
      <c r="F13" s="2">
        <v>8100</v>
      </c>
      <c r="G13" s="2">
        <v>132</v>
      </c>
      <c r="H13" s="2">
        <v>1020600</v>
      </c>
      <c r="I13" s="2">
        <v>20718</v>
      </c>
      <c r="J13" s="2">
        <v>1004.9</v>
      </c>
      <c r="K13" s="2">
        <v>2095.3000000000002</v>
      </c>
      <c r="L13" s="2">
        <v>64890</v>
      </c>
      <c r="M13" s="2">
        <v>26.6</v>
      </c>
    </row>
    <row r="14" spans="1:13" ht="24.95" customHeight="1" x14ac:dyDescent="0.25">
      <c r="A14" s="17" t="s">
        <v>98</v>
      </c>
      <c r="B14" s="2">
        <v>288</v>
      </c>
      <c r="C14" s="2">
        <v>126</v>
      </c>
      <c r="D14" s="2">
        <v>126.5</v>
      </c>
      <c r="E14" s="2">
        <v>-0.5</v>
      </c>
      <c r="F14" s="2">
        <v>12090</v>
      </c>
      <c r="G14" s="2">
        <v>136</v>
      </c>
      <c r="H14" s="2">
        <v>1523340</v>
      </c>
      <c r="I14" s="2">
        <v>25404</v>
      </c>
      <c r="J14" s="2">
        <v>1725.2</v>
      </c>
      <c r="K14" s="2">
        <v>2999.3</v>
      </c>
      <c r="L14" s="2">
        <v>82170</v>
      </c>
      <c r="M14" s="2">
        <v>16.600000000000001</v>
      </c>
    </row>
    <row r="15" spans="1:13" ht="24.95" customHeight="1" x14ac:dyDescent="0.25">
      <c r="A15" s="17" t="s">
        <v>99</v>
      </c>
      <c r="B15" s="2">
        <v>257</v>
      </c>
      <c r="C15" s="2">
        <v>101</v>
      </c>
      <c r="D15" s="2">
        <v>100.6</v>
      </c>
      <c r="E15" s="2">
        <v>0.4</v>
      </c>
      <c r="F15" s="2">
        <v>18275</v>
      </c>
      <c r="G15" s="2">
        <v>150</v>
      </c>
      <c r="H15" s="2">
        <v>1845775</v>
      </c>
      <c r="I15" s="2">
        <v>41193</v>
      </c>
      <c r="J15" s="2">
        <v>2588.1999999999998</v>
      </c>
      <c r="K15" s="2">
        <v>4661.1000000000004</v>
      </c>
      <c r="L15" s="2">
        <v>142940</v>
      </c>
      <c r="M15" s="2">
        <v>26.2</v>
      </c>
    </row>
    <row r="16" spans="1:13" ht="24.95" customHeight="1" x14ac:dyDescent="0.25">
      <c r="A16" s="17" t="s">
        <v>100</v>
      </c>
      <c r="B16" s="2">
        <v>324</v>
      </c>
      <c r="C16" s="2">
        <v>124</v>
      </c>
      <c r="D16" s="2">
        <v>123.1</v>
      </c>
      <c r="E16" s="2">
        <v>0.9</v>
      </c>
      <c r="F16" s="2">
        <v>200300</v>
      </c>
      <c r="G16" s="2">
        <v>173</v>
      </c>
      <c r="H16" s="2">
        <v>24837200</v>
      </c>
      <c r="I16" s="2">
        <v>317287</v>
      </c>
      <c r="J16" s="2">
        <v>18187.3</v>
      </c>
      <c r="K16" s="2">
        <v>49603.3</v>
      </c>
      <c r="L16" s="2">
        <v>1115080</v>
      </c>
    </row>
    <row r="17" spans="1:13" ht="24.95" customHeight="1" x14ac:dyDescent="0.25">
      <c r="A17" s="17" t="s">
        <v>101</v>
      </c>
      <c r="B17" s="2">
        <v>306</v>
      </c>
      <c r="C17" s="2">
        <v>132</v>
      </c>
      <c r="D17" s="2">
        <v>131.1</v>
      </c>
      <c r="E17" s="2">
        <v>0.9</v>
      </c>
      <c r="F17" s="2">
        <v>12060</v>
      </c>
      <c r="G17" s="2">
        <v>144</v>
      </c>
      <c r="H17" s="2">
        <v>1591920</v>
      </c>
      <c r="I17" s="2">
        <v>36918</v>
      </c>
      <c r="J17" s="2">
        <v>1405.1</v>
      </c>
      <c r="K17" s="2">
        <v>3092</v>
      </c>
      <c r="L17" s="2">
        <v>105740</v>
      </c>
      <c r="M17" s="2">
        <v>34</v>
      </c>
    </row>
    <row r="18" spans="1:13" ht="24.95" customHeight="1" x14ac:dyDescent="0.25">
      <c r="A18" s="17" t="s">
        <v>102</v>
      </c>
      <c r="B18" s="2">
        <v>209</v>
      </c>
      <c r="C18" s="2">
        <v>107</v>
      </c>
      <c r="D18" s="2">
        <v>108.1</v>
      </c>
      <c r="E18" s="2">
        <v>-1.1000000000000001</v>
      </c>
      <c r="F18" s="2">
        <v>30800</v>
      </c>
      <c r="G18" s="2">
        <v>116</v>
      </c>
      <c r="H18" s="2">
        <v>3295600</v>
      </c>
      <c r="I18" s="2">
        <v>47632</v>
      </c>
      <c r="J18" s="2">
        <v>4059</v>
      </c>
      <c r="K18" s="2">
        <v>7812</v>
      </c>
      <c r="L18" s="2">
        <v>151250</v>
      </c>
    </row>
    <row r="19" spans="1:13" ht="24.95" customHeight="1" x14ac:dyDescent="0.25">
      <c r="A19" s="17" t="s">
        <v>103</v>
      </c>
      <c r="B19" s="2">
        <v>312</v>
      </c>
      <c r="C19" s="2">
        <v>124</v>
      </c>
      <c r="D19" s="2">
        <v>124.3</v>
      </c>
      <c r="E19" s="2">
        <v>-0.3</v>
      </c>
      <c r="F19" s="2">
        <v>20750</v>
      </c>
      <c r="G19" s="2">
        <v>152</v>
      </c>
      <c r="H19" s="2">
        <v>2573000</v>
      </c>
      <c r="I19" s="2">
        <v>54591</v>
      </c>
      <c r="J19" s="2">
        <v>2386.1999999999998</v>
      </c>
      <c r="K19" s="2">
        <v>5316.6</v>
      </c>
      <c r="L19" s="2">
        <v>160650</v>
      </c>
      <c r="M19" s="2">
        <v>26</v>
      </c>
    </row>
    <row r="20" spans="1:13" ht="24.95" customHeight="1" x14ac:dyDescent="0.25">
      <c r="A20" s="17" t="s">
        <v>104</v>
      </c>
      <c r="B20" s="2">
        <v>253.9</v>
      </c>
      <c r="C20" s="2">
        <v>125</v>
      </c>
      <c r="D20" s="2">
        <v>124.3</v>
      </c>
      <c r="E20" s="2">
        <v>0.7</v>
      </c>
      <c r="F20" s="2">
        <v>10719</v>
      </c>
      <c r="G20" s="2">
        <v>147</v>
      </c>
      <c r="H20" s="2">
        <v>1339875</v>
      </c>
      <c r="I20" s="2">
        <v>21235</v>
      </c>
      <c r="J20" s="2">
        <v>1156</v>
      </c>
      <c r="K20" s="2">
        <v>2730.3</v>
      </c>
      <c r="L20" s="2">
        <v>83220</v>
      </c>
      <c r="M20" s="2">
        <v>25.8</v>
      </c>
    </row>
    <row r="21" spans="1:13" ht="24.95" customHeight="1" x14ac:dyDescent="0.25">
      <c r="A21" s="17" t="s">
        <v>105</v>
      </c>
      <c r="B21" s="2">
        <v>188</v>
      </c>
      <c r="C21" s="2">
        <v>96</v>
      </c>
      <c r="D21" s="2">
        <v>97.6</v>
      </c>
      <c r="E21" s="2">
        <v>-1.6</v>
      </c>
      <c r="F21" s="2">
        <v>37700</v>
      </c>
      <c r="G21" s="2">
        <v>136</v>
      </c>
      <c r="H21" s="2">
        <v>3619200</v>
      </c>
      <c r="I21" s="2">
        <v>48235</v>
      </c>
      <c r="J21" s="2">
        <v>5570.4</v>
      </c>
      <c r="K21" s="2">
        <v>9580.9</v>
      </c>
      <c r="L21" s="2">
        <v>149830</v>
      </c>
    </row>
    <row r="22" spans="1:13" ht="24.95" customHeight="1" x14ac:dyDescent="0.25">
      <c r="A22" s="17" t="s">
        <v>106</v>
      </c>
      <c r="B22" s="2">
        <v>294</v>
      </c>
      <c r="C22" s="2">
        <v>123</v>
      </c>
      <c r="D22" s="2">
        <v>122.3</v>
      </c>
      <c r="E22" s="2">
        <v>0.7</v>
      </c>
      <c r="F22" s="2">
        <v>37000</v>
      </c>
      <c r="G22" s="2">
        <v>143</v>
      </c>
      <c r="H22" s="2">
        <v>4551000</v>
      </c>
      <c r="I22" s="2">
        <v>99708</v>
      </c>
      <c r="J22" s="2">
        <v>4051.9</v>
      </c>
      <c r="K22" s="2">
        <v>9187.7999999999993</v>
      </c>
      <c r="L22" s="2">
        <v>296220</v>
      </c>
      <c r="M22" s="2">
        <v>30.5</v>
      </c>
    </row>
    <row r="23" spans="1:13" ht="24.95" customHeight="1" x14ac:dyDescent="0.25">
      <c r="A23" s="17" t="s">
        <v>107</v>
      </c>
      <c r="B23" s="2">
        <v>226</v>
      </c>
      <c r="C23" s="2">
        <v>90</v>
      </c>
      <c r="D23" s="2">
        <v>90.8</v>
      </c>
      <c r="E23" s="2">
        <v>-0.8</v>
      </c>
      <c r="F23" s="2">
        <v>43350</v>
      </c>
      <c r="G23" s="2">
        <v>174</v>
      </c>
      <c r="H23" s="2">
        <v>3901500</v>
      </c>
      <c r="I23" s="2">
        <v>53878</v>
      </c>
      <c r="J23" s="2">
        <v>6673.7</v>
      </c>
      <c r="K23" s="2">
        <v>10821.2</v>
      </c>
      <c r="L23" s="2">
        <v>162200</v>
      </c>
    </row>
    <row r="24" spans="1:13" ht="24.95" customHeight="1" x14ac:dyDescent="0.25">
      <c r="A24" s="17" t="s">
        <v>108</v>
      </c>
      <c r="B24" s="2">
        <v>246</v>
      </c>
      <c r="C24" s="2">
        <v>117</v>
      </c>
      <c r="D24" s="2">
        <v>117.3</v>
      </c>
      <c r="E24" s="2">
        <v>-0.3</v>
      </c>
      <c r="F24" s="2">
        <v>80500</v>
      </c>
      <c r="G24" s="2">
        <v>156</v>
      </c>
      <c r="H24" s="2">
        <v>9418500</v>
      </c>
      <c r="I24" s="2">
        <v>130015</v>
      </c>
      <c r="J24" s="2">
        <v>9046.7999999999993</v>
      </c>
      <c r="K24" s="2">
        <v>19525.400000000001</v>
      </c>
      <c r="L24" s="2">
        <v>434260</v>
      </c>
    </row>
    <row r="25" spans="1:13" ht="24.95" customHeight="1" x14ac:dyDescent="0.25">
      <c r="A25" s="17" t="s">
        <v>109</v>
      </c>
      <c r="B25" s="2">
        <v>306</v>
      </c>
      <c r="C25" s="2">
        <v>132</v>
      </c>
      <c r="D25" s="2">
        <v>132</v>
      </c>
      <c r="E25" s="2">
        <v>0.1</v>
      </c>
      <c r="F25" s="2">
        <v>9250</v>
      </c>
      <c r="G25" s="2">
        <v>143</v>
      </c>
      <c r="H25" s="2">
        <v>1221000</v>
      </c>
      <c r="I25" s="2">
        <v>27637</v>
      </c>
      <c r="J25" s="2">
        <v>918.8</v>
      </c>
      <c r="K25" s="2">
        <v>2335.6999999999998</v>
      </c>
      <c r="L25" s="2">
        <v>80540</v>
      </c>
      <c r="M25" s="2">
        <v>34.799999999999997</v>
      </c>
    </row>
    <row r="26" spans="1:13" ht="24.95" customHeight="1" x14ac:dyDescent="0.25">
      <c r="A26" s="17" t="s">
        <v>110</v>
      </c>
      <c r="B26" s="2">
        <v>308</v>
      </c>
      <c r="C26" s="2">
        <v>124</v>
      </c>
      <c r="D26" s="2">
        <v>123.7</v>
      </c>
      <c r="E26" s="2">
        <v>0.3</v>
      </c>
      <c r="F26" s="2">
        <v>9125</v>
      </c>
      <c r="G26" s="2">
        <v>204</v>
      </c>
      <c r="H26" s="2">
        <v>1131500</v>
      </c>
      <c r="I26" s="2">
        <v>16113</v>
      </c>
      <c r="J26" s="2">
        <v>815.8</v>
      </c>
      <c r="K26" s="2">
        <v>2216.9</v>
      </c>
      <c r="L26" s="2">
        <v>50610</v>
      </c>
    </row>
    <row r="27" spans="1:13" ht="24.95" customHeight="1" x14ac:dyDescent="0.25">
      <c r="A27" s="17" t="s">
        <v>111</v>
      </c>
      <c r="B27" s="2">
        <v>252</v>
      </c>
      <c r="C27" s="2">
        <v>104</v>
      </c>
      <c r="D27" s="2">
        <v>103.3</v>
      </c>
      <c r="E27" s="2">
        <v>0.7</v>
      </c>
      <c r="F27" s="2">
        <v>7550</v>
      </c>
      <c r="G27" s="2">
        <v>140</v>
      </c>
      <c r="H27" s="2">
        <v>785200</v>
      </c>
      <c r="I27" s="2">
        <v>21499</v>
      </c>
      <c r="J27" s="2">
        <v>950.5</v>
      </c>
      <c r="K27" s="2">
        <v>1897.7</v>
      </c>
      <c r="L27" s="2">
        <v>61120</v>
      </c>
      <c r="M27" s="2">
        <v>29.7</v>
      </c>
    </row>
    <row r="28" spans="1:13" ht="24.95" customHeight="1" x14ac:dyDescent="0.25">
      <c r="A28" s="17" t="s">
        <v>112</v>
      </c>
      <c r="B28" s="2">
        <v>225</v>
      </c>
      <c r="C28" s="2">
        <v>104</v>
      </c>
      <c r="D28" s="2">
        <v>104.2</v>
      </c>
      <c r="E28" s="2">
        <v>-0.2</v>
      </c>
      <c r="F28" s="2">
        <v>5500</v>
      </c>
      <c r="G28" s="2">
        <v>132</v>
      </c>
      <c r="H28" s="2">
        <v>572000</v>
      </c>
      <c r="I28" s="2">
        <v>9787</v>
      </c>
      <c r="J28" s="2">
        <v>590.29999999999995</v>
      </c>
      <c r="K28" s="2">
        <v>1334.3</v>
      </c>
      <c r="L28" s="2">
        <v>30720</v>
      </c>
    </row>
    <row r="29" spans="1:13" ht="24.95" customHeight="1" x14ac:dyDescent="0.25">
      <c r="A29" s="17" t="s">
        <v>113</v>
      </c>
      <c r="B29" s="2">
        <v>300</v>
      </c>
      <c r="C29" s="2">
        <v>118</v>
      </c>
      <c r="D29" s="2">
        <v>121</v>
      </c>
      <c r="E29" s="2">
        <v>-3</v>
      </c>
      <c r="F29" s="2">
        <v>9955</v>
      </c>
      <c r="G29" s="2">
        <v>168</v>
      </c>
      <c r="H29" s="2">
        <v>1174690</v>
      </c>
      <c r="I29" s="2">
        <v>23369</v>
      </c>
      <c r="J29" s="2">
        <v>1177</v>
      </c>
      <c r="K29" s="2">
        <v>2440.6</v>
      </c>
      <c r="L29" s="2">
        <v>70800</v>
      </c>
      <c r="M29" s="2">
        <v>20.6</v>
      </c>
    </row>
    <row r="30" spans="1:13" ht="24.95" customHeight="1" x14ac:dyDescent="0.25">
      <c r="A30" s="17" t="s">
        <v>20</v>
      </c>
      <c r="B30" s="2">
        <v>270</v>
      </c>
      <c r="C30" s="2">
        <v>118</v>
      </c>
      <c r="D30" s="2">
        <v>118</v>
      </c>
      <c r="F30" s="2">
        <v>11060</v>
      </c>
      <c r="G30" s="2">
        <v>172</v>
      </c>
      <c r="H30" s="2">
        <v>1305080</v>
      </c>
      <c r="I30" s="2">
        <v>18867</v>
      </c>
      <c r="J30" s="2">
        <v>1225.7</v>
      </c>
      <c r="K30" s="2">
        <v>2709.9</v>
      </c>
      <c r="L30" s="2">
        <v>59030</v>
      </c>
    </row>
    <row r="31" spans="1:13" ht="24.95" customHeight="1" x14ac:dyDescent="0.25">
      <c r="A31" s="17" t="s">
        <v>114</v>
      </c>
      <c r="B31" s="2">
        <v>300</v>
      </c>
      <c r="C31" s="2">
        <v>126</v>
      </c>
      <c r="D31" s="2">
        <v>125.8</v>
      </c>
      <c r="E31" s="2">
        <v>0.2</v>
      </c>
      <c r="F31" s="2">
        <v>50000</v>
      </c>
      <c r="G31" s="2">
        <v>140</v>
      </c>
      <c r="H31" s="2">
        <v>6300000</v>
      </c>
      <c r="I31" s="2">
        <v>95028</v>
      </c>
      <c r="J31" s="2">
        <v>5793.5</v>
      </c>
      <c r="K31" s="2">
        <v>12201.2</v>
      </c>
      <c r="L31" s="2">
        <v>310640</v>
      </c>
      <c r="M31" s="2">
        <v>9.4</v>
      </c>
    </row>
    <row r="32" spans="1:13" ht="24.95" customHeight="1" x14ac:dyDescent="0.25">
      <c r="A32" s="17" t="s">
        <v>115</v>
      </c>
      <c r="B32" s="2">
        <v>240</v>
      </c>
      <c r="C32" s="2">
        <v>96</v>
      </c>
      <c r="D32" s="2">
        <v>96</v>
      </c>
      <c r="F32" s="2">
        <v>58806</v>
      </c>
      <c r="G32" s="2">
        <v>175</v>
      </c>
      <c r="H32" s="2">
        <v>5645376</v>
      </c>
      <c r="I32" s="2">
        <v>76424</v>
      </c>
      <c r="J32" s="2">
        <v>7333.5</v>
      </c>
      <c r="K32" s="2">
        <v>13885.8</v>
      </c>
      <c r="L32" s="2">
        <v>253690</v>
      </c>
    </row>
    <row r="33" spans="1:13" ht="24.95" customHeight="1" x14ac:dyDescent="0.25">
      <c r="A33" s="17" t="s">
        <v>116</v>
      </c>
      <c r="B33" s="2">
        <v>258</v>
      </c>
      <c r="C33" s="2">
        <v>108</v>
      </c>
      <c r="D33" s="2">
        <v>106.8</v>
      </c>
      <c r="E33" s="2">
        <v>1.2</v>
      </c>
      <c r="F33" s="2">
        <v>14100</v>
      </c>
      <c r="G33" s="2">
        <v>151</v>
      </c>
      <c r="H33" s="2">
        <v>1552800</v>
      </c>
      <c r="I33" s="2">
        <v>27076</v>
      </c>
      <c r="J33" s="2">
        <v>1570</v>
      </c>
      <c r="K33" s="2">
        <v>3573.2</v>
      </c>
      <c r="L33" s="2">
        <v>84400</v>
      </c>
      <c r="M33" s="2">
        <v>3.8</v>
      </c>
    </row>
    <row r="34" spans="1:13" ht="24.95" customHeight="1" x14ac:dyDescent="0.25">
      <c r="A34" s="17" t="s">
        <v>117</v>
      </c>
      <c r="B34" s="2">
        <v>306</v>
      </c>
      <c r="C34" s="2">
        <v>114</v>
      </c>
      <c r="D34" s="2">
        <v>112.9</v>
      </c>
      <c r="E34" s="2">
        <v>1.1000000000000001</v>
      </c>
      <c r="F34" s="2">
        <v>26200</v>
      </c>
      <c r="G34" s="2">
        <v>187</v>
      </c>
      <c r="H34" s="2">
        <v>2986800</v>
      </c>
      <c r="I34" s="2">
        <v>41340</v>
      </c>
      <c r="J34" s="2">
        <v>2133.1999999999998</v>
      </c>
      <c r="K34" s="2">
        <v>6532.9</v>
      </c>
      <c r="L34" s="2">
        <v>131910</v>
      </c>
    </row>
    <row r="35" spans="1:13" ht="24.95" customHeight="1" x14ac:dyDescent="0.25">
      <c r="A35" s="17" t="s">
        <v>5284</v>
      </c>
      <c r="B35" s="2">
        <v>298</v>
      </c>
      <c r="C35" s="2">
        <v>134</v>
      </c>
      <c r="D35" s="2">
        <v>133.69999999999999</v>
      </c>
      <c r="E35" s="2">
        <v>0.3</v>
      </c>
      <c r="F35" s="2">
        <v>5590</v>
      </c>
      <c r="G35" s="2">
        <v>132</v>
      </c>
      <c r="H35" s="2">
        <v>749060</v>
      </c>
      <c r="I35" s="2">
        <v>18731</v>
      </c>
      <c r="J35" s="2">
        <v>620</v>
      </c>
      <c r="K35" s="2">
        <v>1477.7</v>
      </c>
      <c r="L35" s="2">
        <v>53520</v>
      </c>
      <c r="M35" s="2">
        <v>38.9</v>
      </c>
    </row>
    <row r="36" spans="1:13" ht="24.95" customHeight="1" x14ac:dyDescent="0.25">
      <c r="A36" s="17" t="s">
        <v>119</v>
      </c>
      <c r="B36" s="2">
        <v>312</v>
      </c>
      <c r="C36" s="2">
        <v>128</v>
      </c>
      <c r="D36" s="2">
        <v>129.19999999999999</v>
      </c>
      <c r="E36" s="2">
        <v>-1.2</v>
      </c>
      <c r="F36" s="2">
        <v>15000</v>
      </c>
      <c r="G36" s="2">
        <v>176</v>
      </c>
      <c r="H36" s="2">
        <v>1920000</v>
      </c>
      <c r="I36" s="2">
        <v>27010</v>
      </c>
      <c r="J36" s="2">
        <v>1582.5</v>
      </c>
      <c r="K36" s="2">
        <v>3662.7</v>
      </c>
      <c r="L36" s="2">
        <v>86460</v>
      </c>
      <c r="M36" s="2">
        <v>3.4</v>
      </c>
    </row>
    <row r="37" spans="1:13" ht="24.95" customHeight="1" x14ac:dyDescent="0.25">
      <c r="A37" s="17" t="s">
        <v>120</v>
      </c>
      <c r="B37" s="2">
        <v>294</v>
      </c>
      <c r="C37" s="2">
        <v>116</v>
      </c>
      <c r="D37" s="2">
        <v>116</v>
      </c>
      <c r="F37" s="2">
        <v>10825</v>
      </c>
      <c r="G37" s="2">
        <v>209</v>
      </c>
      <c r="H37" s="2">
        <v>1255700</v>
      </c>
      <c r="I37" s="2">
        <v>18688</v>
      </c>
      <c r="J37" s="2">
        <v>1022.7</v>
      </c>
      <c r="K37" s="2">
        <v>2677.5</v>
      </c>
      <c r="L37" s="2">
        <v>63820</v>
      </c>
      <c r="M37" s="2">
        <v>5</v>
      </c>
    </row>
    <row r="38" spans="1:13" ht="24.95" customHeight="1" x14ac:dyDescent="0.25">
      <c r="A38" s="17" t="s">
        <v>121</v>
      </c>
      <c r="B38" s="2">
        <v>214</v>
      </c>
      <c r="C38" s="2">
        <v>110</v>
      </c>
      <c r="D38" s="2">
        <v>112.3</v>
      </c>
      <c r="E38" s="2">
        <v>-2.2999999999999998</v>
      </c>
      <c r="F38" s="2">
        <v>12950</v>
      </c>
      <c r="G38" s="2">
        <v>111</v>
      </c>
      <c r="H38" s="2">
        <v>1424500</v>
      </c>
      <c r="I38" s="2">
        <v>20876</v>
      </c>
      <c r="J38" s="2">
        <v>2106.8000000000002</v>
      </c>
      <c r="K38" s="2">
        <v>3269.7</v>
      </c>
      <c r="L38" s="2">
        <v>61250</v>
      </c>
    </row>
    <row r="39" spans="1:13" ht="24.95" customHeight="1" x14ac:dyDescent="0.25">
      <c r="A39" s="17" t="s">
        <v>122</v>
      </c>
      <c r="B39" s="2">
        <v>328</v>
      </c>
      <c r="C39" s="2">
        <v>120</v>
      </c>
      <c r="D39" s="2">
        <v>120.8</v>
      </c>
      <c r="E39" s="2">
        <v>-0.8</v>
      </c>
      <c r="F39" s="2">
        <v>16250</v>
      </c>
      <c r="G39" s="2">
        <v>168</v>
      </c>
      <c r="H39" s="2">
        <v>1950000</v>
      </c>
      <c r="I39" s="2">
        <v>31621</v>
      </c>
      <c r="J39" s="2">
        <v>2270</v>
      </c>
      <c r="K39" s="2">
        <v>4017.4</v>
      </c>
      <c r="L39" s="2">
        <v>105430</v>
      </c>
      <c r="M39" s="2">
        <v>14.8</v>
      </c>
    </row>
    <row r="40" spans="1:13" ht="24.95" customHeight="1" x14ac:dyDescent="0.25">
      <c r="A40" s="17" t="s">
        <v>123</v>
      </c>
      <c r="B40" s="2">
        <v>252</v>
      </c>
      <c r="C40" s="2">
        <v>124</v>
      </c>
      <c r="D40" s="2">
        <v>125.4</v>
      </c>
      <c r="E40" s="2">
        <v>-1.4</v>
      </c>
      <c r="F40" s="2">
        <v>17200</v>
      </c>
      <c r="G40" s="2">
        <v>133</v>
      </c>
      <c r="H40" s="2">
        <v>2132800</v>
      </c>
      <c r="I40" s="2">
        <v>24284</v>
      </c>
      <c r="J40" s="2">
        <v>1843.5</v>
      </c>
      <c r="K40" s="2">
        <v>4394.1000000000004</v>
      </c>
      <c r="L40" s="2">
        <v>78950</v>
      </c>
    </row>
    <row r="41" spans="1:13" ht="24.95" customHeight="1" x14ac:dyDescent="0.25">
      <c r="A41" s="17" t="s">
        <v>124</v>
      </c>
      <c r="B41" s="2">
        <v>330</v>
      </c>
      <c r="C41" s="2">
        <v>142</v>
      </c>
      <c r="D41" s="2">
        <v>141.5</v>
      </c>
      <c r="E41" s="2">
        <v>0.5</v>
      </c>
      <c r="F41" s="2">
        <v>12500</v>
      </c>
      <c r="G41" s="2">
        <v>150</v>
      </c>
      <c r="H41" s="2">
        <v>1775000</v>
      </c>
      <c r="I41" s="2">
        <v>33694</v>
      </c>
      <c r="J41" s="2">
        <v>1371.1</v>
      </c>
      <c r="K41" s="2">
        <v>3200.3</v>
      </c>
      <c r="L41" s="2">
        <v>103120</v>
      </c>
      <c r="M41" s="2">
        <v>30</v>
      </c>
    </row>
    <row r="42" spans="1:13" ht="24.95" customHeight="1" x14ac:dyDescent="0.25">
      <c r="A42" s="17" t="s">
        <v>473</v>
      </c>
      <c r="B42" s="2">
        <v>314</v>
      </c>
      <c r="C42" s="2">
        <v>150</v>
      </c>
      <c r="D42" s="2">
        <v>152.80000000000001</v>
      </c>
      <c r="E42" s="2">
        <v>-2.8</v>
      </c>
      <c r="F42" s="2">
        <v>10460</v>
      </c>
      <c r="G42" s="2">
        <v>122</v>
      </c>
      <c r="H42" s="2">
        <v>1569000</v>
      </c>
      <c r="I42" s="2">
        <v>19966</v>
      </c>
      <c r="J42" s="2">
        <v>1083</v>
      </c>
      <c r="K42" s="2">
        <v>2559.6</v>
      </c>
      <c r="L42" s="2">
        <v>70180</v>
      </c>
      <c r="M42" s="2">
        <v>17.100000000000001</v>
      </c>
    </row>
    <row r="43" spans="1:13" ht="24.95" customHeight="1" x14ac:dyDescent="0.25">
      <c r="A43" s="17" t="s">
        <v>6709</v>
      </c>
      <c r="B43" s="2">
        <v>272</v>
      </c>
      <c r="C43" s="2">
        <v>136</v>
      </c>
      <c r="D43" s="2">
        <v>137.4</v>
      </c>
      <c r="E43" s="2">
        <v>-1.4</v>
      </c>
      <c r="F43" s="2">
        <v>9010</v>
      </c>
      <c r="G43" s="2">
        <v>126</v>
      </c>
      <c r="H43" s="2">
        <v>1225360</v>
      </c>
      <c r="I43" s="2">
        <v>17319</v>
      </c>
      <c r="J43" s="2">
        <v>843.8</v>
      </c>
      <c r="K43" s="2">
        <v>2226.1999999999998</v>
      </c>
      <c r="L43" s="2">
        <v>52450</v>
      </c>
      <c r="M43" s="2">
        <v>4.5</v>
      </c>
    </row>
    <row r="44" spans="1:13" ht="24.95" customHeight="1" x14ac:dyDescent="0.25">
      <c r="A44" s="17" t="s">
        <v>128</v>
      </c>
      <c r="B44" s="2">
        <v>279</v>
      </c>
      <c r="C44" s="2">
        <v>127</v>
      </c>
      <c r="D44" s="2">
        <v>126.7</v>
      </c>
      <c r="E44" s="2">
        <v>0.3</v>
      </c>
      <c r="F44" s="2">
        <v>13775</v>
      </c>
      <c r="G44" s="2">
        <v>169</v>
      </c>
      <c r="H44" s="2">
        <v>1749425</v>
      </c>
      <c r="I44" s="2">
        <v>29561</v>
      </c>
      <c r="J44" s="2">
        <v>1649.4</v>
      </c>
      <c r="K44" s="2">
        <v>3420.7</v>
      </c>
      <c r="L44" s="2">
        <v>96780</v>
      </c>
      <c r="M44" s="2">
        <v>18.600000000000001</v>
      </c>
    </row>
    <row r="45" spans="1:13" ht="24.95" customHeight="1" x14ac:dyDescent="0.25">
      <c r="A45" s="17" t="s">
        <v>129</v>
      </c>
      <c r="B45" s="2">
        <v>306</v>
      </c>
      <c r="C45" s="2">
        <v>126</v>
      </c>
      <c r="D45" s="2">
        <v>126</v>
      </c>
      <c r="F45" s="2">
        <v>10400</v>
      </c>
      <c r="G45" s="2">
        <v>122</v>
      </c>
      <c r="H45" s="2">
        <v>1310400</v>
      </c>
      <c r="I45" s="2">
        <v>34440</v>
      </c>
      <c r="J45" s="2">
        <v>1117.2</v>
      </c>
      <c r="K45" s="2">
        <v>2578.3000000000002</v>
      </c>
      <c r="L45" s="2">
        <v>96250</v>
      </c>
      <c r="M45" s="2">
        <v>39</v>
      </c>
    </row>
    <row r="46" spans="1:13" ht="24.95" customHeight="1" x14ac:dyDescent="0.25">
      <c r="A46" s="17" t="s">
        <v>130</v>
      </c>
      <c r="B46" s="2">
        <v>280</v>
      </c>
      <c r="C46" s="2">
        <v>120</v>
      </c>
      <c r="D46" s="2">
        <v>122.3</v>
      </c>
      <c r="E46" s="2">
        <v>-2.2999999999999998</v>
      </c>
      <c r="F46" s="2">
        <v>10335</v>
      </c>
      <c r="G46" s="2">
        <v>121</v>
      </c>
      <c r="H46" s="2">
        <v>1240200</v>
      </c>
      <c r="I46" s="2">
        <v>23299</v>
      </c>
      <c r="J46" s="2">
        <v>1747.2</v>
      </c>
      <c r="K46" s="2">
        <v>2637.6</v>
      </c>
      <c r="L46" s="2">
        <v>66640</v>
      </c>
      <c r="M46" s="2">
        <v>9.8000000000000007</v>
      </c>
    </row>
    <row r="47" spans="1:13" ht="24.95" customHeight="1" x14ac:dyDescent="0.25">
      <c r="A47" s="17" t="s">
        <v>5288</v>
      </c>
      <c r="B47" s="2">
        <v>312</v>
      </c>
      <c r="C47" s="2">
        <v>141</v>
      </c>
      <c r="D47" s="2">
        <v>140.80000000000001</v>
      </c>
      <c r="E47" s="2">
        <v>0.2</v>
      </c>
      <c r="F47" s="2">
        <v>16300</v>
      </c>
      <c r="G47" s="2">
        <v>124</v>
      </c>
      <c r="H47" s="2">
        <v>2298300</v>
      </c>
      <c r="I47" s="2">
        <v>46118</v>
      </c>
      <c r="J47" s="2">
        <v>1710.7</v>
      </c>
      <c r="K47" s="2">
        <v>4001.6</v>
      </c>
      <c r="L47" s="2">
        <v>131050</v>
      </c>
      <c r="M47" s="2">
        <v>30.7</v>
      </c>
    </row>
    <row r="48" spans="1:13" ht="24.95" customHeight="1" x14ac:dyDescent="0.25">
      <c r="A48" s="17" t="s">
        <v>5289</v>
      </c>
      <c r="B48" s="2">
        <v>276</v>
      </c>
      <c r="C48" s="2">
        <v>108</v>
      </c>
      <c r="D48" s="2">
        <v>106.8</v>
      </c>
      <c r="E48" s="2">
        <v>1.2</v>
      </c>
      <c r="F48" s="2">
        <v>19750</v>
      </c>
      <c r="G48" s="2">
        <v>156</v>
      </c>
      <c r="H48" s="2">
        <v>2133000</v>
      </c>
      <c r="I48" s="2">
        <v>37007</v>
      </c>
      <c r="J48" s="2">
        <v>2304.9</v>
      </c>
      <c r="K48" s="2">
        <v>4928.8999999999996</v>
      </c>
      <c r="L48" s="2">
        <v>118410</v>
      </c>
      <c r="M48" s="2">
        <v>6.1</v>
      </c>
    </row>
    <row r="49" spans="1:13" ht="24.95" customHeight="1" x14ac:dyDescent="0.25">
      <c r="A49" s="17" t="s">
        <v>133</v>
      </c>
      <c r="B49" s="2">
        <v>324</v>
      </c>
      <c r="C49" s="2">
        <v>140</v>
      </c>
      <c r="D49" s="2">
        <v>139</v>
      </c>
      <c r="E49" s="2">
        <v>1</v>
      </c>
      <c r="F49" s="2">
        <v>33250</v>
      </c>
      <c r="G49" s="2">
        <v>126</v>
      </c>
      <c r="H49" s="2">
        <v>4655000</v>
      </c>
      <c r="I49" s="2">
        <v>93556</v>
      </c>
      <c r="J49" s="2">
        <v>3697.1</v>
      </c>
      <c r="K49" s="2">
        <v>8711.7999999999993</v>
      </c>
      <c r="L49" s="2">
        <v>301640</v>
      </c>
      <c r="M49" s="2">
        <v>35</v>
      </c>
    </row>
    <row r="50" spans="1:13" ht="24.95" customHeight="1" x14ac:dyDescent="0.25">
      <c r="A50" s="17" t="s">
        <v>134</v>
      </c>
      <c r="B50" s="2">
        <v>288</v>
      </c>
      <c r="C50" s="2">
        <v>120</v>
      </c>
      <c r="D50" s="2">
        <v>119.2</v>
      </c>
      <c r="E50" s="2">
        <v>0.8</v>
      </c>
      <c r="F50" s="2">
        <v>80175</v>
      </c>
      <c r="G50" s="2">
        <v>165</v>
      </c>
      <c r="H50" s="2">
        <v>9621000</v>
      </c>
      <c r="I50" s="2">
        <v>172974</v>
      </c>
      <c r="J50" s="2">
        <v>8470.2000000000007</v>
      </c>
      <c r="K50" s="2">
        <v>19716.400000000001</v>
      </c>
      <c r="L50" s="2">
        <v>514640</v>
      </c>
      <c r="M50" s="2">
        <v>12.8</v>
      </c>
    </row>
    <row r="51" spans="1:13" ht="24.95" customHeight="1" x14ac:dyDescent="0.25">
      <c r="A51" s="17" t="s">
        <v>37</v>
      </c>
      <c r="B51" s="2">
        <v>284</v>
      </c>
      <c r="C51" s="2">
        <v>122</v>
      </c>
      <c r="D51" s="2">
        <v>122.5</v>
      </c>
      <c r="E51" s="2">
        <v>-0.5</v>
      </c>
      <c r="F51" s="2">
        <v>53750</v>
      </c>
      <c r="G51" s="2">
        <v>170</v>
      </c>
      <c r="H51" s="2">
        <v>6557500</v>
      </c>
      <c r="I51" s="2">
        <v>86908</v>
      </c>
      <c r="J51" s="2">
        <v>5569.8</v>
      </c>
      <c r="K51" s="2">
        <v>13228.1</v>
      </c>
      <c r="L51" s="2">
        <v>272500</v>
      </c>
    </row>
    <row r="52" spans="1:13" ht="24.95" customHeight="1" x14ac:dyDescent="0.25">
      <c r="A52" s="17" t="s">
        <v>135</v>
      </c>
      <c r="B52" s="2">
        <v>270</v>
      </c>
      <c r="C52" s="2">
        <v>122</v>
      </c>
      <c r="D52" s="2">
        <v>121.3</v>
      </c>
      <c r="E52" s="2">
        <v>0.7</v>
      </c>
      <c r="F52" s="2">
        <v>10000</v>
      </c>
      <c r="G52" s="2">
        <v>149</v>
      </c>
      <c r="H52" s="2">
        <v>1220000</v>
      </c>
      <c r="I52" s="2">
        <v>25193</v>
      </c>
      <c r="J52" s="2">
        <v>1259.3</v>
      </c>
      <c r="K52" s="2">
        <v>2504.3000000000002</v>
      </c>
      <c r="L52" s="2">
        <v>76930</v>
      </c>
      <c r="M52" s="2">
        <v>25.4</v>
      </c>
    </row>
    <row r="53" spans="1:13" ht="24.95" customHeight="1" x14ac:dyDescent="0.25">
      <c r="A53" s="17" t="s">
        <v>136</v>
      </c>
      <c r="B53" s="2">
        <v>306</v>
      </c>
      <c r="C53" s="2">
        <v>137</v>
      </c>
      <c r="D53" s="2">
        <v>136.19999999999999</v>
      </c>
      <c r="E53" s="2">
        <v>0.8</v>
      </c>
      <c r="F53" s="2">
        <v>101268</v>
      </c>
      <c r="G53" s="2">
        <v>141</v>
      </c>
      <c r="H53" s="2">
        <v>13873716</v>
      </c>
      <c r="I53" s="2">
        <v>203153</v>
      </c>
      <c r="J53" s="2">
        <v>11433.2</v>
      </c>
      <c r="K53" s="2">
        <v>26083.8</v>
      </c>
      <c r="L53" s="2">
        <v>745230</v>
      </c>
      <c r="M53" s="2">
        <v>20.8</v>
      </c>
    </row>
    <row r="54" spans="1:13" ht="24.95" customHeight="1" x14ac:dyDescent="0.25">
      <c r="A54" s="17" t="s">
        <v>137</v>
      </c>
      <c r="B54" s="2">
        <v>327</v>
      </c>
      <c r="C54" s="2">
        <v>138</v>
      </c>
      <c r="D54" s="2">
        <v>137.5</v>
      </c>
      <c r="E54" s="2">
        <v>0.5</v>
      </c>
      <c r="F54" s="2">
        <v>104000</v>
      </c>
      <c r="G54" s="2">
        <v>133</v>
      </c>
      <c r="H54" s="2">
        <v>14352000</v>
      </c>
      <c r="I54" s="2">
        <v>200134</v>
      </c>
      <c r="J54" s="2">
        <v>10533.6</v>
      </c>
      <c r="K54" s="2">
        <v>27377.3</v>
      </c>
      <c r="L54" s="2">
        <v>659170</v>
      </c>
      <c r="M54" s="2">
        <v>7.7</v>
      </c>
    </row>
    <row r="55" spans="1:13" ht="24.95" customHeight="1" x14ac:dyDescent="0.25">
      <c r="A55" s="17" t="s">
        <v>138</v>
      </c>
      <c r="B55" s="2">
        <v>276</v>
      </c>
      <c r="C55" s="2">
        <v>114</v>
      </c>
      <c r="D55" s="2">
        <v>113.3</v>
      </c>
      <c r="E55" s="2">
        <v>0.7</v>
      </c>
      <c r="F55" s="2">
        <v>19350</v>
      </c>
      <c r="G55" s="2">
        <v>160</v>
      </c>
      <c r="H55" s="2">
        <v>2205900</v>
      </c>
      <c r="I55" s="2">
        <v>45150</v>
      </c>
      <c r="J55" s="2">
        <v>2363</v>
      </c>
      <c r="K55" s="2">
        <v>4927.8999999999996</v>
      </c>
      <c r="L55" s="2">
        <v>157690</v>
      </c>
      <c r="M55" s="2">
        <v>28.9</v>
      </c>
    </row>
    <row r="56" spans="1:13" ht="24.95" customHeight="1" x14ac:dyDescent="0.25">
      <c r="A56" s="17" t="s">
        <v>139</v>
      </c>
      <c r="B56" s="2">
        <v>258</v>
      </c>
      <c r="C56" s="2">
        <v>126</v>
      </c>
      <c r="D56" s="2">
        <v>125.1</v>
      </c>
      <c r="E56" s="2">
        <v>0.9</v>
      </c>
      <c r="F56" s="2">
        <v>46850</v>
      </c>
      <c r="G56" s="2">
        <v>126</v>
      </c>
      <c r="H56" s="2">
        <v>5903100</v>
      </c>
      <c r="I56" s="2">
        <v>87448</v>
      </c>
      <c r="J56" s="2">
        <v>4681.5</v>
      </c>
      <c r="K56" s="2">
        <v>11911.3</v>
      </c>
      <c r="L56" s="2">
        <v>267090</v>
      </c>
    </row>
    <row r="57" spans="1:13" ht="24.95" customHeight="1" x14ac:dyDescent="0.25">
      <c r="A57" s="17" t="s">
        <v>140</v>
      </c>
      <c r="B57" s="2">
        <v>278</v>
      </c>
      <c r="C57" s="2">
        <v>113</v>
      </c>
      <c r="D57" s="2">
        <v>112.2</v>
      </c>
      <c r="E57" s="2">
        <v>0.8</v>
      </c>
      <c r="F57" s="2">
        <v>17885</v>
      </c>
      <c r="G57" s="2">
        <v>158</v>
      </c>
      <c r="H57" s="2">
        <v>2021005</v>
      </c>
      <c r="I57" s="2">
        <v>35019</v>
      </c>
      <c r="J57" s="2">
        <v>2083.4</v>
      </c>
      <c r="K57" s="2">
        <v>4317.8</v>
      </c>
      <c r="L57" s="2">
        <v>104.91</v>
      </c>
      <c r="M57" s="2">
        <v>5.2</v>
      </c>
    </row>
    <row r="58" spans="1:13" ht="24.95" customHeight="1" x14ac:dyDescent="0.25">
      <c r="A58" s="17" t="s">
        <v>141</v>
      </c>
      <c r="B58" s="2">
        <v>316</v>
      </c>
      <c r="C58" s="2">
        <v>132</v>
      </c>
      <c r="D58" s="2">
        <v>132.5</v>
      </c>
      <c r="E58" s="2">
        <v>-0.5</v>
      </c>
      <c r="F58" s="2">
        <v>20750</v>
      </c>
      <c r="G58" s="2">
        <v>169</v>
      </c>
      <c r="H58" s="2">
        <v>2739000</v>
      </c>
      <c r="I58" s="2">
        <v>40757</v>
      </c>
      <c r="J58" s="2">
        <v>2046.3</v>
      </c>
      <c r="K58" s="2">
        <v>5061.8999999999996</v>
      </c>
      <c r="L58" s="2">
        <v>119760</v>
      </c>
      <c r="M58" s="2">
        <v>4.8</v>
      </c>
    </row>
    <row r="59" spans="1:13" ht="24.95" customHeight="1" x14ac:dyDescent="0.25">
      <c r="A59" s="17" t="s">
        <v>142</v>
      </c>
      <c r="B59" s="2">
        <v>276</v>
      </c>
      <c r="C59" s="2">
        <v>95</v>
      </c>
      <c r="D59" s="2">
        <v>95</v>
      </c>
      <c r="E59" s="2">
        <v>0.1</v>
      </c>
      <c r="F59" s="2">
        <v>57400</v>
      </c>
      <c r="G59" s="2">
        <v>192</v>
      </c>
      <c r="H59" s="2">
        <v>5453000</v>
      </c>
      <c r="I59" s="2">
        <v>98137</v>
      </c>
      <c r="J59" s="2">
        <v>5488.6</v>
      </c>
      <c r="K59" s="2">
        <v>14140.4</v>
      </c>
      <c r="L59" s="2">
        <v>314360</v>
      </c>
    </row>
    <row r="60" spans="1:13" ht="24.95" customHeight="1" x14ac:dyDescent="0.25">
      <c r="A60" s="17" t="s">
        <v>2521</v>
      </c>
      <c r="B60" s="2">
        <v>312</v>
      </c>
      <c r="C60" s="2">
        <v>137</v>
      </c>
      <c r="D60" s="2">
        <v>136.4</v>
      </c>
      <c r="E60" s="2">
        <v>0.6</v>
      </c>
      <c r="F60" s="2">
        <v>12100</v>
      </c>
      <c r="G60" s="2">
        <v>129</v>
      </c>
      <c r="H60" s="2">
        <v>1657000</v>
      </c>
      <c r="I60" s="2">
        <v>40358</v>
      </c>
      <c r="J60" s="2">
        <v>1469.7</v>
      </c>
      <c r="K60" s="2">
        <v>3180.6</v>
      </c>
      <c r="L60" s="2">
        <v>114680</v>
      </c>
      <c r="M60" s="2">
        <v>38.9</v>
      </c>
    </row>
    <row r="61" spans="1:13" ht="24.95" customHeight="1" x14ac:dyDescent="0.25">
      <c r="A61" s="17" t="s">
        <v>47</v>
      </c>
      <c r="B61" s="2">
        <v>286</v>
      </c>
      <c r="C61" s="2">
        <v>120</v>
      </c>
      <c r="D61" s="2">
        <v>122</v>
      </c>
      <c r="E61" s="2">
        <v>-2</v>
      </c>
      <c r="F61" s="2">
        <v>25000</v>
      </c>
      <c r="G61" s="2">
        <v>176</v>
      </c>
      <c r="H61" s="2">
        <v>3000000</v>
      </c>
      <c r="I61" s="2">
        <v>29518</v>
      </c>
      <c r="J61" s="2">
        <v>2651.8</v>
      </c>
      <c r="K61" s="2">
        <v>6306.2</v>
      </c>
      <c r="L61" s="2">
        <v>106560</v>
      </c>
    </row>
    <row r="62" spans="1:13" ht="24.95" customHeight="1" x14ac:dyDescent="0.25">
      <c r="A62" s="17" t="s">
        <v>144</v>
      </c>
      <c r="B62" s="2">
        <v>252</v>
      </c>
      <c r="C62" s="2">
        <v>113</v>
      </c>
      <c r="D62" s="2">
        <v>112.3</v>
      </c>
      <c r="E62" s="2">
        <v>0.8</v>
      </c>
      <c r="F62" s="2">
        <v>33747</v>
      </c>
      <c r="G62" s="2">
        <v>126</v>
      </c>
      <c r="H62" s="2">
        <v>3813411</v>
      </c>
      <c r="I62" s="2">
        <v>52821</v>
      </c>
      <c r="J62" s="2">
        <v>4077.9</v>
      </c>
      <c r="K62" s="2">
        <v>7952.3</v>
      </c>
      <c r="L62" s="2">
        <v>209900</v>
      </c>
      <c r="M62" s="2">
        <v>10.4</v>
      </c>
    </row>
    <row r="63" spans="1:13" ht="24.95" customHeight="1" x14ac:dyDescent="0.25">
      <c r="A63" s="17" t="s">
        <v>145</v>
      </c>
      <c r="B63" s="2">
        <v>232</v>
      </c>
      <c r="C63" s="2">
        <v>112</v>
      </c>
      <c r="D63" s="2">
        <v>111.7</v>
      </c>
      <c r="E63" s="2">
        <v>0.3</v>
      </c>
      <c r="F63" s="2">
        <v>36105</v>
      </c>
      <c r="G63" s="2">
        <v>113</v>
      </c>
      <c r="H63" s="2">
        <v>4043760</v>
      </c>
      <c r="I63" s="2">
        <v>63365</v>
      </c>
      <c r="J63" s="2">
        <v>4776.7</v>
      </c>
      <c r="K63" s="2">
        <v>8664.7000000000007</v>
      </c>
      <c r="L63" s="2">
        <v>226670</v>
      </c>
      <c r="M63" s="2">
        <v>9.6999999999999993</v>
      </c>
    </row>
    <row r="64" spans="1:13" ht="24.95" customHeight="1" x14ac:dyDescent="0.25">
      <c r="A64" s="17" t="s">
        <v>146</v>
      </c>
      <c r="B64" s="2">
        <v>294</v>
      </c>
      <c r="C64" s="2">
        <v>121</v>
      </c>
      <c r="D64" s="2">
        <v>120.9</v>
      </c>
      <c r="E64" s="2">
        <v>0.1</v>
      </c>
      <c r="F64" s="2">
        <v>16460</v>
      </c>
      <c r="G64" s="2">
        <v>177</v>
      </c>
      <c r="H64" s="2">
        <v>1991660</v>
      </c>
      <c r="I64" s="2">
        <v>35861</v>
      </c>
      <c r="J64" s="2">
        <v>1765.6</v>
      </c>
      <c r="K64" s="2">
        <v>4257</v>
      </c>
      <c r="L64" s="2">
        <v>112130</v>
      </c>
      <c r="M64" s="2">
        <v>13.7</v>
      </c>
    </row>
    <row r="65" spans="1:13" ht="24.95" customHeight="1" x14ac:dyDescent="0.25">
      <c r="A65" s="17" t="s">
        <v>5302</v>
      </c>
      <c r="B65" s="2">
        <v>264</v>
      </c>
      <c r="C65" s="2">
        <v>90</v>
      </c>
      <c r="D65" s="2">
        <v>92</v>
      </c>
      <c r="E65" s="2">
        <v>-2</v>
      </c>
      <c r="F65" s="2">
        <v>25600</v>
      </c>
      <c r="G65" s="2">
        <v>181</v>
      </c>
      <c r="H65" s="2">
        <v>2304000</v>
      </c>
      <c r="I65" s="2">
        <v>36415</v>
      </c>
      <c r="J65" s="2">
        <v>2748.5</v>
      </c>
      <c r="K65" s="2">
        <v>6225</v>
      </c>
      <c r="L65" s="2">
        <v>121420</v>
      </c>
    </row>
    <row r="66" spans="1:13" ht="24.95" customHeight="1" x14ac:dyDescent="0.25">
      <c r="A66" s="17" t="s">
        <v>148</v>
      </c>
      <c r="B66" s="2">
        <v>297</v>
      </c>
      <c r="C66" s="2">
        <v>124</v>
      </c>
      <c r="D66" s="2">
        <v>124.5</v>
      </c>
      <c r="E66" s="2">
        <v>-0.5</v>
      </c>
      <c r="F66" s="2">
        <v>9815</v>
      </c>
      <c r="G66" s="2">
        <v>123</v>
      </c>
      <c r="H66" s="2">
        <v>1217060</v>
      </c>
      <c r="I66" s="2">
        <v>31057</v>
      </c>
      <c r="J66" s="2">
        <v>1172.7</v>
      </c>
      <c r="K66" s="2">
        <v>2534.5</v>
      </c>
      <c r="L66" s="2">
        <v>86130</v>
      </c>
      <c r="M66" s="2">
        <v>35.700000000000003</v>
      </c>
    </row>
    <row r="67" spans="1:13" ht="24.95" customHeight="1" x14ac:dyDescent="0.25">
      <c r="A67" s="17" t="s">
        <v>4506</v>
      </c>
      <c r="B67" s="2">
        <v>300</v>
      </c>
      <c r="C67" s="2">
        <v>122</v>
      </c>
      <c r="D67" s="2">
        <v>125.8</v>
      </c>
      <c r="E67" s="2">
        <v>-3.8</v>
      </c>
      <c r="F67" s="2">
        <v>13005</v>
      </c>
      <c r="G67" s="2">
        <v>168</v>
      </c>
      <c r="H67" s="2">
        <v>1586610</v>
      </c>
      <c r="I67" s="2">
        <v>26922</v>
      </c>
      <c r="J67" s="2">
        <v>1199.5</v>
      </c>
      <c r="K67" s="2">
        <v>3301.9</v>
      </c>
      <c r="L67" s="2">
        <v>86220</v>
      </c>
      <c r="M67" s="2">
        <v>13.5</v>
      </c>
    </row>
    <row r="68" spans="1:13" ht="24.95" customHeight="1" x14ac:dyDescent="0.25">
      <c r="A68" s="17" t="s">
        <v>5303</v>
      </c>
      <c r="B68" s="2">
        <v>288</v>
      </c>
      <c r="C68" s="2">
        <v>114</v>
      </c>
      <c r="D68" s="2">
        <v>113</v>
      </c>
      <c r="E68" s="2">
        <v>1</v>
      </c>
      <c r="F68" s="2">
        <v>13400</v>
      </c>
      <c r="G68" s="2">
        <v>206</v>
      </c>
      <c r="H68" s="2">
        <v>1527600</v>
      </c>
      <c r="I68" s="2">
        <v>31642</v>
      </c>
      <c r="J68" s="2">
        <v>1433.5</v>
      </c>
      <c r="K68" s="2">
        <v>3304.6</v>
      </c>
      <c r="L68" s="2">
        <v>108260</v>
      </c>
      <c r="M68" s="2">
        <v>30.8</v>
      </c>
    </row>
    <row r="69" spans="1:13" ht="24.95" customHeight="1" x14ac:dyDescent="0.25">
      <c r="A69" s="17" t="s">
        <v>151</v>
      </c>
      <c r="B69" s="2">
        <v>312</v>
      </c>
      <c r="C69" s="2">
        <v>138</v>
      </c>
      <c r="D69" s="2">
        <v>137.30000000000001</v>
      </c>
      <c r="E69" s="2">
        <v>0.7</v>
      </c>
      <c r="F69" s="2">
        <v>18400</v>
      </c>
      <c r="G69" s="2">
        <v>155</v>
      </c>
      <c r="H69" s="2">
        <v>2539200</v>
      </c>
      <c r="I69" s="2">
        <v>47344</v>
      </c>
      <c r="J69" s="2">
        <v>2084.5</v>
      </c>
      <c r="K69" s="2">
        <v>4766.6000000000004</v>
      </c>
      <c r="L69" s="2">
        <v>154000</v>
      </c>
      <c r="M69" s="2">
        <v>29.5</v>
      </c>
    </row>
    <row r="70" spans="1:13" ht="24.95" customHeight="1" x14ac:dyDescent="0.25">
      <c r="A70" s="17" t="s">
        <v>152</v>
      </c>
      <c r="B70" s="2">
        <v>312</v>
      </c>
      <c r="C70" s="2">
        <v>112</v>
      </c>
      <c r="D70" s="2">
        <v>111.5</v>
      </c>
      <c r="E70" s="2">
        <v>0.6</v>
      </c>
      <c r="F70" s="2">
        <v>81629</v>
      </c>
      <c r="G70" s="2">
        <v>182</v>
      </c>
      <c r="H70" s="2">
        <v>9142448</v>
      </c>
      <c r="I70" s="2">
        <v>16614</v>
      </c>
      <c r="J70" s="2">
        <v>7193.6</v>
      </c>
      <c r="K70" s="2">
        <v>19955.2</v>
      </c>
      <c r="L70" s="2">
        <v>495240</v>
      </c>
      <c r="M70" s="2">
        <v>9.6</v>
      </c>
    </row>
    <row r="71" spans="1:13" ht="24.95" customHeight="1" x14ac:dyDescent="0.25">
      <c r="A71" s="17" t="s">
        <v>153</v>
      </c>
      <c r="B71" s="2">
        <v>276</v>
      </c>
      <c r="C71" s="2">
        <v>114</v>
      </c>
      <c r="D71" s="2">
        <v>113.9</v>
      </c>
      <c r="E71" s="2">
        <v>0.1</v>
      </c>
      <c r="F71" s="2">
        <v>10500</v>
      </c>
      <c r="G71" s="2">
        <v>201</v>
      </c>
      <c r="H71" s="2">
        <v>197000</v>
      </c>
      <c r="I71" s="2">
        <v>21236</v>
      </c>
      <c r="J71" s="2">
        <v>954.6</v>
      </c>
      <c r="K71" s="2">
        <v>2633.1</v>
      </c>
      <c r="L71" s="2">
        <v>68680</v>
      </c>
      <c r="M71" s="2">
        <v>12.9</v>
      </c>
    </row>
    <row r="72" spans="1:13" ht="24.95" customHeight="1" x14ac:dyDescent="0.25">
      <c r="A72" s="17" t="s">
        <v>154</v>
      </c>
      <c r="B72" s="2">
        <v>244</v>
      </c>
      <c r="C72" s="2">
        <v>113</v>
      </c>
      <c r="D72" s="2">
        <v>113</v>
      </c>
      <c r="F72" s="2">
        <v>41550</v>
      </c>
      <c r="G72" s="2">
        <v>150</v>
      </c>
      <c r="H72" s="2">
        <v>4695150</v>
      </c>
      <c r="I72" s="2">
        <v>62850</v>
      </c>
      <c r="J72" s="2">
        <v>4725.6000000000004</v>
      </c>
      <c r="K72" s="2">
        <v>10288.799999999999</v>
      </c>
      <c r="L72" s="2">
        <v>205790</v>
      </c>
    </row>
    <row r="73" spans="1:13" ht="24.95" customHeight="1" x14ac:dyDescent="0.25">
      <c r="A73" s="17" t="s">
        <v>155</v>
      </c>
      <c r="B73" s="2">
        <v>240</v>
      </c>
      <c r="C73" s="2">
        <v>122</v>
      </c>
      <c r="D73" s="2">
        <v>122.7</v>
      </c>
      <c r="E73" s="2">
        <v>-0.7</v>
      </c>
      <c r="F73" s="2">
        <v>30790</v>
      </c>
      <c r="G73" s="2">
        <v>135</v>
      </c>
      <c r="H73" s="2">
        <v>3756380</v>
      </c>
      <c r="I73" s="2">
        <v>53154</v>
      </c>
      <c r="J73" s="2">
        <v>4953.7</v>
      </c>
      <c r="K73" s="2">
        <v>7617.2</v>
      </c>
      <c r="L73" s="2">
        <v>166130</v>
      </c>
    </row>
    <row r="74" spans="1:13" ht="24.95" customHeight="1" x14ac:dyDescent="0.25">
      <c r="A74" s="17" t="s">
        <v>156</v>
      </c>
      <c r="B74" s="2">
        <v>225</v>
      </c>
      <c r="C74" s="2">
        <v>103</v>
      </c>
      <c r="D74" s="2">
        <v>104.6</v>
      </c>
      <c r="E74" s="2">
        <v>-1.6</v>
      </c>
      <c r="F74" s="2">
        <v>15292</v>
      </c>
      <c r="G74" s="2">
        <v>137</v>
      </c>
      <c r="H74" s="2">
        <v>1575076</v>
      </c>
      <c r="I74" s="2">
        <v>25984</v>
      </c>
      <c r="J74" s="2">
        <v>2391.8000000000002</v>
      </c>
      <c r="K74" s="2">
        <v>3795.6</v>
      </c>
      <c r="L74" s="2">
        <v>80730</v>
      </c>
    </row>
    <row r="75" spans="1:13" ht="24.95" customHeight="1" x14ac:dyDescent="0.25">
      <c r="A75" s="17" t="s">
        <v>157</v>
      </c>
      <c r="B75" s="2">
        <v>270</v>
      </c>
      <c r="C75" s="2">
        <v>110</v>
      </c>
      <c r="D75" s="2">
        <v>109.6</v>
      </c>
      <c r="E75" s="2">
        <v>0.4</v>
      </c>
      <c r="F75" s="2">
        <v>12021</v>
      </c>
      <c r="G75" s="2">
        <v>152</v>
      </c>
      <c r="H75" s="2">
        <v>1322310</v>
      </c>
      <c r="I75" s="2">
        <v>36361</v>
      </c>
      <c r="J75" s="2">
        <v>1637.3</v>
      </c>
      <c r="K75" s="2">
        <v>2992.1</v>
      </c>
      <c r="L75" s="2">
        <v>109300</v>
      </c>
      <c r="M75" s="2">
        <v>38</v>
      </c>
    </row>
    <row r="76" spans="1:13" ht="24.95" customHeight="1" x14ac:dyDescent="0.25">
      <c r="A76" s="17" t="s">
        <v>158</v>
      </c>
      <c r="B76" s="2">
        <v>256</v>
      </c>
      <c r="C76" s="2">
        <v>101</v>
      </c>
      <c r="D76" s="2">
        <v>100.8</v>
      </c>
      <c r="E76" s="2">
        <v>0.2</v>
      </c>
      <c r="F76" s="2">
        <v>20010</v>
      </c>
      <c r="G76" s="2">
        <v>188</v>
      </c>
      <c r="H76" s="2">
        <v>2021010</v>
      </c>
      <c r="I76" s="2">
        <v>48577</v>
      </c>
      <c r="J76" s="2">
        <v>2741.7</v>
      </c>
      <c r="K76" s="2">
        <v>5039.2</v>
      </c>
      <c r="L76" s="2">
        <v>142570</v>
      </c>
      <c r="M76" s="2">
        <v>20.399999999999999</v>
      </c>
    </row>
    <row r="77" spans="1:13" ht="24.95" customHeight="1" x14ac:dyDescent="0.25">
      <c r="A77" s="17" t="s">
        <v>159</v>
      </c>
      <c r="B77" s="2">
        <v>312</v>
      </c>
      <c r="C77" s="2">
        <v>132</v>
      </c>
      <c r="D77" s="2">
        <v>133.30000000000001</v>
      </c>
      <c r="E77" s="2">
        <v>-1.3</v>
      </c>
      <c r="F77" s="2">
        <v>34600</v>
      </c>
      <c r="G77" s="2">
        <v>183</v>
      </c>
      <c r="H77" s="2">
        <v>4567200</v>
      </c>
      <c r="I77" s="2">
        <v>82416</v>
      </c>
      <c r="J77" s="2">
        <v>3392.4</v>
      </c>
      <c r="K77" s="2">
        <v>8674.6</v>
      </c>
      <c r="L77" s="2">
        <v>266130</v>
      </c>
      <c r="M77" s="2">
        <v>26.1</v>
      </c>
    </row>
    <row r="78" spans="1:13" ht="24.95" customHeight="1" x14ac:dyDescent="0.25">
      <c r="A78" s="17" t="s">
        <v>160</v>
      </c>
      <c r="B78" s="2">
        <v>268</v>
      </c>
      <c r="C78" s="2">
        <v>116</v>
      </c>
      <c r="D78" s="2">
        <v>116.1</v>
      </c>
      <c r="E78" s="2">
        <v>-0.1</v>
      </c>
      <c r="F78" s="2">
        <v>25714</v>
      </c>
      <c r="G78" s="2">
        <v>148</v>
      </c>
      <c r="H78" s="2">
        <v>2982824</v>
      </c>
      <c r="I78" s="2">
        <v>58013</v>
      </c>
      <c r="J78" s="2">
        <v>3123.4</v>
      </c>
      <c r="K78" s="2">
        <v>6446.7</v>
      </c>
      <c r="L78" s="2">
        <v>190580</v>
      </c>
      <c r="M78" s="2">
        <v>23.8</v>
      </c>
    </row>
    <row r="79" spans="1:13" ht="24.95" customHeight="1" x14ac:dyDescent="0.25">
      <c r="A79" s="17" t="s">
        <v>161</v>
      </c>
      <c r="B79" s="2">
        <v>228</v>
      </c>
      <c r="C79" s="2">
        <v>96</v>
      </c>
      <c r="D79" s="2">
        <v>95.6</v>
      </c>
      <c r="E79" s="2">
        <v>0.4</v>
      </c>
      <c r="F79" s="2">
        <v>9673</v>
      </c>
      <c r="G79" s="2">
        <v>155</v>
      </c>
      <c r="H79" s="2">
        <v>928608</v>
      </c>
      <c r="I79" s="2">
        <v>23274</v>
      </c>
      <c r="J79" s="2">
        <v>1328.8</v>
      </c>
      <c r="K79" s="2">
        <v>2393.6</v>
      </c>
      <c r="L79" s="2">
        <v>71390</v>
      </c>
      <c r="M79" s="2">
        <v>23.1</v>
      </c>
    </row>
    <row r="80" spans="1:13" ht="24.95" customHeight="1" x14ac:dyDescent="0.25">
      <c r="A80" s="17" t="s">
        <v>162</v>
      </c>
      <c r="B80" s="2">
        <v>246</v>
      </c>
      <c r="C80" s="2">
        <v>126</v>
      </c>
      <c r="D80" s="2">
        <v>124.7</v>
      </c>
      <c r="E80" s="2">
        <v>1.3</v>
      </c>
      <c r="F80" s="2">
        <v>8420</v>
      </c>
      <c r="G80" s="2">
        <v>139</v>
      </c>
      <c r="H80" s="2">
        <v>1060920</v>
      </c>
      <c r="I80" s="2">
        <v>19375</v>
      </c>
      <c r="J80" s="2">
        <v>812.3</v>
      </c>
      <c r="K80" s="2">
        <v>2075</v>
      </c>
      <c r="L80" s="2">
        <v>60560</v>
      </c>
      <c r="M80" s="2">
        <v>20.2</v>
      </c>
    </row>
    <row r="81" spans="1:13" ht="24.95" customHeight="1" x14ac:dyDescent="0.25">
      <c r="A81" s="17" t="s">
        <v>6710</v>
      </c>
      <c r="B81" s="2">
        <v>288</v>
      </c>
      <c r="C81" s="2">
        <v>122</v>
      </c>
      <c r="D81" s="2">
        <v>121.7</v>
      </c>
      <c r="E81" s="2">
        <v>0.3</v>
      </c>
      <c r="F81" s="2">
        <v>13815</v>
      </c>
      <c r="G81" s="2">
        <v>143</v>
      </c>
      <c r="H81" s="2">
        <v>1685430</v>
      </c>
      <c r="I81" s="2">
        <v>31444</v>
      </c>
      <c r="J81" s="2">
        <v>2257.8000000000002</v>
      </c>
      <c r="K81" s="2">
        <v>3485.1</v>
      </c>
      <c r="L81" s="2">
        <v>103490</v>
      </c>
      <c r="M81" s="2">
        <v>24.2</v>
      </c>
    </row>
    <row r="82" spans="1:13" ht="24.95" customHeight="1" x14ac:dyDescent="0.25">
      <c r="A82" s="17" t="s">
        <v>164</v>
      </c>
      <c r="B82" s="2">
        <v>270</v>
      </c>
      <c r="C82" s="2">
        <v>102</v>
      </c>
      <c r="D82" s="2">
        <v>101.4</v>
      </c>
      <c r="E82" s="2">
        <v>0.6</v>
      </c>
      <c r="F82" s="2">
        <v>16625</v>
      </c>
      <c r="G82" s="2">
        <v>185</v>
      </c>
      <c r="H82" s="2">
        <v>1695750</v>
      </c>
      <c r="I82" s="2">
        <v>36104</v>
      </c>
      <c r="J82" s="2">
        <v>1899.8</v>
      </c>
      <c r="K82" s="2">
        <v>4158</v>
      </c>
      <c r="L82" s="2">
        <v>119700</v>
      </c>
      <c r="M82" s="2">
        <v>20.6</v>
      </c>
    </row>
    <row r="83" spans="1:13" ht="24.95" customHeight="1" x14ac:dyDescent="0.25">
      <c r="A83" s="17" t="s">
        <v>165</v>
      </c>
      <c r="B83" s="2">
        <v>264</v>
      </c>
      <c r="C83" s="2">
        <v>105</v>
      </c>
      <c r="D83" s="2">
        <v>105.3</v>
      </c>
      <c r="E83" s="2">
        <v>-0.3</v>
      </c>
      <c r="F83" s="2">
        <v>12250</v>
      </c>
      <c r="G83" s="2">
        <v>199</v>
      </c>
      <c r="H83" s="2">
        <v>1286250</v>
      </c>
      <c r="I83" s="2">
        <v>23807</v>
      </c>
      <c r="J83" s="2">
        <v>1027.2</v>
      </c>
      <c r="K83" s="2">
        <v>3068.8</v>
      </c>
      <c r="L83" s="2">
        <v>76200</v>
      </c>
      <c r="M83" s="2">
        <v>8.4</v>
      </c>
    </row>
    <row r="84" spans="1:13" ht="24.95" customHeight="1" x14ac:dyDescent="0.25">
      <c r="A84" s="17" t="s">
        <v>166</v>
      </c>
      <c r="B84" s="2">
        <v>280</v>
      </c>
      <c r="C84" s="2">
        <v>120</v>
      </c>
      <c r="D84" s="2">
        <v>120.3</v>
      </c>
      <c r="E84" s="2">
        <v>-0.3</v>
      </c>
      <c r="F84" s="2">
        <v>16500</v>
      </c>
      <c r="G84" s="2">
        <v>217</v>
      </c>
      <c r="H84" s="2">
        <v>1980000</v>
      </c>
      <c r="I84" s="2">
        <v>27825</v>
      </c>
      <c r="J84" s="2">
        <v>1505.1</v>
      </c>
      <c r="K84" s="2">
        <v>4015.6</v>
      </c>
      <c r="L84" s="2">
        <v>97050</v>
      </c>
      <c r="M84" s="2">
        <v>6.2</v>
      </c>
    </row>
    <row r="85" spans="1:13" ht="24.95" customHeight="1" x14ac:dyDescent="0.25">
      <c r="A85" s="17" t="s">
        <v>167</v>
      </c>
      <c r="B85" s="2">
        <v>304</v>
      </c>
      <c r="C85" s="2">
        <v>102</v>
      </c>
      <c r="D85" s="2">
        <v>100.5</v>
      </c>
      <c r="E85" s="2">
        <v>1.5</v>
      </c>
      <c r="F85" s="2">
        <v>36500</v>
      </c>
      <c r="G85" s="2">
        <v>223</v>
      </c>
      <c r="H85" s="2">
        <v>3723000</v>
      </c>
      <c r="I85" s="2">
        <v>41921</v>
      </c>
      <c r="J85" s="2">
        <v>2969.4</v>
      </c>
      <c r="K85" s="2">
        <v>9328.5</v>
      </c>
      <c r="L85" s="2">
        <v>156960</v>
      </c>
    </row>
    <row r="86" spans="1:13" ht="24.95" customHeight="1" x14ac:dyDescent="0.25">
      <c r="A86" s="17" t="s">
        <v>168</v>
      </c>
      <c r="B86" s="2">
        <v>248</v>
      </c>
      <c r="C86" s="2">
        <v>102</v>
      </c>
      <c r="D86" s="2">
        <v>101.4</v>
      </c>
      <c r="E86" s="2">
        <v>0.6</v>
      </c>
      <c r="F86" s="2">
        <v>9100</v>
      </c>
      <c r="G86" s="2">
        <v>145</v>
      </c>
      <c r="H86" s="2">
        <v>928200</v>
      </c>
      <c r="I86" s="2">
        <v>23845</v>
      </c>
      <c r="J86" s="2">
        <v>1200.7</v>
      </c>
      <c r="K86" s="2">
        <v>2276</v>
      </c>
      <c r="L86" s="2">
        <v>78220</v>
      </c>
      <c r="M86" s="2">
        <v>34.6</v>
      </c>
    </row>
    <row r="87" spans="1:13" ht="24.95" customHeight="1" x14ac:dyDescent="0.25">
      <c r="A87" s="17" t="s">
        <v>169</v>
      </c>
      <c r="B87" s="2">
        <v>294</v>
      </c>
      <c r="C87" s="2">
        <v>120</v>
      </c>
      <c r="D87" s="2">
        <v>119.5</v>
      </c>
      <c r="E87" s="2">
        <v>0.5</v>
      </c>
      <c r="F87" s="2">
        <v>10900</v>
      </c>
      <c r="G87" s="2">
        <v>174</v>
      </c>
      <c r="H87" s="2">
        <v>1308000</v>
      </c>
      <c r="I87" s="2">
        <v>24625</v>
      </c>
      <c r="J87" s="2">
        <v>1208.2</v>
      </c>
      <c r="K87" s="2">
        <v>2743.9</v>
      </c>
      <c r="L87" s="2">
        <v>78910</v>
      </c>
      <c r="M87" s="2">
        <v>22.1</v>
      </c>
    </row>
    <row r="88" spans="1:13" ht="24.95" customHeight="1" x14ac:dyDescent="0.25">
      <c r="A88" s="17" t="s">
        <v>170</v>
      </c>
      <c r="B88" s="2">
        <v>276</v>
      </c>
      <c r="C88" s="2">
        <v>102</v>
      </c>
      <c r="D88" s="2">
        <v>101.3</v>
      </c>
      <c r="E88" s="2">
        <v>0.7</v>
      </c>
      <c r="F88" s="2">
        <v>29100</v>
      </c>
      <c r="G88" s="2">
        <v>185</v>
      </c>
      <c r="H88" s="2">
        <v>2968200</v>
      </c>
      <c r="I88" s="2">
        <v>45114</v>
      </c>
      <c r="J88" s="2">
        <v>2682.9</v>
      </c>
      <c r="K88" s="2">
        <v>7343.7</v>
      </c>
      <c r="L88" s="2">
        <v>149710</v>
      </c>
    </row>
    <row r="89" spans="1:13" ht="24.95" customHeight="1" x14ac:dyDescent="0.25">
      <c r="A89" s="17" t="s">
        <v>171</v>
      </c>
      <c r="B89" s="2">
        <v>280</v>
      </c>
      <c r="C89" s="2">
        <v>114</v>
      </c>
      <c r="D89" s="2">
        <v>113.8</v>
      </c>
      <c r="E89" s="2">
        <v>0.2</v>
      </c>
      <c r="F89" s="2">
        <v>11425</v>
      </c>
      <c r="G89" s="2">
        <v>161</v>
      </c>
      <c r="H89" s="2">
        <v>1302450</v>
      </c>
      <c r="I89" s="2">
        <v>21093</v>
      </c>
      <c r="J89" s="2">
        <v>1217.5999999999999</v>
      </c>
      <c r="K89" s="2">
        <v>2846.7</v>
      </c>
      <c r="L89" s="2">
        <v>67050</v>
      </c>
      <c r="M89" s="2">
        <v>3.6</v>
      </c>
    </row>
    <row r="90" spans="1:13" ht="24.95" customHeight="1" x14ac:dyDescent="0.25">
      <c r="A90" s="17" t="s">
        <v>6711</v>
      </c>
      <c r="B90" s="2">
        <v>300</v>
      </c>
      <c r="C90" s="2">
        <v>142</v>
      </c>
      <c r="D90" s="2">
        <v>140.5</v>
      </c>
      <c r="E90" s="2">
        <v>1.5</v>
      </c>
      <c r="F90" s="2">
        <v>14000</v>
      </c>
      <c r="G90" s="2">
        <v>141</v>
      </c>
      <c r="H90" s="2">
        <v>1988000</v>
      </c>
      <c r="I90" s="2">
        <v>33875</v>
      </c>
      <c r="J90" s="2">
        <v>1598.6</v>
      </c>
      <c r="K90" s="2">
        <v>3440.9</v>
      </c>
      <c r="L90" s="2">
        <v>104890</v>
      </c>
      <c r="M90" s="2">
        <v>24.1</v>
      </c>
    </row>
    <row r="91" spans="1:13" ht="24.95" customHeight="1" x14ac:dyDescent="0.25">
      <c r="A91" s="17" t="s">
        <v>6712</v>
      </c>
    </row>
    <row r="92" spans="1:13" ht="24.95" customHeight="1" x14ac:dyDescent="0.25">
      <c r="A92" s="17" t="s">
        <v>6713</v>
      </c>
      <c r="B92" s="2">
        <v>238</v>
      </c>
      <c r="C92" s="2">
        <v>110</v>
      </c>
      <c r="D92" s="2">
        <v>109.3</v>
      </c>
      <c r="E92" s="2">
        <v>0.7</v>
      </c>
      <c r="F92" s="2">
        <v>47500</v>
      </c>
      <c r="G92" s="2">
        <v>150</v>
      </c>
      <c r="H92" s="2">
        <v>5225000</v>
      </c>
      <c r="I92" s="2">
        <v>69976</v>
      </c>
      <c r="J92" s="2">
        <v>4845.3</v>
      </c>
      <c r="K92" s="2">
        <v>11317.5</v>
      </c>
      <c r="L92" s="2">
        <v>260160</v>
      </c>
    </row>
    <row r="93" spans="1:13" ht="24.95" customHeight="1" x14ac:dyDescent="0.25">
      <c r="A93" s="17" t="s">
        <v>6714</v>
      </c>
      <c r="B93" s="2">
        <v>342</v>
      </c>
      <c r="C93" s="2">
        <v>150</v>
      </c>
      <c r="D93" s="2">
        <v>150.5</v>
      </c>
      <c r="E93" s="2">
        <v>-0.5</v>
      </c>
      <c r="F93" s="2">
        <v>4720</v>
      </c>
      <c r="G93" s="2">
        <v>164</v>
      </c>
      <c r="H93" s="2">
        <v>708000</v>
      </c>
      <c r="I93" s="2">
        <v>18312</v>
      </c>
      <c r="J93" s="2">
        <v>525.20000000000005</v>
      </c>
      <c r="K93" s="2">
        <v>1264.0999999999999</v>
      </c>
      <c r="L93" s="2">
        <v>58940</v>
      </c>
      <c r="M93" s="2">
        <v>53.9</v>
      </c>
    </row>
    <row r="94" spans="1:13" ht="24.95" customHeight="1" x14ac:dyDescent="0.25">
      <c r="A94" s="17" t="s">
        <v>6715</v>
      </c>
      <c r="B94" s="2">
        <v>312</v>
      </c>
      <c r="C94" s="2">
        <v>124</v>
      </c>
      <c r="D94" s="2">
        <v>126.6</v>
      </c>
      <c r="E94" s="2">
        <v>-2.6</v>
      </c>
      <c r="F94" s="2">
        <v>18920</v>
      </c>
      <c r="G94" s="2">
        <v>192</v>
      </c>
      <c r="H94" s="2">
        <v>2346080</v>
      </c>
      <c r="I94" s="2">
        <v>31145</v>
      </c>
      <c r="J94" s="2">
        <v>2027.6</v>
      </c>
      <c r="K94" s="2">
        <v>4626.1000000000004</v>
      </c>
      <c r="L94" s="2">
        <v>108550</v>
      </c>
      <c r="M94" s="2">
        <v>2.5</v>
      </c>
    </row>
    <row r="95" spans="1:13" ht="24.95" customHeight="1" x14ac:dyDescent="0.25">
      <c r="A95" s="17" t="s">
        <v>6716</v>
      </c>
      <c r="B95" s="2">
        <v>300</v>
      </c>
      <c r="C95" s="2">
        <v>112</v>
      </c>
      <c r="D95" s="2">
        <v>112.9</v>
      </c>
      <c r="E95" s="2">
        <v>-0.9</v>
      </c>
      <c r="F95" s="2">
        <v>26475</v>
      </c>
      <c r="G95" s="2">
        <v>170</v>
      </c>
      <c r="H95" s="2">
        <v>2965200</v>
      </c>
      <c r="I95" s="2">
        <v>50068</v>
      </c>
      <c r="J95" s="2">
        <v>3247.8</v>
      </c>
      <c r="K95" s="2">
        <v>6630.5</v>
      </c>
      <c r="L95" s="2">
        <v>169180</v>
      </c>
      <c r="M95" s="2">
        <v>11.8</v>
      </c>
    </row>
  </sheetData>
  <mergeCells count="9">
    <mergeCell ref="M7:M8"/>
    <mergeCell ref="I8:J8"/>
    <mergeCell ref="A2:L2"/>
    <mergeCell ref="B7:C7"/>
    <mergeCell ref="D7:E7"/>
    <mergeCell ref="F7:F8"/>
    <mergeCell ref="G7:G8"/>
    <mergeCell ref="H7:H8"/>
    <mergeCell ref="I7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844B-2F20-40A0-84DF-85FF407A64E6}">
  <dimension ref="A2:O1432"/>
  <sheetViews>
    <sheetView topLeftCell="A1221" zoomScale="70" zoomScaleNormal="70" workbookViewId="0">
      <selection activeCell="B12" sqref="B12:O1254"/>
    </sheetView>
  </sheetViews>
  <sheetFormatPr defaultColWidth="8.7109375" defaultRowHeight="24.95" customHeight="1" x14ac:dyDescent="0.25"/>
  <cols>
    <col min="1" max="1" width="25.5703125" style="17" customWidth="1"/>
    <col min="2" max="2" width="7.5703125" style="2" customWidth="1"/>
    <col min="3" max="3" width="9.140625" style="2" customWidth="1"/>
    <col min="4" max="4" width="9.28515625" style="2" customWidth="1"/>
    <col min="5" max="6" width="10.5703125" style="2" customWidth="1"/>
    <col min="7" max="7" width="7.5703125" style="2" customWidth="1"/>
    <col min="8" max="8" width="10.28515625" style="2" customWidth="1"/>
    <col min="9" max="9" width="8.42578125" style="2" customWidth="1"/>
    <col min="10" max="10" width="10.7109375" style="2" customWidth="1"/>
    <col min="11" max="11" width="9.5703125" style="2" customWidth="1"/>
    <col min="12" max="12" width="8.7109375" style="2"/>
    <col min="13" max="13" width="10.28515625" style="2" customWidth="1"/>
    <col min="14" max="14" width="11.28515625" style="2" customWidth="1"/>
    <col min="15" max="15" width="10" style="2" customWidth="1"/>
    <col min="16" max="16384" width="8.7109375" style="2"/>
  </cols>
  <sheetData>
    <row r="2" spans="1:15" ht="24.95" customHeight="1" x14ac:dyDescent="0.25">
      <c r="A2" s="14" t="s">
        <v>6681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5" ht="24.95" customHeight="1" x14ac:dyDescent="0.25">
      <c r="A4" s="17" t="s">
        <v>6717</v>
      </c>
    </row>
    <row r="6" spans="1:15" ht="24.95" customHeight="1" x14ac:dyDescent="0.25">
      <c r="A6" s="17" t="s">
        <v>6718</v>
      </c>
    </row>
    <row r="7" spans="1:15" ht="84" customHeight="1" x14ac:dyDescent="0.25">
      <c r="B7" s="15" t="s">
        <v>6684</v>
      </c>
      <c r="C7" s="15"/>
      <c r="D7" s="14" t="s">
        <v>6685</v>
      </c>
      <c r="E7" s="14"/>
      <c r="F7" s="1"/>
      <c r="G7" s="14" t="s">
        <v>6719</v>
      </c>
      <c r="H7" s="14" t="s">
        <v>6686</v>
      </c>
      <c r="I7" s="14" t="s">
        <v>6720</v>
      </c>
      <c r="J7" s="14" t="s">
        <v>6688</v>
      </c>
      <c r="K7" s="14" t="s">
        <v>6721</v>
      </c>
      <c r="L7" s="14"/>
      <c r="M7" s="15" t="s">
        <v>6699</v>
      </c>
      <c r="N7" s="14" t="s">
        <v>6690</v>
      </c>
      <c r="O7" s="14" t="s">
        <v>6691</v>
      </c>
    </row>
    <row r="8" spans="1:15" s="13" customFormat="1" ht="34.5" customHeight="1" x14ac:dyDescent="0.25">
      <c r="A8" s="19" t="s">
        <v>5478</v>
      </c>
      <c r="B8" s="18" t="s">
        <v>6692</v>
      </c>
      <c r="C8" s="18" t="s">
        <v>6693</v>
      </c>
      <c r="D8" s="18" t="s">
        <v>6694</v>
      </c>
      <c r="E8" s="18" t="s">
        <v>6695</v>
      </c>
      <c r="F8" s="18" t="s">
        <v>6696</v>
      </c>
      <c r="G8" s="14"/>
      <c r="H8" s="14"/>
      <c r="I8" s="14"/>
      <c r="J8" s="14"/>
      <c r="K8" s="15" t="s">
        <v>6698</v>
      </c>
      <c r="L8" s="15"/>
      <c r="M8" s="15"/>
      <c r="N8" s="14"/>
      <c r="O8" s="14"/>
    </row>
    <row r="9" spans="1:15" ht="37.5" customHeight="1" x14ac:dyDescent="0.25">
      <c r="B9" s="2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  <c r="J9" s="2">
        <v>9</v>
      </c>
      <c r="K9" s="2">
        <v>10</v>
      </c>
      <c r="L9" s="2">
        <v>11</v>
      </c>
      <c r="M9" s="2">
        <v>12</v>
      </c>
      <c r="N9" s="2">
        <v>13</v>
      </c>
      <c r="O9" s="2">
        <v>14</v>
      </c>
    </row>
    <row r="10" spans="1:15" ht="24.95" customHeight="1" x14ac:dyDescent="0.25">
      <c r="B10" s="2" t="s">
        <v>6701</v>
      </c>
      <c r="C10" s="2" t="s">
        <v>6701</v>
      </c>
      <c r="D10" s="2" t="s">
        <v>6701</v>
      </c>
      <c r="E10" s="2" t="s">
        <v>6701</v>
      </c>
      <c r="F10" s="2" t="s">
        <v>6701</v>
      </c>
      <c r="G10" s="2" t="s">
        <v>6701</v>
      </c>
      <c r="H10" s="2" t="s">
        <v>6702</v>
      </c>
      <c r="I10" s="2" t="s">
        <v>6703</v>
      </c>
      <c r="J10" s="2" t="s">
        <v>6702</v>
      </c>
      <c r="K10" s="2" t="s">
        <v>6722</v>
      </c>
      <c r="L10" s="2" t="s">
        <v>6704</v>
      </c>
      <c r="M10" s="2" t="s">
        <v>6704</v>
      </c>
      <c r="O10" s="2" t="s">
        <v>6703</v>
      </c>
    </row>
    <row r="11" spans="1:15" ht="24.95" customHeight="1" x14ac:dyDescent="0.25">
      <c r="A11" s="17" t="s">
        <v>94</v>
      </c>
    </row>
    <row r="12" spans="1:15" ht="24.95" customHeight="1" x14ac:dyDescent="0.25">
      <c r="A12" s="17" t="s">
        <v>174</v>
      </c>
      <c r="B12" s="2">
        <v>181.8</v>
      </c>
      <c r="C12" s="2">
        <v>62.8</v>
      </c>
      <c r="H12" s="2">
        <v>82863</v>
      </c>
      <c r="I12" s="2">
        <v>252</v>
      </c>
      <c r="J12" s="2">
        <v>5203796</v>
      </c>
      <c r="K12" s="2">
        <v>120413</v>
      </c>
      <c r="L12" s="2">
        <v>9075.9</v>
      </c>
      <c r="M12" s="2">
        <v>19919.7</v>
      </c>
      <c r="N12" s="2">
        <v>395990</v>
      </c>
    </row>
    <row r="13" spans="1:15" ht="24.95" customHeight="1" x14ac:dyDescent="0.25">
      <c r="A13" s="17" t="s">
        <v>12</v>
      </c>
      <c r="B13" s="2">
        <v>300</v>
      </c>
      <c r="C13" s="2">
        <v>105</v>
      </c>
      <c r="D13" s="2">
        <v>40.6</v>
      </c>
      <c r="E13" s="2">
        <v>63.5</v>
      </c>
      <c r="F13" s="2">
        <v>0.9</v>
      </c>
      <c r="H13" s="2">
        <v>14675</v>
      </c>
      <c r="I13" s="2">
        <v>228</v>
      </c>
      <c r="J13" s="2">
        <v>1540875</v>
      </c>
      <c r="K13" s="2">
        <v>19131</v>
      </c>
      <c r="L13" s="2">
        <v>1505.3</v>
      </c>
      <c r="M13" s="2">
        <v>3471.7</v>
      </c>
      <c r="N13" s="2">
        <v>64740</v>
      </c>
    </row>
    <row r="14" spans="1:15" ht="24.95" customHeight="1" x14ac:dyDescent="0.25">
      <c r="A14" s="17" t="s">
        <v>176</v>
      </c>
      <c r="B14" s="2">
        <v>290</v>
      </c>
      <c r="C14" s="2">
        <v>88</v>
      </c>
      <c r="D14" s="2">
        <v>20.7</v>
      </c>
      <c r="E14" s="2">
        <v>66.8</v>
      </c>
      <c r="F14" s="2">
        <v>0.5</v>
      </c>
      <c r="H14" s="2">
        <v>9054</v>
      </c>
      <c r="I14" s="2">
        <v>372</v>
      </c>
      <c r="J14" s="2">
        <v>796752</v>
      </c>
      <c r="K14" s="2">
        <v>8447</v>
      </c>
      <c r="L14" s="2">
        <v>771.4</v>
      </c>
      <c r="M14" s="2">
        <v>2209.3000000000002</v>
      </c>
      <c r="N14" s="2">
        <v>26480</v>
      </c>
    </row>
    <row r="15" spans="1:15" ht="24.95" customHeight="1" x14ac:dyDescent="0.25">
      <c r="A15" s="17" t="s">
        <v>177</v>
      </c>
      <c r="B15" s="2">
        <v>280</v>
      </c>
      <c r="C15" s="2">
        <v>92</v>
      </c>
      <c r="D15" s="2">
        <v>28.5</v>
      </c>
      <c r="E15" s="2">
        <v>63.2</v>
      </c>
      <c r="F15" s="2">
        <v>0.3</v>
      </c>
      <c r="H15" s="2">
        <v>34000</v>
      </c>
      <c r="I15" s="2">
        <v>266</v>
      </c>
      <c r="J15" s="2">
        <v>3128000</v>
      </c>
      <c r="K15" s="2">
        <v>41861</v>
      </c>
      <c r="L15" s="2">
        <v>3702.2</v>
      </c>
      <c r="M15" s="2">
        <v>8377.4</v>
      </c>
      <c r="N15" s="2">
        <v>134820</v>
      </c>
    </row>
    <row r="16" spans="1:15" ht="24.95" customHeight="1" x14ac:dyDescent="0.25">
      <c r="A16" s="17" t="s">
        <v>180</v>
      </c>
      <c r="B16" s="2">
        <v>252</v>
      </c>
      <c r="C16" s="2">
        <v>86</v>
      </c>
      <c r="D16" s="2">
        <v>18.8</v>
      </c>
      <c r="E16" s="2">
        <v>66.900000000000006</v>
      </c>
      <c r="F16" s="2">
        <v>0.3</v>
      </c>
      <c r="H16" s="2">
        <v>500</v>
      </c>
      <c r="I16" s="2">
        <v>184</v>
      </c>
      <c r="J16" s="2">
        <v>43000</v>
      </c>
      <c r="K16" s="2">
        <v>1310</v>
      </c>
      <c r="L16" s="2">
        <v>79.8</v>
      </c>
      <c r="M16" s="2">
        <v>125.8</v>
      </c>
      <c r="N16" s="2">
        <v>4020</v>
      </c>
      <c r="O16" s="2">
        <v>32.4</v>
      </c>
    </row>
    <row r="17" spans="1:15" ht="24.95" customHeight="1" x14ac:dyDescent="0.25">
      <c r="A17" s="17" t="s">
        <v>181</v>
      </c>
      <c r="B17" s="2">
        <v>274</v>
      </c>
      <c r="C17" s="2">
        <v>96</v>
      </c>
      <c r="D17" s="2">
        <v>28.4</v>
      </c>
      <c r="E17" s="2">
        <v>66.900000000000006</v>
      </c>
      <c r="F17" s="2">
        <v>0.7</v>
      </c>
      <c r="H17" s="2">
        <v>1338</v>
      </c>
      <c r="I17" s="2">
        <v>208</v>
      </c>
      <c r="J17" s="2">
        <v>128448</v>
      </c>
      <c r="K17" s="2">
        <v>2640</v>
      </c>
      <c r="L17" s="2">
        <v>137</v>
      </c>
      <c r="M17" s="2">
        <v>319.89999999999998</v>
      </c>
      <c r="N17" s="2">
        <v>8460</v>
      </c>
      <c r="O17" s="2">
        <v>13.1</v>
      </c>
    </row>
    <row r="18" spans="1:15" ht="24.95" customHeight="1" x14ac:dyDescent="0.25">
      <c r="A18" s="17" t="s">
        <v>182</v>
      </c>
      <c r="B18" s="2">
        <v>286</v>
      </c>
      <c r="C18" s="2">
        <v>98</v>
      </c>
      <c r="D18" s="2">
        <v>30.6</v>
      </c>
      <c r="E18" s="2">
        <v>66.900000000000006</v>
      </c>
      <c r="F18" s="2">
        <v>0.5</v>
      </c>
      <c r="H18" s="2">
        <v>1560</v>
      </c>
      <c r="I18" s="2">
        <v>259</v>
      </c>
      <c r="J18" s="2">
        <v>152880</v>
      </c>
      <c r="K18" s="2">
        <v>2905</v>
      </c>
      <c r="L18" s="2">
        <v>200.5</v>
      </c>
      <c r="M18" s="2">
        <v>367.3</v>
      </c>
      <c r="N18" s="2">
        <v>9370</v>
      </c>
      <c r="O18" s="2">
        <v>9.1</v>
      </c>
    </row>
    <row r="19" spans="1:15" ht="24.95" customHeight="1" x14ac:dyDescent="0.25">
      <c r="A19" s="17" t="s">
        <v>183</v>
      </c>
      <c r="B19" s="2">
        <v>264</v>
      </c>
      <c r="C19" s="2">
        <v>94</v>
      </c>
      <c r="D19" s="2">
        <v>27</v>
      </c>
      <c r="E19" s="2">
        <v>66.900000000000006</v>
      </c>
      <c r="F19" s="2">
        <v>0.1</v>
      </c>
      <c r="H19" s="2">
        <v>2175</v>
      </c>
      <c r="I19" s="2">
        <v>260</v>
      </c>
      <c r="J19" s="2">
        <v>204450</v>
      </c>
      <c r="K19" s="2">
        <v>3706</v>
      </c>
      <c r="L19" s="2">
        <v>264.5</v>
      </c>
      <c r="M19" s="2">
        <v>572</v>
      </c>
      <c r="N19" s="2">
        <v>12060</v>
      </c>
      <c r="O19" s="2">
        <v>1.3</v>
      </c>
    </row>
    <row r="20" spans="1:15" ht="24.95" customHeight="1" x14ac:dyDescent="0.25">
      <c r="A20" s="17" t="s">
        <v>184</v>
      </c>
      <c r="B20" s="2">
        <v>256</v>
      </c>
      <c r="C20" s="2">
        <v>92</v>
      </c>
      <c r="D20" s="2">
        <v>24.4</v>
      </c>
      <c r="E20" s="2">
        <v>66.900000000000006</v>
      </c>
      <c r="F20" s="2">
        <v>0.7</v>
      </c>
      <c r="H20" s="2">
        <v>472</v>
      </c>
      <c r="I20" s="2">
        <v>178</v>
      </c>
      <c r="J20" s="2">
        <v>43424</v>
      </c>
      <c r="K20" s="2">
        <v>1292</v>
      </c>
      <c r="L20" s="2">
        <v>61</v>
      </c>
      <c r="M20" s="2">
        <v>109</v>
      </c>
      <c r="N20" s="2">
        <v>3990</v>
      </c>
      <c r="O20" s="2">
        <v>33.299999999999997</v>
      </c>
    </row>
    <row r="21" spans="1:15" ht="24.95" customHeight="1" x14ac:dyDescent="0.25">
      <c r="A21" s="17" t="s">
        <v>180</v>
      </c>
      <c r="B21" s="2">
        <v>250</v>
      </c>
      <c r="C21" s="2">
        <v>87</v>
      </c>
      <c r="D21" s="2">
        <v>19.2</v>
      </c>
      <c r="E21" s="2">
        <v>66.900000000000006</v>
      </c>
      <c r="F21" s="2">
        <v>0.9</v>
      </c>
      <c r="G21" s="2">
        <v>89.1</v>
      </c>
      <c r="H21" s="2">
        <v>3424</v>
      </c>
      <c r="I21" s="2">
        <v>190</v>
      </c>
      <c r="J21" s="2">
        <v>304986</v>
      </c>
      <c r="K21" s="2">
        <v>8585</v>
      </c>
      <c r="L21" s="2">
        <v>446.2</v>
      </c>
      <c r="M21" s="2">
        <v>861.9</v>
      </c>
      <c r="N21" s="2">
        <v>27110</v>
      </c>
      <c r="O21" s="2">
        <v>26.8</v>
      </c>
    </row>
    <row r="22" spans="1:15" ht="24.95" customHeight="1" x14ac:dyDescent="0.25">
      <c r="A22" s="17" t="s">
        <v>6723</v>
      </c>
      <c r="B22" s="2">
        <v>250</v>
      </c>
      <c r="C22" s="2">
        <v>87</v>
      </c>
      <c r="D22" s="2">
        <v>19.3</v>
      </c>
      <c r="E22" s="2">
        <v>66.900000000000006</v>
      </c>
      <c r="F22" s="2">
        <v>0.8</v>
      </c>
      <c r="G22" s="2">
        <v>88.6</v>
      </c>
      <c r="H22" s="2">
        <v>6250</v>
      </c>
      <c r="I22" s="2">
        <v>188</v>
      </c>
      <c r="J22" s="2">
        <v>553552</v>
      </c>
      <c r="K22" s="2">
        <v>10870</v>
      </c>
      <c r="L22" s="2">
        <v>591.20000000000005</v>
      </c>
      <c r="M22" s="2">
        <v>1307</v>
      </c>
      <c r="N22" s="2">
        <v>34460</v>
      </c>
      <c r="O22" s="2">
        <v>5.7</v>
      </c>
    </row>
    <row r="23" spans="1:15" ht="24.95" customHeight="1" x14ac:dyDescent="0.25">
      <c r="A23" s="17" t="s">
        <v>181</v>
      </c>
      <c r="B23" s="2">
        <v>224</v>
      </c>
      <c r="C23" s="2">
        <v>81</v>
      </c>
      <c r="D23" s="2">
        <v>12.6</v>
      </c>
      <c r="E23" s="2">
        <v>66.900000000000006</v>
      </c>
      <c r="F23" s="2">
        <v>1.6</v>
      </c>
      <c r="G23" s="2">
        <v>85.8</v>
      </c>
      <c r="H23" s="2">
        <v>2800</v>
      </c>
      <c r="I23" s="2">
        <v>175</v>
      </c>
      <c r="J23" s="2">
        <v>240153</v>
      </c>
      <c r="K23" s="2">
        <v>7725</v>
      </c>
      <c r="L23" s="2">
        <v>352.9</v>
      </c>
      <c r="M23" s="2">
        <v>605.9</v>
      </c>
      <c r="N23" s="2">
        <v>29390</v>
      </c>
      <c r="O23" s="2">
        <v>48.4</v>
      </c>
    </row>
    <row r="24" spans="1:15" ht="24.95" customHeight="1" x14ac:dyDescent="0.25">
      <c r="A24" s="17" t="s">
        <v>177</v>
      </c>
      <c r="B24" s="2">
        <v>261</v>
      </c>
      <c r="C24" s="2">
        <v>89.3</v>
      </c>
      <c r="D24" s="2">
        <v>21.9</v>
      </c>
      <c r="E24" s="2">
        <v>66.900000000000006</v>
      </c>
      <c r="F24" s="2">
        <v>0.5</v>
      </c>
      <c r="G24" s="2">
        <v>91</v>
      </c>
      <c r="H24" s="2">
        <v>6655</v>
      </c>
      <c r="I24" s="2">
        <v>302</v>
      </c>
      <c r="J24" s="2">
        <v>605668</v>
      </c>
      <c r="K24" s="2">
        <v>11941</v>
      </c>
      <c r="L24" s="2">
        <v>963.9</v>
      </c>
      <c r="M24" s="2">
        <v>1637.6</v>
      </c>
      <c r="N24" s="2">
        <v>41090</v>
      </c>
      <c r="O24" s="2">
        <v>9.6</v>
      </c>
    </row>
    <row r="25" spans="1:15" ht="24.95" customHeight="1" x14ac:dyDescent="0.25">
      <c r="A25" s="17" t="s">
        <v>6724</v>
      </c>
      <c r="B25" s="2">
        <v>209</v>
      </c>
      <c r="C25" s="2">
        <v>81.8</v>
      </c>
      <c r="H25" s="2">
        <v>71580</v>
      </c>
      <c r="I25" s="2">
        <v>204</v>
      </c>
      <c r="J25" s="2">
        <v>5855244</v>
      </c>
      <c r="K25" s="2">
        <v>116455</v>
      </c>
      <c r="L25" s="2">
        <v>9678.5</v>
      </c>
      <c r="M25" s="2">
        <v>16754.900000000001</v>
      </c>
      <c r="N25" s="2">
        <v>405900</v>
      </c>
      <c r="O25" s="2">
        <v>2.2999999999999998</v>
      </c>
    </row>
    <row r="26" spans="1:15" ht="24.95" customHeight="1" x14ac:dyDescent="0.25">
      <c r="A26" s="17" t="s">
        <v>187</v>
      </c>
      <c r="B26" s="2">
        <v>328</v>
      </c>
      <c r="C26" s="2">
        <v>124</v>
      </c>
      <c r="D26" s="2">
        <v>41.4</v>
      </c>
      <c r="E26" s="2">
        <v>84</v>
      </c>
      <c r="F26" s="2">
        <v>-1.4</v>
      </c>
      <c r="H26" s="2">
        <v>2400</v>
      </c>
      <c r="I26" s="2">
        <v>176</v>
      </c>
      <c r="J26" s="2">
        <v>297600</v>
      </c>
      <c r="K26" s="2">
        <v>4258</v>
      </c>
      <c r="L26" s="2">
        <v>300.10000000000002</v>
      </c>
      <c r="M26" s="2">
        <v>578.9</v>
      </c>
      <c r="N26" s="2">
        <v>14940</v>
      </c>
      <c r="O26" s="2">
        <v>11.4</v>
      </c>
    </row>
    <row r="27" spans="1:15" ht="24.95" customHeight="1" x14ac:dyDescent="0.25">
      <c r="A27" s="17" t="s">
        <v>188</v>
      </c>
      <c r="B27" s="2">
        <v>310</v>
      </c>
      <c r="C27" s="2">
        <v>114</v>
      </c>
      <c r="D27" s="2">
        <v>33</v>
      </c>
      <c r="E27" s="2">
        <v>82.3</v>
      </c>
      <c r="F27" s="2">
        <v>-1.3</v>
      </c>
      <c r="H27" s="2">
        <v>8460</v>
      </c>
      <c r="I27" s="2">
        <v>238</v>
      </c>
      <c r="J27" s="2">
        <v>964440</v>
      </c>
      <c r="K27" s="2">
        <v>11045</v>
      </c>
      <c r="L27" s="2">
        <v>1104.5999999999999</v>
      </c>
      <c r="M27" s="2">
        <v>2043.2</v>
      </c>
      <c r="N27" s="2">
        <v>35850</v>
      </c>
    </row>
    <row r="28" spans="1:15" ht="24.95" customHeight="1" x14ac:dyDescent="0.25">
      <c r="A28" s="17" t="s">
        <v>189</v>
      </c>
      <c r="B28" s="2">
        <v>282</v>
      </c>
      <c r="C28" s="2">
        <v>114</v>
      </c>
      <c r="D28" s="2">
        <v>34.299999999999997</v>
      </c>
      <c r="E28" s="2">
        <v>81.8</v>
      </c>
      <c r="F28" s="2">
        <v>-2.1</v>
      </c>
      <c r="H28" s="2">
        <v>4050</v>
      </c>
      <c r="I28" s="2">
        <v>180</v>
      </c>
      <c r="J28" s="2">
        <v>461700</v>
      </c>
      <c r="K28" s="2">
        <v>6622</v>
      </c>
      <c r="L28" s="2">
        <v>499.8</v>
      </c>
      <c r="M28" s="2">
        <v>1004</v>
      </c>
      <c r="N28" s="2">
        <v>20700</v>
      </c>
    </row>
    <row r="29" spans="1:15" ht="24.95" customHeight="1" x14ac:dyDescent="0.25">
      <c r="A29" s="17" t="s">
        <v>5311</v>
      </c>
      <c r="B29" s="2">
        <v>294</v>
      </c>
      <c r="C29" s="2">
        <v>111</v>
      </c>
      <c r="D29" s="2">
        <v>28.7</v>
      </c>
      <c r="E29" s="2">
        <v>83.5</v>
      </c>
      <c r="F29" s="2">
        <v>-1.2</v>
      </c>
      <c r="H29" s="2">
        <v>4951</v>
      </c>
      <c r="I29" s="2">
        <v>200</v>
      </c>
      <c r="J29" s="2">
        <v>549561</v>
      </c>
      <c r="K29" s="2">
        <v>7792</v>
      </c>
      <c r="L29" s="2">
        <v>676.7</v>
      </c>
      <c r="M29" s="2">
        <v>1177.5</v>
      </c>
      <c r="N29" s="2">
        <v>28350</v>
      </c>
      <c r="O29" s="2">
        <v>3.9</v>
      </c>
    </row>
    <row r="30" spans="1:15" ht="24.95" customHeight="1" x14ac:dyDescent="0.25">
      <c r="A30" s="17" t="s">
        <v>191</v>
      </c>
      <c r="B30" s="2">
        <v>318</v>
      </c>
      <c r="C30" s="2">
        <v>122</v>
      </c>
      <c r="D30" s="2">
        <v>38.9</v>
      </c>
      <c r="E30" s="2">
        <v>84</v>
      </c>
      <c r="F30" s="2">
        <v>-0.9</v>
      </c>
      <c r="H30" s="2">
        <v>1110</v>
      </c>
      <c r="I30" s="2">
        <v>231</v>
      </c>
      <c r="J30" s="2">
        <v>135420</v>
      </c>
      <c r="K30" s="2">
        <v>1542</v>
      </c>
      <c r="L30" s="2">
        <v>106.6</v>
      </c>
      <c r="M30" s="2">
        <v>269.10000000000002</v>
      </c>
      <c r="N30" s="2">
        <v>5100</v>
      </c>
    </row>
    <row r="31" spans="1:15" ht="24.95" customHeight="1" x14ac:dyDescent="0.25">
      <c r="A31" s="17" t="s">
        <v>192</v>
      </c>
      <c r="B31" s="2">
        <v>312</v>
      </c>
      <c r="C31" s="2">
        <v>112</v>
      </c>
      <c r="D31" s="2">
        <v>29</v>
      </c>
      <c r="E31" s="2">
        <v>84</v>
      </c>
      <c r="F31" s="2">
        <v>-1</v>
      </c>
      <c r="H31" s="2">
        <v>2810</v>
      </c>
      <c r="I31" s="2">
        <v>285</v>
      </c>
      <c r="J31" s="2">
        <v>314720</v>
      </c>
      <c r="K31" s="2">
        <v>4043</v>
      </c>
      <c r="L31" s="2">
        <v>387.5</v>
      </c>
      <c r="M31" s="2">
        <v>693.1</v>
      </c>
      <c r="N31" s="2">
        <v>12260</v>
      </c>
    </row>
    <row r="32" spans="1:15" ht="24.95" customHeight="1" x14ac:dyDescent="0.25">
      <c r="A32" s="17" t="s">
        <v>193</v>
      </c>
      <c r="B32" s="2">
        <v>294</v>
      </c>
      <c r="C32" s="2">
        <v>112</v>
      </c>
      <c r="D32" s="2">
        <v>28</v>
      </c>
      <c r="E32" s="2">
        <v>84</v>
      </c>
      <c r="H32" s="2">
        <v>833</v>
      </c>
      <c r="I32" s="2">
        <v>187</v>
      </c>
      <c r="J32" s="2">
        <v>93296</v>
      </c>
      <c r="K32" s="2">
        <v>1776</v>
      </c>
      <c r="L32" s="2">
        <v>119.5</v>
      </c>
      <c r="M32" s="2">
        <v>201.5</v>
      </c>
      <c r="N32" s="2">
        <v>6350</v>
      </c>
      <c r="O32" s="2">
        <v>28.4</v>
      </c>
    </row>
    <row r="33" spans="1:15" ht="24.95" customHeight="1" x14ac:dyDescent="0.25">
      <c r="A33" s="17" t="s">
        <v>187</v>
      </c>
      <c r="B33" s="2">
        <v>273</v>
      </c>
      <c r="C33" s="2">
        <v>104</v>
      </c>
      <c r="D33" s="2">
        <v>20.5</v>
      </c>
      <c r="E33" s="2">
        <v>84</v>
      </c>
      <c r="F33" s="2">
        <v>-0.5</v>
      </c>
      <c r="G33" s="2">
        <v>106</v>
      </c>
      <c r="H33" s="2">
        <v>4452</v>
      </c>
      <c r="I33" s="2">
        <v>161</v>
      </c>
      <c r="J33" s="2">
        <v>471792</v>
      </c>
      <c r="K33" s="2">
        <v>8489</v>
      </c>
      <c r="L33" s="2">
        <v>690.2</v>
      </c>
      <c r="M33" s="2">
        <v>1062.8</v>
      </c>
      <c r="N33" s="2">
        <v>32510</v>
      </c>
      <c r="O33" s="2">
        <v>23.2</v>
      </c>
    </row>
    <row r="34" spans="1:15" ht="24.95" customHeight="1" x14ac:dyDescent="0.25">
      <c r="A34" s="17" t="s">
        <v>5312</v>
      </c>
      <c r="B34" s="2">
        <v>268</v>
      </c>
      <c r="C34" s="2">
        <v>102</v>
      </c>
      <c r="D34" s="2">
        <v>18.5</v>
      </c>
      <c r="E34" s="2">
        <v>84</v>
      </c>
      <c r="F34" s="2">
        <v>-0.5</v>
      </c>
      <c r="G34" s="2">
        <v>104.1</v>
      </c>
      <c r="H34" s="2">
        <v>5300</v>
      </c>
      <c r="I34" s="2">
        <v>176</v>
      </c>
      <c r="J34" s="2">
        <v>551724</v>
      </c>
      <c r="K34" s="2">
        <v>9035</v>
      </c>
      <c r="L34" s="2">
        <v>657.8</v>
      </c>
      <c r="M34" s="2">
        <v>1120.2</v>
      </c>
      <c r="N34" s="2">
        <v>30180</v>
      </c>
      <c r="O34" s="2">
        <v>5.2</v>
      </c>
    </row>
    <row r="35" spans="1:15" ht="24.95" customHeight="1" x14ac:dyDescent="0.25">
      <c r="A35" s="17" t="s">
        <v>5313</v>
      </c>
      <c r="B35" s="2">
        <v>312</v>
      </c>
      <c r="C35" s="2">
        <v>121</v>
      </c>
      <c r="D35" s="2">
        <v>36.9</v>
      </c>
      <c r="E35" s="2">
        <v>84</v>
      </c>
      <c r="F35" s="2">
        <v>0.1</v>
      </c>
      <c r="G35" s="2">
        <v>122.4</v>
      </c>
      <c r="H35" s="2">
        <v>3100</v>
      </c>
      <c r="I35" s="2">
        <v>216</v>
      </c>
      <c r="J35" s="2">
        <v>379414</v>
      </c>
      <c r="K35" s="2">
        <v>5113</v>
      </c>
      <c r="L35" s="2">
        <v>511.1</v>
      </c>
      <c r="M35" s="2">
        <v>768.1</v>
      </c>
      <c r="N35" s="2">
        <v>17110</v>
      </c>
    </row>
    <row r="36" spans="1:15" ht="24.95" customHeight="1" x14ac:dyDescent="0.25">
      <c r="A36" s="17" t="s">
        <v>196</v>
      </c>
      <c r="B36" s="2">
        <v>281</v>
      </c>
      <c r="C36" s="2">
        <v>108</v>
      </c>
      <c r="D36" s="2">
        <v>24</v>
      </c>
      <c r="E36" s="2">
        <v>84</v>
      </c>
      <c r="G36" s="2">
        <v>109.3</v>
      </c>
      <c r="H36" s="2">
        <v>9303</v>
      </c>
      <c r="I36" s="2">
        <v>228</v>
      </c>
      <c r="J36" s="2">
        <v>1016691</v>
      </c>
      <c r="K36" s="2">
        <v>13062</v>
      </c>
      <c r="L36" s="2">
        <v>1151.4000000000001</v>
      </c>
      <c r="M36" s="2">
        <v>2108.3000000000002</v>
      </c>
      <c r="N36" s="2">
        <v>47500</v>
      </c>
    </row>
    <row r="37" spans="1:15" ht="24.95" customHeight="1" x14ac:dyDescent="0.25">
      <c r="A37" s="17" t="s">
        <v>197</v>
      </c>
      <c r="B37" s="2">
        <v>260</v>
      </c>
      <c r="C37" s="2">
        <v>100</v>
      </c>
      <c r="D37" s="2">
        <v>15.7</v>
      </c>
      <c r="E37" s="2">
        <v>84</v>
      </c>
      <c r="F37" s="2">
        <v>0.4</v>
      </c>
      <c r="G37" s="2">
        <v>102.1</v>
      </c>
      <c r="H37" s="2">
        <v>1520</v>
      </c>
      <c r="I37" s="2">
        <v>165</v>
      </c>
      <c r="J37" s="2">
        <v>155223</v>
      </c>
      <c r="K37" s="2">
        <v>3730</v>
      </c>
      <c r="L37" s="2">
        <v>190.7</v>
      </c>
      <c r="M37" s="2">
        <v>322.60000000000002</v>
      </c>
      <c r="N37" s="2">
        <v>14420</v>
      </c>
      <c r="O37" s="2">
        <v>41.3</v>
      </c>
    </row>
    <row r="38" spans="1:15" ht="24.95" customHeight="1" x14ac:dyDescent="0.25">
      <c r="A38" s="17" t="s">
        <v>198</v>
      </c>
      <c r="B38" s="2">
        <v>271</v>
      </c>
      <c r="C38" s="2">
        <v>108</v>
      </c>
      <c r="D38" s="2">
        <v>23.1</v>
      </c>
      <c r="E38" s="2">
        <v>84</v>
      </c>
      <c r="F38" s="2">
        <v>0.9</v>
      </c>
      <c r="G38" s="2">
        <v>111.2</v>
      </c>
      <c r="H38" s="2">
        <v>1025</v>
      </c>
      <c r="I38" s="2">
        <v>184</v>
      </c>
      <c r="J38" s="2">
        <v>113992</v>
      </c>
      <c r="K38" s="2">
        <v>3097</v>
      </c>
      <c r="L38" s="2">
        <v>161.30000000000001</v>
      </c>
      <c r="M38" s="2">
        <v>254</v>
      </c>
      <c r="N38" s="2">
        <v>10270</v>
      </c>
      <c r="O38" s="2">
        <v>43.8</v>
      </c>
    </row>
    <row r="39" spans="1:15" ht="24.95" customHeight="1" x14ac:dyDescent="0.25">
      <c r="A39" s="17" t="s">
        <v>189</v>
      </c>
      <c r="B39" s="2">
        <v>263</v>
      </c>
      <c r="C39" s="2">
        <v>104</v>
      </c>
      <c r="D39" s="2">
        <v>20.6</v>
      </c>
      <c r="E39" s="2">
        <v>84</v>
      </c>
      <c r="F39" s="2">
        <v>-0.6</v>
      </c>
      <c r="G39" s="2">
        <v>106.1</v>
      </c>
      <c r="H39" s="2">
        <v>3589</v>
      </c>
      <c r="I39" s="2">
        <v>173</v>
      </c>
      <c r="J39" s="2">
        <v>380614</v>
      </c>
      <c r="K39" s="2">
        <v>5533</v>
      </c>
      <c r="L39" s="2">
        <v>386.3</v>
      </c>
      <c r="M39" s="2">
        <v>880</v>
      </c>
      <c r="N39" s="2">
        <v>21650</v>
      </c>
      <c r="O39" s="2">
        <v>6.1</v>
      </c>
    </row>
    <row r="40" spans="1:15" ht="24.95" customHeight="1" x14ac:dyDescent="0.25">
      <c r="A40" s="17" t="s">
        <v>191</v>
      </c>
      <c r="B40" s="2">
        <v>286</v>
      </c>
      <c r="C40" s="2">
        <v>104</v>
      </c>
      <c r="D40" s="2">
        <v>19</v>
      </c>
      <c r="E40" s="2">
        <v>84</v>
      </c>
      <c r="F40" s="2">
        <v>0.9</v>
      </c>
      <c r="G40" s="2">
        <v>107.6</v>
      </c>
      <c r="H40" s="2">
        <v>2189</v>
      </c>
      <c r="I40" s="2">
        <v>177</v>
      </c>
      <c r="J40" s="2">
        <v>235556</v>
      </c>
      <c r="K40" s="2">
        <v>5173</v>
      </c>
      <c r="L40" s="2">
        <v>337.7</v>
      </c>
      <c r="M40" s="2">
        <v>521.9</v>
      </c>
      <c r="N40" s="2">
        <v>19770</v>
      </c>
      <c r="O40" s="2">
        <v>34.9</v>
      </c>
    </row>
    <row r="41" spans="1:15" ht="24.95" customHeight="1" x14ac:dyDescent="0.25">
      <c r="A41" s="17" t="s">
        <v>193</v>
      </c>
      <c r="B41" s="2">
        <v>261</v>
      </c>
      <c r="C41" s="2">
        <v>104</v>
      </c>
      <c r="D41" s="2">
        <v>20.9</v>
      </c>
      <c r="E41" s="2">
        <v>84</v>
      </c>
      <c r="F41" s="2">
        <v>-0.9</v>
      </c>
      <c r="G41" s="2">
        <v>104.8</v>
      </c>
      <c r="H41" s="2">
        <v>2889</v>
      </c>
      <c r="I41" s="2">
        <v>138</v>
      </c>
      <c r="J41" s="2">
        <v>302787</v>
      </c>
      <c r="K41" s="2">
        <v>4769</v>
      </c>
      <c r="L41" s="2">
        <v>272.2</v>
      </c>
      <c r="M41" s="2">
        <v>558.29999999999995</v>
      </c>
      <c r="N41" s="2">
        <v>17050</v>
      </c>
      <c r="O41" s="2">
        <v>5.3</v>
      </c>
    </row>
    <row r="42" spans="1:15" ht="24.95" customHeight="1" x14ac:dyDescent="0.25">
      <c r="A42" s="17" t="s">
        <v>199</v>
      </c>
      <c r="B42" s="2">
        <v>273</v>
      </c>
      <c r="C42" s="2">
        <v>100</v>
      </c>
      <c r="D42" s="2">
        <v>16.600000000000001</v>
      </c>
      <c r="E42" s="2">
        <v>84</v>
      </c>
      <c r="F42" s="2">
        <v>-0.6</v>
      </c>
      <c r="G42" s="2">
        <v>102.4</v>
      </c>
      <c r="H42" s="2">
        <v>3144</v>
      </c>
      <c r="I42" s="2">
        <v>208</v>
      </c>
      <c r="J42" s="2">
        <v>322066</v>
      </c>
      <c r="K42" s="2">
        <v>4402</v>
      </c>
      <c r="L42" s="2">
        <v>476.1</v>
      </c>
      <c r="M42" s="2">
        <v>776.8</v>
      </c>
      <c r="N42" s="2">
        <v>15940</v>
      </c>
    </row>
    <row r="43" spans="1:15" ht="24.95" customHeight="1" x14ac:dyDescent="0.25">
      <c r="A43" s="17" t="s">
        <v>192</v>
      </c>
      <c r="B43" s="2">
        <v>270</v>
      </c>
      <c r="C43" s="2">
        <v>103</v>
      </c>
      <c r="D43" s="2">
        <v>18.8</v>
      </c>
      <c r="E43" s="2">
        <v>84</v>
      </c>
      <c r="F43" s="2">
        <v>0.2</v>
      </c>
      <c r="G43" s="2">
        <v>105.1</v>
      </c>
      <c r="H43" s="2">
        <v>10400</v>
      </c>
      <c r="I43" s="2">
        <v>241</v>
      </c>
      <c r="J43" s="2">
        <v>1092559</v>
      </c>
      <c r="K43" s="2">
        <v>16974</v>
      </c>
      <c r="L43" s="2">
        <v>1648.8</v>
      </c>
      <c r="M43" s="2">
        <v>2414.6999999999998</v>
      </c>
      <c r="N43" s="2">
        <v>55950</v>
      </c>
      <c r="O43" s="2">
        <v>0.2</v>
      </c>
    </row>
    <row r="44" spans="1:15" ht="24.95" customHeight="1" x14ac:dyDescent="0.25">
      <c r="A44" s="17" t="s">
        <v>6725</v>
      </c>
      <c r="B44" s="2">
        <v>197</v>
      </c>
      <c r="C44" s="2">
        <v>78</v>
      </c>
      <c r="H44" s="2">
        <v>111710</v>
      </c>
      <c r="I44" s="2">
        <v>220</v>
      </c>
      <c r="J44" s="2">
        <v>8713380</v>
      </c>
      <c r="K44" s="2">
        <v>152727</v>
      </c>
      <c r="L44" s="2">
        <v>13915.5</v>
      </c>
      <c r="M44" s="2">
        <v>27063.200000000001</v>
      </c>
      <c r="N44" s="2">
        <v>505130</v>
      </c>
    </row>
    <row r="45" spans="1:15" ht="24.95" customHeight="1" x14ac:dyDescent="0.25">
      <c r="A45" s="17" t="s">
        <v>201</v>
      </c>
      <c r="B45" s="2">
        <v>332</v>
      </c>
      <c r="C45" s="2">
        <v>119</v>
      </c>
      <c r="D45" s="2">
        <v>37.700000000000003</v>
      </c>
      <c r="E45" s="2">
        <v>81</v>
      </c>
      <c r="F45" s="2">
        <v>0.3</v>
      </c>
      <c r="H45" s="2">
        <v>7240</v>
      </c>
      <c r="I45" s="2">
        <v>224</v>
      </c>
      <c r="J45" s="2">
        <v>861560</v>
      </c>
      <c r="K45" s="2">
        <v>9082</v>
      </c>
      <c r="L45" s="2">
        <v>687.6</v>
      </c>
      <c r="M45" s="2">
        <v>1687.8</v>
      </c>
      <c r="N45" s="2">
        <v>29090</v>
      </c>
    </row>
    <row r="46" spans="1:15" ht="24.95" customHeight="1" x14ac:dyDescent="0.25">
      <c r="A46" s="17" t="s">
        <v>214</v>
      </c>
      <c r="B46" s="2">
        <v>294</v>
      </c>
      <c r="C46" s="2">
        <v>112</v>
      </c>
      <c r="D46" s="2">
        <v>30.6</v>
      </c>
      <c r="E46" s="2">
        <v>81</v>
      </c>
      <c r="F46" s="2">
        <v>0.4</v>
      </c>
      <c r="H46" s="2">
        <v>776</v>
      </c>
      <c r="I46" s="2">
        <v>193</v>
      </c>
      <c r="J46" s="2">
        <v>86912</v>
      </c>
      <c r="K46" s="2">
        <v>1459</v>
      </c>
      <c r="L46" s="2">
        <v>79.5</v>
      </c>
      <c r="M46" s="2">
        <v>194.6</v>
      </c>
      <c r="N46" s="2">
        <v>4390</v>
      </c>
    </row>
    <row r="47" spans="1:15" ht="24.95" customHeight="1" x14ac:dyDescent="0.25">
      <c r="A47" s="17" t="s">
        <v>5337</v>
      </c>
      <c r="B47" s="2">
        <v>300</v>
      </c>
      <c r="C47" s="2">
        <v>112</v>
      </c>
      <c r="D47" s="2">
        <v>33.6</v>
      </c>
      <c r="E47" s="2">
        <v>78</v>
      </c>
      <c r="F47" s="2">
        <v>0.4</v>
      </c>
      <c r="H47" s="2">
        <v>13350</v>
      </c>
      <c r="I47" s="2">
        <v>218</v>
      </c>
      <c r="J47" s="2">
        <v>1495200</v>
      </c>
      <c r="K47" s="2">
        <v>15664</v>
      </c>
      <c r="L47" s="2">
        <v>1512.9</v>
      </c>
      <c r="M47" s="2">
        <v>3240</v>
      </c>
      <c r="N47" s="2">
        <v>52880</v>
      </c>
    </row>
    <row r="48" spans="1:15" ht="24.95" customHeight="1" x14ac:dyDescent="0.25">
      <c r="A48" s="17" t="s">
        <v>203</v>
      </c>
      <c r="B48" s="2">
        <v>306</v>
      </c>
      <c r="C48" s="2">
        <v>112</v>
      </c>
      <c r="D48" s="2">
        <v>30.6</v>
      </c>
      <c r="E48" s="2">
        <v>80.8</v>
      </c>
      <c r="F48" s="2">
        <v>0.6</v>
      </c>
      <c r="H48" s="2">
        <v>29000</v>
      </c>
      <c r="I48" s="2">
        <v>269</v>
      </c>
      <c r="J48" s="2">
        <v>3248000</v>
      </c>
      <c r="K48" s="2">
        <v>23961</v>
      </c>
      <c r="L48" s="2">
        <v>2213.5</v>
      </c>
      <c r="M48" s="2">
        <v>7047.2</v>
      </c>
      <c r="N48" s="2">
        <v>82700</v>
      </c>
    </row>
    <row r="49" spans="1:15" ht="24.95" customHeight="1" x14ac:dyDescent="0.25">
      <c r="A49" s="17" t="s">
        <v>6726</v>
      </c>
      <c r="B49" s="2">
        <v>274</v>
      </c>
      <c r="C49" s="2">
        <v>106</v>
      </c>
      <c r="D49" s="2">
        <v>24.8</v>
      </c>
      <c r="E49" s="2">
        <v>81</v>
      </c>
      <c r="F49" s="2">
        <v>0.2</v>
      </c>
      <c r="H49" s="2">
        <v>2550</v>
      </c>
      <c r="I49" s="2">
        <v>198</v>
      </c>
      <c r="J49" s="2">
        <v>270300</v>
      </c>
      <c r="K49" s="2">
        <v>3094</v>
      </c>
      <c r="L49" s="2">
        <v>457.7</v>
      </c>
      <c r="M49" s="2">
        <v>639.9</v>
      </c>
      <c r="N49" s="2">
        <v>10330</v>
      </c>
    </row>
    <row r="50" spans="1:15" ht="24.95" customHeight="1" x14ac:dyDescent="0.25">
      <c r="A50" s="17" t="s">
        <v>205</v>
      </c>
      <c r="B50" s="2">
        <v>302</v>
      </c>
      <c r="C50" s="2">
        <v>118</v>
      </c>
      <c r="D50" s="2">
        <v>36.5</v>
      </c>
      <c r="E50" s="2">
        <v>81</v>
      </c>
      <c r="F50" s="2">
        <v>0.5</v>
      </c>
      <c r="H50" s="2">
        <v>4050</v>
      </c>
      <c r="I50" s="2">
        <v>224</v>
      </c>
      <c r="J50" s="2">
        <v>477900</v>
      </c>
      <c r="K50" s="2">
        <v>5579</v>
      </c>
      <c r="L50" s="2">
        <v>413</v>
      </c>
      <c r="M50" s="2">
        <v>935.7</v>
      </c>
      <c r="N50" s="2">
        <v>18290</v>
      </c>
    </row>
    <row r="51" spans="1:15" ht="24.95" customHeight="1" x14ac:dyDescent="0.25">
      <c r="A51" s="17" t="s">
        <v>5341</v>
      </c>
      <c r="B51" s="2">
        <v>282</v>
      </c>
      <c r="C51" s="2">
        <v>108</v>
      </c>
      <c r="D51" s="2">
        <v>27</v>
      </c>
      <c r="E51" s="2">
        <v>81</v>
      </c>
      <c r="H51" s="2">
        <v>3300</v>
      </c>
      <c r="I51" s="2">
        <v>220</v>
      </c>
      <c r="J51" s="2">
        <v>356400</v>
      </c>
      <c r="K51" s="2">
        <v>5906</v>
      </c>
      <c r="L51" s="2">
        <v>490.5</v>
      </c>
      <c r="M51" s="2">
        <v>796.7</v>
      </c>
      <c r="N51" s="2">
        <v>17510</v>
      </c>
    </row>
    <row r="52" spans="1:15" ht="24.95" customHeight="1" x14ac:dyDescent="0.25">
      <c r="A52" s="17" t="s">
        <v>207</v>
      </c>
      <c r="B52" s="2">
        <v>288</v>
      </c>
      <c r="C52" s="2">
        <v>112</v>
      </c>
      <c r="D52" s="2">
        <v>31</v>
      </c>
      <c r="E52" s="2">
        <v>80.8</v>
      </c>
      <c r="F52" s="2">
        <v>0.2</v>
      </c>
      <c r="H52" s="2">
        <v>685</v>
      </c>
      <c r="I52" s="2">
        <v>138</v>
      </c>
      <c r="J52" s="2">
        <v>76720</v>
      </c>
      <c r="K52" s="2">
        <v>1143</v>
      </c>
      <c r="L52" s="2">
        <v>92.9</v>
      </c>
      <c r="M52" s="2">
        <v>198.9</v>
      </c>
      <c r="N52" s="2">
        <v>5450</v>
      </c>
      <c r="O52" s="2">
        <v>18.5</v>
      </c>
    </row>
    <row r="53" spans="1:15" ht="24.95" customHeight="1" x14ac:dyDescent="0.25">
      <c r="A53" s="17" t="s">
        <v>208</v>
      </c>
      <c r="B53" s="2">
        <v>272</v>
      </c>
      <c r="C53" s="2">
        <v>110</v>
      </c>
      <c r="D53" s="2">
        <v>28.5</v>
      </c>
      <c r="E53" s="2">
        <v>81</v>
      </c>
      <c r="F53" s="2">
        <v>0.5</v>
      </c>
      <c r="H53" s="2">
        <v>720</v>
      </c>
      <c r="I53" s="2">
        <v>213</v>
      </c>
      <c r="J53" s="2">
        <v>79200</v>
      </c>
      <c r="K53" s="2">
        <v>1428</v>
      </c>
      <c r="L53" s="2">
        <v>105.5</v>
      </c>
      <c r="M53" s="2">
        <v>182.8</v>
      </c>
      <c r="N53" s="2">
        <v>4310</v>
      </c>
      <c r="O53" s="2">
        <v>4.2</v>
      </c>
    </row>
    <row r="54" spans="1:15" ht="24.95" customHeight="1" x14ac:dyDescent="0.25">
      <c r="A54" s="17" t="s">
        <v>209</v>
      </c>
      <c r="B54" s="2">
        <v>318</v>
      </c>
      <c r="C54" s="2">
        <v>122</v>
      </c>
      <c r="D54" s="2">
        <v>40.9</v>
      </c>
      <c r="E54" s="2">
        <v>81</v>
      </c>
      <c r="F54" s="2">
        <v>0.1</v>
      </c>
      <c r="H54" s="2">
        <v>1620</v>
      </c>
      <c r="I54" s="2">
        <v>186</v>
      </c>
      <c r="J54" s="2">
        <v>197640</v>
      </c>
      <c r="K54" s="2">
        <v>2813</v>
      </c>
      <c r="L54" s="2">
        <v>260.8</v>
      </c>
      <c r="M54" s="2">
        <v>396.2</v>
      </c>
      <c r="N54" s="2">
        <v>8930</v>
      </c>
    </row>
    <row r="55" spans="1:15" ht="24.95" customHeight="1" x14ac:dyDescent="0.25">
      <c r="A55" s="17" t="s">
        <v>210</v>
      </c>
      <c r="B55" s="2">
        <v>303</v>
      </c>
      <c r="C55" s="2">
        <v>118</v>
      </c>
      <c r="D55" s="2">
        <v>36.200000000000003</v>
      </c>
      <c r="E55" s="2">
        <v>81</v>
      </c>
      <c r="F55" s="2">
        <v>0.8</v>
      </c>
      <c r="H55" s="2">
        <v>880</v>
      </c>
      <c r="I55" s="2">
        <v>193</v>
      </c>
      <c r="J55" s="2">
        <v>103840</v>
      </c>
      <c r="K55" s="2">
        <v>1719</v>
      </c>
      <c r="L55" s="2">
        <v>93.8</v>
      </c>
      <c r="M55" s="2">
        <v>220.6</v>
      </c>
      <c r="N55" s="2">
        <v>4720</v>
      </c>
    </row>
    <row r="56" spans="1:15" ht="24.95" customHeight="1" x14ac:dyDescent="0.25">
      <c r="A56" s="17" t="s">
        <v>6727</v>
      </c>
      <c r="B56" s="2">
        <v>310</v>
      </c>
      <c r="C56" s="2">
        <v>122</v>
      </c>
      <c r="D56" s="2">
        <v>39.299999999999997</v>
      </c>
      <c r="E56" s="2">
        <v>81</v>
      </c>
      <c r="F56" s="2">
        <v>1.8</v>
      </c>
      <c r="H56" s="2">
        <v>1550</v>
      </c>
      <c r="I56" s="2">
        <v>140</v>
      </c>
      <c r="J56" s="2">
        <v>189100</v>
      </c>
      <c r="K56" s="2">
        <v>4635</v>
      </c>
      <c r="L56" s="2">
        <v>214.1</v>
      </c>
      <c r="M56" s="2">
        <v>379.4</v>
      </c>
      <c r="N56" s="2">
        <v>12990</v>
      </c>
      <c r="O56" s="2">
        <v>339</v>
      </c>
    </row>
    <row r="57" spans="1:15" ht="24.95" customHeight="1" x14ac:dyDescent="0.25">
      <c r="A57" s="17" t="s">
        <v>213</v>
      </c>
      <c r="B57" s="2">
        <v>280</v>
      </c>
      <c r="C57" s="2">
        <v>109</v>
      </c>
      <c r="D57" s="2">
        <v>27.5</v>
      </c>
      <c r="E57" s="2">
        <v>81</v>
      </c>
      <c r="F57" s="2">
        <v>0.5</v>
      </c>
      <c r="G57" s="2">
        <v>111.5</v>
      </c>
      <c r="H57" s="2">
        <v>10660</v>
      </c>
      <c r="I57" s="2">
        <v>194</v>
      </c>
      <c r="J57" s="2">
        <v>1188160</v>
      </c>
      <c r="K57" s="2">
        <v>17743</v>
      </c>
      <c r="L57" s="2">
        <v>2034</v>
      </c>
      <c r="M57" s="2">
        <v>2590.5</v>
      </c>
      <c r="N57" s="2">
        <v>56980</v>
      </c>
    </row>
    <row r="58" spans="1:15" ht="24.95" customHeight="1" x14ac:dyDescent="0.25">
      <c r="A58" s="17" t="s">
        <v>201</v>
      </c>
      <c r="B58" s="2">
        <v>266</v>
      </c>
      <c r="C58" s="2">
        <v>102</v>
      </c>
      <c r="D58" s="2">
        <v>19.600000000000001</v>
      </c>
      <c r="E58" s="2">
        <v>81</v>
      </c>
      <c r="F58" s="2">
        <v>1.4</v>
      </c>
      <c r="G58" s="2">
        <v>103.8</v>
      </c>
      <c r="H58" s="2">
        <v>4300</v>
      </c>
      <c r="I58" s="2">
        <v>174</v>
      </c>
      <c r="J58" s="2">
        <v>446385</v>
      </c>
      <c r="K58" s="2">
        <v>9221</v>
      </c>
      <c r="L58" s="2">
        <v>616.1</v>
      </c>
      <c r="M58" s="2">
        <v>918.4</v>
      </c>
      <c r="N58" s="2">
        <v>34250</v>
      </c>
      <c r="O58" s="2">
        <v>31.3</v>
      </c>
    </row>
    <row r="59" spans="1:15" ht="24.95" customHeight="1" x14ac:dyDescent="0.25">
      <c r="A59" s="17" t="s">
        <v>214</v>
      </c>
      <c r="B59" s="2">
        <v>259</v>
      </c>
      <c r="C59" s="2">
        <v>105.5</v>
      </c>
      <c r="D59" s="2">
        <v>25.3</v>
      </c>
      <c r="E59" s="2">
        <v>78.5</v>
      </c>
      <c r="F59" s="2">
        <v>1.7</v>
      </c>
      <c r="G59" s="2">
        <v>109.8</v>
      </c>
      <c r="H59" s="2">
        <v>1134</v>
      </c>
      <c r="I59" s="2">
        <v>191</v>
      </c>
      <c r="J59" s="2">
        <v>124488</v>
      </c>
      <c r="K59" s="2">
        <v>2744</v>
      </c>
      <c r="L59" s="2">
        <v>135</v>
      </c>
      <c r="M59" s="2">
        <v>311.5</v>
      </c>
      <c r="N59" s="2">
        <v>9430</v>
      </c>
      <c r="O59" s="2">
        <v>28.2</v>
      </c>
    </row>
    <row r="60" spans="1:15" ht="24.95" customHeight="1" x14ac:dyDescent="0.25">
      <c r="A60" s="17" t="s">
        <v>207</v>
      </c>
      <c r="B60" s="2">
        <v>264</v>
      </c>
      <c r="C60" s="2">
        <v>100</v>
      </c>
      <c r="D60" s="2">
        <v>18.5</v>
      </c>
      <c r="E60" s="2">
        <v>81</v>
      </c>
      <c r="F60" s="2">
        <v>0.6</v>
      </c>
      <c r="G60" s="2">
        <v>101.5</v>
      </c>
      <c r="H60" s="2">
        <v>16780</v>
      </c>
      <c r="I60" s="2">
        <v>215</v>
      </c>
      <c r="J60" s="2">
        <v>1702480</v>
      </c>
      <c r="K60" s="2">
        <v>19880</v>
      </c>
      <c r="L60" s="2">
        <v>2430</v>
      </c>
      <c r="M60" s="2">
        <v>4167.1000000000004</v>
      </c>
      <c r="N60" s="2">
        <v>68630</v>
      </c>
    </row>
    <row r="61" spans="1:15" ht="24.95" customHeight="1" x14ac:dyDescent="0.25">
      <c r="A61" s="17" t="s">
        <v>210</v>
      </c>
      <c r="B61" s="2">
        <v>270</v>
      </c>
      <c r="C61" s="2">
        <v>104</v>
      </c>
      <c r="D61" s="2">
        <v>21.2</v>
      </c>
      <c r="E61" s="2">
        <v>81</v>
      </c>
      <c r="F61" s="2">
        <v>1.8</v>
      </c>
      <c r="G61" s="2">
        <v>106.8</v>
      </c>
      <c r="H61" s="2">
        <v>1645</v>
      </c>
      <c r="I61" s="2">
        <v>197</v>
      </c>
      <c r="J61" s="2">
        <v>175760</v>
      </c>
      <c r="K61" s="2">
        <v>4983</v>
      </c>
      <c r="L61" s="2">
        <v>264.3</v>
      </c>
      <c r="M61" s="2">
        <v>429.9</v>
      </c>
      <c r="N61" s="2">
        <v>14130</v>
      </c>
      <c r="O61" s="2">
        <v>32</v>
      </c>
    </row>
    <row r="62" spans="1:15" ht="24.95" customHeight="1" x14ac:dyDescent="0.25">
      <c r="A62" s="17" t="s">
        <v>216</v>
      </c>
      <c r="B62" s="2">
        <v>286</v>
      </c>
      <c r="C62" s="2">
        <v>108</v>
      </c>
      <c r="D62" s="2">
        <v>25.2</v>
      </c>
      <c r="E62" s="2">
        <v>81</v>
      </c>
      <c r="F62" s="2">
        <v>1.8</v>
      </c>
      <c r="G62" s="2">
        <v>109</v>
      </c>
      <c r="H62" s="2">
        <v>1290</v>
      </c>
      <c r="I62" s="2">
        <v>235</v>
      </c>
      <c r="J62" s="2">
        <v>140653</v>
      </c>
      <c r="K62" s="2">
        <v>3027</v>
      </c>
      <c r="L62" s="2">
        <v>186.7</v>
      </c>
      <c r="M62" s="2">
        <v>331.7</v>
      </c>
      <c r="N62" s="2">
        <v>9040</v>
      </c>
      <c r="O62" s="2">
        <v>15</v>
      </c>
    </row>
    <row r="63" spans="1:15" ht="24.95" customHeight="1" x14ac:dyDescent="0.25">
      <c r="A63" s="17" t="s">
        <v>217</v>
      </c>
      <c r="B63" s="2">
        <v>258</v>
      </c>
      <c r="C63" s="2">
        <v>94.5</v>
      </c>
      <c r="D63" s="2">
        <v>14.5</v>
      </c>
      <c r="E63" s="2">
        <v>78.5</v>
      </c>
      <c r="F63" s="2">
        <v>1.5</v>
      </c>
      <c r="G63" s="2">
        <v>99.2</v>
      </c>
      <c r="H63" s="2">
        <v>900</v>
      </c>
      <c r="I63" s="2">
        <v>205</v>
      </c>
      <c r="J63" s="2">
        <v>89302</v>
      </c>
      <c r="K63" s="2">
        <v>2728</v>
      </c>
      <c r="L63" s="2">
        <v>143.1</v>
      </c>
      <c r="M63" s="2">
        <v>221.2</v>
      </c>
      <c r="N63" s="2">
        <v>7980</v>
      </c>
      <c r="O63" s="2">
        <v>37.4</v>
      </c>
    </row>
    <row r="64" spans="1:15" ht="24.95" customHeight="1" x14ac:dyDescent="0.25">
      <c r="A64" s="17" t="s">
        <v>218</v>
      </c>
      <c r="B64" s="2">
        <v>294</v>
      </c>
      <c r="C64" s="2">
        <v>108</v>
      </c>
      <c r="D64" s="2">
        <v>26.3</v>
      </c>
      <c r="E64" s="2">
        <v>81</v>
      </c>
      <c r="F64" s="2">
        <v>0.8</v>
      </c>
      <c r="G64" s="2">
        <v>109.9</v>
      </c>
      <c r="H64" s="2">
        <v>9285</v>
      </c>
      <c r="I64" s="2">
        <v>212</v>
      </c>
      <c r="J64" s="2">
        <v>1020638</v>
      </c>
      <c r="K64" s="2">
        <v>15918</v>
      </c>
      <c r="L64" s="2">
        <v>1484.5</v>
      </c>
      <c r="M64" s="2">
        <v>2173.1999999999998</v>
      </c>
      <c r="N64" s="2">
        <v>53100</v>
      </c>
      <c r="O64" s="2">
        <v>2.9</v>
      </c>
    </row>
    <row r="65" spans="1:15" ht="24.95" customHeight="1" x14ac:dyDescent="0.25">
      <c r="A65" s="17" t="s">
        <v>219</v>
      </c>
      <c r="B65" s="2">
        <v>204</v>
      </c>
      <c r="C65" s="2">
        <v>80</v>
      </c>
      <c r="H65" s="2">
        <v>31764</v>
      </c>
      <c r="I65" s="2">
        <v>193</v>
      </c>
      <c r="J65" s="2">
        <v>2541120</v>
      </c>
      <c r="K65" s="2">
        <v>59629</v>
      </c>
      <c r="L65" s="2">
        <v>3914.1</v>
      </c>
      <c r="M65" s="2">
        <v>7763.3</v>
      </c>
      <c r="N65" s="2">
        <v>193390</v>
      </c>
      <c r="O65" s="2">
        <v>12.5</v>
      </c>
    </row>
    <row r="66" spans="1:15" ht="24.95" customHeight="1" x14ac:dyDescent="0.25">
      <c r="A66" s="17" t="s">
        <v>19</v>
      </c>
      <c r="B66" s="2">
        <v>300</v>
      </c>
      <c r="C66" s="2">
        <v>120</v>
      </c>
      <c r="D66" s="2">
        <v>42.5</v>
      </c>
      <c r="E66" s="2">
        <v>80</v>
      </c>
      <c r="F66" s="2">
        <v>-2.5</v>
      </c>
      <c r="H66" s="2">
        <v>21000</v>
      </c>
      <c r="I66" s="2">
        <v>184</v>
      </c>
      <c r="J66" s="2">
        <v>2520000</v>
      </c>
      <c r="K66" s="2">
        <v>28761</v>
      </c>
      <c r="L66" s="2">
        <v>2377.5</v>
      </c>
      <c r="M66" s="2">
        <v>5155.8</v>
      </c>
      <c r="N66" s="2">
        <v>95380</v>
      </c>
    </row>
    <row r="67" spans="1:15" ht="24.95" customHeight="1" x14ac:dyDescent="0.25">
      <c r="A67" s="17" t="s">
        <v>220</v>
      </c>
      <c r="B67" s="2">
        <v>285</v>
      </c>
      <c r="C67" s="2">
        <v>110</v>
      </c>
      <c r="D67" s="2">
        <v>16.600000000000001</v>
      </c>
      <c r="E67" s="2">
        <v>92</v>
      </c>
      <c r="F67" s="2">
        <v>1.4</v>
      </c>
      <c r="G67" s="2">
        <v>111.9</v>
      </c>
      <c r="H67" s="2">
        <v>5585</v>
      </c>
      <c r="I67" s="2">
        <v>208</v>
      </c>
      <c r="J67" s="2">
        <v>625146</v>
      </c>
      <c r="K67" s="2">
        <v>13971</v>
      </c>
      <c r="L67" s="2">
        <v>831.2</v>
      </c>
      <c r="M67" s="2">
        <v>1353.4</v>
      </c>
      <c r="N67" s="2">
        <v>46970</v>
      </c>
      <c r="O67" s="2">
        <v>30.4</v>
      </c>
    </row>
    <row r="68" spans="1:15" ht="24.95" customHeight="1" x14ac:dyDescent="0.25">
      <c r="A68" s="17" t="s">
        <v>221</v>
      </c>
      <c r="B68" s="2">
        <v>279</v>
      </c>
      <c r="C68" s="2">
        <v>108</v>
      </c>
      <c r="D68" s="2">
        <v>14.2</v>
      </c>
      <c r="E68" s="2">
        <v>92</v>
      </c>
      <c r="F68" s="2">
        <v>1.8</v>
      </c>
      <c r="G68" s="2">
        <v>112.6</v>
      </c>
      <c r="H68" s="2">
        <v>1940</v>
      </c>
      <c r="I68" s="2">
        <v>218</v>
      </c>
      <c r="J68" s="2">
        <v>218396</v>
      </c>
      <c r="K68" s="2">
        <v>7397</v>
      </c>
      <c r="L68" s="2">
        <v>305.2</v>
      </c>
      <c r="M68" s="2">
        <v>478.8</v>
      </c>
      <c r="N68" s="2">
        <v>21100</v>
      </c>
      <c r="O68" s="2">
        <v>50</v>
      </c>
    </row>
    <row r="69" spans="1:15" ht="24.95" customHeight="1" x14ac:dyDescent="0.25">
      <c r="A69" s="17" t="s">
        <v>222</v>
      </c>
      <c r="B69" s="2">
        <v>266</v>
      </c>
      <c r="C69" s="2">
        <v>105</v>
      </c>
      <c r="D69" s="2">
        <v>12</v>
      </c>
      <c r="E69" s="2">
        <v>92</v>
      </c>
      <c r="F69" s="2">
        <v>1</v>
      </c>
      <c r="G69" s="2">
        <v>108.5</v>
      </c>
      <c r="H69" s="2">
        <v>3236</v>
      </c>
      <c r="I69" s="2">
        <v>214</v>
      </c>
      <c r="J69" s="2">
        <v>351162</v>
      </c>
      <c r="K69" s="2">
        <v>9500</v>
      </c>
      <c r="L69" s="2">
        <v>400.3</v>
      </c>
      <c r="M69" s="2">
        <v>775.2</v>
      </c>
      <c r="N69" s="2">
        <v>29940</v>
      </c>
      <c r="O69" s="2">
        <v>40.299999999999997</v>
      </c>
    </row>
    <row r="70" spans="1:15" ht="24.95" customHeight="1" x14ac:dyDescent="0.25">
      <c r="A70" s="17" t="s">
        <v>223</v>
      </c>
      <c r="B70" s="2">
        <v>181</v>
      </c>
      <c r="C70" s="2">
        <v>70</v>
      </c>
      <c r="H70" s="2">
        <v>151968</v>
      </c>
      <c r="I70" s="2">
        <v>188</v>
      </c>
      <c r="J70" s="2">
        <v>10637760</v>
      </c>
      <c r="K70" s="2">
        <v>312297</v>
      </c>
      <c r="L70" s="2">
        <v>21276.2</v>
      </c>
      <c r="M70" s="2">
        <v>37353.5</v>
      </c>
      <c r="N70" s="2">
        <v>944190</v>
      </c>
      <c r="O70" s="2">
        <v>10.7</v>
      </c>
    </row>
    <row r="71" spans="1:15" ht="24.95" customHeight="1" x14ac:dyDescent="0.25">
      <c r="A71" s="17" t="s">
        <v>6728</v>
      </c>
      <c r="B71" s="2">
        <v>306</v>
      </c>
      <c r="C71" s="2">
        <v>120</v>
      </c>
      <c r="D71" s="2">
        <v>50.7</v>
      </c>
      <c r="E71" s="2">
        <v>70</v>
      </c>
      <c r="F71" s="2">
        <v>-0.7</v>
      </c>
      <c r="H71" s="2">
        <v>6550</v>
      </c>
      <c r="I71" s="2">
        <v>158</v>
      </c>
      <c r="J71" s="2">
        <v>786000</v>
      </c>
      <c r="K71" s="2">
        <v>13515</v>
      </c>
      <c r="L71" s="2">
        <v>955.3</v>
      </c>
      <c r="M71" s="2">
        <v>1625.7</v>
      </c>
      <c r="N71" s="2">
        <v>41300</v>
      </c>
      <c r="O71" s="2">
        <v>10.8</v>
      </c>
    </row>
    <row r="72" spans="1:15" ht="24.95" customHeight="1" x14ac:dyDescent="0.25">
      <c r="A72" s="17" t="s">
        <v>5315</v>
      </c>
      <c r="B72" s="2">
        <v>274</v>
      </c>
      <c r="C72" s="2">
        <v>106</v>
      </c>
      <c r="D72" s="2">
        <v>36.1</v>
      </c>
      <c r="E72" s="2">
        <v>70</v>
      </c>
      <c r="F72" s="2">
        <v>-0.1</v>
      </c>
      <c r="H72" s="2">
        <v>10000</v>
      </c>
      <c r="I72" s="2">
        <v>155</v>
      </c>
      <c r="J72" s="2">
        <v>1060000</v>
      </c>
      <c r="K72" s="2">
        <v>16925</v>
      </c>
      <c r="L72" s="2">
        <v>1268.2</v>
      </c>
      <c r="M72" s="2">
        <v>2458.1999999999998</v>
      </c>
      <c r="N72" s="2">
        <v>52980</v>
      </c>
    </row>
    <row r="73" spans="1:15" ht="24.95" customHeight="1" x14ac:dyDescent="0.25">
      <c r="A73" s="17" t="s">
        <v>226</v>
      </c>
      <c r="B73" s="2">
        <v>300</v>
      </c>
      <c r="C73" s="2">
        <v>119</v>
      </c>
      <c r="D73" s="2">
        <v>45.1</v>
      </c>
      <c r="E73" s="2">
        <v>72.900000000000006</v>
      </c>
      <c r="F73" s="2">
        <v>1</v>
      </c>
      <c r="H73" s="2">
        <v>2255</v>
      </c>
      <c r="I73" s="2">
        <v>186</v>
      </c>
      <c r="J73" s="2">
        <v>263345</v>
      </c>
      <c r="K73" s="2">
        <v>5895</v>
      </c>
      <c r="L73" s="2">
        <v>282</v>
      </c>
      <c r="M73" s="2">
        <v>576.4</v>
      </c>
      <c r="N73" s="2">
        <v>17020</v>
      </c>
      <c r="O73" s="2">
        <v>23.6</v>
      </c>
    </row>
    <row r="74" spans="1:15" ht="24.95" customHeight="1" x14ac:dyDescent="0.25">
      <c r="A74" s="17" t="s">
        <v>227</v>
      </c>
      <c r="B74" s="2">
        <v>296</v>
      </c>
      <c r="C74" s="2">
        <v>114</v>
      </c>
      <c r="D74" s="2">
        <v>42.7</v>
      </c>
      <c r="E74" s="2">
        <v>70.3</v>
      </c>
      <c r="F74" s="2">
        <v>1</v>
      </c>
      <c r="H74" s="2">
        <v>7380</v>
      </c>
      <c r="I74" s="2">
        <v>202</v>
      </c>
      <c r="J74" s="2">
        <v>841320</v>
      </c>
      <c r="K74" s="2">
        <v>17408</v>
      </c>
      <c r="L74" s="2">
        <v>828.1</v>
      </c>
      <c r="M74" s="2">
        <v>1849.8</v>
      </c>
      <c r="N74" s="2">
        <v>53580</v>
      </c>
      <c r="O74" s="2">
        <v>22</v>
      </c>
    </row>
    <row r="75" spans="1:15" ht="24.95" customHeight="1" x14ac:dyDescent="0.25">
      <c r="A75" s="17" t="s">
        <v>6729</v>
      </c>
      <c r="B75" s="2">
        <v>252</v>
      </c>
      <c r="C75" s="2">
        <v>108</v>
      </c>
      <c r="D75" s="2">
        <v>36.6</v>
      </c>
      <c r="E75" s="2">
        <v>70.5</v>
      </c>
      <c r="F75" s="2">
        <v>0.9</v>
      </c>
      <c r="H75" s="2">
        <v>1800</v>
      </c>
      <c r="I75" s="2">
        <v>169</v>
      </c>
      <c r="J75" s="2">
        <v>194400</v>
      </c>
      <c r="K75" s="2">
        <v>6116</v>
      </c>
      <c r="L75" s="2">
        <v>243.2</v>
      </c>
      <c r="M75" s="2">
        <v>487.7</v>
      </c>
      <c r="N75" s="2">
        <v>17410</v>
      </c>
      <c r="O75" s="2">
        <v>38.1</v>
      </c>
    </row>
    <row r="76" spans="1:15" ht="24.95" customHeight="1" x14ac:dyDescent="0.25">
      <c r="A76" s="17" t="s">
        <v>229</v>
      </c>
      <c r="B76" s="2">
        <v>262</v>
      </c>
      <c r="C76" s="2">
        <v>101</v>
      </c>
      <c r="D76" s="2">
        <v>30.5</v>
      </c>
      <c r="E76" s="2">
        <v>70.5</v>
      </c>
      <c r="H76" s="2">
        <v>12500</v>
      </c>
      <c r="I76" s="2">
        <v>221</v>
      </c>
      <c r="J76" s="2">
        <v>1262500</v>
      </c>
      <c r="K76" s="2">
        <v>13734</v>
      </c>
      <c r="L76" s="2">
        <v>826.4</v>
      </c>
      <c r="M76" s="2">
        <v>3204.7</v>
      </c>
      <c r="N76" s="2">
        <v>46120</v>
      </c>
    </row>
    <row r="77" spans="1:15" ht="24.95" customHeight="1" x14ac:dyDescent="0.25">
      <c r="A77" s="17" t="s">
        <v>230</v>
      </c>
      <c r="B77" s="2">
        <v>302</v>
      </c>
      <c r="C77" s="2">
        <v>120</v>
      </c>
      <c r="D77" s="2">
        <v>47.8</v>
      </c>
      <c r="E77" s="2">
        <v>70.5</v>
      </c>
      <c r="F77" s="2">
        <v>1.7</v>
      </c>
      <c r="H77" s="2">
        <v>4200</v>
      </c>
      <c r="I77" s="2">
        <v>188</v>
      </c>
      <c r="J77" s="2">
        <v>504000</v>
      </c>
      <c r="K77" s="2">
        <v>11525</v>
      </c>
      <c r="L77" s="2">
        <v>522.6</v>
      </c>
      <c r="M77" s="2">
        <v>1032.2</v>
      </c>
      <c r="N77" s="2">
        <v>31960</v>
      </c>
      <c r="O77" s="2">
        <v>26.8</v>
      </c>
    </row>
    <row r="78" spans="1:15" ht="24.95" customHeight="1" x14ac:dyDescent="0.25">
      <c r="A78" s="17" t="s">
        <v>231</v>
      </c>
      <c r="B78" s="2">
        <v>306</v>
      </c>
      <c r="C78" s="2">
        <v>117</v>
      </c>
      <c r="D78" s="2">
        <v>46.5</v>
      </c>
      <c r="E78" s="2">
        <v>70.5</v>
      </c>
      <c r="H78" s="2">
        <v>4910</v>
      </c>
      <c r="I78" s="2">
        <v>173</v>
      </c>
      <c r="J78" s="2">
        <v>574470</v>
      </c>
      <c r="K78" s="2">
        <v>13226</v>
      </c>
      <c r="L78" s="2">
        <v>666</v>
      </c>
      <c r="M78" s="2">
        <v>1216.5</v>
      </c>
      <c r="N78" s="2">
        <v>37610</v>
      </c>
      <c r="O78" s="2">
        <v>25.3</v>
      </c>
    </row>
    <row r="79" spans="1:15" ht="24.95" customHeight="1" x14ac:dyDescent="0.25">
      <c r="A79" s="17" t="s">
        <v>232</v>
      </c>
      <c r="B79" s="2">
        <v>282</v>
      </c>
      <c r="C79" s="2">
        <v>111</v>
      </c>
      <c r="D79" s="2">
        <v>41.3</v>
      </c>
      <c r="E79" s="2">
        <v>70</v>
      </c>
      <c r="F79" s="2">
        <v>-0.3</v>
      </c>
      <c r="H79" s="2">
        <v>7355</v>
      </c>
      <c r="I79" s="2">
        <v>172</v>
      </c>
      <c r="J79" s="2">
        <v>816405</v>
      </c>
      <c r="K79" s="2">
        <v>17182</v>
      </c>
      <c r="L79" s="2">
        <v>1386.4</v>
      </c>
      <c r="M79" s="2">
        <v>1788.8</v>
      </c>
      <c r="N79" s="2">
        <v>52160</v>
      </c>
      <c r="O79" s="2">
        <v>22.9</v>
      </c>
    </row>
    <row r="80" spans="1:15" ht="24.95" customHeight="1" x14ac:dyDescent="0.25">
      <c r="A80" s="17" t="s">
        <v>233</v>
      </c>
      <c r="B80" s="2">
        <v>286</v>
      </c>
      <c r="C80" s="2">
        <v>114</v>
      </c>
      <c r="D80" s="2">
        <v>43</v>
      </c>
      <c r="E80" s="2">
        <v>70.5</v>
      </c>
      <c r="F80" s="2">
        <v>0.5</v>
      </c>
      <c r="H80" s="2">
        <v>2460</v>
      </c>
      <c r="I80" s="2">
        <v>151</v>
      </c>
      <c r="J80" s="2">
        <v>280440</v>
      </c>
      <c r="K80" s="2">
        <v>7824</v>
      </c>
      <c r="L80" s="2">
        <v>307.10000000000002</v>
      </c>
      <c r="M80" s="2">
        <v>622.5</v>
      </c>
      <c r="N80" s="2">
        <v>22140</v>
      </c>
      <c r="O80" s="2">
        <v>36.6</v>
      </c>
    </row>
    <row r="81" spans="1:15" ht="24.95" customHeight="1" x14ac:dyDescent="0.25">
      <c r="A81" s="17" t="s">
        <v>234</v>
      </c>
      <c r="B81" s="2">
        <v>306</v>
      </c>
      <c r="C81" s="2">
        <v>126</v>
      </c>
      <c r="D81" s="2">
        <v>55.3</v>
      </c>
      <c r="E81" s="2">
        <v>72.8</v>
      </c>
      <c r="F81" s="2">
        <v>-2.1</v>
      </c>
      <c r="H81" s="2">
        <v>645</v>
      </c>
      <c r="I81" s="2">
        <v>185</v>
      </c>
      <c r="J81" s="2">
        <v>81270</v>
      </c>
      <c r="K81" s="2">
        <v>1220</v>
      </c>
      <c r="L81" s="2">
        <v>112.8</v>
      </c>
      <c r="M81" s="2">
        <v>160.4</v>
      </c>
      <c r="N81" s="2">
        <v>3670</v>
      </c>
      <c r="O81" s="2">
        <v>1.5</v>
      </c>
    </row>
    <row r="82" spans="1:15" ht="24.95" customHeight="1" x14ac:dyDescent="0.25">
      <c r="A82" s="17" t="s">
        <v>235</v>
      </c>
      <c r="B82" s="2">
        <v>264</v>
      </c>
      <c r="C82" s="2">
        <v>106</v>
      </c>
      <c r="D82" s="2">
        <v>32.700000000000003</v>
      </c>
      <c r="E82" s="2">
        <v>73</v>
      </c>
      <c r="F82" s="2">
        <v>0.3</v>
      </c>
      <c r="H82" s="2">
        <v>1113</v>
      </c>
      <c r="I82" s="2">
        <v>178</v>
      </c>
      <c r="J82" s="2">
        <v>117978</v>
      </c>
      <c r="K82" s="2">
        <v>2685</v>
      </c>
      <c r="L82" s="2">
        <v>182.5</v>
      </c>
      <c r="M82" s="2">
        <v>282.5</v>
      </c>
      <c r="N82" s="2">
        <v>8310</v>
      </c>
      <c r="O82" s="2">
        <v>19.8</v>
      </c>
    </row>
    <row r="83" spans="1:15" ht="24.95" customHeight="1" x14ac:dyDescent="0.25">
      <c r="A83" s="17" t="s">
        <v>236</v>
      </c>
      <c r="B83" s="2">
        <v>274</v>
      </c>
      <c r="C83" s="2">
        <v>103</v>
      </c>
      <c r="D83" s="2">
        <v>30</v>
      </c>
      <c r="E83" s="2">
        <v>71.900000000000006</v>
      </c>
      <c r="F83" s="2">
        <v>1.1000000000000001</v>
      </c>
      <c r="H83" s="2">
        <v>660</v>
      </c>
      <c r="I83" s="2">
        <v>200</v>
      </c>
      <c r="J83" s="2">
        <v>57980</v>
      </c>
      <c r="K83" s="2">
        <v>2012</v>
      </c>
      <c r="L83" s="2">
        <v>93.8</v>
      </c>
      <c r="M83" s="2">
        <v>159.1</v>
      </c>
      <c r="N83" s="2">
        <v>5690</v>
      </c>
      <c r="O83" s="2">
        <v>37.799999999999997</v>
      </c>
    </row>
    <row r="84" spans="1:15" ht="24.95" customHeight="1" x14ac:dyDescent="0.25">
      <c r="A84" s="17" t="s">
        <v>5344</v>
      </c>
      <c r="B84" s="2">
        <v>268</v>
      </c>
      <c r="C84" s="2">
        <v>108</v>
      </c>
      <c r="D84" s="2">
        <v>39.4</v>
      </c>
      <c r="E84" s="2">
        <v>70.5</v>
      </c>
      <c r="F84" s="2">
        <v>-1.9</v>
      </c>
      <c r="H84" s="2">
        <v>781</v>
      </c>
      <c r="I84" s="2">
        <v>184</v>
      </c>
      <c r="J84" s="2">
        <v>84348</v>
      </c>
      <c r="K84" s="2">
        <v>1427</v>
      </c>
      <c r="L84" s="2">
        <v>164.7</v>
      </c>
      <c r="M84" s="2">
        <v>192.8</v>
      </c>
      <c r="N84" s="2">
        <v>4440</v>
      </c>
      <c r="O84" s="2">
        <v>2.7</v>
      </c>
    </row>
    <row r="85" spans="1:15" ht="24.95" customHeight="1" x14ac:dyDescent="0.25">
      <c r="A85" s="17" t="s">
        <v>6730</v>
      </c>
      <c r="B85" s="2">
        <v>270</v>
      </c>
      <c r="C85" s="2">
        <v>106</v>
      </c>
      <c r="D85" s="2">
        <v>32.4</v>
      </c>
      <c r="E85" s="2">
        <v>73.2</v>
      </c>
      <c r="F85" s="2">
        <v>0.5</v>
      </c>
      <c r="H85" s="2">
        <v>3308</v>
      </c>
      <c r="I85" s="2">
        <v>214</v>
      </c>
      <c r="J85" s="2">
        <v>350648</v>
      </c>
      <c r="K85" s="2">
        <v>8002</v>
      </c>
      <c r="L85" s="2">
        <v>520.9</v>
      </c>
      <c r="M85" s="2">
        <v>804.8</v>
      </c>
      <c r="N85" s="2">
        <v>23020</v>
      </c>
      <c r="O85" s="2">
        <v>21.6</v>
      </c>
    </row>
    <row r="86" spans="1:15" ht="24.95" customHeight="1" x14ac:dyDescent="0.25">
      <c r="A86" s="17" t="s">
        <v>6731</v>
      </c>
      <c r="B86" s="2">
        <v>276</v>
      </c>
      <c r="C86" s="2">
        <v>105</v>
      </c>
      <c r="D86" s="2">
        <v>33.5</v>
      </c>
      <c r="E86" s="2">
        <v>72.5</v>
      </c>
      <c r="F86" s="2">
        <v>-1</v>
      </c>
      <c r="H86" s="2">
        <v>8430</v>
      </c>
      <c r="I86" s="2">
        <v>228</v>
      </c>
      <c r="J86" s="2">
        <v>885150</v>
      </c>
      <c r="K86" s="2">
        <v>16586</v>
      </c>
      <c r="L86" s="2">
        <v>1529.9</v>
      </c>
      <c r="M86" s="2">
        <v>2013.3</v>
      </c>
      <c r="N86" s="2">
        <v>47940</v>
      </c>
      <c r="O86" s="2">
        <v>5.4</v>
      </c>
    </row>
    <row r="87" spans="1:15" ht="24.95" customHeight="1" x14ac:dyDescent="0.25">
      <c r="A87" s="17" t="s">
        <v>240</v>
      </c>
      <c r="B87" s="2">
        <v>303</v>
      </c>
      <c r="C87" s="2">
        <v>117</v>
      </c>
      <c r="D87" s="2">
        <v>47.9</v>
      </c>
      <c r="E87" s="2">
        <v>70.5</v>
      </c>
      <c r="F87" s="2">
        <v>-1.4</v>
      </c>
      <c r="H87" s="2">
        <v>2841</v>
      </c>
      <c r="I87" s="2">
        <v>179</v>
      </c>
      <c r="J87" s="2">
        <v>332397</v>
      </c>
      <c r="K87" s="2">
        <v>5222</v>
      </c>
      <c r="L87" s="2">
        <v>588.9</v>
      </c>
      <c r="M87" s="2">
        <v>691.9</v>
      </c>
      <c r="N87" s="2">
        <v>15270</v>
      </c>
    </row>
    <row r="88" spans="1:15" ht="24.95" customHeight="1" x14ac:dyDescent="0.25">
      <c r="A88" s="17" t="s">
        <v>241</v>
      </c>
      <c r="B88" s="2">
        <v>261</v>
      </c>
      <c r="C88" s="2">
        <v>98</v>
      </c>
      <c r="D88" s="2">
        <v>26.2</v>
      </c>
      <c r="E88" s="2">
        <v>72.599999999999994</v>
      </c>
      <c r="F88" s="2">
        <v>-0.8</v>
      </c>
      <c r="H88" s="2">
        <v>6293</v>
      </c>
      <c r="I88" s="2">
        <v>251</v>
      </c>
      <c r="J88" s="2">
        <v>616714</v>
      </c>
      <c r="K88" s="2">
        <v>10466</v>
      </c>
      <c r="L88" s="2">
        <v>1113.4000000000001</v>
      </c>
      <c r="M88" s="2">
        <v>1521.2</v>
      </c>
      <c r="N88" s="2">
        <v>30800</v>
      </c>
    </row>
    <row r="89" spans="1:15" ht="24.95" customHeight="1" x14ac:dyDescent="0.25">
      <c r="A89" s="17" t="s">
        <v>242</v>
      </c>
      <c r="B89" s="2">
        <v>270</v>
      </c>
      <c r="C89" s="2">
        <v>106</v>
      </c>
      <c r="D89" s="2">
        <v>35.299999999999997</v>
      </c>
      <c r="E89" s="2">
        <v>72.8</v>
      </c>
      <c r="F89" s="2">
        <v>-2.1</v>
      </c>
      <c r="H89" s="2">
        <v>5000</v>
      </c>
      <c r="I89" s="2">
        <v>147</v>
      </c>
      <c r="J89" s="2">
        <v>530000</v>
      </c>
      <c r="K89" s="2">
        <v>10692</v>
      </c>
      <c r="L89" s="2">
        <v>1023.3</v>
      </c>
      <c r="M89" s="2">
        <v>1237.3</v>
      </c>
      <c r="N89" s="2">
        <v>32220</v>
      </c>
      <c r="O89" s="2">
        <v>13.9</v>
      </c>
    </row>
    <row r="90" spans="1:15" ht="24.95" customHeight="1" x14ac:dyDescent="0.25">
      <c r="A90" s="17" t="s">
        <v>243</v>
      </c>
      <c r="B90" s="2">
        <v>268</v>
      </c>
      <c r="C90" s="2">
        <v>104</v>
      </c>
      <c r="D90" s="2">
        <v>34.1</v>
      </c>
      <c r="E90" s="2">
        <v>70.5</v>
      </c>
      <c r="F90" s="2">
        <v>-0.6</v>
      </c>
      <c r="H90" s="2">
        <v>1345</v>
      </c>
      <c r="I90" s="2">
        <v>180</v>
      </c>
      <c r="J90" s="2">
        <v>141225</v>
      </c>
      <c r="K90" s="2">
        <v>2986</v>
      </c>
      <c r="L90" s="2">
        <v>229</v>
      </c>
      <c r="M90" s="2">
        <v>329.8</v>
      </c>
      <c r="N90" s="2">
        <v>9670</v>
      </c>
      <c r="O90" s="2">
        <v>23.7</v>
      </c>
    </row>
    <row r="91" spans="1:15" ht="24.95" customHeight="1" x14ac:dyDescent="0.25">
      <c r="A91" s="17" t="s">
        <v>6732</v>
      </c>
      <c r="B91" s="2">
        <v>297</v>
      </c>
      <c r="C91" s="2">
        <v>120</v>
      </c>
      <c r="D91" s="2">
        <v>46.5</v>
      </c>
      <c r="E91" s="2">
        <v>71.900000000000006</v>
      </c>
      <c r="F91" s="2">
        <v>1.6</v>
      </c>
      <c r="H91" s="2">
        <v>452</v>
      </c>
      <c r="I91" s="2">
        <v>169</v>
      </c>
      <c r="J91" s="2">
        <v>52240</v>
      </c>
      <c r="K91" s="2">
        <v>1847</v>
      </c>
      <c r="L91" s="2">
        <v>65.3</v>
      </c>
      <c r="M91" s="2">
        <v>113.6</v>
      </c>
      <c r="N91" s="2">
        <v>4710</v>
      </c>
      <c r="O91" s="2">
        <v>46.6</v>
      </c>
    </row>
    <row r="92" spans="1:15" ht="24.95" customHeight="1" x14ac:dyDescent="0.25">
      <c r="A92" s="17" t="s">
        <v>245</v>
      </c>
      <c r="B92" s="2">
        <v>288</v>
      </c>
      <c r="C92" s="2">
        <v>108</v>
      </c>
      <c r="D92" s="2">
        <v>34.5</v>
      </c>
      <c r="E92" s="2">
        <v>72.5</v>
      </c>
      <c r="F92" s="2">
        <v>1.1000000000000001</v>
      </c>
      <c r="H92" s="2">
        <v>869</v>
      </c>
      <c r="I92" s="2">
        <v>200</v>
      </c>
      <c r="J92" s="2">
        <v>93852</v>
      </c>
      <c r="K92" s="2">
        <v>2561</v>
      </c>
      <c r="L92" s="2">
        <v>160.5</v>
      </c>
      <c r="M92" s="2">
        <v>223.5</v>
      </c>
      <c r="N92" s="2">
        <v>7600</v>
      </c>
      <c r="O92" s="2">
        <v>34.1</v>
      </c>
    </row>
    <row r="93" spans="1:15" ht="24.95" customHeight="1" x14ac:dyDescent="0.25">
      <c r="A93" s="17" t="s">
        <v>246</v>
      </c>
      <c r="B93" s="2">
        <v>254</v>
      </c>
      <c r="C93" s="2">
        <v>96</v>
      </c>
      <c r="D93" s="2">
        <v>23.2</v>
      </c>
      <c r="E93" s="2">
        <v>72.8</v>
      </c>
      <c r="H93" s="2">
        <v>2340</v>
      </c>
      <c r="I93" s="2">
        <v>232</v>
      </c>
      <c r="J93" s="2">
        <v>224640</v>
      </c>
      <c r="K93" s="2">
        <v>6336</v>
      </c>
      <c r="L93" s="2">
        <v>461.4</v>
      </c>
      <c r="M93" s="2">
        <v>575.79999999999995</v>
      </c>
      <c r="N93" s="2">
        <v>17860</v>
      </c>
      <c r="O93" s="2">
        <v>27.8</v>
      </c>
    </row>
    <row r="94" spans="1:15" ht="24.95" customHeight="1" x14ac:dyDescent="0.25">
      <c r="A94" s="17" t="s">
        <v>247</v>
      </c>
      <c r="B94" s="2">
        <v>252</v>
      </c>
      <c r="C94" s="2">
        <v>94</v>
      </c>
      <c r="D94" s="2">
        <v>23.4</v>
      </c>
      <c r="E94" s="2">
        <v>70.5</v>
      </c>
      <c r="F94" s="2">
        <v>0.1</v>
      </c>
      <c r="H94" s="2">
        <v>1028</v>
      </c>
      <c r="I94" s="2">
        <v>178</v>
      </c>
      <c r="J94" s="2">
        <v>96632</v>
      </c>
      <c r="K94" s="2">
        <v>2243</v>
      </c>
      <c r="L94" s="2">
        <v>103.7</v>
      </c>
      <c r="M94" s="2">
        <v>252.4</v>
      </c>
      <c r="N94" s="2">
        <v>7060</v>
      </c>
      <c r="O94" s="2">
        <v>19.899999999999999</v>
      </c>
    </row>
    <row r="95" spans="1:15" ht="24.95" customHeight="1" x14ac:dyDescent="0.25">
      <c r="A95" s="17" t="s">
        <v>248</v>
      </c>
      <c r="B95" s="2">
        <v>273</v>
      </c>
      <c r="C95" s="2">
        <v>108</v>
      </c>
      <c r="D95" s="2">
        <v>38.299999999999997</v>
      </c>
      <c r="E95" s="2">
        <v>70.5</v>
      </c>
      <c r="F95" s="2">
        <v>-0.8</v>
      </c>
      <c r="H95" s="2">
        <v>1380</v>
      </c>
      <c r="I95" s="2">
        <v>182</v>
      </c>
      <c r="J95" s="2">
        <v>149040</v>
      </c>
      <c r="K95" s="2">
        <v>3646</v>
      </c>
      <c r="L95" s="2">
        <v>201.9</v>
      </c>
      <c r="M95" s="2">
        <v>357.6</v>
      </c>
      <c r="N95" s="2">
        <v>10790</v>
      </c>
      <c r="O95" s="2">
        <v>24.9</v>
      </c>
    </row>
    <row r="96" spans="1:15" ht="24.95" customHeight="1" x14ac:dyDescent="0.25">
      <c r="A96" s="17" t="s">
        <v>249</v>
      </c>
      <c r="B96" s="2">
        <v>285</v>
      </c>
      <c r="C96" s="2">
        <v>107</v>
      </c>
      <c r="D96" s="2">
        <v>36.4</v>
      </c>
      <c r="E96" s="2">
        <v>70.5</v>
      </c>
      <c r="F96" s="2">
        <v>0.1</v>
      </c>
      <c r="H96" s="2">
        <v>1986</v>
      </c>
      <c r="I96" s="2">
        <v>199</v>
      </c>
      <c r="J96" s="2">
        <v>212502</v>
      </c>
      <c r="K96" s="2">
        <v>4223</v>
      </c>
      <c r="L96" s="2">
        <v>340.5</v>
      </c>
      <c r="M96" s="2">
        <v>483.2</v>
      </c>
      <c r="N96" s="2">
        <v>12760</v>
      </c>
      <c r="O96" s="2">
        <v>17.2</v>
      </c>
    </row>
    <row r="97" spans="1:15" ht="24.95" customHeight="1" x14ac:dyDescent="0.25">
      <c r="A97" s="17" t="s">
        <v>250</v>
      </c>
      <c r="B97" s="2">
        <v>255</v>
      </c>
      <c r="C97" s="2">
        <v>96</v>
      </c>
      <c r="D97" s="2">
        <v>25.1</v>
      </c>
      <c r="E97" s="2">
        <v>70.5</v>
      </c>
      <c r="F97" s="2">
        <v>0.4</v>
      </c>
      <c r="H97" s="2">
        <v>5970</v>
      </c>
      <c r="I97" s="2">
        <v>214</v>
      </c>
      <c r="J97" s="2">
        <v>573120</v>
      </c>
      <c r="K97" s="2">
        <v>6395</v>
      </c>
      <c r="L97" s="2">
        <v>303.39999999999998</v>
      </c>
      <c r="M97" s="2">
        <v>1443.6</v>
      </c>
      <c r="N97" s="2">
        <v>19530</v>
      </c>
    </row>
    <row r="98" spans="1:15" ht="24.95" customHeight="1" x14ac:dyDescent="0.25">
      <c r="A98" s="17" t="s">
        <v>251</v>
      </c>
      <c r="B98" s="2">
        <v>278</v>
      </c>
      <c r="C98" s="2">
        <v>105</v>
      </c>
      <c r="D98" s="2">
        <v>34.1</v>
      </c>
      <c r="E98" s="2">
        <v>70.5</v>
      </c>
      <c r="F98" s="2">
        <v>0.4</v>
      </c>
      <c r="H98" s="2">
        <v>5124</v>
      </c>
      <c r="I98" s="2">
        <v>189</v>
      </c>
      <c r="J98" s="2">
        <v>538020</v>
      </c>
      <c r="K98" s="2">
        <v>8576</v>
      </c>
      <c r="L98" s="2">
        <v>434.9</v>
      </c>
      <c r="M98" s="2">
        <v>1227.8</v>
      </c>
      <c r="N98" s="2">
        <v>26640</v>
      </c>
    </row>
    <row r="99" spans="1:15" ht="24.95" customHeight="1" x14ac:dyDescent="0.25">
      <c r="A99" s="17" t="s">
        <v>6733</v>
      </c>
      <c r="B99" s="2">
        <v>273</v>
      </c>
      <c r="C99" s="2">
        <v>100</v>
      </c>
      <c r="D99" s="2">
        <v>28</v>
      </c>
      <c r="E99" s="2">
        <v>71.900000000000006</v>
      </c>
      <c r="F99" s="2">
        <v>0.1</v>
      </c>
      <c r="H99" s="2">
        <v>1543</v>
      </c>
      <c r="I99" s="2">
        <v>203</v>
      </c>
      <c r="J99" s="2">
        <v>154300</v>
      </c>
      <c r="K99" s="2">
        <v>3458</v>
      </c>
      <c r="L99" s="2">
        <v>194.7</v>
      </c>
      <c r="M99" s="2">
        <v>394.5</v>
      </c>
      <c r="N99" s="2">
        <v>10090</v>
      </c>
      <c r="O99" s="2">
        <v>13.5</v>
      </c>
    </row>
    <row r="100" spans="1:15" ht="24.95" customHeight="1" x14ac:dyDescent="0.25">
      <c r="A100" s="17" t="s">
        <v>253</v>
      </c>
      <c r="B100" s="2">
        <v>329</v>
      </c>
      <c r="C100" s="2">
        <v>122</v>
      </c>
      <c r="D100" s="2">
        <v>50.2</v>
      </c>
      <c r="E100" s="2">
        <v>72.400000000000006</v>
      </c>
      <c r="F100" s="2">
        <v>-0.6</v>
      </c>
      <c r="H100" s="2">
        <v>4450</v>
      </c>
      <c r="I100" s="2">
        <v>202</v>
      </c>
      <c r="J100" s="2">
        <v>542900</v>
      </c>
      <c r="K100" s="2">
        <v>7941</v>
      </c>
      <c r="L100" s="2">
        <v>741.5</v>
      </c>
      <c r="M100" s="2">
        <v>1048.8</v>
      </c>
      <c r="N100" s="2">
        <v>22420</v>
      </c>
    </row>
    <row r="101" spans="1:15" ht="24.95" customHeight="1" x14ac:dyDescent="0.25">
      <c r="A101" s="17" t="s">
        <v>254</v>
      </c>
      <c r="B101" s="2">
        <v>277</v>
      </c>
      <c r="C101" s="2">
        <v>109</v>
      </c>
      <c r="D101" s="2">
        <v>35.799999999999997</v>
      </c>
      <c r="E101" s="2">
        <v>72</v>
      </c>
      <c r="F101" s="2">
        <v>1.2</v>
      </c>
      <c r="H101" s="2">
        <v>1450</v>
      </c>
      <c r="I101" s="2">
        <v>184</v>
      </c>
      <c r="J101" s="2">
        <v>158050</v>
      </c>
      <c r="K101" s="2">
        <v>4235</v>
      </c>
      <c r="L101" s="2">
        <v>193.9</v>
      </c>
      <c r="M101" s="2">
        <v>337.6</v>
      </c>
      <c r="N101" s="2">
        <v>12860</v>
      </c>
      <c r="O101" s="2">
        <v>40.200000000000003</v>
      </c>
    </row>
    <row r="102" spans="1:15" ht="24.95" customHeight="1" x14ac:dyDescent="0.25">
      <c r="A102" s="17" t="s">
        <v>255</v>
      </c>
      <c r="B102" s="2">
        <v>300</v>
      </c>
      <c r="C102" s="2">
        <v>118</v>
      </c>
      <c r="D102" s="2">
        <v>45.5</v>
      </c>
      <c r="E102" s="2">
        <v>73.400000000000006</v>
      </c>
      <c r="F102" s="2">
        <v>-0.9</v>
      </c>
      <c r="H102" s="2">
        <v>3520</v>
      </c>
      <c r="I102" s="2">
        <v>192</v>
      </c>
      <c r="J102" s="2">
        <v>415360</v>
      </c>
      <c r="K102" s="2">
        <v>7750</v>
      </c>
      <c r="L102" s="2">
        <v>707.7</v>
      </c>
      <c r="M102" s="2">
        <v>857.5</v>
      </c>
      <c r="N102" s="2">
        <v>22070</v>
      </c>
      <c r="O102" s="2">
        <v>12.3</v>
      </c>
    </row>
    <row r="103" spans="1:15" ht="24.95" customHeight="1" x14ac:dyDescent="0.25">
      <c r="A103" s="17" t="s">
        <v>256</v>
      </c>
      <c r="B103" s="2">
        <v>242</v>
      </c>
      <c r="C103" s="2">
        <v>91</v>
      </c>
      <c r="D103" s="2">
        <v>18.399999999999999</v>
      </c>
      <c r="E103" s="2">
        <v>72</v>
      </c>
      <c r="F103" s="2">
        <v>0.6</v>
      </c>
      <c r="G103" s="2">
        <v>92.3</v>
      </c>
      <c r="H103" s="2">
        <v>4460</v>
      </c>
      <c r="I103" s="2">
        <v>188</v>
      </c>
      <c r="J103" s="2">
        <v>411458</v>
      </c>
      <c r="K103" s="2">
        <v>5264</v>
      </c>
      <c r="L103" s="2">
        <v>328.9</v>
      </c>
      <c r="M103" s="2">
        <v>1174.5999999999999</v>
      </c>
      <c r="N103" s="2">
        <v>19090</v>
      </c>
    </row>
    <row r="104" spans="1:15" ht="24.95" customHeight="1" x14ac:dyDescent="0.25">
      <c r="A104" s="17" t="s">
        <v>20</v>
      </c>
      <c r="B104" s="2">
        <v>226</v>
      </c>
      <c r="C104" s="2">
        <v>90</v>
      </c>
      <c r="D104" s="2">
        <v>17.600000000000001</v>
      </c>
      <c r="E104" s="2">
        <v>72</v>
      </c>
      <c r="F104" s="2">
        <v>0.4</v>
      </c>
      <c r="G104" s="2">
        <v>91.6</v>
      </c>
      <c r="H104" s="2">
        <v>5445</v>
      </c>
      <c r="I104" s="2">
        <v>140</v>
      </c>
      <c r="J104" s="2">
        <v>498823</v>
      </c>
      <c r="K104" s="2">
        <v>8457</v>
      </c>
      <c r="L104" s="2">
        <v>675</v>
      </c>
      <c r="M104" s="2">
        <v>1267.7</v>
      </c>
      <c r="N104" s="2">
        <v>30190</v>
      </c>
    </row>
    <row r="105" spans="1:15" ht="24.95" customHeight="1" x14ac:dyDescent="0.25">
      <c r="A105" s="17" t="s">
        <v>226</v>
      </c>
      <c r="B105" s="2">
        <v>235</v>
      </c>
      <c r="C105" s="2">
        <v>92</v>
      </c>
      <c r="D105" s="2">
        <v>19.2</v>
      </c>
      <c r="E105" s="2">
        <v>72</v>
      </c>
      <c r="F105" s="2">
        <v>0.8</v>
      </c>
      <c r="G105" s="2">
        <v>93</v>
      </c>
      <c r="H105" s="2">
        <v>2097</v>
      </c>
      <c r="I105" s="2">
        <v>215</v>
      </c>
      <c r="J105" s="2">
        <v>195025</v>
      </c>
      <c r="K105" s="2">
        <v>4522</v>
      </c>
      <c r="L105" s="2">
        <v>243.2</v>
      </c>
      <c r="M105" s="2">
        <v>517</v>
      </c>
      <c r="N105" s="2">
        <v>14750</v>
      </c>
      <c r="O105" s="2">
        <v>17.8</v>
      </c>
    </row>
    <row r="106" spans="1:15" ht="24.95" customHeight="1" x14ac:dyDescent="0.25">
      <c r="A106" s="17" t="s">
        <v>257</v>
      </c>
      <c r="B106" s="2">
        <v>247</v>
      </c>
      <c r="C106" s="2">
        <v>94</v>
      </c>
      <c r="D106" s="2">
        <v>21.8</v>
      </c>
      <c r="E106" s="2">
        <v>72.099999999999994</v>
      </c>
      <c r="F106" s="2">
        <v>0.1</v>
      </c>
      <c r="G106" s="2">
        <v>94</v>
      </c>
      <c r="H106" s="2">
        <v>608</v>
      </c>
      <c r="I106" s="2">
        <v>195</v>
      </c>
      <c r="J106" s="2">
        <v>57152</v>
      </c>
      <c r="K106" s="2">
        <v>1274</v>
      </c>
      <c r="L106" s="2">
        <v>101.3</v>
      </c>
      <c r="M106" s="2">
        <v>149.5</v>
      </c>
      <c r="N106" s="2">
        <v>3250</v>
      </c>
    </row>
    <row r="107" spans="1:15" ht="24.95" customHeight="1" x14ac:dyDescent="0.25">
      <c r="A107" s="17" t="s">
        <v>231</v>
      </c>
      <c r="B107" s="2">
        <v>252</v>
      </c>
      <c r="C107" s="2">
        <v>96</v>
      </c>
      <c r="D107" s="2">
        <v>23.9</v>
      </c>
      <c r="E107" s="2">
        <v>72</v>
      </c>
      <c r="F107" s="2">
        <v>0.1</v>
      </c>
      <c r="G107" s="2">
        <v>97.5</v>
      </c>
      <c r="H107" s="2">
        <v>4062</v>
      </c>
      <c r="I107" s="2">
        <v>218</v>
      </c>
      <c r="J107" s="2">
        <v>396057</v>
      </c>
      <c r="K107" s="2">
        <v>8192</v>
      </c>
      <c r="L107" s="2">
        <v>685.3</v>
      </c>
      <c r="M107" s="2">
        <v>980.1</v>
      </c>
      <c r="N107" s="2">
        <v>23910</v>
      </c>
      <c r="O107" s="2">
        <v>7.4</v>
      </c>
    </row>
    <row r="108" spans="1:15" ht="24.95" customHeight="1" x14ac:dyDescent="0.25">
      <c r="A108" s="17" t="s">
        <v>248</v>
      </c>
      <c r="B108" s="2">
        <v>248</v>
      </c>
      <c r="C108" s="2">
        <v>93</v>
      </c>
      <c r="D108" s="2">
        <v>20</v>
      </c>
      <c r="E108" s="2">
        <v>72</v>
      </c>
      <c r="F108" s="2">
        <v>1</v>
      </c>
      <c r="G108" s="2">
        <v>95.5</v>
      </c>
      <c r="H108" s="2">
        <v>3300</v>
      </c>
      <c r="I108" s="2">
        <v>180</v>
      </c>
      <c r="J108" s="2">
        <v>315146</v>
      </c>
      <c r="K108" s="2">
        <v>9478</v>
      </c>
      <c r="L108" s="2">
        <v>542.20000000000005</v>
      </c>
      <c r="M108" s="2">
        <v>770.1</v>
      </c>
      <c r="N108" s="2">
        <v>28560</v>
      </c>
      <c r="O108" s="2">
        <v>35.5</v>
      </c>
    </row>
    <row r="109" spans="1:15" ht="24.95" customHeight="1" x14ac:dyDescent="0.25">
      <c r="A109" s="17" t="s">
        <v>250</v>
      </c>
      <c r="B109" s="2">
        <v>230</v>
      </c>
      <c r="C109" s="2">
        <v>92</v>
      </c>
      <c r="D109" s="2">
        <v>19.5</v>
      </c>
      <c r="E109" s="2">
        <v>72</v>
      </c>
      <c r="F109" s="2">
        <v>0.5</v>
      </c>
      <c r="G109" s="2">
        <v>93.4</v>
      </c>
      <c r="H109" s="2">
        <v>4667</v>
      </c>
      <c r="I109" s="2">
        <v>156</v>
      </c>
      <c r="J109" s="2">
        <v>435710</v>
      </c>
      <c r="K109" s="2">
        <v>12659</v>
      </c>
      <c r="L109" s="2">
        <v>738.5</v>
      </c>
      <c r="M109" s="2">
        <v>1159.0999999999999</v>
      </c>
      <c r="N109" s="2">
        <v>39980</v>
      </c>
      <c r="O109" s="2">
        <v>36.4</v>
      </c>
    </row>
    <row r="110" spans="1:15" ht="24.95" customHeight="1" x14ac:dyDescent="0.25">
      <c r="A110" s="17" t="s">
        <v>251</v>
      </c>
      <c r="B110" s="2">
        <v>242</v>
      </c>
      <c r="C110" s="2">
        <v>92</v>
      </c>
      <c r="D110" s="2">
        <v>19.5</v>
      </c>
      <c r="E110" s="2">
        <v>72</v>
      </c>
      <c r="F110" s="2">
        <v>0.5</v>
      </c>
      <c r="G110" s="2">
        <v>93.8</v>
      </c>
      <c r="H110" s="2">
        <v>5502</v>
      </c>
      <c r="I110" s="2">
        <v>177</v>
      </c>
      <c r="J110" s="2">
        <v>516049</v>
      </c>
      <c r="K110" s="2">
        <v>13313</v>
      </c>
      <c r="L110" s="2">
        <v>942.3</v>
      </c>
      <c r="M110" s="2">
        <v>1364</v>
      </c>
      <c r="N110" s="2">
        <v>40670</v>
      </c>
      <c r="O110" s="2">
        <v>24.1</v>
      </c>
    </row>
    <row r="111" spans="1:15" ht="24.95" customHeight="1" x14ac:dyDescent="0.25">
      <c r="A111" s="17" t="s">
        <v>6734</v>
      </c>
      <c r="B111" s="2">
        <v>230</v>
      </c>
      <c r="C111" s="2">
        <v>90</v>
      </c>
      <c r="D111" s="2">
        <v>17.100000000000001</v>
      </c>
      <c r="E111" s="2">
        <v>72</v>
      </c>
      <c r="F111" s="2">
        <v>0.9</v>
      </c>
      <c r="G111" s="2">
        <v>92.1</v>
      </c>
      <c r="H111" s="2">
        <v>1405</v>
      </c>
      <c r="I111" s="2">
        <v>163</v>
      </c>
      <c r="J111" s="2">
        <v>129409</v>
      </c>
      <c r="K111" s="2">
        <v>4691</v>
      </c>
      <c r="L111" s="2">
        <v>248.4</v>
      </c>
      <c r="M111" s="2">
        <v>346.3</v>
      </c>
      <c r="N111" s="2">
        <v>14610</v>
      </c>
      <c r="O111" s="2">
        <v>46.1</v>
      </c>
    </row>
    <row r="112" spans="1:15" ht="24.95" customHeight="1" x14ac:dyDescent="0.25">
      <c r="A112" s="17" t="s">
        <v>259</v>
      </c>
      <c r="B112" s="2">
        <v>240</v>
      </c>
      <c r="C112" s="2">
        <v>93</v>
      </c>
      <c r="D112" s="2">
        <v>20.5</v>
      </c>
      <c r="E112" s="2">
        <v>72.5</v>
      </c>
      <c r="G112" s="2">
        <v>93</v>
      </c>
      <c r="H112" s="2">
        <v>220</v>
      </c>
      <c r="I112" s="2">
        <v>83</v>
      </c>
      <c r="J112" s="2">
        <v>20460</v>
      </c>
      <c r="K112" s="2">
        <v>588</v>
      </c>
      <c r="L112" s="2">
        <v>17.5</v>
      </c>
      <c r="M112" s="2">
        <v>53.6</v>
      </c>
      <c r="N112" s="2">
        <v>1480</v>
      </c>
      <c r="O112" s="2">
        <v>18.399999999999999</v>
      </c>
    </row>
    <row r="113" spans="1:15" ht="24.95" customHeight="1" x14ac:dyDescent="0.25">
      <c r="A113" s="17" t="s">
        <v>260</v>
      </c>
      <c r="B113" s="2">
        <v>201</v>
      </c>
      <c r="C113" s="2">
        <v>86</v>
      </c>
      <c r="H113" s="2">
        <v>39179</v>
      </c>
      <c r="I113" s="2">
        <v>146</v>
      </c>
      <c r="J113" s="2">
        <v>3369394</v>
      </c>
      <c r="K113" s="2">
        <v>117068</v>
      </c>
      <c r="L113" s="2">
        <v>5674.1</v>
      </c>
      <c r="M113" s="2">
        <v>10090.700000000001</v>
      </c>
      <c r="N113" s="2">
        <v>339110</v>
      </c>
      <c r="O113" s="2">
        <v>31.3</v>
      </c>
    </row>
    <row r="114" spans="1:15" ht="24.95" customHeight="1" x14ac:dyDescent="0.25">
      <c r="A114" s="17" t="s">
        <v>5316</v>
      </c>
      <c r="B114" s="2">
        <v>292</v>
      </c>
      <c r="C114" s="2">
        <v>128</v>
      </c>
      <c r="D114" s="2">
        <v>36</v>
      </c>
      <c r="E114" s="2">
        <v>91</v>
      </c>
      <c r="F114" s="2">
        <v>1</v>
      </c>
      <c r="H114" s="2">
        <v>623</v>
      </c>
      <c r="I114" s="2">
        <v>119</v>
      </c>
      <c r="J114" s="2">
        <v>79744</v>
      </c>
      <c r="K114" s="2">
        <v>1735</v>
      </c>
      <c r="L114" s="2">
        <v>79.400000000000006</v>
      </c>
      <c r="M114" s="2">
        <v>155.30000000000001</v>
      </c>
      <c r="N114" s="2">
        <v>6170</v>
      </c>
      <c r="O114" s="2">
        <v>42.7</v>
      </c>
    </row>
    <row r="115" spans="1:15" ht="24.95" customHeight="1" x14ac:dyDescent="0.25">
      <c r="A115" s="17" t="s">
        <v>5317</v>
      </c>
      <c r="B115" s="2">
        <v>315</v>
      </c>
      <c r="C115" s="2">
        <v>142</v>
      </c>
      <c r="D115" s="2">
        <v>54.3</v>
      </c>
      <c r="E115" s="2">
        <v>87.3</v>
      </c>
      <c r="F115" s="2">
        <v>0.4</v>
      </c>
      <c r="H115" s="2">
        <v>2820</v>
      </c>
      <c r="I115" s="2">
        <v>119</v>
      </c>
      <c r="J115" s="2">
        <v>400440</v>
      </c>
      <c r="K115" s="2">
        <v>5282</v>
      </c>
      <c r="L115" s="2">
        <v>362.9</v>
      </c>
      <c r="M115" s="2">
        <v>839.7</v>
      </c>
      <c r="N115" s="2">
        <v>17330</v>
      </c>
    </row>
    <row r="116" spans="1:15" ht="24.95" customHeight="1" x14ac:dyDescent="0.25">
      <c r="A116" s="17" t="s">
        <v>263</v>
      </c>
      <c r="B116" s="2">
        <v>280</v>
      </c>
      <c r="C116" s="2">
        <v>122</v>
      </c>
      <c r="D116" s="2">
        <v>33.5</v>
      </c>
      <c r="E116" s="2">
        <v>91</v>
      </c>
      <c r="F116" s="2">
        <v>-2.5</v>
      </c>
      <c r="H116" s="2">
        <v>290</v>
      </c>
      <c r="I116" s="2">
        <v>112</v>
      </c>
      <c r="J116" s="2">
        <v>35380</v>
      </c>
      <c r="K116" s="2">
        <v>818</v>
      </c>
      <c r="L116" s="2">
        <v>43.8</v>
      </c>
      <c r="M116" s="2">
        <v>73.8</v>
      </c>
      <c r="N116" s="2">
        <v>2090</v>
      </c>
      <c r="O116" s="2">
        <v>21.3</v>
      </c>
    </row>
    <row r="117" spans="1:15" ht="24.95" customHeight="1" x14ac:dyDescent="0.25">
      <c r="A117" s="17" t="s">
        <v>264</v>
      </c>
      <c r="B117" s="2">
        <v>300</v>
      </c>
      <c r="C117" s="2">
        <v>132</v>
      </c>
      <c r="D117" s="2">
        <v>39.6</v>
      </c>
      <c r="E117" s="2">
        <v>91.3</v>
      </c>
      <c r="F117" s="2">
        <v>1.2</v>
      </c>
      <c r="H117" s="2">
        <v>860</v>
      </c>
      <c r="I117" s="2">
        <v>151</v>
      </c>
      <c r="J117" s="2">
        <v>113520</v>
      </c>
      <c r="K117" s="2">
        <v>2092</v>
      </c>
      <c r="L117" s="2">
        <v>99.9</v>
      </c>
      <c r="M117" s="2">
        <v>197.8</v>
      </c>
      <c r="N117" s="2">
        <v>7130</v>
      </c>
      <c r="O117" s="2">
        <v>32.1</v>
      </c>
    </row>
    <row r="118" spans="1:15" ht="24.95" customHeight="1" x14ac:dyDescent="0.25">
      <c r="A118" s="17" t="s">
        <v>285</v>
      </c>
      <c r="B118" s="2">
        <v>342</v>
      </c>
      <c r="C118" s="2">
        <v>149</v>
      </c>
      <c r="D118" s="2">
        <v>60.8</v>
      </c>
      <c r="E118" s="2">
        <v>91</v>
      </c>
      <c r="F118" s="2">
        <v>-2.8</v>
      </c>
      <c r="H118" s="2">
        <v>620</v>
      </c>
      <c r="I118" s="2">
        <v>119</v>
      </c>
      <c r="J118" s="2">
        <v>92380</v>
      </c>
      <c r="K118" s="2">
        <v>1494</v>
      </c>
      <c r="L118" s="2">
        <v>80.3</v>
      </c>
      <c r="M118" s="2">
        <v>155.69999999999999</v>
      </c>
      <c r="N118" s="2">
        <v>4510</v>
      </c>
      <c r="O118" s="2">
        <v>18.2</v>
      </c>
    </row>
    <row r="119" spans="1:15" ht="24.95" customHeight="1" x14ac:dyDescent="0.25">
      <c r="A119" s="17" t="s">
        <v>268</v>
      </c>
      <c r="B119" s="2">
        <v>310</v>
      </c>
      <c r="C119" s="2">
        <v>128</v>
      </c>
      <c r="D119" s="2">
        <v>37</v>
      </c>
      <c r="E119" s="2">
        <v>91</v>
      </c>
      <c r="H119" s="2">
        <v>560</v>
      </c>
      <c r="I119" s="2">
        <v>104</v>
      </c>
      <c r="J119" s="2">
        <v>71680</v>
      </c>
      <c r="K119" s="2">
        <v>1577</v>
      </c>
      <c r="L119" s="2">
        <v>77.3</v>
      </c>
      <c r="M119" s="2">
        <v>138.80000000000001</v>
      </c>
      <c r="N119" s="2">
        <v>4560</v>
      </c>
      <c r="O119" s="2">
        <v>30.1</v>
      </c>
    </row>
    <row r="120" spans="1:15" ht="24.95" customHeight="1" x14ac:dyDescent="0.25">
      <c r="A120" s="17" t="s">
        <v>5345</v>
      </c>
      <c r="B120" s="2">
        <v>264</v>
      </c>
      <c r="C120" s="2">
        <v>110</v>
      </c>
      <c r="D120" s="2">
        <v>17</v>
      </c>
      <c r="E120" s="2">
        <v>91</v>
      </c>
      <c r="F120" s="2">
        <v>2</v>
      </c>
      <c r="H120" s="2">
        <v>175</v>
      </c>
      <c r="I120" s="2">
        <v>124</v>
      </c>
      <c r="J120" s="2">
        <v>19250</v>
      </c>
      <c r="K120" s="2">
        <v>684</v>
      </c>
      <c r="L120" s="2">
        <v>25.7</v>
      </c>
      <c r="M120" s="2">
        <v>45.5</v>
      </c>
      <c r="N120" s="2">
        <v>1900</v>
      </c>
      <c r="O120" s="2">
        <v>46.5</v>
      </c>
    </row>
    <row r="121" spans="1:15" ht="24.95" customHeight="1" x14ac:dyDescent="0.25">
      <c r="A121" s="17" t="s">
        <v>270</v>
      </c>
      <c r="B121" s="2">
        <v>292</v>
      </c>
      <c r="C121" s="2">
        <v>126</v>
      </c>
      <c r="D121" s="2">
        <v>34.1</v>
      </c>
      <c r="E121" s="2">
        <v>91</v>
      </c>
      <c r="F121" s="2">
        <v>0.9</v>
      </c>
      <c r="H121" s="2">
        <v>452</v>
      </c>
      <c r="I121" s="2">
        <v>124</v>
      </c>
      <c r="J121" s="2">
        <v>56952</v>
      </c>
      <c r="K121" s="2">
        <v>1491</v>
      </c>
      <c r="L121" s="2">
        <v>64.3</v>
      </c>
      <c r="M121" s="2">
        <v>118.1</v>
      </c>
      <c r="N121" s="2">
        <v>4780</v>
      </c>
      <c r="O121" s="2">
        <v>42</v>
      </c>
    </row>
    <row r="122" spans="1:15" ht="24.95" customHeight="1" x14ac:dyDescent="0.25">
      <c r="A122" s="17" t="s">
        <v>271</v>
      </c>
      <c r="B122" s="2">
        <v>312</v>
      </c>
      <c r="C122" s="2">
        <v>122</v>
      </c>
      <c r="D122" s="2">
        <v>35.4</v>
      </c>
      <c r="E122" s="2">
        <v>86</v>
      </c>
      <c r="F122" s="2">
        <v>0.6</v>
      </c>
      <c r="H122" s="2">
        <v>2510</v>
      </c>
      <c r="I122" s="2">
        <v>139</v>
      </c>
      <c r="J122" s="2">
        <v>306220</v>
      </c>
      <c r="K122" s="2">
        <v>6624</v>
      </c>
      <c r="L122" s="2">
        <v>365.3</v>
      </c>
      <c r="M122" s="2">
        <v>637.1</v>
      </c>
      <c r="N122" s="2">
        <v>18960</v>
      </c>
      <c r="O122" s="2">
        <v>23.8</v>
      </c>
    </row>
    <row r="123" spans="1:15" ht="24.95" customHeight="1" x14ac:dyDescent="0.25">
      <c r="A123" s="17" t="s">
        <v>6735</v>
      </c>
      <c r="B123" s="2">
        <v>318</v>
      </c>
      <c r="C123" s="2">
        <v>126</v>
      </c>
      <c r="D123" s="2">
        <v>37.9</v>
      </c>
      <c r="E123" s="2">
        <v>87.3</v>
      </c>
      <c r="F123" s="2">
        <v>0.8</v>
      </c>
      <c r="H123" s="2">
        <v>1550</v>
      </c>
      <c r="I123" s="2">
        <v>172</v>
      </c>
      <c r="J123" s="2">
        <v>195300</v>
      </c>
      <c r="K123" s="2">
        <v>3354</v>
      </c>
      <c r="L123" s="2">
        <v>215.9</v>
      </c>
      <c r="M123" s="2">
        <v>380.5</v>
      </c>
      <c r="N123" s="2">
        <v>8870</v>
      </c>
      <c r="O123" s="2">
        <v>2.9</v>
      </c>
    </row>
    <row r="124" spans="1:15" ht="24.95" customHeight="1" x14ac:dyDescent="0.25">
      <c r="A124" s="17" t="s">
        <v>273</v>
      </c>
      <c r="B124" s="2">
        <v>294</v>
      </c>
      <c r="C124" s="2">
        <v>121</v>
      </c>
      <c r="D124" s="2">
        <v>29.8</v>
      </c>
      <c r="E124" s="2">
        <v>91</v>
      </c>
      <c r="F124" s="2">
        <v>0.3</v>
      </c>
      <c r="H124" s="2">
        <v>851</v>
      </c>
      <c r="I124" s="2">
        <v>132</v>
      </c>
      <c r="J124" s="2">
        <v>102971</v>
      </c>
      <c r="K124" s="2">
        <v>2512</v>
      </c>
      <c r="L124" s="2">
        <v>172.4</v>
      </c>
      <c r="M124" s="2">
        <v>215.5</v>
      </c>
      <c r="N124" s="2">
        <v>7450</v>
      </c>
      <c r="O124" s="2">
        <v>34.799999999999997</v>
      </c>
    </row>
    <row r="125" spans="1:15" ht="24.95" customHeight="1" x14ac:dyDescent="0.25">
      <c r="A125" s="17" t="s">
        <v>274</v>
      </c>
      <c r="B125" s="2">
        <v>310</v>
      </c>
      <c r="C125" s="2">
        <v>132</v>
      </c>
      <c r="D125" s="2">
        <v>44.7</v>
      </c>
      <c r="E125" s="2">
        <v>87.3</v>
      </c>
      <c r="F125" s="2">
        <v>0.1</v>
      </c>
      <c r="H125" s="2">
        <v>2168</v>
      </c>
      <c r="I125" s="2">
        <v>149</v>
      </c>
      <c r="J125" s="2">
        <v>286176</v>
      </c>
      <c r="K125" s="2">
        <v>4448</v>
      </c>
      <c r="L125" s="2">
        <v>269.2</v>
      </c>
      <c r="M125" s="2">
        <v>565.9</v>
      </c>
      <c r="N125" s="2">
        <v>13620</v>
      </c>
      <c r="O125" s="2">
        <v>5.4</v>
      </c>
    </row>
    <row r="126" spans="1:15" ht="24.95" customHeight="1" x14ac:dyDescent="0.25">
      <c r="A126" s="17" t="s">
        <v>275</v>
      </c>
      <c r="B126" s="2">
        <v>282</v>
      </c>
      <c r="C126" s="2">
        <v>120</v>
      </c>
      <c r="D126" s="2">
        <v>26.7</v>
      </c>
      <c r="E126" s="2">
        <v>91</v>
      </c>
      <c r="F126" s="2">
        <v>2.2999999999999998</v>
      </c>
      <c r="H126" s="2">
        <v>751</v>
      </c>
      <c r="I126" s="2">
        <v>131</v>
      </c>
      <c r="J126" s="2">
        <v>90120</v>
      </c>
      <c r="K126" s="2">
        <v>1808</v>
      </c>
      <c r="L126" s="2">
        <v>117.7</v>
      </c>
      <c r="M126" s="2">
        <v>190.1</v>
      </c>
      <c r="N126" s="2">
        <v>4940</v>
      </c>
      <c r="O126" s="2">
        <v>12.5</v>
      </c>
    </row>
    <row r="127" spans="1:15" ht="24.95" customHeight="1" x14ac:dyDescent="0.25">
      <c r="A127" s="17" t="s">
        <v>6736</v>
      </c>
      <c r="B127" s="2">
        <v>288</v>
      </c>
      <c r="C127" s="2">
        <v>120</v>
      </c>
      <c r="D127" s="2">
        <v>31.5</v>
      </c>
      <c r="E127" s="2">
        <v>87.3</v>
      </c>
      <c r="F127" s="2">
        <v>1.2</v>
      </c>
      <c r="H127" s="2">
        <v>3674</v>
      </c>
      <c r="I127" s="2">
        <v>161</v>
      </c>
      <c r="J127" s="2">
        <v>440880</v>
      </c>
      <c r="K127" s="2">
        <v>12413</v>
      </c>
      <c r="L127" s="2">
        <v>476.3</v>
      </c>
      <c r="M127" s="2">
        <v>922.8</v>
      </c>
      <c r="N127" s="2">
        <v>36000</v>
      </c>
      <c r="O127" s="2">
        <v>41.7</v>
      </c>
    </row>
    <row r="128" spans="1:15" ht="24.95" customHeight="1" x14ac:dyDescent="0.25">
      <c r="A128" s="17" t="s">
        <v>277</v>
      </c>
      <c r="B128" s="2">
        <v>298</v>
      </c>
      <c r="C128" s="2">
        <v>150</v>
      </c>
      <c r="D128" s="2">
        <v>58.4</v>
      </c>
      <c r="E128" s="2">
        <v>91</v>
      </c>
      <c r="F128" s="2">
        <v>0.6</v>
      </c>
      <c r="H128" s="2">
        <v>674</v>
      </c>
      <c r="I128" s="2">
        <v>125</v>
      </c>
      <c r="J128" s="2">
        <v>101100</v>
      </c>
      <c r="K128" s="2">
        <v>1512</v>
      </c>
      <c r="L128" s="2">
        <v>104</v>
      </c>
      <c r="M128" s="2">
        <v>172.2</v>
      </c>
      <c r="N128" s="2">
        <v>3720</v>
      </c>
    </row>
    <row r="129" spans="1:15" ht="24.95" customHeight="1" x14ac:dyDescent="0.25">
      <c r="A129" s="17" t="s">
        <v>278</v>
      </c>
      <c r="B129" s="2">
        <v>306</v>
      </c>
      <c r="C129" s="2">
        <v>139</v>
      </c>
      <c r="D129" s="2">
        <v>48</v>
      </c>
      <c r="E129" s="2">
        <v>91</v>
      </c>
      <c r="H129" s="2">
        <v>2689</v>
      </c>
      <c r="I129" s="2">
        <v>136</v>
      </c>
      <c r="J129" s="2">
        <v>373771</v>
      </c>
      <c r="K129" s="2">
        <v>3605</v>
      </c>
      <c r="L129" s="2">
        <v>294.2</v>
      </c>
      <c r="M129" s="2">
        <v>675.7</v>
      </c>
      <c r="N129" s="2">
        <v>11560</v>
      </c>
    </row>
    <row r="130" spans="1:15" ht="24.95" customHeight="1" x14ac:dyDescent="0.25">
      <c r="A130" s="17" t="s">
        <v>279</v>
      </c>
      <c r="B130" s="2">
        <v>280</v>
      </c>
      <c r="C130" s="2">
        <v>120</v>
      </c>
      <c r="D130" s="2">
        <v>28.3</v>
      </c>
      <c r="E130" s="2">
        <v>91</v>
      </c>
      <c r="F130" s="2">
        <v>0.8</v>
      </c>
      <c r="H130" s="2">
        <v>285</v>
      </c>
      <c r="I130" s="2">
        <v>119</v>
      </c>
      <c r="J130" s="2">
        <v>34200</v>
      </c>
      <c r="K130" s="2">
        <v>863</v>
      </c>
      <c r="L130" s="2">
        <v>47.1</v>
      </c>
      <c r="M130" s="2">
        <v>70.400000000000006</v>
      </c>
      <c r="N130" s="2">
        <v>2570</v>
      </c>
      <c r="O130" s="2">
        <v>35.6</v>
      </c>
    </row>
    <row r="131" spans="1:15" ht="24.95" customHeight="1" x14ac:dyDescent="0.25">
      <c r="A131" s="17" t="s">
        <v>5347</v>
      </c>
      <c r="B131" s="2">
        <v>312</v>
      </c>
      <c r="C131" s="2">
        <v>136</v>
      </c>
      <c r="D131" s="2">
        <v>43.8</v>
      </c>
      <c r="E131" s="2">
        <v>91</v>
      </c>
      <c r="F131" s="2">
        <v>1.2</v>
      </c>
      <c r="H131" s="2">
        <v>2900</v>
      </c>
      <c r="I131" s="2">
        <v>138</v>
      </c>
      <c r="J131" s="2">
        <v>394400</v>
      </c>
      <c r="K131" s="2">
        <v>8615</v>
      </c>
      <c r="L131" s="2">
        <v>379.4</v>
      </c>
      <c r="M131" s="2">
        <v>760.5</v>
      </c>
      <c r="N131" s="2">
        <v>25140</v>
      </c>
      <c r="O131" s="2">
        <v>31.9</v>
      </c>
    </row>
    <row r="132" spans="1:15" ht="24.95" customHeight="1" x14ac:dyDescent="0.25">
      <c r="A132" s="17" t="s">
        <v>5348</v>
      </c>
      <c r="B132" s="2">
        <v>312</v>
      </c>
      <c r="C132" s="2">
        <v>126</v>
      </c>
      <c r="D132" s="2">
        <v>32.200000000000003</v>
      </c>
      <c r="E132" s="2">
        <v>91</v>
      </c>
      <c r="F132" s="2">
        <v>2.8</v>
      </c>
      <c r="H132" s="2">
        <v>303</v>
      </c>
      <c r="I132" s="2">
        <v>171</v>
      </c>
      <c r="J132" s="2">
        <v>38178</v>
      </c>
      <c r="K132" s="2">
        <v>1439</v>
      </c>
      <c r="L132" s="2">
        <v>44.5</v>
      </c>
      <c r="M132" s="2">
        <v>77.7</v>
      </c>
      <c r="N132" s="2">
        <v>3580</v>
      </c>
      <c r="O132" s="2">
        <v>50.7</v>
      </c>
    </row>
    <row r="133" spans="1:15" ht="24.95" customHeight="1" x14ac:dyDescent="0.25">
      <c r="A133" s="17" t="s">
        <v>282</v>
      </c>
      <c r="B133" s="2">
        <v>302</v>
      </c>
      <c r="C133" s="2">
        <v>120</v>
      </c>
      <c r="D133" s="2">
        <v>28.4</v>
      </c>
      <c r="E133" s="2">
        <v>91</v>
      </c>
      <c r="F133" s="2">
        <v>0.6</v>
      </c>
      <c r="H133" s="2">
        <v>590</v>
      </c>
      <c r="I133" s="2">
        <v>97</v>
      </c>
      <c r="J133" s="2">
        <v>70800</v>
      </c>
      <c r="K133" s="2">
        <v>1269</v>
      </c>
      <c r="L133" s="2">
        <v>73.7</v>
      </c>
      <c r="M133" s="2">
        <v>123.4</v>
      </c>
      <c r="N133" s="2">
        <v>5910</v>
      </c>
      <c r="O133" s="2">
        <v>43.2</v>
      </c>
    </row>
    <row r="134" spans="1:15" ht="24.95" customHeight="1" x14ac:dyDescent="0.25">
      <c r="A134" s="17" t="s">
        <v>283</v>
      </c>
      <c r="B134" s="2">
        <v>272</v>
      </c>
      <c r="C134" s="2">
        <v>121</v>
      </c>
      <c r="D134" s="2">
        <v>27.7</v>
      </c>
      <c r="E134" s="2">
        <v>91</v>
      </c>
      <c r="F134" s="2">
        <v>2.2999999999999998</v>
      </c>
      <c r="G134" s="2">
        <v>123.8</v>
      </c>
      <c r="H134" s="2">
        <v>618</v>
      </c>
      <c r="I134" s="2">
        <v>147</v>
      </c>
      <c r="J134" s="2">
        <v>76496</v>
      </c>
      <c r="K134" s="2">
        <v>2525</v>
      </c>
      <c r="L134" s="2">
        <v>92</v>
      </c>
      <c r="M134" s="2">
        <v>163.5</v>
      </c>
      <c r="N134" s="2">
        <v>6870</v>
      </c>
      <c r="O134" s="2">
        <v>47.1</v>
      </c>
    </row>
    <row r="135" spans="1:15" ht="24.95" customHeight="1" x14ac:dyDescent="0.25">
      <c r="A135" s="17" t="s">
        <v>284</v>
      </c>
      <c r="B135" s="2">
        <v>265</v>
      </c>
      <c r="C135" s="2">
        <v>109</v>
      </c>
      <c r="D135" s="2">
        <v>16</v>
      </c>
      <c r="E135" s="2">
        <v>91</v>
      </c>
      <c r="F135" s="2">
        <v>2</v>
      </c>
      <c r="G135" s="2">
        <v>110.6</v>
      </c>
      <c r="H135" s="2">
        <v>2105</v>
      </c>
      <c r="I135" s="2">
        <v>190</v>
      </c>
      <c r="J135" s="2">
        <v>232747</v>
      </c>
      <c r="K135" s="2">
        <v>7319</v>
      </c>
      <c r="L135" s="2">
        <v>371.4</v>
      </c>
      <c r="M135" s="2">
        <v>514.1</v>
      </c>
      <c r="N135" s="2">
        <v>22200</v>
      </c>
      <c r="O135" s="2">
        <v>42.2</v>
      </c>
    </row>
    <row r="136" spans="1:15" ht="24.95" customHeight="1" x14ac:dyDescent="0.25">
      <c r="A136" s="17" t="s">
        <v>285</v>
      </c>
      <c r="B136" s="2">
        <v>252</v>
      </c>
      <c r="C136" s="2">
        <v>106</v>
      </c>
      <c r="D136" s="2">
        <v>11.8</v>
      </c>
      <c r="E136" s="2">
        <v>91</v>
      </c>
      <c r="F136" s="2">
        <v>3.2</v>
      </c>
      <c r="G136" s="2">
        <v>106.6</v>
      </c>
      <c r="H136" s="2">
        <v>330</v>
      </c>
      <c r="I136" s="2">
        <v>150</v>
      </c>
      <c r="J136" s="2">
        <v>35186</v>
      </c>
      <c r="K136" s="2">
        <v>2027</v>
      </c>
      <c r="L136" s="2">
        <v>68.900000000000006</v>
      </c>
      <c r="M136" s="2">
        <v>87.2</v>
      </c>
      <c r="N136" s="2">
        <v>5980</v>
      </c>
      <c r="O136" s="2">
        <v>67.3</v>
      </c>
    </row>
    <row r="137" spans="1:15" ht="24.95" customHeight="1" x14ac:dyDescent="0.25">
      <c r="A137" s="17" t="s">
        <v>268</v>
      </c>
      <c r="B137" s="2">
        <v>258</v>
      </c>
      <c r="C137" s="2">
        <v>112</v>
      </c>
      <c r="D137" s="2">
        <v>17.8</v>
      </c>
      <c r="E137" s="2">
        <v>91</v>
      </c>
      <c r="F137" s="2">
        <v>3.2</v>
      </c>
      <c r="G137" s="2">
        <v>112.5</v>
      </c>
      <c r="H137" s="2">
        <v>976</v>
      </c>
      <c r="I137" s="2">
        <v>144</v>
      </c>
      <c r="J137" s="2">
        <v>109780</v>
      </c>
      <c r="K137" s="2">
        <v>4979</v>
      </c>
      <c r="L137" s="2">
        <v>175.5</v>
      </c>
      <c r="M137" s="2">
        <v>250.9</v>
      </c>
      <c r="N137" s="2">
        <v>13430</v>
      </c>
      <c r="O137" s="2">
        <v>59.1</v>
      </c>
    </row>
    <row r="138" spans="1:15" ht="24.95" customHeight="1" x14ac:dyDescent="0.25">
      <c r="A138" s="17" t="s">
        <v>5347</v>
      </c>
      <c r="B138" s="2">
        <v>266</v>
      </c>
      <c r="C138" s="2">
        <v>112</v>
      </c>
      <c r="D138" s="2">
        <v>19.2</v>
      </c>
      <c r="E138" s="2">
        <v>91</v>
      </c>
      <c r="F138" s="2">
        <v>1.8</v>
      </c>
      <c r="G138" s="2">
        <v>114</v>
      </c>
      <c r="H138" s="2">
        <v>2519</v>
      </c>
      <c r="I138" s="2">
        <v>164</v>
      </c>
      <c r="J138" s="2">
        <v>287254</v>
      </c>
      <c r="K138" s="2">
        <v>6774</v>
      </c>
      <c r="L138" s="2">
        <v>230.2</v>
      </c>
      <c r="M138" s="2">
        <v>639.29999999999995</v>
      </c>
      <c r="N138" s="2">
        <v>21610</v>
      </c>
      <c r="O138" s="2">
        <v>31.2</v>
      </c>
    </row>
    <row r="139" spans="1:15" ht="24.95" customHeight="1" x14ac:dyDescent="0.25">
      <c r="A139" s="17" t="s">
        <v>5349</v>
      </c>
      <c r="B139" s="2">
        <v>264</v>
      </c>
      <c r="C139" s="2">
        <v>105</v>
      </c>
      <c r="D139" s="2">
        <v>12</v>
      </c>
      <c r="E139" s="2">
        <v>91</v>
      </c>
      <c r="F139" s="2">
        <v>2</v>
      </c>
      <c r="G139" s="2">
        <v>107.8</v>
      </c>
      <c r="H139" s="2">
        <v>1093</v>
      </c>
      <c r="I139" s="2">
        <v>116</v>
      </c>
      <c r="J139" s="2">
        <v>117811</v>
      </c>
      <c r="K139" s="2">
        <v>5695</v>
      </c>
      <c r="L139" s="2">
        <v>216.5</v>
      </c>
      <c r="M139" s="2">
        <v>300</v>
      </c>
      <c r="N139" s="2">
        <v>14700</v>
      </c>
      <c r="O139" s="2">
        <v>54.6</v>
      </c>
    </row>
    <row r="140" spans="1:15" ht="24.95" customHeight="1" x14ac:dyDescent="0.25">
      <c r="A140" s="17" t="s">
        <v>287</v>
      </c>
      <c r="B140" s="2">
        <v>272</v>
      </c>
      <c r="C140" s="2">
        <v>118</v>
      </c>
      <c r="D140" s="2">
        <v>24.3</v>
      </c>
      <c r="E140" s="2">
        <v>91</v>
      </c>
      <c r="F140" s="2">
        <v>2.8</v>
      </c>
      <c r="G140" s="2">
        <v>118.7</v>
      </c>
      <c r="H140" s="2">
        <v>336</v>
      </c>
      <c r="I140" s="2">
        <v>158</v>
      </c>
      <c r="J140" s="2">
        <v>39873</v>
      </c>
      <c r="K140" s="2">
        <v>1754</v>
      </c>
      <c r="L140" s="2">
        <v>72.5</v>
      </c>
      <c r="M140" s="2">
        <v>89.1</v>
      </c>
      <c r="N140" s="2">
        <v>4720</v>
      </c>
      <c r="O140" s="2">
        <v>59.7</v>
      </c>
    </row>
    <row r="141" spans="1:15" ht="24.95" customHeight="1" x14ac:dyDescent="0.25">
      <c r="A141" s="17" t="s">
        <v>274</v>
      </c>
      <c r="B141" s="2">
        <v>251</v>
      </c>
      <c r="C141" s="2">
        <v>109</v>
      </c>
      <c r="D141" s="2">
        <v>16.5</v>
      </c>
      <c r="E141" s="2">
        <v>91</v>
      </c>
      <c r="F141" s="2">
        <v>1.4</v>
      </c>
      <c r="G141" s="2">
        <v>111.6</v>
      </c>
      <c r="H141" s="2">
        <v>2776</v>
      </c>
      <c r="I141" s="2">
        <v>193</v>
      </c>
      <c r="J141" s="2">
        <v>309706</v>
      </c>
      <c r="K141" s="2">
        <v>10483</v>
      </c>
      <c r="L141" s="2">
        <v>535.4</v>
      </c>
      <c r="M141" s="2">
        <v>710.8</v>
      </c>
      <c r="N141" s="2">
        <v>27320</v>
      </c>
      <c r="O141" s="2">
        <v>42</v>
      </c>
    </row>
    <row r="142" spans="1:15" ht="24.95" customHeight="1" x14ac:dyDescent="0.25">
      <c r="A142" s="17" t="s">
        <v>288</v>
      </c>
      <c r="B142" s="2">
        <v>267</v>
      </c>
      <c r="C142" s="2">
        <v>110</v>
      </c>
      <c r="D142" s="2">
        <v>17</v>
      </c>
      <c r="E142" s="2">
        <v>91</v>
      </c>
      <c r="F142" s="2">
        <v>2</v>
      </c>
      <c r="G142" s="2">
        <v>113.6</v>
      </c>
      <c r="H142" s="2">
        <v>1295</v>
      </c>
      <c r="I142" s="2">
        <v>131</v>
      </c>
      <c r="J142" s="2">
        <v>147112</v>
      </c>
      <c r="K142" s="2">
        <v>5228</v>
      </c>
      <c r="L142" s="2">
        <v>237.8</v>
      </c>
      <c r="M142" s="2">
        <v>342.4</v>
      </c>
      <c r="N142" s="2">
        <v>14540</v>
      </c>
      <c r="O142" s="2">
        <v>45.6</v>
      </c>
    </row>
    <row r="143" spans="1:15" ht="24.95" customHeight="1" x14ac:dyDescent="0.25">
      <c r="A143" s="17" t="s">
        <v>289</v>
      </c>
      <c r="B143" s="2">
        <v>290</v>
      </c>
      <c r="C143" s="2">
        <v>114</v>
      </c>
      <c r="D143" s="2">
        <v>20.8</v>
      </c>
      <c r="E143" s="2">
        <v>91</v>
      </c>
      <c r="F143" s="2">
        <v>2.2000000000000002</v>
      </c>
      <c r="G143" s="2">
        <v>119.1</v>
      </c>
      <c r="H143" s="2">
        <v>1826</v>
      </c>
      <c r="I143" s="2">
        <v>173</v>
      </c>
      <c r="J143" s="2">
        <v>217434</v>
      </c>
      <c r="K143" s="2">
        <v>6649</v>
      </c>
      <c r="L143" s="2">
        <v>280.8</v>
      </c>
      <c r="M143" s="2">
        <v>477</v>
      </c>
      <c r="N143" s="2">
        <v>16950</v>
      </c>
      <c r="O143" s="2">
        <v>36.700000000000003</v>
      </c>
    </row>
    <row r="144" spans="1:15" ht="24.95" customHeight="1" x14ac:dyDescent="0.25">
      <c r="A144" s="17" t="s">
        <v>292</v>
      </c>
      <c r="B144" s="2">
        <v>216</v>
      </c>
      <c r="C144" s="2">
        <v>85</v>
      </c>
      <c r="H144" s="2">
        <v>26444</v>
      </c>
      <c r="I144" s="2">
        <v>182</v>
      </c>
      <c r="J144" s="2">
        <v>2247740</v>
      </c>
      <c r="K144" s="2">
        <v>68826</v>
      </c>
      <c r="L144" s="2">
        <v>3141</v>
      </c>
      <c r="M144" s="2">
        <v>6173</v>
      </c>
      <c r="N144" s="2">
        <v>223330</v>
      </c>
      <c r="O144" s="2">
        <v>32.799999999999997</v>
      </c>
    </row>
    <row r="145" spans="1:15" ht="24.95" customHeight="1" x14ac:dyDescent="0.25">
      <c r="A145" s="17" t="s">
        <v>6737</v>
      </c>
      <c r="B145" s="2">
        <v>336</v>
      </c>
      <c r="C145" s="2">
        <v>128</v>
      </c>
      <c r="D145" s="2">
        <v>41.9</v>
      </c>
      <c r="E145" s="2">
        <v>85</v>
      </c>
      <c r="F145" s="2">
        <v>1.1000000000000001</v>
      </c>
      <c r="H145" s="2">
        <v>3410</v>
      </c>
      <c r="I145" s="2">
        <v>210</v>
      </c>
      <c r="J145" s="2">
        <v>436480</v>
      </c>
      <c r="K145" s="2">
        <v>8090</v>
      </c>
      <c r="L145" s="2">
        <v>387.4</v>
      </c>
      <c r="M145" s="2">
        <v>864.8</v>
      </c>
      <c r="N145" s="2">
        <v>27610</v>
      </c>
      <c r="O145" s="2">
        <v>32.6</v>
      </c>
    </row>
    <row r="146" spans="1:15" ht="24.95" customHeight="1" x14ac:dyDescent="0.25">
      <c r="A146" s="17" t="s">
        <v>294</v>
      </c>
      <c r="B146" s="2">
        <v>330</v>
      </c>
      <c r="C146" s="2">
        <v>130</v>
      </c>
      <c r="D146" s="2">
        <v>42.6</v>
      </c>
      <c r="E146" s="2">
        <v>85</v>
      </c>
      <c r="F146" s="2">
        <v>2.4</v>
      </c>
      <c r="H146" s="2">
        <v>4340</v>
      </c>
      <c r="I146" s="2">
        <v>182</v>
      </c>
      <c r="J146" s="2">
        <v>564200</v>
      </c>
      <c r="K146" s="2">
        <v>9025</v>
      </c>
      <c r="L146" s="2">
        <v>398.8</v>
      </c>
      <c r="M146" s="2">
        <v>1068.5</v>
      </c>
      <c r="N146" s="2">
        <v>29710</v>
      </c>
      <c r="O146" s="2">
        <v>19.3</v>
      </c>
    </row>
    <row r="147" spans="1:15" ht="24.95" customHeight="1" x14ac:dyDescent="0.25">
      <c r="A147" s="17" t="s">
        <v>295</v>
      </c>
      <c r="B147" s="2">
        <v>312</v>
      </c>
      <c r="C147" s="2">
        <v>126</v>
      </c>
      <c r="D147" s="2">
        <v>40.1</v>
      </c>
      <c r="E147" s="2">
        <v>85</v>
      </c>
      <c r="F147" s="2">
        <v>0.9</v>
      </c>
      <c r="H147" s="2">
        <v>658</v>
      </c>
      <c r="I147" s="2">
        <v>189</v>
      </c>
      <c r="J147" s="2">
        <v>82908</v>
      </c>
      <c r="K147" s="2">
        <v>2044</v>
      </c>
      <c r="L147" s="2">
        <v>100.3</v>
      </c>
      <c r="M147" s="2">
        <v>168.1</v>
      </c>
      <c r="N147" s="2">
        <v>5900</v>
      </c>
      <c r="O147" s="2">
        <v>36.1</v>
      </c>
    </row>
    <row r="148" spans="1:15" ht="24.95" customHeight="1" x14ac:dyDescent="0.25">
      <c r="A148" s="17" t="s">
        <v>296</v>
      </c>
      <c r="B148" s="2">
        <v>288</v>
      </c>
      <c r="C148" s="2">
        <v>118</v>
      </c>
      <c r="D148" s="2">
        <v>33.200000000000003</v>
      </c>
      <c r="E148" s="2">
        <v>88</v>
      </c>
      <c r="F148" s="2">
        <v>-3.2</v>
      </c>
      <c r="H148" s="2">
        <v>732</v>
      </c>
      <c r="I148" s="2">
        <v>171</v>
      </c>
      <c r="J148" s="2">
        <v>86376</v>
      </c>
      <c r="K148" s="2">
        <v>1536</v>
      </c>
      <c r="L148" s="2">
        <v>93.4</v>
      </c>
      <c r="M148" s="2">
        <v>186.2</v>
      </c>
      <c r="N148" s="2">
        <v>4590</v>
      </c>
      <c r="O148" s="2">
        <v>8.5</v>
      </c>
    </row>
    <row r="149" spans="1:15" ht="24.95" customHeight="1" x14ac:dyDescent="0.25">
      <c r="A149" s="17" t="s">
        <v>6738</v>
      </c>
      <c r="B149" s="2">
        <v>306</v>
      </c>
      <c r="C149" s="2">
        <v>120</v>
      </c>
      <c r="D149" s="2">
        <v>30.4</v>
      </c>
      <c r="E149" s="2">
        <v>88</v>
      </c>
      <c r="F149" s="2">
        <v>1.6</v>
      </c>
      <c r="H149" s="2">
        <v>975</v>
      </c>
      <c r="I149" s="2">
        <v>163</v>
      </c>
      <c r="J149" s="2">
        <v>117000</v>
      </c>
      <c r="K149" s="2">
        <v>3812</v>
      </c>
      <c r="L149" s="2">
        <v>144.9</v>
      </c>
      <c r="M149" s="2">
        <v>252.8</v>
      </c>
      <c r="N149" s="2">
        <v>12320</v>
      </c>
      <c r="O149" s="2">
        <v>54.6</v>
      </c>
    </row>
    <row r="150" spans="1:15" ht="24.95" customHeight="1" x14ac:dyDescent="0.25">
      <c r="A150" s="17" t="s">
        <v>298</v>
      </c>
      <c r="B150" s="2">
        <v>294</v>
      </c>
      <c r="C150" s="2">
        <v>118</v>
      </c>
      <c r="D150" s="2">
        <v>33</v>
      </c>
      <c r="E150" s="2">
        <v>85</v>
      </c>
      <c r="H150" s="2">
        <v>1350</v>
      </c>
      <c r="I150" s="2">
        <v>170</v>
      </c>
      <c r="J150" s="2">
        <v>159300</v>
      </c>
      <c r="K150" s="2">
        <v>3425</v>
      </c>
      <c r="L150" s="2">
        <v>187</v>
      </c>
      <c r="M150" s="2">
        <v>348.6</v>
      </c>
      <c r="N150" s="2">
        <v>10790</v>
      </c>
      <c r="O150" s="2">
        <v>26.3</v>
      </c>
    </row>
    <row r="151" spans="1:15" ht="24.95" customHeight="1" x14ac:dyDescent="0.25">
      <c r="A151" s="17" t="s">
        <v>5357</v>
      </c>
      <c r="B151" s="2">
        <v>272</v>
      </c>
      <c r="C151" s="2">
        <v>110</v>
      </c>
      <c r="D151" s="2">
        <v>19.899999999999999</v>
      </c>
      <c r="E151" s="2">
        <v>88</v>
      </c>
      <c r="F151" s="2">
        <v>2.1</v>
      </c>
      <c r="G151" s="2">
        <v>110</v>
      </c>
      <c r="H151" s="2">
        <v>176</v>
      </c>
      <c r="I151" s="2">
        <v>148</v>
      </c>
      <c r="J151" s="2">
        <v>19360</v>
      </c>
      <c r="K151" s="2">
        <v>840</v>
      </c>
      <c r="L151" s="2">
        <v>28.4</v>
      </c>
      <c r="M151" s="2">
        <v>47</v>
      </c>
      <c r="N151" s="2">
        <v>2180</v>
      </c>
      <c r="O151" s="2">
        <v>51.9</v>
      </c>
    </row>
    <row r="152" spans="1:15" ht="24.95" customHeight="1" x14ac:dyDescent="0.25">
      <c r="A152" s="17" t="s">
        <v>300</v>
      </c>
      <c r="B152" s="2">
        <v>256</v>
      </c>
      <c r="C152" s="2">
        <v>101</v>
      </c>
      <c r="D152" s="2">
        <v>13.2</v>
      </c>
      <c r="E152" s="2">
        <v>88</v>
      </c>
      <c r="F152" s="2">
        <v>-0.2</v>
      </c>
      <c r="G152" s="2">
        <v>102.6</v>
      </c>
      <c r="H152" s="2">
        <v>4053</v>
      </c>
      <c r="I152" s="2">
        <v>161</v>
      </c>
      <c r="J152" s="2">
        <v>415824</v>
      </c>
      <c r="K152" s="2">
        <v>8778</v>
      </c>
      <c r="L152" s="2">
        <v>454.1</v>
      </c>
      <c r="M152" s="2">
        <v>852.1</v>
      </c>
      <c r="N152" s="2">
        <v>30190</v>
      </c>
      <c r="O152" s="2">
        <v>25.2</v>
      </c>
    </row>
    <row r="153" spans="1:15" ht="24.95" customHeight="1" x14ac:dyDescent="0.25">
      <c r="A153" s="17" t="s">
        <v>295</v>
      </c>
      <c r="B153" s="2">
        <v>270</v>
      </c>
      <c r="C153" s="2">
        <v>112</v>
      </c>
      <c r="D153" s="2">
        <v>23.5</v>
      </c>
      <c r="E153" s="2">
        <v>88</v>
      </c>
      <c r="F153" s="2">
        <v>0.5</v>
      </c>
      <c r="G153" s="2">
        <v>113.7</v>
      </c>
      <c r="H153" s="2">
        <v>2028</v>
      </c>
      <c r="I153" s="2">
        <v>174</v>
      </c>
      <c r="J153" s="2">
        <v>230536</v>
      </c>
      <c r="K153" s="2">
        <v>6491</v>
      </c>
      <c r="L153" s="2">
        <v>324.8</v>
      </c>
      <c r="M153" s="2">
        <v>519</v>
      </c>
      <c r="N153" s="2">
        <v>20460</v>
      </c>
      <c r="O153" s="2">
        <v>40</v>
      </c>
    </row>
    <row r="154" spans="1:15" ht="24.95" customHeight="1" x14ac:dyDescent="0.25">
      <c r="A154" s="17" t="s">
        <v>301</v>
      </c>
      <c r="B154" s="2">
        <v>278</v>
      </c>
      <c r="C154" s="2">
        <v>108</v>
      </c>
      <c r="D154" s="2">
        <v>19.7</v>
      </c>
      <c r="E154" s="2">
        <v>88</v>
      </c>
      <c r="F154" s="2">
        <v>0.3</v>
      </c>
      <c r="G154" s="2">
        <v>108.8</v>
      </c>
      <c r="H154" s="2">
        <v>4269</v>
      </c>
      <c r="I154" s="2">
        <v>220</v>
      </c>
      <c r="J154" s="2">
        <v>464543</v>
      </c>
      <c r="K154" s="2">
        <v>9429</v>
      </c>
      <c r="L154" s="2">
        <v>366.1</v>
      </c>
      <c r="M154" s="2">
        <v>748.5</v>
      </c>
      <c r="N154" s="2">
        <v>31450</v>
      </c>
      <c r="O154" s="2">
        <v>22.8</v>
      </c>
    </row>
    <row r="155" spans="1:15" ht="24.95" customHeight="1" x14ac:dyDescent="0.25">
      <c r="A155" s="17" t="s">
        <v>302</v>
      </c>
      <c r="B155" s="2">
        <v>280</v>
      </c>
      <c r="C155" s="2">
        <v>109</v>
      </c>
      <c r="D155" s="2">
        <v>19.399999999999999</v>
      </c>
      <c r="E155" s="2">
        <v>88</v>
      </c>
      <c r="F155" s="2">
        <v>1.6</v>
      </c>
      <c r="G155" s="2">
        <v>112.3</v>
      </c>
      <c r="H155" s="2">
        <v>1399</v>
      </c>
      <c r="I155" s="2">
        <v>167</v>
      </c>
      <c r="J155" s="2">
        <v>157094</v>
      </c>
      <c r="K155" s="2">
        <v>4442</v>
      </c>
      <c r="L155" s="2">
        <v>190.5</v>
      </c>
      <c r="M155" s="2">
        <v>344.9</v>
      </c>
      <c r="N155" s="2">
        <v>15070</v>
      </c>
      <c r="O155" s="2">
        <v>46.2</v>
      </c>
    </row>
    <row r="156" spans="1:15" ht="24.95" customHeight="1" x14ac:dyDescent="0.25">
      <c r="A156" s="17" t="s">
        <v>298</v>
      </c>
      <c r="B156" s="2">
        <v>242</v>
      </c>
      <c r="C156" s="2">
        <v>97</v>
      </c>
      <c r="D156" s="2">
        <v>10.5</v>
      </c>
      <c r="E156" s="2">
        <v>88</v>
      </c>
      <c r="F156" s="2">
        <v>-1.5</v>
      </c>
      <c r="G156" s="2">
        <v>97.9</v>
      </c>
      <c r="H156" s="2">
        <v>1070</v>
      </c>
      <c r="I156" s="2">
        <v>161</v>
      </c>
      <c r="J156" s="2">
        <v>104766</v>
      </c>
      <c r="K156" s="2">
        <v>3630</v>
      </c>
      <c r="L156" s="2">
        <v>171.9</v>
      </c>
      <c r="M156" s="2">
        <v>275.5</v>
      </c>
      <c r="N156" s="2">
        <v>11390</v>
      </c>
      <c r="O156" s="2">
        <v>47</v>
      </c>
    </row>
    <row r="157" spans="1:15" ht="24.95" customHeight="1" x14ac:dyDescent="0.25">
      <c r="A157" s="17" t="s">
        <v>303</v>
      </c>
      <c r="B157" s="2">
        <v>268</v>
      </c>
      <c r="C157" s="2">
        <v>105</v>
      </c>
      <c r="D157" s="2">
        <v>16.5</v>
      </c>
      <c r="E157" s="2">
        <v>88</v>
      </c>
      <c r="F157" s="2">
        <v>0.5</v>
      </c>
      <c r="G157" s="2">
        <v>108.3</v>
      </c>
      <c r="H157" s="2">
        <v>1984</v>
      </c>
      <c r="I157" s="2">
        <v>172</v>
      </c>
      <c r="J157" s="2">
        <v>214897</v>
      </c>
      <c r="K157" s="2">
        <v>7284</v>
      </c>
      <c r="L157" s="2">
        <v>293.39999999999998</v>
      </c>
      <c r="M157" s="2">
        <v>497</v>
      </c>
      <c r="N157" s="2">
        <v>21670</v>
      </c>
      <c r="O157" s="2">
        <v>48.2</v>
      </c>
    </row>
    <row r="158" spans="1:15" ht="24.95" customHeight="1" x14ac:dyDescent="0.25">
      <c r="A158" s="17" t="s">
        <v>6739</v>
      </c>
      <c r="B158" s="2">
        <v>186</v>
      </c>
      <c r="C158" s="2">
        <v>74.5</v>
      </c>
      <c r="H158" s="2">
        <v>94318</v>
      </c>
      <c r="I158" s="2">
        <v>166</v>
      </c>
      <c r="J158" s="2">
        <v>7026691</v>
      </c>
      <c r="K158" s="2">
        <v>244951</v>
      </c>
      <c r="L158" s="2">
        <v>12157.1</v>
      </c>
      <c r="M158" s="2">
        <v>23566.2</v>
      </c>
      <c r="N158" s="2">
        <v>758270</v>
      </c>
      <c r="O158" s="2">
        <v>30.4</v>
      </c>
    </row>
    <row r="159" spans="1:15" ht="24.95" customHeight="1" x14ac:dyDescent="0.25">
      <c r="A159" s="17" t="s">
        <v>305</v>
      </c>
      <c r="B159" s="2">
        <v>306</v>
      </c>
      <c r="C159" s="2">
        <v>132</v>
      </c>
      <c r="D159" s="2">
        <v>60.4</v>
      </c>
      <c r="E159" s="2">
        <v>75.8</v>
      </c>
      <c r="F159" s="2">
        <v>-4.2</v>
      </c>
      <c r="H159" s="2">
        <v>2340</v>
      </c>
      <c r="I159" s="2">
        <v>117</v>
      </c>
      <c r="J159" s="2">
        <v>308880</v>
      </c>
      <c r="K159" s="2">
        <v>5873</v>
      </c>
      <c r="L159" s="2">
        <v>359.6</v>
      </c>
      <c r="M159" s="2">
        <v>570.6</v>
      </c>
      <c r="N159" s="2">
        <v>19370</v>
      </c>
      <c r="O159" s="2">
        <v>34.200000000000003</v>
      </c>
    </row>
    <row r="160" spans="1:15" ht="24.95" customHeight="1" x14ac:dyDescent="0.25">
      <c r="A160" s="17" t="s">
        <v>306</v>
      </c>
      <c r="B160" s="2">
        <v>324</v>
      </c>
      <c r="C160" s="2">
        <v>114</v>
      </c>
      <c r="D160" s="2">
        <v>42</v>
      </c>
      <c r="E160" s="2">
        <v>74.5</v>
      </c>
      <c r="F160" s="2">
        <v>-2.5</v>
      </c>
      <c r="H160" s="2">
        <v>11587</v>
      </c>
      <c r="I160" s="2">
        <v>216</v>
      </c>
      <c r="J160" s="2">
        <v>1320918</v>
      </c>
      <c r="K160" s="2">
        <v>22450</v>
      </c>
      <c r="L160" s="2">
        <v>1217.2</v>
      </c>
      <c r="M160" s="2">
        <v>2819.1</v>
      </c>
      <c r="N160" s="2">
        <v>68000</v>
      </c>
      <c r="O160" s="2">
        <v>7.8</v>
      </c>
    </row>
    <row r="161" spans="1:15" ht="24.95" customHeight="1" x14ac:dyDescent="0.25">
      <c r="A161" s="17" t="s">
        <v>5358</v>
      </c>
      <c r="B161" s="2">
        <v>312</v>
      </c>
      <c r="C161" s="2">
        <v>140</v>
      </c>
      <c r="D161" s="2">
        <v>63.1</v>
      </c>
      <c r="E161" s="2">
        <v>75.7</v>
      </c>
      <c r="F161" s="2">
        <v>1.2</v>
      </c>
      <c r="H161" s="2">
        <v>1653</v>
      </c>
      <c r="I161" s="2">
        <v>134</v>
      </c>
      <c r="J161" s="2">
        <v>231420</v>
      </c>
      <c r="K161" s="2">
        <v>6316</v>
      </c>
      <c r="L161" s="2">
        <v>210.3</v>
      </c>
      <c r="M161" s="2">
        <v>435.8</v>
      </c>
      <c r="N161" s="2">
        <v>17440</v>
      </c>
      <c r="O161" s="2">
        <v>46.5</v>
      </c>
    </row>
    <row r="162" spans="1:15" ht="24.95" customHeight="1" x14ac:dyDescent="0.25">
      <c r="A162" s="17" t="s">
        <v>308</v>
      </c>
      <c r="B162" s="2">
        <v>276</v>
      </c>
      <c r="C162" s="2">
        <v>104</v>
      </c>
      <c r="D162" s="2">
        <v>27.3</v>
      </c>
      <c r="E162" s="2">
        <v>75.8</v>
      </c>
      <c r="F162" s="2">
        <v>0.9</v>
      </c>
      <c r="H162" s="2">
        <v>4500</v>
      </c>
      <c r="I162" s="2">
        <v>162</v>
      </c>
      <c r="J162" s="2">
        <v>468000</v>
      </c>
      <c r="K162" s="2">
        <v>11139</v>
      </c>
      <c r="L162" s="2">
        <v>471.4</v>
      </c>
      <c r="M162" s="2">
        <v>1102.4000000000001</v>
      </c>
      <c r="N162" s="2">
        <v>34960</v>
      </c>
      <c r="O162" s="2">
        <v>29.1</v>
      </c>
    </row>
    <row r="163" spans="1:15" ht="24.95" customHeight="1" x14ac:dyDescent="0.25">
      <c r="A163" s="17" t="s">
        <v>310</v>
      </c>
      <c r="B163" s="2">
        <v>282</v>
      </c>
      <c r="C163" s="2">
        <v>116</v>
      </c>
      <c r="D163" s="2">
        <v>36.799999999999997</v>
      </c>
      <c r="E163" s="2">
        <v>79</v>
      </c>
      <c r="F163" s="2">
        <v>0.2</v>
      </c>
      <c r="H163" s="2">
        <v>2300</v>
      </c>
      <c r="I163" s="2">
        <v>161</v>
      </c>
      <c r="J163" s="2">
        <v>266800</v>
      </c>
      <c r="K163" s="2">
        <v>7325</v>
      </c>
      <c r="L163" s="2">
        <v>294.60000000000002</v>
      </c>
      <c r="M163" s="2">
        <v>586.1</v>
      </c>
      <c r="N163" s="2">
        <v>23050</v>
      </c>
      <c r="O163" s="2">
        <v>42.9</v>
      </c>
    </row>
    <row r="164" spans="1:15" ht="24.95" customHeight="1" x14ac:dyDescent="0.25">
      <c r="A164" s="17" t="s">
        <v>311</v>
      </c>
      <c r="B164" s="2">
        <v>276</v>
      </c>
      <c r="C164" s="2">
        <v>112</v>
      </c>
      <c r="D164" s="2">
        <v>34.9</v>
      </c>
      <c r="E164" s="2">
        <v>79</v>
      </c>
      <c r="F164" s="2">
        <v>-1.9</v>
      </c>
      <c r="H164" s="2">
        <v>704</v>
      </c>
      <c r="I164" s="2">
        <v>141</v>
      </c>
      <c r="J164" s="2">
        <v>78848</v>
      </c>
      <c r="K164" s="2">
        <v>1789</v>
      </c>
      <c r="L164" s="2">
        <v>88.8</v>
      </c>
      <c r="M164" s="2">
        <v>172.2</v>
      </c>
      <c r="N164" s="2">
        <v>5660</v>
      </c>
      <c r="O164" s="2">
        <v>28.9</v>
      </c>
    </row>
    <row r="165" spans="1:15" ht="24.95" customHeight="1" x14ac:dyDescent="0.25">
      <c r="A165" s="17" t="s">
        <v>312</v>
      </c>
      <c r="B165" s="2">
        <v>258</v>
      </c>
      <c r="C165" s="2">
        <v>102</v>
      </c>
      <c r="D165" s="2">
        <v>26.7</v>
      </c>
      <c r="E165" s="2">
        <v>79</v>
      </c>
      <c r="F165" s="2">
        <v>-3.7</v>
      </c>
      <c r="H165" s="2">
        <v>551</v>
      </c>
      <c r="I165" s="2">
        <v>159</v>
      </c>
      <c r="J165" s="2">
        <v>56202</v>
      </c>
      <c r="K165" s="2">
        <v>1214</v>
      </c>
      <c r="L165" s="2">
        <v>79.2</v>
      </c>
      <c r="M165" s="2">
        <v>139.5</v>
      </c>
      <c r="N165" s="2">
        <v>3820</v>
      </c>
      <c r="O165" s="2">
        <v>15.5</v>
      </c>
    </row>
    <row r="166" spans="1:15" ht="24.95" customHeight="1" x14ac:dyDescent="0.25">
      <c r="A166" s="17" t="s">
        <v>313</v>
      </c>
      <c r="B166" s="2">
        <v>272</v>
      </c>
      <c r="C166" s="2">
        <v>106</v>
      </c>
      <c r="D166" s="2">
        <v>26.6</v>
      </c>
      <c r="E166" s="2">
        <v>79</v>
      </c>
      <c r="F166" s="2">
        <v>0.4</v>
      </c>
      <c r="H166" s="2">
        <v>1690</v>
      </c>
      <c r="I166" s="2">
        <v>155</v>
      </c>
      <c r="J166" s="2">
        <v>179140</v>
      </c>
      <c r="K166" s="2">
        <v>5083</v>
      </c>
      <c r="L166" s="2">
        <v>220.6</v>
      </c>
      <c r="M166" s="2">
        <v>421.5</v>
      </c>
      <c r="N166" s="2">
        <v>15600</v>
      </c>
      <c r="O166" s="2">
        <v>38.6</v>
      </c>
    </row>
    <row r="167" spans="1:15" ht="24.95" customHeight="1" x14ac:dyDescent="0.25">
      <c r="A167" s="17" t="s">
        <v>314</v>
      </c>
      <c r="B167" s="2">
        <v>282</v>
      </c>
      <c r="C167" s="2">
        <v>112</v>
      </c>
      <c r="D167" s="2">
        <v>32.6</v>
      </c>
      <c r="E167" s="2">
        <v>79</v>
      </c>
      <c r="F167" s="2">
        <v>0.4</v>
      </c>
      <c r="H167" s="2">
        <v>1465</v>
      </c>
      <c r="I167" s="2">
        <v>221</v>
      </c>
      <c r="J167" s="2">
        <v>164080</v>
      </c>
      <c r="K167" s="2">
        <v>3615</v>
      </c>
      <c r="L167" s="2">
        <v>150.80000000000001</v>
      </c>
      <c r="M167" s="2">
        <v>377.3</v>
      </c>
      <c r="N167" s="2">
        <v>11820</v>
      </c>
      <c r="O167" s="2">
        <v>27.9</v>
      </c>
    </row>
    <row r="168" spans="1:15" ht="24.95" customHeight="1" x14ac:dyDescent="0.25">
      <c r="A168" s="17" t="s">
        <v>315</v>
      </c>
      <c r="B168" s="2">
        <v>270</v>
      </c>
      <c r="C168" s="2">
        <v>106</v>
      </c>
      <c r="D168" s="2">
        <v>26.9</v>
      </c>
      <c r="E168" s="2">
        <v>79</v>
      </c>
      <c r="F168" s="2">
        <v>0.1</v>
      </c>
      <c r="H168" s="2">
        <v>850</v>
      </c>
      <c r="I168" s="2">
        <v>177</v>
      </c>
      <c r="J168" s="2">
        <v>90100</v>
      </c>
      <c r="K168" s="2">
        <v>2951</v>
      </c>
      <c r="L168" s="2">
        <v>119.1</v>
      </c>
      <c r="M168" s="2">
        <v>223.6</v>
      </c>
      <c r="N168" s="2">
        <v>9320</v>
      </c>
      <c r="O168" s="2">
        <v>48</v>
      </c>
    </row>
    <row r="169" spans="1:15" ht="24.95" customHeight="1" x14ac:dyDescent="0.25">
      <c r="A169" s="17" t="s">
        <v>316</v>
      </c>
      <c r="B169" s="2">
        <v>296</v>
      </c>
      <c r="C169" s="2">
        <v>112</v>
      </c>
      <c r="D169" s="2">
        <v>32.799999999999997</v>
      </c>
      <c r="E169" s="2">
        <v>79</v>
      </c>
      <c r="F169" s="2">
        <v>0.3</v>
      </c>
      <c r="H169" s="2">
        <v>1610</v>
      </c>
      <c r="I169" s="2">
        <v>197</v>
      </c>
      <c r="J169" s="2">
        <v>180320</v>
      </c>
      <c r="K169" s="2">
        <v>4137</v>
      </c>
      <c r="L169" s="2">
        <v>232.6</v>
      </c>
      <c r="M169" s="2">
        <v>398.8</v>
      </c>
      <c r="N169" s="2">
        <v>12170</v>
      </c>
      <c r="O169" s="2">
        <v>25.8</v>
      </c>
    </row>
    <row r="170" spans="1:15" ht="24.95" customHeight="1" x14ac:dyDescent="0.25">
      <c r="A170" s="17" t="s">
        <v>317</v>
      </c>
      <c r="B170" s="2">
        <v>280</v>
      </c>
      <c r="C170" s="2">
        <v>114</v>
      </c>
      <c r="D170" s="2">
        <v>34.299999999999997</v>
      </c>
      <c r="E170" s="2">
        <v>79</v>
      </c>
      <c r="F170" s="2">
        <v>0.7</v>
      </c>
      <c r="H170" s="2">
        <v>2430</v>
      </c>
      <c r="I170" s="2">
        <v>159</v>
      </c>
      <c r="J170" s="2">
        <v>277020</v>
      </c>
      <c r="K170" s="2">
        <v>7769</v>
      </c>
      <c r="L170" s="2">
        <v>328</v>
      </c>
      <c r="M170" s="2">
        <v>611.79999999999995</v>
      </c>
      <c r="N170" s="2">
        <v>24200</v>
      </c>
      <c r="O170" s="2">
        <v>43.2</v>
      </c>
    </row>
    <row r="171" spans="1:15" ht="24.95" customHeight="1" x14ac:dyDescent="0.25">
      <c r="A171" s="17" t="s">
        <v>318</v>
      </c>
      <c r="B171" s="2">
        <v>264</v>
      </c>
      <c r="C171" s="2">
        <v>110</v>
      </c>
      <c r="D171" s="2">
        <v>35.4</v>
      </c>
      <c r="E171" s="2">
        <v>75.8</v>
      </c>
      <c r="F171" s="2">
        <v>-1.2</v>
      </c>
      <c r="H171" s="2">
        <v>4500</v>
      </c>
      <c r="I171" s="2">
        <v>200</v>
      </c>
      <c r="J171" s="2">
        <v>495000</v>
      </c>
      <c r="K171" s="2">
        <v>10571</v>
      </c>
      <c r="L171" s="2">
        <v>582.79999999999995</v>
      </c>
      <c r="M171" s="2">
        <v>1108.5</v>
      </c>
      <c r="N171" s="2">
        <v>31230</v>
      </c>
      <c r="O171" s="2">
        <v>19</v>
      </c>
    </row>
    <row r="172" spans="1:15" ht="24.95" customHeight="1" x14ac:dyDescent="0.25">
      <c r="A172" s="17" t="s">
        <v>319</v>
      </c>
      <c r="B172" s="2">
        <v>284</v>
      </c>
      <c r="C172" s="2">
        <v>114</v>
      </c>
      <c r="D172" s="2">
        <v>36.6</v>
      </c>
      <c r="E172" s="2">
        <v>79</v>
      </c>
      <c r="F172" s="2">
        <v>-1.6</v>
      </c>
      <c r="H172" s="2">
        <v>2386</v>
      </c>
      <c r="I172" s="2">
        <v>139</v>
      </c>
      <c r="J172" s="2">
        <v>272004</v>
      </c>
      <c r="K172" s="2">
        <v>6107</v>
      </c>
      <c r="L172" s="2">
        <v>287.60000000000002</v>
      </c>
      <c r="M172" s="2">
        <v>590.79999999999995</v>
      </c>
      <c r="N172" s="2">
        <v>19060</v>
      </c>
      <c r="O172" s="2">
        <v>30.1</v>
      </c>
    </row>
    <row r="173" spans="1:15" ht="24.95" customHeight="1" x14ac:dyDescent="0.25">
      <c r="A173" s="17" t="s">
        <v>320</v>
      </c>
      <c r="B173" s="2">
        <v>268</v>
      </c>
      <c r="C173" s="2">
        <v>112</v>
      </c>
      <c r="D173" s="2">
        <v>36.4</v>
      </c>
      <c r="E173" s="2">
        <v>75.8</v>
      </c>
      <c r="F173" s="2">
        <v>-0.2</v>
      </c>
      <c r="H173" s="2">
        <v>825</v>
      </c>
      <c r="I173" s="2">
        <v>110</v>
      </c>
      <c r="J173" s="2">
        <v>92400</v>
      </c>
      <c r="K173" s="2">
        <v>2998</v>
      </c>
      <c r="L173" s="2">
        <v>110.8</v>
      </c>
      <c r="M173" s="2">
        <v>208.1</v>
      </c>
      <c r="N173" s="2">
        <v>8650</v>
      </c>
      <c r="O173" s="2">
        <v>46.1</v>
      </c>
    </row>
    <row r="174" spans="1:15" ht="24.95" customHeight="1" x14ac:dyDescent="0.25">
      <c r="A174" s="17" t="s">
        <v>321</v>
      </c>
      <c r="B174" s="2">
        <v>270</v>
      </c>
      <c r="C174" s="2">
        <v>108</v>
      </c>
      <c r="D174" s="2">
        <v>29.7</v>
      </c>
      <c r="E174" s="2">
        <v>79</v>
      </c>
      <c r="F174" s="2">
        <v>-0.7</v>
      </c>
      <c r="H174" s="2">
        <v>1880</v>
      </c>
      <c r="I174" s="2">
        <v>158</v>
      </c>
      <c r="J174" s="2">
        <v>203040</v>
      </c>
      <c r="K174" s="2">
        <v>5807</v>
      </c>
      <c r="L174" s="2">
        <v>236.4</v>
      </c>
      <c r="M174" s="2">
        <v>472</v>
      </c>
      <c r="N174" s="2">
        <v>17700</v>
      </c>
      <c r="O174" s="2">
        <v>39.799999999999997</v>
      </c>
    </row>
    <row r="175" spans="1:15" ht="24.95" customHeight="1" x14ac:dyDescent="0.25">
      <c r="A175" s="17" t="s">
        <v>322</v>
      </c>
      <c r="B175" s="2">
        <v>281</v>
      </c>
      <c r="C175" s="2">
        <v>108</v>
      </c>
      <c r="D175" s="2">
        <v>29.4</v>
      </c>
      <c r="E175" s="2">
        <v>78.599999999999994</v>
      </c>
      <c r="H175" s="2">
        <v>3035</v>
      </c>
      <c r="I175" s="2">
        <v>188</v>
      </c>
      <c r="J175" s="2">
        <v>327780</v>
      </c>
      <c r="K175" s="2">
        <v>5847</v>
      </c>
      <c r="L175" s="2">
        <v>268.5</v>
      </c>
      <c r="M175" s="2">
        <v>781.2</v>
      </c>
      <c r="N175" s="2">
        <v>18200</v>
      </c>
      <c r="O175" s="2">
        <v>6.1</v>
      </c>
    </row>
    <row r="176" spans="1:15" ht="24.95" customHeight="1" x14ac:dyDescent="0.25">
      <c r="A176" s="17" t="s">
        <v>6740</v>
      </c>
      <c r="B176" s="2">
        <v>264</v>
      </c>
      <c r="C176" s="2">
        <v>104</v>
      </c>
      <c r="D176" s="2">
        <v>27.3</v>
      </c>
      <c r="E176" s="2">
        <v>75.8</v>
      </c>
      <c r="F176" s="2">
        <v>0.9</v>
      </c>
      <c r="H176" s="2">
        <v>2104</v>
      </c>
      <c r="I176" s="2">
        <v>189</v>
      </c>
      <c r="J176" s="2">
        <v>218816</v>
      </c>
      <c r="K176" s="2">
        <v>6302</v>
      </c>
      <c r="L176" s="2">
        <v>282.8</v>
      </c>
      <c r="M176" s="2">
        <v>538.4</v>
      </c>
      <c r="N176" s="2">
        <v>19430</v>
      </c>
      <c r="O176" s="2">
        <v>38.200000000000003</v>
      </c>
    </row>
    <row r="177" spans="1:15" ht="24.95" customHeight="1" x14ac:dyDescent="0.25">
      <c r="A177" s="17" t="s">
        <v>324</v>
      </c>
      <c r="B177" s="2">
        <v>246</v>
      </c>
      <c r="C177" s="2">
        <v>104</v>
      </c>
      <c r="D177" s="2">
        <v>27.9</v>
      </c>
      <c r="E177" s="2">
        <v>79</v>
      </c>
      <c r="F177" s="2">
        <v>-2.9</v>
      </c>
      <c r="H177" s="2">
        <v>514</v>
      </c>
      <c r="I177" s="2">
        <v>114</v>
      </c>
      <c r="J177" s="2">
        <v>53456</v>
      </c>
      <c r="K177" s="2">
        <v>1845</v>
      </c>
      <c r="L177" s="2">
        <v>80.099999999999994</v>
      </c>
      <c r="M177" s="2">
        <v>132</v>
      </c>
      <c r="N177" s="2">
        <v>5310</v>
      </c>
      <c r="O177" s="2">
        <v>45.4</v>
      </c>
    </row>
    <row r="178" spans="1:15" ht="24.95" customHeight="1" x14ac:dyDescent="0.25">
      <c r="A178" s="17" t="s">
        <v>325</v>
      </c>
      <c r="B178" s="2">
        <v>258</v>
      </c>
      <c r="C178" s="2">
        <v>104</v>
      </c>
      <c r="D178" s="2">
        <v>25.4</v>
      </c>
      <c r="E178" s="2">
        <v>79</v>
      </c>
      <c r="F178" s="2">
        <v>-0.4</v>
      </c>
      <c r="H178" s="2">
        <v>520</v>
      </c>
      <c r="I178" s="2">
        <v>171</v>
      </c>
      <c r="J178" s="2">
        <v>54080</v>
      </c>
      <c r="K178" s="2">
        <v>1692</v>
      </c>
      <c r="L178" s="2">
        <v>65.599999999999994</v>
      </c>
      <c r="M178" s="2">
        <v>128.69999999999999</v>
      </c>
      <c r="N178" s="2">
        <v>4980</v>
      </c>
      <c r="O178" s="2">
        <v>42.3</v>
      </c>
    </row>
    <row r="179" spans="1:15" ht="24.95" customHeight="1" x14ac:dyDescent="0.25">
      <c r="A179" s="17" t="s">
        <v>311</v>
      </c>
      <c r="B179" s="2">
        <v>254</v>
      </c>
      <c r="C179" s="2">
        <v>100</v>
      </c>
      <c r="D179" s="2">
        <v>19.399999999999999</v>
      </c>
      <c r="E179" s="2">
        <v>79</v>
      </c>
      <c r="F179" s="2">
        <v>1.6</v>
      </c>
      <c r="G179" s="2">
        <v>101</v>
      </c>
      <c r="H179" s="2">
        <v>957</v>
      </c>
      <c r="I179" s="2">
        <v>177</v>
      </c>
      <c r="J179" s="2">
        <v>96625</v>
      </c>
      <c r="K179" s="2">
        <v>3381</v>
      </c>
      <c r="L179" s="2">
        <v>130</v>
      </c>
      <c r="M179" s="2">
        <v>237.2</v>
      </c>
      <c r="N179" s="2">
        <v>11260</v>
      </c>
      <c r="O179" s="2">
        <v>51.3</v>
      </c>
    </row>
    <row r="180" spans="1:15" ht="24.95" customHeight="1" x14ac:dyDescent="0.25">
      <c r="A180" s="17" t="s">
        <v>312</v>
      </c>
      <c r="B180" s="2">
        <v>261</v>
      </c>
      <c r="C180" s="2">
        <v>106</v>
      </c>
      <c r="D180" s="2">
        <v>26.3</v>
      </c>
      <c r="E180" s="2">
        <v>79</v>
      </c>
      <c r="F180" s="2">
        <v>0.7</v>
      </c>
      <c r="G180" s="2">
        <v>108.9</v>
      </c>
      <c r="H180" s="2">
        <v>1960</v>
      </c>
      <c r="I180" s="2">
        <v>140</v>
      </c>
      <c r="J180" s="2">
        <v>213352</v>
      </c>
      <c r="K180" s="2">
        <v>6435</v>
      </c>
      <c r="L180" s="2">
        <v>296.10000000000002</v>
      </c>
      <c r="M180" s="2">
        <v>489.9</v>
      </c>
      <c r="N180" s="2">
        <v>18560</v>
      </c>
      <c r="O180" s="2">
        <v>40.700000000000003</v>
      </c>
    </row>
    <row r="181" spans="1:15" ht="24.95" customHeight="1" x14ac:dyDescent="0.25">
      <c r="A181" s="17" t="s">
        <v>313</v>
      </c>
      <c r="B181" s="2">
        <v>246</v>
      </c>
      <c r="C181" s="2">
        <v>96</v>
      </c>
      <c r="D181" s="2">
        <v>17.7</v>
      </c>
      <c r="E181" s="2">
        <v>79</v>
      </c>
      <c r="F181" s="2">
        <v>-0.7</v>
      </c>
      <c r="G181" s="2">
        <v>98.2</v>
      </c>
      <c r="H181" s="2">
        <v>5021</v>
      </c>
      <c r="I181" s="2">
        <v>191</v>
      </c>
      <c r="J181" s="2">
        <v>493263</v>
      </c>
      <c r="K181" s="2">
        <v>12208</v>
      </c>
      <c r="L181" s="2">
        <v>797.6</v>
      </c>
      <c r="M181" s="2">
        <v>1244.8</v>
      </c>
      <c r="N181" s="2">
        <v>35150</v>
      </c>
      <c r="O181" s="2">
        <v>21.6</v>
      </c>
    </row>
    <row r="182" spans="1:15" ht="24.95" customHeight="1" x14ac:dyDescent="0.25">
      <c r="A182" s="17" t="s">
        <v>326</v>
      </c>
      <c r="B182" s="2">
        <v>234</v>
      </c>
      <c r="C182" s="2">
        <v>96</v>
      </c>
      <c r="D182" s="2">
        <v>14.9</v>
      </c>
      <c r="E182" s="2">
        <v>79</v>
      </c>
      <c r="F182" s="2">
        <v>2.1</v>
      </c>
      <c r="G182" s="2">
        <v>102</v>
      </c>
      <c r="H182" s="2">
        <v>3735</v>
      </c>
      <c r="I182" s="2">
        <v>152</v>
      </c>
      <c r="J182" s="2">
        <v>380882</v>
      </c>
      <c r="K182" s="2">
        <v>13574</v>
      </c>
      <c r="L182" s="2">
        <v>513.6</v>
      </c>
      <c r="M182" s="2">
        <v>985.6</v>
      </c>
      <c r="N182" s="2">
        <v>44130</v>
      </c>
      <c r="O182" s="2">
        <v>50.5</v>
      </c>
    </row>
    <row r="183" spans="1:15" ht="24.95" customHeight="1" x14ac:dyDescent="0.25">
      <c r="A183" s="17" t="s">
        <v>327</v>
      </c>
      <c r="B183" s="2">
        <v>236</v>
      </c>
      <c r="C183" s="2">
        <v>97</v>
      </c>
      <c r="D183" s="2">
        <v>19.3</v>
      </c>
      <c r="E183" s="2">
        <v>79</v>
      </c>
      <c r="F183" s="2">
        <v>-1.3</v>
      </c>
      <c r="G183" s="2">
        <v>99.7</v>
      </c>
      <c r="H183" s="2">
        <v>3851</v>
      </c>
      <c r="I183" s="2">
        <v>113</v>
      </c>
      <c r="J183" s="2">
        <v>383807</v>
      </c>
      <c r="K183" s="2">
        <v>6330</v>
      </c>
      <c r="L183" s="2">
        <v>272.5</v>
      </c>
      <c r="M183" s="2">
        <v>957.7</v>
      </c>
      <c r="N183" s="2">
        <v>18120</v>
      </c>
    </row>
    <row r="184" spans="1:15" ht="24.95" customHeight="1" x14ac:dyDescent="0.25">
      <c r="A184" s="17" t="s">
        <v>306</v>
      </c>
      <c r="B184" s="2">
        <v>265</v>
      </c>
      <c r="C184" s="2">
        <v>104</v>
      </c>
      <c r="D184" s="2">
        <v>23.8</v>
      </c>
      <c r="E184" s="2">
        <v>79</v>
      </c>
      <c r="F184" s="2">
        <v>1.2</v>
      </c>
      <c r="G184" s="2">
        <v>108.6</v>
      </c>
      <c r="H184" s="2">
        <v>9881</v>
      </c>
      <c r="I184" s="2">
        <v>167</v>
      </c>
      <c r="J184" s="2">
        <v>1072728</v>
      </c>
      <c r="K184" s="2">
        <v>31870</v>
      </c>
      <c r="L184" s="2">
        <v>1485</v>
      </c>
      <c r="M184" s="2">
        <v>2573.3000000000002</v>
      </c>
      <c r="N184" s="2">
        <v>102930</v>
      </c>
      <c r="O184" s="2">
        <v>44.5</v>
      </c>
    </row>
    <row r="185" spans="1:15" ht="24.95" customHeight="1" x14ac:dyDescent="0.25">
      <c r="A185" s="17" t="s">
        <v>328</v>
      </c>
      <c r="B185" s="2">
        <v>244</v>
      </c>
      <c r="C185" s="2">
        <v>97</v>
      </c>
      <c r="D185" s="2">
        <v>16.600000000000001</v>
      </c>
      <c r="E185" s="2">
        <v>79</v>
      </c>
      <c r="F185" s="2">
        <v>1.4</v>
      </c>
      <c r="G185" s="2">
        <v>102.5</v>
      </c>
      <c r="H185" s="2">
        <v>1794</v>
      </c>
      <c r="I185" s="2">
        <v>160</v>
      </c>
      <c r="J185" s="2">
        <v>183835</v>
      </c>
      <c r="K185" s="2">
        <v>6227</v>
      </c>
      <c r="L185" s="2">
        <v>234.3</v>
      </c>
      <c r="M185" s="2">
        <v>475.7</v>
      </c>
      <c r="N185" s="2">
        <v>19900</v>
      </c>
      <c r="O185" s="2">
        <v>49.1</v>
      </c>
    </row>
    <row r="186" spans="1:15" ht="24.95" customHeight="1" x14ac:dyDescent="0.25">
      <c r="A186" s="17" t="s">
        <v>329</v>
      </c>
      <c r="B186" s="2">
        <v>254</v>
      </c>
      <c r="C186" s="2">
        <v>102</v>
      </c>
      <c r="D186" s="2">
        <v>22.4</v>
      </c>
      <c r="E186" s="2">
        <v>79</v>
      </c>
      <c r="F186" s="2">
        <v>0.6</v>
      </c>
      <c r="G186" s="2">
        <v>103.1</v>
      </c>
      <c r="H186" s="2">
        <v>6641</v>
      </c>
      <c r="I186" s="2">
        <v>136</v>
      </c>
      <c r="J186" s="2">
        <v>684742</v>
      </c>
      <c r="K186" s="2">
        <v>11683</v>
      </c>
      <c r="L186" s="2">
        <v>663.4</v>
      </c>
      <c r="M186" s="2">
        <v>1583</v>
      </c>
      <c r="N186" s="2">
        <v>39110</v>
      </c>
      <c r="O186" s="2">
        <v>4.9000000000000004</v>
      </c>
    </row>
    <row r="187" spans="1:15" ht="24.95" customHeight="1" x14ac:dyDescent="0.25">
      <c r="A187" s="17" t="s">
        <v>330</v>
      </c>
      <c r="B187" s="2">
        <v>238</v>
      </c>
      <c r="C187" s="2">
        <v>94</v>
      </c>
      <c r="D187" s="2">
        <v>15</v>
      </c>
      <c r="E187" s="2">
        <v>79</v>
      </c>
      <c r="G187" s="2">
        <v>98.1</v>
      </c>
      <c r="H187" s="2">
        <v>12981</v>
      </c>
      <c r="I187" s="2">
        <v>178</v>
      </c>
      <c r="J187" s="2">
        <v>1273892</v>
      </c>
      <c r="K187" s="2">
        <v>32413</v>
      </c>
      <c r="L187" s="2">
        <v>2078</v>
      </c>
      <c r="M187" s="2">
        <v>3200.7</v>
      </c>
      <c r="N187" s="2">
        <v>99140</v>
      </c>
      <c r="O187" s="2">
        <v>29.1</v>
      </c>
    </row>
    <row r="188" spans="1:15" ht="24.95" customHeight="1" x14ac:dyDescent="0.25">
      <c r="A188" s="17" t="s">
        <v>6741</v>
      </c>
      <c r="B188" s="2">
        <v>188</v>
      </c>
      <c r="C188" s="2">
        <v>81</v>
      </c>
      <c r="H188" s="2">
        <v>76000</v>
      </c>
      <c r="I188" s="2">
        <v>143</v>
      </c>
      <c r="J188" s="2">
        <v>6156000</v>
      </c>
      <c r="K188" s="2">
        <v>177989</v>
      </c>
      <c r="L188" s="2">
        <v>11390.6</v>
      </c>
      <c r="M188" s="2">
        <v>18704.7</v>
      </c>
      <c r="N188" s="2">
        <v>536490</v>
      </c>
      <c r="O188" s="2">
        <v>20.9</v>
      </c>
    </row>
    <row r="189" spans="1:15" ht="24.95" customHeight="1" x14ac:dyDescent="0.25">
      <c r="A189" s="17" t="s">
        <v>333</v>
      </c>
      <c r="B189" s="2">
        <v>270</v>
      </c>
      <c r="C189" s="2">
        <v>116</v>
      </c>
      <c r="D189" s="2">
        <v>30.7</v>
      </c>
      <c r="E189" s="2">
        <v>84</v>
      </c>
      <c r="F189" s="2">
        <v>1.3</v>
      </c>
      <c r="H189" s="2">
        <v>2529</v>
      </c>
      <c r="I189" s="2">
        <v>114</v>
      </c>
      <c r="J189" s="2">
        <v>293364</v>
      </c>
      <c r="K189" s="2">
        <v>4958</v>
      </c>
      <c r="L189" s="2">
        <v>279</v>
      </c>
      <c r="M189" s="2">
        <v>623.79999999999995</v>
      </c>
      <c r="N189" s="2">
        <v>15650</v>
      </c>
      <c r="O189" s="2">
        <v>9.9</v>
      </c>
    </row>
    <row r="190" spans="1:15" ht="24.95" customHeight="1" x14ac:dyDescent="0.25">
      <c r="A190" s="17" t="s">
        <v>334</v>
      </c>
      <c r="B190" s="2">
        <v>288</v>
      </c>
      <c r="C190" s="2">
        <v>126</v>
      </c>
      <c r="D190" s="2">
        <v>41</v>
      </c>
      <c r="E190" s="2">
        <v>83.5</v>
      </c>
      <c r="F190" s="2">
        <v>1.5</v>
      </c>
      <c r="H190" s="2">
        <v>1231</v>
      </c>
      <c r="I190" s="2">
        <v>100</v>
      </c>
      <c r="J190" s="2">
        <v>155106</v>
      </c>
      <c r="K190" s="2">
        <v>3378</v>
      </c>
      <c r="L190" s="2">
        <v>164.6</v>
      </c>
      <c r="M190" s="2">
        <v>311.10000000000002</v>
      </c>
      <c r="N190" s="2">
        <v>10820</v>
      </c>
      <c r="O190" s="2">
        <v>35.5</v>
      </c>
    </row>
    <row r="191" spans="1:15" ht="24.95" customHeight="1" x14ac:dyDescent="0.25">
      <c r="A191" s="17" t="s">
        <v>5318</v>
      </c>
      <c r="B191" s="2">
        <v>276</v>
      </c>
      <c r="C191" s="2">
        <v>114</v>
      </c>
      <c r="D191" s="2">
        <v>26.4</v>
      </c>
      <c r="E191" s="2">
        <v>86</v>
      </c>
      <c r="F191" s="2">
        <v>1.6</v>
      </c>
      <c r="H191" s="2">
        <v>789</v>
      </c>
      <c r="I191" s="2">
        <v>114</v>
      </c>
      <c r="J191" s="2">
        <v>89946</v>
      </c>
      <c r="K191" s="2">
        <v>1912</v>
      </c>
      <c r="L191" s="2">
        <v>107.6</v>
      </c>
      <c r="M191" s="2">
        <v>182.3</v>
      </c>
      <c r="N191" s="2">
        <v>6360</v>
      </c>
      <c r="O191" s="2">
        <v>31.3</v>
      </c>
    </row>
    <row r="192" spans="1:15" ht="24.95" customHeight="1" x14ac:dyDescent="0.25">
      <c r="A192" s="17" t="s">
        <v>6742</v>
      </c>
      <c r="B192" s="2">
        <v>264</v>
      </c>
      <c r="C192" s="2">
        <v>114</v>
      </c>
      <c r="D192" s="2">
        <v>26.5</v>
      </c>
      <c r="E192" s="2">
        <v>86</v>
      </c>
      <c r="F192" s="2">
        <v>1.5</v>
      </c>
      <c r="H192" s="2">
        <v>355</v>
      </c>
      <c r="I192" s="2">
        <v>137</v>
      </c>
      <c r="J192" s="2">
        <v>40470</v>
      </c>
      <c r="K192" s="2">
        <v>939</v>
      </c>
      <c r="L192" s="2">
        <v>36.6</v>
      </c>
      <c r="M192" s="2">
        <v>87.8</v>
      </c>
      <c r="N192" s="2">
        <v>2880</v>
      </c>
      <c r="O192" s="2">
        <v>31.5</v>
      </c>
    </row>
    <row r="193" spans="1:15" ht="24.95" customHeight="1" x14ac:dyDescent="0.25">
      <c r="A193" s="17" t="s">
        <v>337</v>
      </c>
      <c r="B193" s="2">
        <v>286</v>
      </c>
      <c r="C193" s="2">
        <v>126</v>
      </c>
      <c r="D193" s="2">
        <v>38.5</v>
      </c>
      <c r="E193" s="2">
        <v>86</v>
      </c>
      <c r="F193" s="2">
        <v>1.5</v>
      </c>
      <c r="H193" s="2">
        <v>672</v>
      </c>
      <c r="I193" s="2">
        <v>138</v>
      </c>
      <c r="J193" s="2">
        <v>84672</v>
      </c>
      <c r="K193" s="2">
        <v>1230</v>
      </c>
      <c r="L193" s="2">
        <v>74.599999999999994</v>
      </c>
      <c r="M193" s="2">
        <v>166</v>
      </c>
      <c r="N193" s="2">
        <v>4550</v>
      </c>
      <c r="O193" s="2">
        <v>11.6</v>
      </c>
    </row>
    <row r="194" spans="1:15" ht="24.95" customHeight="1" x14ac:dyDescent="0.25">
      <c r="A194" s="17" t="s">
        <v>338</v>
      </c>
      <c r="B194" s="2">
        <v>284</v>
      </c>
      <c r="C194" s="2">
        <v>124</v>
      </c>
      <c r="D194" s="2">
        <v>35.9</v>
      </c>
      <c r="E194" s="2">
        <v>86</v>
      </c>
      <c r="F194" s="2">
        <v>2.1</v>
      </c>
      <c r="H194" s="2">
        <v>437</v>
      </c>
      <c r="I194" s="2">
        <v>111</v>
      </c>
      <c r="J194" s="2">
        <v>54188</v>
      </c>
      <c r="K194" s="2">
        <v>1260</v>
      </c>
      <c r="L194" s="2">
        <v>61</v>
      </c>
      <c r="M194" s="2">
        <v>108.2</v>
      </c>
      <c r="N194" s="2">
        <v>3800</v>
      </c>
      <c r="O194" s="2">
        <v>41.9</v>
      </c>
    </row>
    <row r="195" spans="1:15" ht="24.95" customHeight="1" x14ac:dyDescent="0.25">
      <c r="A195" s="17" t="s">
        <v>339</v>
      </c>
      <c r="B195" s="2">
        <v>276</v>
      </c>
      <c r="C195" s="2">
        <v>122</v>
      </c>
      <c r="D195" s="2">
        <v>34.299999999999997</v>
      </c>
      <c r="E195" s="2">
        <v>86</v>
      </c>
      <c r="F195" s="2">
        <v>1.7</v>
      </c>
      <c r="H195" s="2">
        <v>305</v>
      </c>
      <c r="I195" s="2">
        <v>82</v>
      </c>
      <c r="J195" s="2">
        <v>37210</v>
      </c>
      <c r="K195" s="2">
        <v>947</v>
      </c>
      <c r="L195" s="2">
        <v>39.5</v>
      </c>
      <c r="M195" s="2">
        <v>78.3</v>
      </c>
      <c r="N195" s="2">
        <v>2950</v>
      </c>
      <c r="O195" s="2">
        <v>40.5</v>
      </c>
    </row>
    <row r="196" spans="1:15" ht="24.95" customHeight="1" x14ac:dyDescent="0.25">
      <c r="A196" s="17" t="s">
        <v>5319</v>
      </c>
      <c r="B196" s="2">
        <v>288</v>
      </c>
      <c r="C196" s="2">
        <v>120</v>
      </c>
      <c r="D196" s="2">
        <v>33.200000000000003</v>
      </c>
      <c r="E196" s="2">
        <v>85.5</v>
      </c>
      <c r="F196" s="2">
        <v>1.3</v>
      </c>
      <c r="H196" s="2">
        <v>1860</v>
      </c>
      <c r="I196" s="2">
        <v>142</v>
      </c>
      <c r="J196" s="2">
        <v>223200</v>
      </c>
      <c r="K196" s="2">
        <v>4219</v>
      </c>
      <c r="L196" s="2">
        <v>221.1</v>
      </c>
      <c r="M196" s="2">
        <v>452.9</v>
      </c>
      <c r="N196" s="2">
        <v>12770</v>
      </c>
      <c r="O196" s="2">
        <v>21.9</v>
      </c>
    </row>
    <row r="197" spans="1:15" ht="24.95" customHeight="1" x14ac:dyDescent="0.25">
      <c r="A197" s="17" t="s">
        <v>341</v>
      </c>
      <c r="B197" s="2">
        <v>290</v>
      </c>
      <c r="C197" s="2">
        <v>124</v>
      </c>
      <c r="D197" s="2">
        <v>40.6</v>
      </c>
      <c r="E197" s="2">
        <v>82</v>
      </c>
      <c r="F197" s="2">
        <v>1.4</v>
      </c>
      <c r="H197" s="2">
        <v>10350</v>
      </c>
      <c r="I197" s="2">
        <v>135</v>
      </c>
      <c r="J197" s="2">
        <v>1283400</v>
      </c>
      <c r="K197" s="2">
        <v>16116</v>
      </c>
      <c r="L197" s="2">
        <v>1397.7</v>
      </c>
      <c r="M197" s="2">
        <v>2530</v>
      </c>
      <c r="N197" s="2">
        <v>51700</v>
      </c>
    </row>
    <row r="198" spans="1:15" ht="24.95" customHeight="1" x14ac:dyDescent="0.25">
      <c r="A198" s="17" t="s">
        <v>342</v>
      </c>
      <c r="B198" s="2">
        <v>300</v>
      </c>
      <c r="C198" s="2">
        <v>128</v>
      </c>
      <c r="D198" s="2">
        <v>40.700000000000003</v>
      </c>
      <c r="E198" s="2">
        <v>86</v>
      </c>
      <c r="F198" s="2">
        <v>1.4</v>
      </c>
      <c r="H198" s="2">
        <v>800</v>
      </c>
      <c r="I198" s="2">
        <v>144</v>
      </c>
      <c r="J198" s="2">
        <v>102400</v>
      </c>
      <c r="K198" s="2">
        <v>1871</v>
      </c>
      <c r="L198" s="2">
        <v>105.5</v>
      </c>
      <c r="M198" s="2">
        <v>199.1</v>
      </c>
      <c r="N198" s="2">
        <v>5880</v>
      </c>
      <c r="O198" s="2">
        <v>24.5</v>
      </c>
    </row>
    <row r="199" spans="1:15" ht="24.95" customHeight="1" x14ac:dyDescent="0.25">
      <c r="A199" s="17" t="s">
        <v>343</v>
      </c>
      <c r="B199" s="2">
        <v>304</v>
      </c>
      <c r="C199" s="2">
        <v>130</v>
      </c>
      <c r="D199" s="2">
        <v>40.9</v>
      </c>
      <c r="E199" s="2">
        <v>86</v>
      </c>
      <c r="F199" s="2">
        <v>3.1</v>
      </c>
      <c r="H199" s="2">
        <v>285</v>
      </c>
      <c r="I199" s="2">
        <v>138</v>
      </c>
      <c r="J199" s="2">
        <v>37050</v>
      </c>
      <c r="K199" s="2">
        <v>886</v>
      </c>
      <c r="L199" s="2">
        <v>43.8</v>
      </c>
      <c r="M199" s="2">
        <v>75.8</v>
      </c>
      <c r="N199" s="2">
        <v>2720</v>
      </c>
      <c r="O199" s="2">
        <v>39.1</v>
      </c>
    </row>
    <row r="200" spans="1:15" ht="24.95" customHeight="1" x14ac:dyDescent="0.25">
      <c r="A200" s="17" t="s">
        <v>344</v>
      </c>
      <c r="B200" s="2">
        <v>270</v>
      </c>
      <c r="C200" s="2">
        <v>109</v>
      </c>
      <c r="D200" s="2">
        <v>22.5</v>
      </c>
      <c r="E200" s="2">
        <v>85.5</v>
      </c>
      <c r="F200" s="2">
        <v>1</v>
      </c>
      <c r="H200" s="2">
        <v>1857</v>
      </c>
      <c r="I200" s="2">
        <v>179</v>
      </c>
      <c r="J200" s="2">
        <v>202413</v>
      </c>
      <c r="K200" s="2">
        <v>4242</v>
      </c>
      <c r="L200" s="2">
        <v>291.89999999999998</v>
      </c>
      <c r="M200" s="2">
        <v>451.6</v>
      </c>
      <c r="N200" s="2">
        <v>10870</v>
      </c>
      <c r="O200" s="2">
        <v>7.1</v>
      </c>
    </row>
    <row r="201" spans="1:15" ht="24.95" customHeight="1" x14ac:dyDescent="0.25">
      <c r="A201" s="17" t="s">
        <v>345</v>
      </c>
      <c r="B201" s="2">
        <v>256</v>
      </c>
      <c r="C201" s="2">
        <v>106</v>
      </c>
      <c r="D201" s="2">
        <v>18.5</v>
      </c>
      <c r="E201" s="2">
        <v>86</v>
      </c>
      <c r="F201" s="2">
        <v>1.5</v>
      </c>
      <c r="H201" s="2">
        <v>355</v>
      </c>
      <c r="I201" s="2">
        <v>129</v>
      </c>
      <c r="J201" s="2">
        <v>37630</v>
      </c>
      <c r="K201" s="2">
        <v>904</v>
      </c>
      <c r="L201" s="2">
        <v>41.5</v>
      </c>
      <c r="M201" s="2">
        <v>90.2</v>
      </c>
      <c r="N201" s="2">
        <v>2520</v>
      </c>
      <c r="O201" s="2">
        <v>21</v>
      </c>
    </row>
    <row r="202" spans="1:15" ht="24.95" customHeight="1" x14ac:dyDescent="0.25">
      <c r="A202" s="17" t="s">
        <v>346</v>
      </c>
      <c r="B202" s="2">
        <v>264</v>
      </c>
      <c r="C202" s="2">
        <v>112</v>
      </c>
      <c r="D202" s="2">
        <v>24.8</v>
      </c>
      <c r="E202" s="2">
        <v>86</v>
      </c>
      <c r="F202" s="2">
        <v>1.2</v>
      </c>
      <c r="H202" s="2">
        <v>901</v>
      </c>
      <c r="I202" s="2">
        <v>172</v>
      </c>
      <c r="J202" s="2">
        <v>100912</v>
      </c>
      <c r="K202" s="2">
        <v>1482</v>
      </c>
      <c r="L202" s="2">
        <v>168.4</v>
      </c>
      <c r="M202" s="2">
        <v>221.9</v>
      </c>
      <c r="N202" s="2">
        <v>3720</v>
      </c>
    </row>
    <row r="203" spans="1:15" ht="24.95" customHeight="1" x14ac:dyDescent="0.25">
      <c r="A203" s="17" t="s">
        <v>347</v>
      </c>
      <c r="B203" s="2">
        <v>272</v>
      </c>
      <c r="C203" s="2">
        <v>114</v>
      </c>
      <c r="D203" s="2">
        <v>26.9</v>
      </c>
      <c r="E203" s="2">
        <v>86</v>
      </c>
      <c r="F203" s="2">
        <v>1.1000000000000001</v>
      </c>
      <c r="H203" s="2">
        <v>676</v>
      </c>
      <c r="I203" s="2">
        <v>168</v>
      </c>
      <c r="J203" s="2">
        <v>77064</v>
      </c>
      <c r="K203" s="2">
        <v>1456</v>
      </c>
      <c r="L203" s="2">
        <v>76.2</v>
      </c>
      <c r="M203" s="2">
        <v>166.4</v>
      </c>
      <c r="N203" s="2">
        <v>4420</v>
      </c>
      <c r="O203" s="2">
        <v>16</v>
      </c>
    </row>
    <row r="204" spans="1:15" ht="24.95" customHeight="1" x14ac:dyDescent="0.25">
      <c r="A204" s="17" t="s">
        <v>348</v>
      </c>
      <c r="B204" s="2">
        <v>288</v>
      </c>
      <c r="C204" s="2">
        <v>116</v>
      </c>
      <c r="D204" s="2">
        <v>28.9</v>
      </c>
      <c r="E204" s="2">
        <v>86</v>
      </c>
      <c r="F204" s="2">
        <v>1.1000000000000001</v>
      </c>
      <c r="H204" s="2">
        <v>1117</v>
      </c>
      <c r="I204" s="2">
        <v>149</v>
      </c>
      <c r="J204" s="2">
        <v>129572</v>
      </c>
      <c r="K204" s="2">
        <v>2414</v>
      </c>
      <c r="L204" s="2">
        <v>166.4</v>
      </c>
      <c r="M204" s="2">
        <v>266.3</v>
      </c>
      <c r="N204" s="2">
        <v>7530</v>
      </c>
      <c r="O204" s="2">
        <v>17.3</v>
      </c>
    </row>
    <row r="205" spans="1:15" ht="24.95" customHeight="1" x14ac:dyDescent="0.25">
      <c r="A205" s="17" t="s">
        <v>349</v>
      </c>
      <c r="B205" s="2">
        <v>296</v>
      </c>
      <c r="C205" s="2">
        <v>130</v>
      </c>
      <c r="D205" s="2">
        <v>42.6</v>
      </c>
      <c r="E205" s="2">
        <v>86</v>
      </c>
      <c r="F205" s="2">
        <v>1.4</v>
      </c>
      <c r="H205" s="2">
        <v>3730</v>
      </c>
      <c r="I205" s="2">
        <v>141</v>
      </c>
      <c r="J205" s="2">
        <v>484900</v>
      </c>
      <c r="K205" s="2">
        <v>7249</v>
      </c>
      <c r="L205" s="2">
        <v>598.70000000000005</v>
      </c>
      <c r="M205" s="2">
        <v>925.8</v>
      </c>
      <c r="N205" s="2">
        <v>19890</v>
      </c>
    </row>
    <row r="206" spans="1:15" ht="24.95" customHeight="1" x14ac:dyDescent="0.25">
      <c r="A206" s="17" t="s">
        <v>350</v>
      </c>
      <c r="B206" s="2">
        <v>306</v>
      </c>
      <c r="C206" s="2">
        <v>130</v>
      </c>
      <c r="D206" s="2">
        <v>42.4</v>
      </c>
      <c r="E206" s="2">
        <v>86</v>
      </c>
      <c r="F206" s="2">
        <v>1.6</v>
      </c>
      <c r="H206" s="2">
        <v>196</v>
      </c>
      <c r="I206" s="2">
        <v>92</v>
      </c>
      <c r="J206" s="2">
        <v>25480</v>
      </c>
      <c r="K206" s="2">
        <v>503</v>
      </c>
      <c r="L206" s="2">
        <v>23.2</v>
      </c>
      <c r="M206" s="2">
        <v>48.5</v>
      </c>
      <c r="N206" s="2">
        <v>1580</v>
      </c>
      <c r="O206" s="2">
        <v>29.1</v>
      </c>
    </row>
    <row r="207" spans="1:15" ht="24.95" customHeight="1" x14ac:dyDescent="0.25">
      <c r="A207" s="17" t="s">
        <v>351</v>
      </c>
      <c r="B207" s="2">
        <v>312</v>
      </c>
      <c r="C207" s="2">
        <v>140</v>
      </c>
      <c r="D207" s="2">
        <v>52.6</v>
      </c>
      <c r="E207" s="2">
        <v>86</v>
      </c>
      <c r="F207" s="2">
        <v>1.4</v>
      </c>
      <c r="H207" s="2">
        <v>1276</v>
      </c>
      <c r="I207" s="2">
        <v>100</v>
      </c>
      <c r="J207" s="2">
        <v>178640</v>
      </c>
      <c r="K207" s="2">
        <v>2580</v>
      </c>
      <c r="L207" s="2">
        <v>147.19999999999999</v>
      </c>
      <c r="M207" s="2">
        <v>321</v>
      </c>
      <c r="N207" s="2">
        <v>8510</v>
      </c>
      <c r="O207" s="2">
        <v>15.1</v>
      </c>
    </row>
    <row r="208" spans="1:15" ht="24.95" customHeight="1" x14ac:dyDescent="0.25">
      <c r="A208" s="17" t="s">
        <v>352</v>
      </c>
      <c r="B208" s="2">
        <v>274</v>
      </c>
      <c r="C208" s="2">
        <v>124</v>
      </c>
      <c r="D208" s="2">
        <v>36.9</v>
      </c>
      <c r="E208" s="2">
        <v>86</v>
      </c>
      <c r="F208" s="2">
        <v>1.1000000000000001</v>
      </c>
      <c r="H208" s="2">
        <v>494</v>
      </c>
      <c r="I208" s="2">
        <v>141</v>
      </c>
      <c r="J208" s="2">
        <v>61256</v>
      </c>
      <c r="K208" s="2">
        <v>1049</v>
      </c>
      <c r="L208" s="2">
        <v>59.6</v>
      </c>
      <c r="M208" s="2">
        <v>120.1</v>
      </c>
      <c r="N208" s="2">
        <v>3210</v>
      </c>
      <c r="O208" s="2">
        <v>15.7</v>
      </c>
    </row>
    <row r="209" spans="1:15" ht="24.95" customHeight="1" x14ac:dyDescent="0.25">
      <c r="A209" s="17" t="s">
        <v>353</v>
      </c>
      <c r="B209" s="2">
        <v>306</v>
      </c>
      <c r="C209" s="2">
        <v>127</v>
      </c>
      <c r="D209" s="2">
        <v>41</v>
      </c>
      <c r="E209" s="2">
        <v>86</v>
      </c>
      <c r="H209" s="2">
        <v>226</v>
      </c>
      <c r="I209" s="2">
        <v>100</v>
      </c>
      <c r="J209" s="2">
        <v>28702</v>
      </c>
      <c r="K209" s="2">
        <v>501</v>
      </c>
      <c r="L209" s="2">
        <v>22.3</v>
      </c>
      <c r="M209" s="2">
        <v>57.3</v>
      </c>
      <c r="N209" s="2">
        <v>1700</v>
      </c>
      <c r="O209" s="2">
        <v>23.9</v>
      </c>
    </row>
    <row r="210" spans="1:15" ht="24.95" customHeight="1" x14ac:dyDescent="0.25">
      <c r="A210" s="17" t="s">
        <v>354</v>
      </c>
      <c r="B210" s="2">
        <v>286</v>
      </c>
      <c r="C210" s="2">
        <v>126</v>
      </c>
      <c r="D210" s="2">
        <v>41.2</v>
      </c>
      <c r="E210" s="2">
        <v>83.5</v>
      </c>
      <c r="F210" s="2">
        <v>1.3</v>
      </c>
      <c r="H210" s="2">
        <v>2800</v>
      </c>
      <c r="I210" s="2">
        <v>130</v>
      </c>
      <c r="J210" s="2">
        <v>352800</v>
      </c>
      <c r="K210" s="2">
        <v>5622</v>
      </c>
      <c r="L210" s="2">
        <v>369.7</v>
      </c>
      <c r="M210" s="2">
        <v>686</v>
      </c>
      <c r="N210" s="2">
        <v>18080</v>
      </c>
      <c r="O210" s="2">
        <v>13.1</v>
      </c>
    </row>
    <row r="211" spans="1:15" ht="24.95" customHeight="1" x14ac:dyDescent="0.25">
      <c r="A211" s="17" t="s">
        <v>355</v>
      </c>
      <c r="B211" s="2">
        <v>274</v>
      </c>
      <c r="C211" s="2">
        <v>114</v>
      </c>
      <c r="D211" s="2">
        <v>26.5</v>
      </c>
      <c r="E211" s="2">
        <v>86</v>
      </c>
      <c r="F211" s="2">
        <v>1.5</v>
      </c>
      <c r="H211" s="2">
        <v>800</v>
      </c>
      <c r="I211" s="2">
        <v>134</v>
      </c>
      <c r="J211" s="2">
        <v>91200</v>
      </c>
      <c r="K211" s="2">
        <v>2365</v>
      </c>
      <c r="L211" s="2">
        <v>138.9</v>
      </c>
      <c r="M211" s="2">
        <v>199.2</v>
      </c>
      <c r="N211" s="2">
        <v>6530</v>
      </c>
      <c r="O211" s="2">
        <v>32.4</v>
      </c>
    </row>
    <row r="212" spans="1:15" ht="24.95" customHeight="1" x14ac:dyDescent="0.25">
      <c r="A212" s="17" t="s">
        <v>5350</v>
      </c>
      <c r="B212" s="2">
        <v>270</v>
      </c>
      <c r="C212" s="2">
        <v>114</v>
      </c>
      <c r="D212" s="2">
        <v>26.6</v>
      </c>
      <c r="E212" s="2">
        <v>86</v>
      </c>
      <c r="F212" s="2">
        <v>1.4</v>
      </c>
      <c r="H212" s="2">
        <v>580</v>
      </c>
      <c r="I212" s="2">
        <v>190</v>
      </c>
      <c r="J212" s="2">
        <v>66120</v>
      </c>
      <c r="K212" s="2">
        <v>1499</v>
      </c>
      <c r="L212" s="2">
        <v>97.6</v>
      </c>
      <c r="M212" s="2">
        <v>142.6</v>
      </c>
      <c r="N212" s="2">
        <v>4080</v>
      </c>
      <c r="O212" s="2">
        <v>23.2</v>
      </c>
    </row>
    <row r="213" spans="1:15" ht="24.95" customHeight="1" x14ac:dyDescent="0.25">
      <c r="A213" s="17" t="s">
        <v>357</v>
      </c>
      <c r="B213" s="2">
        <v>288</v>
      </c>
      <c r="C213" s="2">
        <v>124</v>
      </c>
      <c r="D213" s="2">
        <v>37.4</v>
      </c>
      <c r="E213" s="2">
        <v>85.5</v>
      </c>
      <c r="F213" s="2">
        <v>1.1000000000000001</v>
      </c>
      <c r="H213" s="2">
        <v>6380</v>
      </c>
      <c r="I213" s="2">
        <v>165</v>
      </c>
      <c r="J213" s="2">
        <v>791120</v>
      </c>
      <c r="K213" s="2">
        <v>10579</v>
      </c>
      <c r="L213" s="2">
        <v>949.6</v>
      </c>
      <c r="M213" s="2">
        <v>1542.1</v>
      </c>
      <c r="N213" s="2">
        <v>29810</v>
      </c>
    </row>
    <row r="214" spans="1:15" ht="24.95" customHeight="1" x14ac:dyDescent="0.25">
      <c r="A214" s="17" t="s">
        <v>358</v>
      </c>
      <c r="B214" s="2">
        <v>294</v>
      </c>
      <c r="C214" s="2">
        <v>128</v>
      </c>
      <c r="D214" s="2">
        <v>41</v>
      </c>
      <c r="E214" s="2">
        <v>86</v>
      </c>
      <c r="F214" s="2">
        <v>1</v>
      </c>
      <c r="H214" s="2">
        <v>430</v>
      </c>
      <c r="I214" s="2">
        <v>151</v>
      </c>
      <c r="J214" s="2">
        <v>55040</v>
      </c>
      <c r="K214" s="2">
        <v>939</v>
      </c>
      <c r="L214" s="2">
        <v>71.599999999999994</v>
      </c>
      <c r="M214" s="2">
        <v>108.6</v>
      </c>
      <c r="N214" s="2">
        <v>2370</v>
      </c>
    </row>
    <row r="215" spans="1:15" ht="24.95" customHeight="1" x14ac:dyDescent="0.25">
      <c r="A215" s="17" t="s">
        <v>359</v>
      </c>
      <c r="B215" s="2">
        <v>312</v>
      </c>
      <c r="C215" s="2">
        <v>131</v>
      </c>
      <c r="D215" s="2">
        <v>44</v>
      </c>
      <c r="E215" s="2">
        <v>86</v>
      </c>
      <c r="F215" s="2">
        <v>1</v>
      </c>
      <c r="H215" s="2">
        <v>755</v>
      </c>
      <c r="I215" s="2">
        <v>178</v>
      </c>
      <c r="J215" s="2">
        <v>98905</v>
      </c>
      <c r="K215" s="2">
        <v>1303</v>
      </c>
      <c r="L215" s="2">
        <v>119.1</v>
      </c>
      <c r="M215" s="2">
        <v>185.3</v>
      </c>
      <c r="N215" s="2">
        <v>3360</v>
      </c>
    </row>
    <row r="216" spans="1:15" ht="24.95" customHeight="1" x14ac:dyDescent="0.25">
      <c r="A216" s="17" t="s">
        <v>360</v>
      </c>
      <c r="B216" s="2">
        <v>301</v>
      </c>
      <c r="C216" s="2">
        <v>128</v>
      </c>
      <c r="D216" s="2">
        <v>40.799999999999997</v>
      </c>
      <c r="E216" s="2">
        <v>86</v>
      </c>
      <c r="F216" s="2">
        <v>1.2</v>
      </c>
      <c r="H216" s="2">
        <v>2276</v>
      </c>
      <c r="I216" s="2">
        <v>163</v>
      </c>
      <c r="J216" s="2">
        <v>291328</v>
      </c>
      <c r="K216" s="2">
        <v>3968</v>
      </c>
      <c r="L216" s="2">
        <v>364.8</v>
      </c>
      <c r="M216" s="2">
        <v>556.9</v>
      </c>
      <c r="N216" s="2">
        <v>10220</v>
      </c>
    </row>
    <row r="217" spans="1:15" ht="24.95" customHeight="1" x14ac:dyDescent="0.25">
      <c r="A217" s="17" t="s">
        <v>361</v>
      </c>
      <c r="B217" s="2">
        <v>254</v>
      </c>
      <c r="C217" s="2">
        <v>107</v>
      </c>
      <c r="D217" s="2">
        <v>19.899999999999999</v>
      </c>
      <c r="E217" s="2">
        <v>86</v>
      </c>
      <c r="F217" s="2">
        <v>1.1000000000000001</v>
      </c>
      <c r="H217" s="2">
        <v>949</v>
      </c>
      <c r="I217" s="2">
        <v>148</v>
      </c>
      <c r="J217" s="2">
        <v>101543</v>
      </c>
      <c r="K217" s="2">
        <v>2069</v>
      </c>
      <c r="L217" s="2">
        <v>133.4</v>
      </c>
      <c r="M217" s="2">
        <v>236.4</v>
      </c>
      <c r="N217" s="2">
        <v>6310</v>
      </c>
      <c r="O217" s="2">
        <v>14.8</v>
      </c>
    </row>
    <row r="218" spans="1:15" ht="24.95" customHeight="1" x14ac:dyDescent="0.25">
      <c r="A218" s="17" t="s">
        <v>362</v>
      </c>
      <c r="B218" s="2">
        <v>304</v>
      </c>
      <c r="C218" s="2">
        <v>130</v>
      </c>
      <c r="D218" s="2">
        <v>43</v>
      </c>
      <c r="E218" s="2">
        <v>86</v>
      </c>
      <c r="F218" s="2">
        <v>1</v>
      </c>
      <c r="H218" s="2">
        <v>1707</v>
      </c>
      <c r="I218" s="2">
        <v>145</v>
      </c>
      <c r="J218" s="2">
        <v>221910</v>
      </c>
      <c r="K218" s="2">
        <v>3746</v>
      </c>
      <c r="L218" s="2">
        <v>270.10000000000002</v>
      </c>
      <c r="M218" s="2">
        <v>419.1</v>
      </c>
      <c r="N218" s="2">
        <v>11230</v>
      </c>
      <c r="O218" s="2">
        <v>11.4</v>
      </c>
    </row>
    <row r="219" spans="1:15" ht="24.95" customHeight="1" x14ac:dyDescent="0.25">
      <c r="A219" s="17" t="s">
        <v>364</v>
      </c>
      <c r="B219" s="2">
        <v>255</v>
      </c>
      <c r="C219" s="2">
        <v>106</v>
      </c>
      <c r="D219" s="2">
        <v>17.899999999999999</v>
      </c>
      <c r="E219" s="2">
        <v>86</v>
      </c>
      <c r="F219" s="2">
        <v>2.1</v>
      </c>
      <c r="G219" s="2">
        <v>110.7</v>
      </c>
      <c r="H219" s="2">
        <v>1997</v>
      </c>
      <c r="I219" s="2">
        <v>175</v>
      </c>
      <c r="J219" s="2">
        <v>221040</v>
      </c>
      <c r="K219" s="2">
        <v>5027</v>
      </c>
      <c r="L219" s="2">
        <v>316.60000000000002</v>
      </c>
      <c r="M219" s="2">
        <v>490.6</v>
      </c>
      <c r="N219" s="2">
        <v>14510</v>
      </c>
      <c r="O219" s="2">
        <v>24.4</v>
      </c>
    </row>
    <row r="220" spans="1:15" ht="24.95" customHeight="1" x14ac:dyDescent="0.25">
      <c r="A220" s="17" t="s">
        <v>333</v>
      </c>
      <c r="B220" s="2">
        <v>260</v>
      </c>
      <c r="C220" s="2">
        <v>110</v>
      </c>
      <c r="D220" s="2">
        <v>21.8</v>
      </c>
      <c r="E220" s="2">
        <v>86</v>
      </c>
      <c r="F220" s="2">
        <v>2.2000000000000002</v>
      </c>
      <c r="G220" s="2">
        <v>112.5</v>
      </c>
      <c r="H220" s="2">
        <v>3089</v>
      </c>
      <c r="I220" s="2">
        <v>133</v>
      </c>
      <c r="J220" s="2">
        <v>347652</v>
      </c>
      <c r="K220" s="2">
        <v>8263</v>
      </c>
      <c r="L220" s="2">
        <v>440.6</v>
      </c>
      <c r="M220" s="2">
        <v>745.1</v>
      </c>
      <c r="N220" s="2">
        <v>25580</v>
      </c>
      <c r="O220" s="2">
        <v>33</v>
      </c>
    </row>
    <row r="221" spans="1:15" ht="24.95" customHeight="1" x14ac:dyDescent="0.25">
      <c r="A221" s="17" t="s">
        <v>334</v>
      </c>
      <c r="B221" s="2">
        <v>234</v>
      </c>
      <c r="C221" s="2">
        <v>108</v>
      </c>
      <c r="D221" s="2">
        <v>18.600000000000001</v>
      </c>
      <c r="E221" s="2">
        <v>86</v>
      </c>
      <c r="F221" s="2">
        <v>3.4</v>
      </c>
      <c r="G221" s="2">
        <v>110.3</v>
      </c>
      <c r="H221" s="2">
        <v>308</v>
      </c>
      <c r="I221" s="2">
        <v>128</v>
      </c>
      <c r="J221" s="2">
        <v>33970</v>
      </c>
      <c r="K221" s="2">
        <v>1691</v>
      </c>
      <c r="L221" s="2">
        <v>55.3</v>
      </c>
      <c r="M221" s="2">
        <v>76.8</v>
      </c>
      <c r="N221" s="2">
        <v>4800</v>
      </c>
      <c r="O221" s="2">
        <v>63.9</v>
      </c>
    </row>
    <row r="222" spans="1:15" ht="24.95" customHeight="1" x14ac:dyDescent="0.25">
      <c r="A222" s="17" t="s">
        <v>365</v>
      </c>
      <c r="B222" s="2">
        <v>228</v>
      </c>
      <c r="C222" s="2">
        <v>92</v>
      </c>
      <c r="D222" s="2">
        <v>3.6</v>
      </c>
      <c r="E222" s="2">
        <v>86</v>
      </c>
      <c r="F222" s="2">
        <v>2.4</v>
      </c>
      <c r="G222" s="2">
        <v>92.5</v>
      </c>
      <c r="H222" s="2">
        <v>88</v>
      </c>
      <c r="I222" s="2">
        <v>151</v>
      </c>
      <c r="J222" s="2">
        <v>8092</v>
      </c>
      <c r="K222" s="2">
        <v>609</v>
      </c>
      <c r="L222" s="2">
        <v>19.3</v>
      </c>
      <c r="M222" s="2">
        <v>22.2</v>
      </c>
      <c r="N222" s="2">
        <v>2020</v>
      </c>
      <c r="O222" s="2">
        <v>75.3</v>
      </c>
    </row>
    <row r="223" spans="1:15" ht="24.95" customHeight="1" x14ac:dyDescent="0.25">
      <c r="A223" s="17" t="s">
        <v>347</v>
      </c>
      <c r="B223" s="2">
        <v>240</v>
      </c>
      <c r="C223" s="2">
        <v>98</v>
      </c>
      <c r="D223" s="2">
        <v>9.3000000000000007</v>
      </c>
      <c r="E223" s="2">
        <v>86</v>
      </c>
      <c r="F223" s="2">
        <v>2.7</v>
      </c>
      <c r="G223" s="2">
        <v>99.9</v>
      </c>
      <c r="H223" s="2">
        <v>773</v>
      </c>
      <c r="I223" s="2">
        <v>171</v>
      </c>
      <c r="J223" s="2">
        <v>77260</v>
      </c>
      <c r="K223" s="2">
        <v>3196</v>
      </c>
      <c r="L223" s="2">
        <v>150.5</v>
      </c>
      <c r="M223" s="2">
        <v>196.8</v>
      </c>
      <c r="N223" s="2">
        <v>9710</v>
      </c>
      <c r="O223" s="2">
        <v>55.8</v>
      </c>
    </row>
    <row r="224" spans="1:15" ht="24.95" customHeight="1" x14ac:dyDescent="0.25">
      <c r="A224" s="17" t="s">
        <v>350</v>
      </c>
      <c r="B224" s="2">
        <v>249</v>
      </c>
      <c r="C224" s="2">
        <v>102</v>
      </c>
      <c r="D224" s="2">
        <v>12</v>
      </c>
      <c r="E224" s="2">
        <v>86</v>
      </c>
      <c r="F224" s="2">
        <v>4</v>
      </c>
      <c r="G224" s="2">
        <v>102.8</v>
      </c>
      <c r="H224" s="2">
        <v>308</v>
      </c>
      <c r="I224" s="2">
        <v>146</v>
      </c>
      <c r="J224" s="2">
        <v>31670</v>
      </c>
      <c r="K224" s="2">
        <v>1917</v>
      </c>
      <c r="L224" s="2">
        <v>61.7</v>
      </c>
      <c r="M224" s="2">
        <v>77.900000000000006</v>
      </c>
      <c r="N224" s="2">
        <v>5780</v>
      </c>
      <c r="O224" s="2">
        <v>70.099999999999994</v>
      </c>
    </row>
    <row r="225" spans="1:15" ht="24.95" customHeight="1" x14ac:dyDescent="0.25">
      <c r="A225" s="17" t="s">
        <v>337</v>
      </c>
      <c r="B225" s="2">
        <v>234</v>
      </c>
      <c r="C225" s="2">
        <v>98</v>
      </c>
      <c r="D225" s="2">
        <v>9.8000000000000007</v>
      </c>
      <c r="E225" s="2">
        <v>86</v>
      </c>
      <c r="F225" s="2">
        <v>2.2000000000000002</v>
      </c>
      <c r="G225" s="2">
        <v>98.3</v>
      </c>
      <c r="H225" s="2">
        <v>570</v>
      </c>
      <c r="I225" s="2">
        <v>152</v>
      </c>
      <c r="J225" s="2">
        <v>56038</v>
      </c>
      <c r="K225" s="2">
        <v>2387</v>
      </c>
      <c r="L225" s="2">
        <v>119</v>
      </c>
      <c r="M225" s="2">
        <v>152.1</v>
      </c>
      <c r="N225" s="2">
        <v>6970</v>
      </c>
      <c r="O225" s="2">
        <v>52.2</v>
      </c>
    </row>
    <row r="226" spans="1:15" ht="24.95" customHeight="1" x14ac:dyDescent="0.25">
      <c r="A226" s="17" t="s">
        <v>352</v>
      </c>
      <c r="B226" s="2">
        <v>274</v>
      </c>
      <c r="C226" s="2">
        <v>118</v>
      </c>
      <c r="D226" s="2">
        <v>29.2</v>
      </c>
      <c r="E226" s="2">
        <v>86</v>
      </c>
      <c r="F226" s="2">
        <v>2.8</v>
      </c>
      <c r="G226" s="2">
        <v>119.2</v>
      </c>
      <c r="H226" s="2">
        <v>1245</v>
      </c>
      <c r="I226" s="2">
        <v>126</v>
      </c>
      <c r="J226" s="2">
        <v>148344</v>
      </c>
      <c r="K226" s="2">
        <v>4203</v>
      </c>
      <c r="L226" s="2">
        <v>222.5</v>
      </c>
      <c r="M226" s="2">
        <v>308.60000000000002</v>
      </c>
      <c r="N226" s="2">
        <v>11350</v>
      </c>
      <c r="O226" s="2">
        <v>40.200000000000003</v>
      </c>
    </row>
    <row r="227" spans="1:15" ht="24.95" customHeight="1" x14ac:dyDescent="0.25">
      <c r="A227" s="17" t="s">
        <v>354</v>
      </c>
      <c r="B227" s="2">
        <v>243</v>
      </c>
      <c r="C227" s="2">
        <v>107</v>
      </c>
      <c r="D227" s="2">
        <v>18.8</v>
      </c>
      <c r="E227" s="2">
        <v>86</v>
      </c>
      <c r="F227" s="2">
        <v>2.2999999999999998</v>
      </c>
      <c r="G227" s="2">
        <v>107.2</v>
      </c>
      <c r="H227" s="2">
        <v>2852</v>
      </c>
      <c r="I227" s="2">
        <v>151</v>
      </c>
      <c r="J227" s="2">
        <v>314420</v>
      </c>
      <c r="K227" s="2">
        <v>8949</v>
      </c>
      <c r="L227" s="2">
        <v>479.9</v>
      </c>
      <c r="M227" s="2">
        <v>710</v>
      </c>
      <c r="N227" s="2">
        <v>26280</v>
      </c>
      <c r="O227" s="2">
        <v>39.4</v>
      </c>
    </row>
    <row r="228" spans="1:15" ht="24.95" customHeight="1" x14ac:dyDescent="0.25">
      <c r="A228" s="17" t="s">
        <v>338</v>
      </c>
      <c r="B228" s="2">
        <v>240</v>
      </c>
      <c r="C228" s="2">
        <v>102</v>
      </c>
      <c r="D228" s="2">
        <v>13</v>
      </c>
      <c r="E228" s="2">
        <v>86</v>
      </c>
      <c r="F228" s="2">
        <v>3</v>
      </c>
      <c r="G228" s="2">
        <v>104.2</v>
      </c>
      <c r="H228" s="2">
        <v>894</v>
      </c>
      <c r="I228" s="2">
        <v>136</v>
      </c>
      <c r="J228" s="2">
        <v>93096</v>
      </c>
      <c r="K228" s="2">
        <v>3900</v>
      </c>
      <c r="L228" s="2">
        <v>159.4</v>
      </c>
      <c r="M228" s="2">
        <v>226</v>
      </c>
      <c r="N228" s="2">
        <v>11270</v>
      </c>
      <c r="O228" s="2">
        <v>54.9</v>
      </c>
    </row>
    <row r="229" spans="1:15" ht="24.95" customHeight="1" x14ac:dyDescent="0.25">
      <c r="A229" s="17" t="s">
        <v>6743</v>
      </c>
      <c r="B229" s="2">
        <v>246</v>
      </c>
      <c r="C229" s="2">
        <v>105</v>
      </c>
      <c r="D229" s="2">
        <v>17.600000000000001</v>
      </c>
      <c r="E229" s="2">
        <v>86</v>
      </c>
      <c r="F229" s="2">
        <v>1.4</v>
      </c>
      <c r="G229" s="2">
        <v>105.6</v>
      </c>
      <c r="H229" s="2">
        <v>6265</v>
      </c>
      <c r="I229" s="2">
        <v>161</v>
      </c>
      <c r="J229" s="2">
        <v>661700</v>
      </c>
      <c r="K229" s="2">
        <v>13509</v>
      </c>
      <c r="L229" s="2">
        <v>1019</v>
      </c>
      <c r="M229" s="2">
        <v>1525.7</v>
      </c>
      <c r="N229" s="2">
        <v>40450</v>
      </c>
      <c r="O229" s="2">
        <v>11.2</v>
      </c>
    </row>
    <row r="230" spans="1:15" ht="24.95" customHeight="1" x14ac:dyDescent="0.25">
      <c r="A230" s="17" t="s">
        <v>5352</v>
      </c>
      <c r="B230" s="2">
        <v>252</v>
      </c>
      <c r="C230" s="2">
        <v>110</v>
      </c>
      <c r="D230" s="2">
        <v>22.1</v>
      </c>
      <c r="E230" s="2">
        <v>86</v>
      </c>
      <c r="F230" s="2">
        <v>1.9</v>
      </c>
      <c r="G230" s="2">
        <v>112.6</v>
      </c>
      <c r="H230" s="2">
        <v>4368</v>
      </c>
      <c r="I230" s="2">
        <v>162</v>
      </c>
      <c r="J230" s="2">
        <v>491871</v>
      </c>
      <c r="K230" s="2">
        <v>10541</v>
      </c>
      <c r="L230" s="2">
        <v>679.1</v>
      </c>
      <c r="M230" s="2">
        <v>1050.5999999999999</v>
      </c>
      <c r="N230" s="2">
        <v>35940</v>
      </c>
      <c r="O230" s="2">
        <v>32.200000000000003</v>
      </c>
    </row>
    <row r="231" spans="1:15" ht="24.95" customHeight="1" x14ac:dyDescent="0.25">
      <c r="A231" s="17" t="s">
        <v>339</v>
      </c>
      <c r="B231" s="2">
        <v>240</v>
      </c>
      <c r="C231" s="2">
        <v>96</v>
      </c>
      <c r="D231" s="2">
        <v>6.9</v>
      </c>
      <c r="E231" s="2">
        <v>86</v>
      </c>
      <c r="F231" s="2">
        <v>3.1</v>
      </c>
      <c r="G231" s="2">
        <v>98.6</v>
      </c>
      <c r="H231" s="2">
        <v>469</v>
      </c>
      <c r="I231" s="2">
        <v>116</v>
      </c>
      <c r="J231" s="2">
        <v>46224</v>
      </c>
      <c r="K231" s="2">
        <v>2688</v>
      </c>
      <c r="L231" s="2">
        <v>84.4</v>
      </c>
      <c r="M231" s="2">
        <v>122.6</v>
      </c>
      <c r="N231" s="2">
        <v>8400</v>
      </c>
      <c r="O231" s="2">
        <v>67.5</v>
      </c>
    </row>
    <row r="232" spans="1:15" ht="24.95" customHeight="1" x14ac:dyDescent="0.25">
      <c r="A232" s="17" t="s">
        <v>361</v>
      </c>
      <c r="B232" s="2">
        <v>240</v>
      </c>
      <c r="C232" s="2">
        <v>102</v>
      </c>
      <c r="D232" s="2">
        <v>13.8</v>
      </c>
      <c r="E232" s="2">
        <v>86</v>
      </c>
      <c r="F232" s="2">
        <v>2.2000000000000002</v>
      </c>
      <c r="G232" s="2">
        <v>104.1</v>
      </c>
      <c r="H232" s="2">
        <v>1625</v>
      </c>
      <c r="I232" s="2">
        <v>136</v>
      </c>
      <c r="J232" s="2">
        <v>169084</v>
      </c>
      <c r="K232" s="2">
        <v>4907</v>
      </c>
      <c r="L232" s="2">
        <v>263.10000000000002</v>
      </c>
      <c r="M232" s="2">
        <v>404.5</v>
      </c>
      <c r="N232" s="2">
        <v>15250</v>
      </c>
      <c r="O232" s="2">
        <v>39.1</v>
      </c>
    </row>
    <row r="233" spans="1:15" ht="24.95" customHeight="1" x14ac:dyDescent="0.25">
      <c r="A233" s="17" t="s">
        <v>5319</v>
      </c>
      <c r="B233" s="2">
        <v>248</v>
      </c>
      <c r="C233" s="2">
        <v>102</v>
      </c>
      <c r="D233" s="2">
        <v>13.6</v>
      </c>
      <c r="E233" s="2">
        <v>86</v>
      </c>
      <c r="F233" s="2">
        <v>2.4</v>
      </c>
      <c r="G233" s="2">
        <v>104.6</v>
      </c>
      <c r="H233" s="2">
        <v>2000</v>
      </c>
      <c r="I233" s="2">
        <v>156</v>
      </c>
      <c r="J233" s="2">
        <v>209239</v>
      </c>
      <c r="K233" s="2">
        <v>6601</v>
      </c>
      <c r="L233" s="2">
        <v>309.7</v>
      </c>
      <c r="M233" s="2">
        <v>500.3</v>
      </c>
      <c r="N233" s="2">
        <v>20660</v>
      </c>
      <c r="O233" s="2">
        <v>46</v>
      </c>
    </row>
    <row r="234" spans="1:15" ht="24.95" customHeight="1" x14ac:dyDescent="0.25">
      <c r="A234" s="17" t="s">
        <v>368</v>
      </c>
      <c r="B234" s="2">
        <v>240</v>
      </c>
      <c r="C234" s="2">
        <v>96</v>
      </c>
      <c r="D234" s="2">
        <v>6.5</v>
      </c>
      <c r="E234" s="2">
        <v>86</v>
      </c>
      <c r="F234" s="2">
        <v>3.5</v>
      </c>
      <c r="G234" s="2">
        <v>98.5</v>
      </c>
      <c r="H234" s="2">
        <v>415</v>
      </c>
      <c r="I234" s="2">
        <v>147</v>
      </c>
      <c r="J234" s="2">
        <v>40852</v>
      </c>
      <c r="K234" s="2">
        <v>2366</v>
      </c>
      <c r="L234" s="2">
        <v>72.8</v>
      </c>
      <c r="M234" s="2">
        <v>102.5</v>
      </c>
      <c r="N234" s="2">
        <v>7190</v>
      </c>
      <c r="O234" s="2">
        <v>68.8</v>
      </c>
    </row>
    <row r="235" spans="1:15" ht="24.95" customHeight="1" x14ac:dyDescent="0.25">
      <c r="A235" s="17" t="s">
        <v>342</v>
      </c>
      <c r="B235" s="2">
        <v>252</v>
      </c>
      <c r="C235" s="2">
        <v>109</v>
      </c>
      <c r="D235" s="2">
        <v>20.9</v>
      </c>
      <c r="E235" s="2">
        <v>86</v>
      </c>
      <c r="F235" s="2">
        <v>2.1</v>
      </c>
      <c r="G235" s="2">
        <v>111</v>
      </c>
      <c r="H235" s="2">
        <v>1791</v>
      </c>
      <c r="I235" s="2">
        <v>121</v>
      </c>
      <c r="J235" s="2">
        <v>198830</v>
      </c>
      <c r="K235" s="2">
        <v>5049</v>
      </c>
      <c r="L235" s="2">
        <v>296.5</v>
      </c>
      <c r="M235" s="2">
        <v>431.8</v>
      </c>
      <c r="N235" s="2">
        <v>14310</v>
      </c>
      <c r="O235" s="2">
        <v>31</v>
      </c>
    </row>
    <row r="236" spans="1:15" ht="24.95" customHeight="1" x14ac:dyDescent="0.25">
      <c r="A236" s="17" t="s">
        <v>369</v>
      </c>
      <c r="B236" s="2">
        <v>213</v>
      </c>
      <c r="C236" s="2">
        <v>87</v>
      </c>
      <c r="H236" s="2">
        <v>49394</v>
      </c>
      <c r="I236" s="2">
        <v>185</v>
      </c>
      <c r="J236" s="2">
        <v>4297278</v>
      </c>
      <c r="K236" s="2">
        <v>101275</v>
      </c>
      <c r="L236" s="2">
        <v>7566.3</v>
      </c>
      <c r="M236" s="2">
        <v>12146</v>
      </c>
      <c r="N236" s="2">
        <v>319800</v>
      </c>
      <c r="O236" s="2">
        <v>12.8</v>
      </c>
    </row>
    <row r="237" spans="1:15" ht="24.95" customHeight="1" x14ac:dyDescent="0.25">
      <c r="A237" s="17" t="s">
        <v>372</v>
      </c>
      <c r="B237" s="2">
        <v>302</v>
      </c>
      <c r="C237" s="2">
        <v>126</v>
      </c>
      <c r="D237" s="2">
        <v>32</v>
      </c>
      <c r="E237" s="2">
        <v>93</v>
      </c>
      <c r="F237" s="2">
        <v>1</v>
      </c>
      <c r="H237" s="2">
        <v>587</v>
      </c>
      <c r="I237" s="2">
        <v>196</v>
      </c>
      <c r="J237" s="2">
        <v>73962</v>
      </c>
      <c r="K237" s="2">
        <v>1190</v>
      </c>
      <c r="L237" s="2">
        <v>72.8</v>
      </c>
      <c r="M237" s="2">
        <v>143.9</v>
      </c>
      <c r="N237" s="2">
        <v>3490</v>
      </c>
      <c r="O237" s="2">
        <v>6.2</v>
      </c>
    </row>
    <row r="238" spans="1:15" ht="24.95" customHeight="1" x14ac:dyDescent="0.25">
      <c r="A238" s="17" t="s">
        <v>373</v>
      </c>
      <c r="B238" s="2">
        <v>324</v>
      </c>
      <c r="C238" s="2">
        <v>141</v>
      </c>
      <c r="D238" s="2">
        <v>49.3</v>
      </c>
      <c r="E238" s="2">
        <v>93</v>
      </c>
      <c r="F238" s="2">
        <v>-1.3</v>
      </c>
      <c r="H238" s="2">
        <v>999</v>
      </c>
      <c r="I238" s="2">
        <v>146</v>
      </c>
      <c r="J238" s="2">
        <v>140859</v>
      </c>
      <c r="K238" s="2">
        <v>2258</v>
      </c>
      <c r="L238" s="2">
        <v>124.2</v>
      </c>
      <c r="M238" s="2">
        <v>258.5</v>
      </c>
      <c r="N238" s="2">
        <v>6520</v>
      </c>
      <c r="O238" s="2">
        <v>11.1</v>
      </c>
    </row>
    <row r="239" spans="1:15" ht="24.95" customHeight="1" x14ac:dyDescent="0.25">
      <c r="A239" s="17" t="s">
        <v>374</v>
      </c>
      <c r="B239" s="2">
        <v>308</v>
      </c>
      <c r="C239" s="2">
        <v>124</v>
      </c>
      <c r="D239" s="2">
        <v>32.299999999999997</v>
      </c>
      <c r="E239" s="2">
        <v>93</v>
      </c>
      <c r="F239" s="2">
        <v>-1.3</v>
      </c>
      <c r="H239" s="2">
        <v>2280</v>
      </c>
      <c r="I239" s="2">
        <v>187</v>
      </c>
      <c r="J239" s="2">
        <v>282720</v>
      </c>
      <c r="K239" s="2">
        <v>3727</v>
      </c>
      <c r="L239" s="2">
        <v>298.39999999999998</v>
      </c>
      <c r="M239" s="2">
        <v>593.70000000000005</v>
      </c>
      <c r="N239" s="2">
        <v>12750</v>
      </c>
    </row>
    <row r="240" spans="1:15" ht="24.95" customHeight="1" x14ac:dyDescent="0.25">
      <c r="A240" s="17" t="s">
        <v>375</v>
      </c>
      <c r="B240" s="2">
        <v>308</v>
      </c>
      <c r="C240" s="2">
        <v>134</v>
      </c>
      <c r="D240" s="2">
        <v>42.4</v>
      </c>
      <c r="E240" s="2">
        <v>93</v>
      </c>
      <c r="F240" s="2">
        <v>-1.4</v>
      </c>
      <c r="H240" s="2">
        <v>530</v>
      </c>
      <c r="I240" s="2">
        <v>143</v>
      </c>
      <c r="J240" s="2">
        <v>71020</v>
      </c>
      <c r="K240" s="2">
        <v>1226</v>
      </c>
      <c r="L240" s="2">
        <v>93.9</v>
      </c>
      <c r="M240" s="2">
        <v>136.69999999999999</v>
      </c>
      <c r="N240" s="2">
        <v>3510</v>
      </c>
      <c r="O240" s="2">
        <v>14.4</v>
      </c>
    </row>
    <row r="241" spans="1:15" ht="24.95" customHeight="1" x14ac:dyDescent="0.25">
      <c r="A241" s="17" t="s">
        <v>376</v>
      </c>
      <c r="B241" s="2">
        <v>308</v>
      </c>
      <c r="C241" s="2">
        <v>120</v>
      </c>
      <c r="D241" s="2">
        <v>33.5</v>
      </c>
      <c r="E241" s="2">
        <v>87</v>
      </c>
      <c r="F241" s="2">
        <v>-0.5</v>
      </c>
      <c r="H241" s="2">
        <v>19200</v>
      </c>
      <c r="I241" s="2">
        <v>200</v>
      </c>
      <c r="J241" s="2">
        <v>2304000</v>
      </c>
      <c r="K241" s="2">
        <v>30562</v>
      </c>
      <c r="L241" s="2">
        <v>3031</v>
      </c>
      <c r="M241" s="2">
        <v>4738.2</v>
      </c>
      <c r="N241" s="2">
        <v>92920</v>
      </c>
    </row>
    <row r="242" spans="1:15" ht="24.95" customHeight="1" x14ac:dyDescent="0.25">
      <c r="A242" s="17" t="s">
        <v>377</v>
      </c>
      <c r="B242" s="2">
        <v>312</v>
      </c>
      <c r="C242" s="2">
        <v>125</v>
      </c>
      <c r="D242" s="2">
        <v>31.9</v>
      </c>
      <c r="E242" s="2">
        <v>93</v>
      </c>
      <c r="F242" s="2">
        <v>0.1</v>
      </c>
      <c r="H242" s="2">
        <v>481</v>
      </c>
      <c r="I242" s="2">
        <v>180</v>
      </c>
      <c r="J242" s="2">
        <v>60125</v>
      </c>
      <c r="K242" s="2">
        <v>1119</v>
      </c>
      <c r="L242" s="2">
        <v>71.5</v>
      </c>
      <c r="M242" s="2">
        <v>124.8</v>
      </c>
      <c r="N242" s="2">
        <v>3280</v>
      </c>
      <c r="O242" s="2">
        <v>13.7</v>
      </c>
    </row>
    <row r="243" spans="1:15" ht="24.95" customHeight="1" x14ac:dyDescent="0.25">
      <c r="A243" s="17" t="s">
        <v>378</v>
      </c>
      <c r="B243" s="2">
        <v>284</v>
      </c>
      <c r="C243" s="2">
        <v>113</v>
      </c>
      <c r="D243" s="2">
        <v>19.8</v>
      </c>
      <c r="E243" s="2">
        <v>93</v>
      </c>
      <c r="F243" s="2">
        <v>0.3</v>
      </c>
      <c r="H243" s="2">
        <v>451</v>
      </c>
      <c r="I243" s="2">
        <v>211</v>
      </c>
      <c r="J243" s="2">
        <v>50963</v>
      </c>
      <c r="K243" s="2">
        <v>984</v>
      </c>
      <c r="L243" s="2">
        <v>65.099999999999994</v>
      </c>
      <c r="M243" s="2">
        <v>108.4</v>
      </c>
      <c r="N243" s="2">
        <v>3110</v>
      </c>
      <c r="O243" s="2">
        <v>24.2</v>
      </c>
    </row>
    <row r="244" spans="1:15" ht="24.95" customHeight="1" x14ac:dyDescent="0.25">
      <c r="A244" s="17" t="s">
        <v>379</v>
      </c>
      <c r="B244" s="2">
        <v>312</v>
      </c>
      <c r="C244" s="2">
        <v>126</v>
      </c>
      <c r="D244" s="2">
        <v>38.200000000000003</v>
      </c>
      <c r="E244" s="2">
        <v>89</v>
      </c>
      <c r="F244" s="2">
        <v>-1.2</v>
      </c>
      <c r="H244" s="2">
        <v>6970</v>
      </c>
      <c r="I244" s="2">
        <v>163</v>
      </c>
      <c r="J244" s="2">
        <v>878220</v>
      </c>
      <c r="K244" s="2">
        <v>13117</v>
      </c>
      <c r="L244" s="2">
        <v>1035.4000000000001</v>
      </c>
      <c r="M244" s="2">
        <v>1729.5</v>
      </c>
      <c r="N244" s="2">
        <v>41390</v>
      </c>
      <c r="O244" s="2">
        <v>5.6</v>
      </c>
    </row>
    <row r="245" spans="1:15" ht="24.95" customHeight="1" x14ac:dyDescent="0.25">
      <c r="A245" s="17" t="s">
        <v>380</v>
      </c>
      <c r="B245" s="2">
        <v>268</v>
      </c>
      <c r="C245" s="2">
        <v>120</v>
      </c>
      <c r="D245" s="2">
        <v>26.3</v>
      </c>
      <c r="E245" s="2">
        <v>93</v>
      </c>
      <c r="F245" s="2">
        <v>0.7</v>
      </c>
      <c r="H245" s="2">
        <v>1336</v>
      </c>
      <c r="I245" s="2">
        <v>164</v>
      </c>
      <c r="J245" s="2">
        <v>160320</v>
      </c>
      <c r="K245" s="2">
        <v>2589</v>
      </c>
      <c r="L245" s="2">
        <v>109.3</v>
      </c>
      <c r="M245" s="2">
        <v>274.39999999999998</v>
      </c>
      <c r="N245" s="2">
        <v>12120</v>
      </c>
      <c r="O245" s="2">
        <v>39.4</v>
      </c>
    </row>
    <row r="246" spans="1:15" ht="24.95" customHeight="1" x14ac:dyDescent="0.25">
      <c r="A246" s="17" t="s">
        <v>381</v>
      </c>
      <c r="B246" s="2">
        <v>318</v>
      </c>
      <c r="C246" s="2">
        <v>132</v>
      </c>
      <c r="D246" s="2">
        <v>39</v>
      </c>
      <c r="E246" s="2">
        <v>93</v>
      </c>
      <c r="H246" s="2">
        <v>923</v>
      </c>
      <c r="I246" s="2">
        <v>144</v>
      </c>
      <c r="J246" s="2">
        <v>121836</v>
      </c>
      <c r="K246" s="2">
        <v>2020</v>
      </c>
      <c r="L246" s="2">
        <v>119.3</v>
      </c>
      <c r="M246" s="2">
        <v>240.2</v>
      </c>
      <c r="N246" s="2">
        <v>7140</v>
      </c>
      <c r="O246" s="2">
        <v>24.4</v>
      </c>
    </row>
    <row r="247" spans="1:15" ht="24.95" customHeight="1" x14ac:dyDescent="0.25">
      <c r="A247" s="17" t="s">
        <v>382</v>
      </c>
      <c r="B247" s="2">
        <v>288</v>
      </c>
      <c r="C247" s="2">
        <v>114</v>
      </c>
      <c r="D247" s="2">
        <v>21.8</v>
      </c>
      <c r="E247" s="2">
        <v>93</v>
      </c>
      <c r="F247" s="2">
        <v>-0.8</v>
      </c>
      <c r="H247" s="2">
        <v>1710</v>
      </c>
      <c r="I247" s="2">
        <v>174</v>
      </c>
      <c r="J247" s="2">
        <v>194940</v>
      </c>
      <c r="K247" s="2">
        <v>2495</v>
      </c>
      <c r="L247" s="2">
        <v>245.8</v>
      </c>
      <c r="M247" s="2">
        <v>419.2</v>
      </c>
      <c r="N247" s="2">
        <v>7410</v>
      </c>
    </row>
    <row r="248" spans="1:15" ht="24.95" customHeight="1" x14ac:dyDescent="0.25">
      <c r="A248" s="17" t="s">
        <v>383</v>
      </c>
      <c r="B248" s="2">
        <v>348</v>
      </c>
      <c r="C248" s="2">
        <v>140</v>
      </c>
      <c r="D248" s="2">
        <v>48</v>
      </c>
      <c r="E248" s="2">
        <v>93</v>
      </c>
      <c r="F248" s="2">
        <v>-1</v>
      </c>
      <c r="H248" s="2">
        <v>658</v>
      </c>
      <c r="I248" s="2">
        <v>153</v>
      </c>
      <c r="J248" s="2">
        <v>92120</v>
      </c>
      <c r="K248" s="2">
        <v>1354</v>
      </c>
      <c r="L248" s="2">
        <v>90.8</v>
      </c>
      <c r="M248" s="2">
        <v>170.2</v>
      </c>
      <c r="N248" s="2">
        <v>4140</v>
      </c>
      <c r="O248" s="2">
        <v>6.1</v>
      </c>
    </row>
    <row r="249" spans="1:15" ht="24.95" customHeight="1" x14ac:dyDescent="0.25">
      <c r="A249" s="17" t="s">
        <v>384</v>
      </c>
      <c r="B249" s="2">
        <v>271</v>
      </c>
      <c r="C249" s="2">
        <v>114</v>
      </c>
      <c r="D249" s="2">
        <v>19.8</v>
      </c>
      <c r="E249" s="2">
        <v>93</v>
      </c>
      <c r="F249" s="2">
        <v>1.3</v>
      </c>
      <c r="G249" s="2">
        <v>115.1</v>
      </c>
      <c r="H249" s="2">
        <v>644</v>
      </c>
      <c r="I249" s="2">
        <v>115</v>
      </c>
      <c r="J249" s="2">
        <v>74132</v>
      </c>
      <c r="K249" s="2">
        <v>2772</v>
      </c>
      <c r="L249" s="2">
        <v>102.8</v>
      </c>
      <c r="M249" s="2">
        <v>165.3</v>
      </c>
      <c r="N249" s="2">
        <v>8270</v>
      </c>
      <c r="O249" s="2">
        <v>57.7</v>
      </c>
    </row>
    <row r="250" spans="1:15" ht="24.95" customHeight="1" x14ac:dyDescent="0.25">
      <c r="A250" s="17" t="s">
        <v>5320</v>
      </c>
      <c r="B250" s="2">
        <v>264</v>
      </c>
      <c r="C250" s="2">
        <v>105</v>
      </c>
      <c r="D250" s="2">
        <v>10.5</v>
      </c>
      <c r="E250" s="2">
        <v>93</v>
      </c>
      <c r="F250" s="2">
        <v>1.5</v>
      </c>
      <c r="G250" s="2">
        <v>105.3</v>
      </c>
      <c r="H250" s="2">
        <v>1010</v>
      </c>
      <c r="I250" s="2">
        <v>153</v>
      </c>
      <c r="J250" s="2">
        <v>106628</v>
      </c>
      <c r="K250" s="2">
        <v>3143</v>
      </c>
      <c r="L250" s="2">
        <v>163.5</v>
      </c>
      <c r="M250" s="2">
        <v>271.39999999999998</v>
      </c>
      <c r="N250" s="2">
        <v>11360</v>
      </c>
      <c r="O250" s="2">
        <v>43.3</v>
      </c>
    </row>
    <row r="251" spans="1:15" ht="24.95" customHeight="1" x14ac:dyDescent="0.25">
      <c r="A251" s="17" t="s">
        <v>373</v>
      </c>
      <c r="B251" s="2">
        <v>320</v>
      </c>
      <c r="C251" s="2">
        <v>135</v>
      </c>
      <c r="D251" s="2">
        <v>40.5</v>
      </c>
      <c r="E251" s="2">
        <v>93</v>
      </c>
      <c r="F251" s="2">
        <v>1.5</v>
      </c>
      <c r="G251" s="2">
        <v>135.80000000000001</v>
      </c>
      <c r="H251" s="2">
        <v>800</v>
      </c>
      <c r="I251" s="2">
        <v>150</v>
      </c>
      <c r="J251" s="2">
        <v>108654</v>
      </c>
      <c r="K251" s="2">
        <v>3038</v>
      </c>
      <c r="L251" s="2">
        <v>160.30000000000001</v>
      </c>
      <c r="M251" s="2">
        <v>204.5</v>
      </c>
      <c r="N251" s="2">
        <v>7800</v>
      </c>
      <c r="O251" s="2">
        <v>41.9</v>
      </c>
    </row>
    <row r="252" spans="1:15" ht="24.95" customHeight="1" x14ac:dyDescent="0.25">
      <c r="A252" s="17" t="s">
        <v>374</v>
      </c>
      <c r="B252" s="2">
        <v>284</v>
      </c>
      <c r="C252" s="2">
        <v>119</v>
      </c>
      <c r="D252" s="2">
        <v>24.5</v>
      </c>
      <c r="E252" s="2">
        <v>93</v>
      </c>
      <c r="F252" s="2">
        <v>1.5</v>
      </c>
      <c r="G252" s="2">
        <v>119.4</v>
      </c>
      <c r="H252" s="2">
        <v>1730</v>
      </c>
      <c r="I252" s="2">
        <v>168</v>
      </c>
      <c r="J252" s="2">
        <v>206480</v>
      </c>
      <c r="K252" s="2">
        <v>5454</v>
      </c>
      <c r="L252" s="2">
        <v>255.2</v>
      </c>
      <c r="M252" s="2">
        <v>407.7</v>
      </c>
      <c r="N252" s="2">
        <v>18110</v>
      </c>
      <c r="O252" s="2">
        <v>45.1</v>
      </c>
    </row>
    <row r="253" spans="1:15" ht="24.95" customHeight="1" x14ac:dyDescent="0.25">
      <c r="A253" s="17" t="s">
        <v>377</v>
      </c>
      <c r="B253" s="2">
        <v>252</v>
      </c>
      <c r="C253" s="2">
        <v>104</v>
      </c>
      <c r="D253" s="2">
        <v>9.5</v>
      </c>
      <c r="E253" s="2">
        <v>93</v>
      </c>
      <c r="F253" s="2">
        <v>1.5</v>
      </c>
      <c r="G253" s="2">
        <v>107.3</v>
      </c>
      <c r="H253" s="2">
        <v>938</v>
      </c>
      <c r="I253" s="2">
        <v>213</v>
      </c>
      <c r="J253" s="2">
        <v>100686</v>
      </c>
      <c r="K253" s="2">
        <v>3169</v>
      </c>
      <c r="L253" s="2">
        <v>164.9</v>
      </c>
      <c r="M253" s="2">
        <v>246.5</v>
      </c>
      <c r="N253" s="2">
        <v>9600</v>
      </c>
      <c r="O253" s="2">
        <v>42.4</v>
      </c>
    </row>
    <row r="254" spans="1:15" ht="24.95" customHeight="1" x14ac:dyDescent="0.25">
      <c r="A254" s="17" t="s">
        <v>381</v>
      </c>
      <c r="B254" s="2">
        <v>266</v>
      </c>
      <c r="C254" s="2">
        <v>110</v>
      </c>
      <c r="D254" s="2">
        <v>14.5</v>
      </c>
      <c r="E254" s="2">
        <v>93</v>
      </c>
      <c r="F254" s="2">
        <v>2.5</v>
      </c>
      <c r="G254" s="2">
        <v>110.2</v>
      </c>
      <c r="H254" s="2">
        <v>451</v>
      </c>
      <c r="I254" s="2">
        <v>173</v>
      </c>
      <c r="J254" s="2">
        <v>49678</v>
      </c>
      <c r="K254" s="2">
        <v>1989</v>
      </c>
      <c r="L254" s="2">
        <v>92.6</v>
      </c>
      <c r="M254" s="2">
        <v>111.5</v>
      </c>
      <c r="N254" s="2">
        <v>6090</v>
      </c>
      <c r="O254" s="2">
        <v>59.1</v>
      </c>
    </row>
    <row r="255" spans="1:15" ht="24.95" customHeight="1" x14ac:dyDescent="0.25">
      <c r="A255" s="17" t="s">
        <v>386</v>
      </c>
      <c r="B255" s="2">
        <v>284</v>
      </c>
      <c r="C255" s="2">
        <v>115</v>
      </c>
      <c r="D255" s="2">
        <v>19.5</v>
      </c>
      <c r="E255" s="2">
        <v>93</v>
      </c>
      <c r="F255" s="2">
        <v>2.5</v>
      </c>
      <c r="G255" s="2">
        <v>118.4</v>
      </c>
      <c r="H255" s="2">
        <v>804</v>
      </c>
      <c r="I255" s="2">
        <v>149</v>
      </c>
      <c r="J255" s="2">
        <v>95176</v>
      </c>
      <c r="K255" s="2">
        <v>3289</v>
      </c>
      <c r="L255" s="2">
        <v>149.9</v>
      </c>
      <c r="M255" s="2">
        <v>210.3</v>
      </c>
      <c r="N255" s="2">
        <v>9930</v>
      </c>
      <c r="O255" s="2">
        <v>53</v>
      </c>
    </row>
    <row r="256" spans="1:15" ht="24.95" customHeight="1" x14ac:dyDescent="0.25">
      <c r="A256" s="17" t="s">
        <v>387</v>
      </c>
      <c r="B256" s="2">
        <v>274</v>
      </c>
      <c r="C256" s="2">
        <v>112</v>
      </c>
      <c r="D256" s="2">
        <v>18</v>
      </c>
      <c r="E256" s="2">
        <v>93</v>
      </c>
      <c r="F256" s="2">
        <v>1</v>
      </c>
      <c r="G256" s="2">
        <v>114</v>
      </c>
      <c r="H256" s="2">
        <v>2794</v>
      </c>
      <c r="I256" s="2">
        <v>187</v>
      </c>
      <c r="J256" s="2">
        <v>318443</v>
      </c>
      <c r="K256" s="2">
        <v>6017</v>
      </c>
      <c r="L256" s="2">
        <v>350</v>
      </c>
      <c r="M256" s="2">
        <v>606.79999999999995</v>
      </c>
      <c r="N256" s="2">
        <v>22170</v>
      </c>
      <c r="O256" s="2">
        <v>29.1</v>
      </c>
    </row>
    <row r="257" spans="1:15" ht="24.95" customHeight="1" x14ac:dyDescent="0.25">
      <c r="A257" s="17" t="s">
        <v>388</v>
      </c>
      <c r="B257" s="2">
        <v>284</v>
      </c>
      <c r="C257" s="2">
        <v>116</v>
      </c>
      <c r="D257" s="2">
        <v>22.8</v>
      </c>
      <c r="E257" s="2">
        <v>93</v>
      </c>
      <c r="F257" s="2">
        <v>0.3</v>
      </c>
      <c r="G257" s="2">
        <v>117.9</v>
      </c>
      <c r="H257" s="2">
        <v>4109</v>
      </c>
      <c r="I257" s="2">
        <v>257</v>
      </c>
      <c r="J257" s="2">
        <v>484353</v>
      </c>
      <c r="K257" s="2">
        <v>9763</v>
      </c>
      <c r="L257" s="2">
        <v>769.5</v>
      </c>
      <c r="M257" s="2">
        <v>984.3</v>
      </c>
      <c r="N257" s="2">
        <v>28690</v>
      </c>
      <c r="O257" s="2">
        <v>22.2</v>
      </c>
    </row>
    <row r="258" spans="1:15" ht="24.95" customHeight="1" x14ac:dyDescent="0.25">
      <c r="A258" s="17" t="s">
        <v>6744</v>
      </c>
      <c r="B258" s="2">
        <v>183</v>
      </c>
      <c r="C258" s="2">
        <v>77.400000000000006</v>
      </c>
      <c r="H258" s="2">
        <v>109594</v>
      </c>
      <c r="I258" s="2">
        <v>163</v>
      </c>
      <c r="J258" s="2">
        <v>8482576</v>
      </c>
      <c r="K258" s="2">
        <v>303635</v>
      </c>
      <c r="L258" s="2">
        <v>13138.4</v>
      </c>
      <c r="M258" s="2">
        <v>28237</v>
      </c>
      <c r="N258" s="2">
        <v>964550</v>
      </c>
      <c r="O258" s="2">
        <v>34.5</v>
      </c>
    </row>
    <row r="259" spans="1:15" ht="24.95" customHeight="1" x14ac:dyDescent="0.25">
      <c r="A259" s="17" t="s">
        <v>26</v>
      </c>
      <c r="B259" s="2">
        <v>280</v>
      </c>
      <c r="C259" s="2">
        <v>120</v>
      </c>
      <c r="D259" s="2">
        <v>39.4</v>
      </c>
      <c r="E259" s="2">
        <v>84</v>
      </c>
      <c r="F259" s="2">
        <v>-3.5</v>
      </c>
      <c r="H259" s="2">
        <v>3640</v>
      </c>
      <c r="I259" s="2">
        <v>160</v>
      </c>
      <c r="J259" s="2">
        <v>436800</v>
      </c>
      <c r="K259" s="2">
        <v>6290</v>
      </c>
      <c r="L259" s="2">
        <v>354.1</v>
      </c>
      <c r="M259" s="2">
        <v>850.1</v>
      </c>
      <c r="N259" s="2">
        <v>22010</v>
      </c>
      <c r="O259" s="2">
        <v>11.3</v>
      </c>
    </row>
    <row r="260" spans="1:15" ht="24.95" customHeight="1" x14ac:dyDescent="0.25">
      <c r="A260" s="17" t="s">
        <v>390</v>
      </c>
      <c r="B260" s="2">
        <v>258</v>
      </c>
      <c r="C260" s="2">
        <v>114</v>
      </c>
      <c r="D260" s="2">
        <v>37.9</v>
      </c>
      <c r="E260" s="2">
        <v>77.900000000000006</v>
      </c>
      <c r="F260" s="2">
        <v>-1.8</v>
      </c>
      <c r="H260" s="2">
        <v>2260</v>
      </c>
      <c r="I260" s="2">
        <v>161</v>
      </c>
      <c r="J260" s="2">
        <v>257640</v>
      </c>
      <c r="K260" s="2">
        <v>5204</v>
      </c>
      <c r="L260" s="2">
        <v>248</v>
      </c>
      <c r="M260" s="2">
        <v>593.70000000000005</v>
      </c>
      <c r="N260" s="2">
        <v>17990</v>
      </c>
      <c r="O260" s="2">
        <v>26.7</v>
      </c>
    </row>
    <row r="261" spans="1:15" ht="24.95" customHeight="1" x14ac:dyDescent="0.25">
      <c r="A261" s="17" t="s">
        <v>391</v>
      </c>
      <c r="B261" s="2">
        <v>300</v>
      </c>
      <c r="C261" s="2">
        <v>122</v>
      </c>
      <c r="D261" s="2">
        <v>37.799999999999997</v>
      </c>
      <c r="E261" s="2">
        <v>83.6</v>
      </c>
      <c r="F261" s="2">
        <v>0.6</v>
      </c>
      <c r="H261" s="2">
        <v>3360</v>
      </c>
      <c r="I261" s="2">
        <v>165</v>
      </c>
      <c r="J261" s="2">
        <v>409920</v>
      </c>
      <c r="K261" s="2">
        <v>8728</v>
      </c>
      <c r="L261" s="2">
        <v>373.1</v>
      </c>
      <c r="M261" s="2">
        <v>871.1</v>
      </c>
      <c r="N261" s="2">
        <v>28370</v>
      </c>
      <c r="O261" s="2">
        <v>28.6</v>
      </c>
    </row>
    <row r="262" spans="1:15" ht="24.95" customHeight="1" x14ac:dyDescent="0.25">
      <c r="A262" s="17" t="s">
        <v>392</v>
      </c>
      <c r="B262" s="2">
        <v>278</v>
      </c>
      <c r="C262" s="2">
        <v>116</v>
      </c>
      <c r="D262" s="2">
        <v>38.9</v>
      </c>
      <c r="E262" s="2">
        <v>77.400000000000006</v>
      </c>
      <c r="F262" s="2">
        <v>-0.3</v>
      </c>
      <c r="H262" s="2">
        <v>10080</v>
      </c>
      <c r="I262" s="2">
        <v>147</v>
      </c>
      <c r="J262" s="2">
        <v>1169280</v>
      </c>
      <c r="K262" s="2">
        <v>25530</v>
      </c>
      <c r="L262" s="2">
        <v>1380.4</v>
      </c>
      <c r="M262" s="2">
        <v>2617.3000000000002</v>
      </c>
      <c r="N262" s="2">
        <v>82890</v>
      </c>
      <c r="O262" s="2">
        <v>29.9</v>
      </c>
    </row>
    <row r="263" spans="1:15" ht="24.95" customHeight="1" x14ac:dyDescent="0.25">
      <c r="A263" s="17" t="s">
        <v>393</v>
      </c>
      <c r="B263" s="2">
        <v>270</v>
      </c>
      <c r="C263" s="2">
        <v>117</v>
      </c>
      <c r="D263" s="2">
        <v>31</v>
      </c>
      <c r="E263" s="2">
        <v>84</v>
      </c>
      <c r="F263" s="2">
        <v>2</v>
      </c>
      <c r="H263" s="2">
        <v>515</v>
      </c>
      <c r="I263" s="2">
        <v>143</v>
      </c>
      <c r="J263" s="2">
        <v>60255</v>
      </c>
      <c r="K263" s="2">
        <v>1524</v>
      </c>
      <c r="L263" s="2">
        <v>73.599999999999994</v>
      </c>
      <c r="M263" s="2">
        <v>13.9</v>
      </c>
      <c r="N263" s="2">
        <v>5280</v>
      </c>
      <c r="O263" s="2">
        <v>42.6</v>
      </c>
    </row>
    <row r="264" spans="1:15" ht="24.95" customHeight="1" x14ac:dyDescent="0.25">
      <c r="A264" s="17" t="s">
        <v>394</v>
      </c>
      <c r="B264" s="2">
        <v>254</v>
      </c>
      <c r="C264" s="2">
        <v>108</v>
      </c>
      <c r="D264" s="2">
        <v>23.9</v>
      </c>
      <c r="E264" s="2">
        <v>84</v>
      </c>
      <c r="F264" s="2">
        <v>0.2</v>
      </c>
      <c r="H264" s="2">
        <v>11375</v>
      </c>
      <c r="I264" s="2">
        <v>184</v>
      </c>
      <c r="J264" s="2">
        <v>1228500</v>
      </c>
      <c r="K264" s="2">
        <v>9767</v>
      </c>
      <c r="L264" s="2">
        <v>549.20000000000005</v>
      </c>
      <c r="M264" s="2">
        <v>2787.3</v>
      </c>
      <c r="N264" s="2">
        <v>32480</v>
      </c>
    </row>
    <row r="265" spans="1:15" ht="24.95" customHeight="1" x14ac:dyDescent="0.25">
      <c r="A265" s="17" t="s">
        <v>395</v>
      </c>
      <c r="B265" s="2">
        <v>280</v>
      </c>
      <c r="C265" s="2">
        <v>120</v>
      </c>
      <c r="D265" s="2">
        <v>35.1</v>
      </c>
      <c r="E265" s="2">
        <v>84</v>
      </c>
      <c r="F265" s="2">
        <v>0.9</v>
      </c>
      <c r="H265" s="2">
        <v>3450</v>
      </c>
      <c r="I265" s="2">
        <v>158</v>
      </c>
      <c r="J265" s="2">
        <v>414000</v>
      </c>
      <c r="K265" s="2">
        <v>11161</v>
      </c>
      <c r="L265" s="2">
        <v>403.6</v>
      </c>
      <c r="M265" s="2">
        <v>911.3</v>
      </c>
      <c r="N265" s="2">
        <v>35410</v>
      </c>
      <c r="O265" s="2">
        <v>42.7</v>
      </c>
    </row>
    <row r="266" spans="1:15" ht="24.95" customHeight="1" x14ac:dyDescent="0.25">
      <c r="A266" s="17" t="s">
        <v>396</v>
      </c>
      <c r="B266" s="2">
        <v>312</v>
      </c>
      <c r="C266" s="2">
        <v>112</v>
      </c>
      <c r="D266" s="2">
        <v>24</v>
      </c>
      <c r="E266" s="2">
        <v>84</v>
      </c>
      <c r="F266" s="2">
        <v>4</v>
      </c>
      <c r="H266" s="2">
        <v>2750</v>
      </c>
      <c r="I266" s="2">
        <v>174</v>
      </c>
      <c r="J266" s="2">
        <v>308000</v>
      </c>
      <c r="K266" s="2">
        <v>10017</v>
      </c>
      <c r="L266" s="2">
        <v>404.2</v>
      </c>
      <c r="M266" s="2">
        <v>728</v>
      </c>
      <c r="N266" s="2">
        <v>31120</v>
      </c>
      <c r="O266" s="2">
        <v>48.5</v>
      </c>
    </row>
    <row r="267" spans="1:15" ht="24.95" customHeight="1" x14ac:dyDescent="0.25">
      <c r="A267" s="17" t="s">
        <v>397</v>
      </c>
      <c r="B267" s="2">
        <v>264</v>
      </c>
      <c r="C267" s="2">
        <v>112</v>
      </c>
      <c r="D267" s="2">
        <v>28.8</v>
      </c>
      <c r="E267" s="2">
        <v>83.6</v>
      </c>
      <c r="F267" s="2">
        <v>-0.4</v>
      </c>
      <c r="H267" s="2">
        <v>2360</v>
      </c>
      <c r="I267" s="2">
        <v>157</v>
      </c>
      <c r="J267" s="2">
        <v>264320</v>
      </c>
      <c r="K267" s="2">
        <v>7829</v>
      </c>
      <c r="L267" s="2">
        <v>457.7</v>
      </c>
      <c r="M267" s="2">
        <v>630.20000000000005</v>
      </c>
      <c r="N267" s="2">
        <v>23280</v>
      </c>
      <c r="O267" s="2">
        <v>38.799999999999997</v>
      </c>
    </row>
    <row r="268" spans="1:15" ht="24.95" customHeight="1" x14ac:dyDescent="0.25">
      <c r="A268" s="17" t="s">
        <v>398</v>
      </c>
      <c r="B268" s="2">
        <v>318</v>
      </c>
      <c r="C268" s="2">
        <v>132</v>
      </c>
      <c r="D268" s="2">
        <v>44.8</v>
      </c>
      <c r="E268" s="2">
        <v>84</v>
      </c>
      <c r="F268" s="2">
        <v>3.2</v>
      </c>
      <c r="H268" s="2">
        <v>1320</v>
      </c>
      <c r="I268" s="2">
        <v>146</v>
      </c>
      <c r="J268" s="2">
        <v>174240</v>
      </c>
      <c r="K268" s="2">
        <v>6406</v>
      </c>
      <c r="L268" s="2">
        <v>224.1</v>
      </c>
      <c r="M268" s="2">
        <v>356.8</v>
      </c>
      <c r="N268" s="2">
        <v>19920</v>
      </c>
      <c r="O268" s="2">
        <v>60.7</v>
      </c>
    </row>
    <row r="269" spans="1:15" ht="24.95" customHeight="1" x14ac:dyDescent="0.25">
      <c r="A269" s="17" t="s">
        <v>399</v>
      </c>
      <c r="B269" s="2">
        <v>292</v>
      </c>
      <c r="C269" s="2">
        <v>116</v>
      </c>
      <c r="D269" s="2">
        <v>30.4</v>
      </c>
      <c r="E269" s="2">
        <v>84</v>
      </c>
      <c r="F269" s="2">
        <v>1.6</v>
      </c>
      <c r="H269" s="2">
        <v>1992</v>
      </c>
      <c r="I269" s="2">
        <v>172</v>
      </c>
      <c r="J269" s="2">
        <v>231072</v>
      </c>
      <c r="K269" s="2">
        <v>6410</v>
      </c>
      <c r="L269" s="2">
        <v>311.39999999999998</v>
      </c>
      <c r="M269" s="2">
        <v>525.5</v>
      </c>
      <c r="N269" s="2">
        <v>19070</v>
      </c>
      <c r="O269" s="2">
        <v>39.200000000000003</v>
      </c>
    </row>
    <row r="270" spans="1:15" ht="24.95" customHeight="1" x14ac:dyDescent="0.25">
      <c r="A270" s="17" t="s">
        <v>400</v>
      </c>
      <c r="B270" s="2">
        <v>288</v>
      </c>
      <c r="C270" s="2">
        <v>126</v>
      </c>
      <c r="D270" s="2">
        <v>43.1</v>
      </c>
      <c r="E270" s="2">
        <v>84</v>
      </c>
      <c r="F270" s="2">
        <v>-1.1000000000000001</v>
      </c>
      <c r="H270" s="2">
        <v>5900</v>
      </c>
      <c r="I270" s="2">
        <v>143</v>
      </c>
      <c r="J270" s="2">
        <v>743400</v>
      </c>
      <c r="K270" s="2">
        <v>12069</v>
      </c>
      <c r="L270" s="2">
        <v>505.4</v>
      </c>
      <c r="M270" s="2">
        <v>1579.7</v>
      </c>
      <c r="N270" s="2">
        <v>38780</v>
      </c>
      <c r="O270" s="2">
        <v>7.8</v>
      </c>
    </row>
    <row r="271" spans="1:15" ht="24.95" customHeight="1" x14ac:dyDescent="0.25">
      <c r="A271" s="17" t="s">
        <v>403</v>
      </c>
      <c r="B271" s="2">
        <v>306</v>
      </c>
      <c r="C271" s="2">
        <v>126</v>
      </c>
      <c r="D271" s="2">
        <v>39.299999999999997</v>
      </c>
      <c r="E271" s="2">
        <v>84</v>
      </c>
      <c r="F271" s="2">
        <v>2.7</v>
      </c>
      <c r="H271" s="2">
        <v>1975</v>
      </c>
      <c r="I271" s="2">
        <v>150</v>
      </c>
      <c r="J271" s="2">
        <v>248850</v>
      </c>
      <c r="K271" s="2">
        <v>8566</v>
      </c>
      <c r="L271" s="2">
        <v>278.60000000000002</v>
      </c>
      <c r="M271" s="2">
        <v>537.6</v>
      </c>
      <c r="N271" s="2">
        <v>25050</v>
      </c>
      <c r="O271" s="2">
        <v>51.9</v>
      </c>
    </row>
    <row r="272" spans="1:15" ht="24.95" customHeight="1" x14ac:dyDescent="0.25">
      <c r="A272" s="17" t="s">
        <v>404</v>
      </c>
      <c r="B272" s="2">
        <v>324</v>
      </c>
      <c r="C272" s="2">
        <v>135</v>
      </c>
      <c r="D272" s="2">
        <v>50.2</v>
      </c>
      <c r="E272" s="2">
        <v>83.6</v>
      </c>
      <c r="F272" s="2">
        <v>1.2</v>
      </c>
      <c r="H272" s="2">
        <v>3600</v>
      </c>
      <c r="I272" s="2">
        <v>177</v>
      </c>
      <c r="J272" s="2">
        <v>486000</v>
      </c>
      <c r="K272" s="2">
        <v>11931</v>
      </c>
      <c r="L272" s="2">
        <v>565.5</v>
      </c>
      <c r="M272" s="2">
        <v>919.4</v>
      </c>
      <c r="N272" s="2">
        <v>37100</v>
      </c>
      <c r="O272" s="2">
        <v>44.1</v>
      </c>
    </row>
    <row r="273" spans="1:15" ht="24.95" customHeight="1" x14ac:dyDescent="0.25">
      <c r="A273" s="17" t="s">
        <v>405</v>
      </c>
      <c r="B273" s="2">
        <v>292</v>
      </c>
      <c r="C273" s="2">
        <v>122</v>
      </c>
      <c r="D273" s="2">
        <v>38.4</v>
      </c>
      <c r="E273" s="2">
        <v>83.6</v>
      </c>
      <c r="H273" s="2">
        <v>4038</v>
      </c>
      <c r="I273" s="2">
        <v>189</v>
      </c>
      <c r="J273" s="2">
        <v>492636</v>
      </c>
      <c r="K273" s="2">
        <v>8057</v>
      </c>
      <c r="L273" s="2">
        <v>338.2</v>
      </c>
      <c r="M273" s="2">
        <v>1022.1</v>
      </c>
      <c r="N273" s="2">
        <v>25020</v>
      </c>
      <c r="O273" s="2">
        <v>5.8</v>
      </c>
    </row>
    <row r="274" spans="1:15" ht="24.95" customHeight="1" x14ac:dyDescent="0.25">
      <c r="A274" s="17" t="s">
        <v>406</v>
      </c>
      <c r="B274" s="2">
        <v>264</v>
      </c>
      <c r="C274" s="2">
        <v>112</v>
      </c>
      <c r="D274" s="2">
        <v>24.6</v>
      </c>
      <c r="E274" s="2">
        <v>84</v>
      </c>
      <c r="F274" s="2">
        <v>3.4</v>
      </c>
      <c r="H274" s="2">
        <v>1190</v>
      </c>
      <c r="I274" s="2">
        <v>162</v>
      </c>
      <c r="J274" s="2">
        <v>133280</v>
      </c>
      <c r="K274" s="2">
        <v>5501</v>
      </c>
      <c r="L274" s="2">
        <v>204</v>
      </c>
      <c r="M274" s="2">
        <v>321.5</v>
      </c>
      <c r="N274" s="2">
        <v>17470</v>
      </c>
      <c r="O274" s="2">
        <v>59.6</v>
      </c>
    </row>
    <row r="275" spans="1:15" ht="24.95" customHeight="1" x14ac:dyDescent="0.25">
      <c r="A275" s="17" t="s">
        <v>407</v>
      </c>
      <c r="B275" s="2">
        <v>284</v>
      </c>
      <c r="C275" s="2">
        <v>116</v>
      </c>
      <c r="D275" s="2">
        <v>31.1</v>
      </c>
      <c r="E275" s="2">
        <v>84</v>
      </c>
      <c r="F275" s="2">
        <v>0.9</v>
      </c>
      <c r="H275" s="2">
        <v>2460</v>
      </c>
      <c r="I275" s="2">
        <v>162</v>
      </c>
      <c r="J275" s="2">
        <v>285360</v>
      </c>
      <c r="K275" s="2">
        <v>9925</v>
      </c>
      <c r="L275" s="2">
        <v>396.6</v>
      </c>
      <c r="M275" s="2">
        <v>655.7</v>
      </c>
      <c r="N275" s="2">
        <v>3760</v>
      </c>
      <c r="O275" s="2">
        <v>52.1</v>
      </c>
    </row>
    <row r="276" spans="1:15" ht="24.95" customHeight="1" x14ac:dyDescent="0.25">
      <c r="A276" s="17" t="s">
        <v>408</v>
      </c>
      <c r="B276" s="2">
        <v>286</v>
      </c>
      <c r="C276" s="2">
        <v>116</v>
      </c>
      <c r="D276" s="2">
        <v>28.9</v>
      </c>
      <c r="E276" s="2">
        <v>84</v>
      </c>
      <c r="F276" s="2">
        <v>3.1</v>
      </c>
      <c r="H276" s="2">
        <v>1630</v>
      </c>
      <c r="I276" s="2">
        <v>124</v>
      </c>
      <c r="J276" s="2">
        <v>189080</v>
      </c>
      <c r="K276" s="2">
        <v>4680</v>
      </c>
      <c r="L276" s="2">
        <v>188.5</v>
      </c>
      <c r="M276" s="2">
        <v>427.8</v>
      </c>
      <c r="N276" s="2">
        <v>13920</v>
      </c>
      <c r="O276" s="2">
        <v>32.9</v>
      </c>
    </row>
    <row r="277" spans="1:15" ht="24.95" customHeight="1" x14ac:dyDescent="0.25">
      <c r="A277" s="17" t="s">
        <v>409</v>
      </c>
      <c r="B277" s="2">
        <v>288</v>
      </c>
      <c r="C277" s="2">
        <v>120</v>
      </c>
      <c r="D277" s="2">
        <v>35</v>
      </c>
      <c r="E277" s="2">
        <v>84</v>
      </c>
      <c r="F277" s="2">
        <v>1</v>
      </c>
      <c r="H277" s="2">
        <v>1925</v>
      </c>
      <c r="I277" s="2">
        <v>142</v>
      </c>
      <c r="J277" s="2">
        <v>213000</v>
      </c>
      <c r="K277" s="2">
        <v>7914</v>
      </c>
      <c r="L277" s="2">
        <v>313.5</v>
      </c>
      <c r="M277" s="2">
        <v>518.20000000000005</v>
      </c>
      <c r="N277" s="2">
        <v>25630</v>
      </c>
      <c r="O277" s="2">
        <v>55.1</v>
      </c>
    </row>
    <row r="278" spans="1:15" ht="24.95" customHeight="1" x14ac:dyDescent="0.25">
      <c r="A278" s="17" t="s">
        <v>410</v>
      </c>
      <c r="B278" s="2">
        <v>292</v>
      </c>
      <c r="C278" s="2">
        <v>124</v>
      </c>
      <c r="D278" s="2">
        <v>38</v>
      </c>
      <c r="E278" s="2">
        <v>84</v>
      </c>
      <c r="F278" s="2">
        <v>2</v>
      </c>
      <c r="H278" s="2">
        <v>1010</v>
      </c>
      <c r="I278" s="2">
        <v>156</v>
      </c>
      <c r="J278" s="2">
        <v>125240</v>
      </c>
      <c r="K278" s="2">
        <v>4646</v>
      </c>
      <c r="L278" s="2">
        <v>156.1</v>
      </c>
      <c r="M278" s="2">
        <v>270.10000000000002</v>
      </c>
      <c r="N278" s="2">
        <v>14130</v>
      </c>
      <c r="O278" s="2">
        <v>58.6</v>
      </c>
    </row>
    <row r="279" spans="1:15" ht="24.95" customHeight="1" x14ac:dyDescent="0.25">
      <c r="A279" s="17" t="s">
        <v>411</v>
      </c>
      <c r="B279" s="2">
        <v>300</v>
      </c>
      <c r="C279" s="2">
        <v>124</v>
      </c>
      <c r="D279" s="2">
        <v>38.9</v>
      </c>
      <c r="E279" s="2">
        <v>84</v>
      </c>
      <c r="F279" s="2">
        <v>1.1000000000000001</v>
      </c>
      <c r="H279" s="2">
        <v>1720</v>
      </c>
      <c r="I279" s="2">
        <v>173</v>
      </c>
      <c r="J279" s="2">
        <v>213280</v>
      </c>
      <c r="K279" s="2">
        <v>5975</v>
      </c>
      <c r="L279" s="2">
        <v>221.9</v>
      </c>
      <c r="M279" s="2">
        <v>460.5</v>
      </c>
      <c r="N279" s="2">
        <v>19000</v>
      </c>
      <c r="O279" s="2">
        <v>46.8</v>
      </c>
    </row>
    <row r="280" spans="1:15" ht="24.95" customHeight="1" x14ac:dyDescent="0.25">
      <c r="A280" s="17" t="s">
        <v>412</v>
      </c>
      <c r="B280" s="2">
        <v>294</v>
      </c>
      <c r="C280" s="2">
        <v>120</v>
      </c>
      <c r="D280" s="2">
        <v>34.1</v>
      </c>
      <c r="E280" s="2">
        <v>84</v>
      </c>
      <c r="F280" s="2">
        <v>1.9</v>
      </c>
      <c r="H280" s="2">
        <v>3400</v>
      </c>
      <c r="I280" s="2">
        <v>156</v>
      </c>
      <c r="J280" s="2">
        <v>408000</v>
      </c>
      <c r="K280" s="2">
        <v>14622</v>
      </c>
      <c r="L280" s="2">
        <v>518.6</v>
      </c>
      <c r="M280" s="2">
        <v>888.1</v>
      </c>
      <c r="N280" s="2">
        <v>46480</v>
      </c>
      <c r="O280" s="2">
        <v>58.5</v>
      </c>
    </row>
    <row r="281" spans="1:15" ht="24.95" customHeight="1" x14ac:dyDescent="0.25">
      <c r="A281" s="17" t="s">
        <v>413</v>
      </c>
      <c r="B281" s="2">
        <v>240</v>
      </c>
      <c r="C281" s="2">
        <v>108</v>
      </c>
      <c r="D281" s="2">
        <v>26.4</v>
      </c>
      <c r="E281" s="2">
        <v>84</v>
      </c>
      <c r="F281" s="2">
        <v>-2.4</v>
      </c>
      <c r="H281" s="2">
        <v>163</v>
      </c>
      <c r="I281" s="2">
        <v>155</v>
      </c>
      <c r="J281" s="2">
        <v>17604</v>
      </c>
      <c r="K281" s="2">
        <v>956</v>
      </c>
      <c r="L281" s="2">
        <v>27</v>
      </c>
      <c r="M281" s="2">
        <v>44</v>
      </c>
      <c r="N281" s="2">
        <v>2930</v>
      </c>
      <c r="O281" s="2">
        <v>68.3</v>
      </c>
    </row>
    <row r="282" spans="1:15" ht="24.95" customHeight="1" x14ac:dyDescent="0.25">
      <c r="A282" s="17" t="s">
        <v>414</v>
      </c>
      <c r="B282" s="2">
        <v>270</v>
      </c>
      <c r="C282" s="2">
        <v>111</v>
      </c>
      <c r="D282" s="2">
        <v>26.7</v>
      </c>
      <c r="E282" s="2">
        <v>84</v>
      </c>
      <c r="F282" s="2">
        <v>0.3</v>
      </c>
      <c r="H282" s="2">
        <v>2001</v>
      </c>
      <c r="I282" s="2">
        <v>163</v>
      </c>
      <c r="J282" s="2">
        <v>222111</v>
      </c>
      <c r="K282" s="2">
        <v>6017</v>
      </c>
      <c r="L282" s="2">
        <v>238.3</v>
      </c>
      <c r="M282" s="2">
        <v>525</v>
      </c>
      <c r="N282" s="2">
        <v>19220</v>
      </c>
      <c r="O282" s="2">
        <v>40.9</v>
      </c>
    </row>
    <row r="283" spans="1:15" ht="24.95" customHeight="1" x14ac:dyDescent="0.25">
      <c r="A283" s="17" t="s">
        <v>415</v>
      </c>
      <c r="B283" s="2">
        <v>262</v>
      </c>
      <c r="C283" s="2">
        <v>112</v>
      </c>
      <c r="D283" s="2">
        <v>26.2</v>
      </c>
      <c r="E283" s="2">
        <v>84</v>
      </c>
      <c r="F283" s="2">
        <v>1.8</v>
      </c>
      <c r="H283" s="2">
        <v>3044</v>
      </c>
      <c r="I283" s="2">
        <v>153</v>
      </c>
      <c r="J283" s="2">
        <v>340928</v>
      </c>
      <c r="K283" s="2">
        <v>8245</v>
      </c>
      <c r="L283" s="2">
        <v>399.8</v>
      </c>
      <c r="M283" s="2">
        <v>766.1</v>
      </c>
      <c r="N283" s="2">
        <v>25360</v>
      </c>
      <c r="O283" s="2">
        <v>32.5</v>
      </c>
    </row>
    <row r="284" spans="1:15" ht="24.95" customHeight="1" x14ac:dyDescent="0.25">
      <c r="A284" s="17" t="s">
        <v>393</v>
      </c>
      <c r="B284" s="2">
        <v>258</v>
      </c>
      <c r="C284" s="2">
        <v>110</v>
      </c>
      <c r="D284" s="2">
        <v>22.9</v>
      </c>
      <c r="E284" s="2">
        <v>84</v>
      </c>
      <c r="F284" s="2">
        <v>3.2</v>
      </c>
      <c r="G284" s="2">
        <v>112.5</v>
      </c>
      <c r="H284" s="2">
        <v>1250</v>
      </c>
      <c r="I284" s="2">
        <v>149</v>
      </c>
      <c r="J284" s="2">
        <v>140606</v>
      </c>
      <c r="K284" s="2">
        <v>5846</v>
      </c>
      <c r="L284" s="2">
        <v>174.6</v>
      </c>
      <c r="M284" s="2">
        <v>314.89999999999998</v>
      </c>
      <c r="N284" s="2">
        <v>16780</v>
      </c>
      <c r="O284" s="2">
        <v>57.2</v>
      </c>
    </row>
    <row r="285" spans="1:15" ht="24.95" customHeight="1" x14ac:dyDescent="0.25">
      <c r="A285" s="17" t="s">
        <v>399</v>
      </c>
      <c r="B285" s="2">
        <v>256</v>
      </c>
      <c r="C285" s="2">
        <v>112</v>
      </c>
      <c r="D285" s="2">
        <v>26</v>
      </c>
      <c r="E285" s="2">
        <v>84</v>
      </c>
      <c r="F285" s="2">
        <v>2</v>
      </c>
      <c r="G285" s="2">
        <v>126.7</v>
      </c>
      <c r="H285" s="2">
        <v>4880</v>
      </c>
      <c r="I285" s="2">
        <v>176</v>
      </c>
      <c r="J285" s="2">
        <v>618378</v>
      </c>
      <c r="K285" s="2">
        <v>13632</v>
      </c>
      <c r="L285" s="2">
        <v>570</v>
      </c>
      <c r="M285" s="2">
        <v>1247</v>
      </c>
      <c r="N285" s="2">
        <v>41980</v>
      </c>
      <c r="O285" s="2">
        <v>32.200000000000003</v>
      </c>
    </row>
    <row r="286" spans="1:15" ht="24.95" customHeight="1" x14ac:dyDescent="0.25">
      <c r="A286" s="17" t="s">
        <v>116</v>
      </c>
      <c r="B286" s="2">
        <v>246</v>
      </c>
      <c r="C286" s="2">
        <v>104.2</v>
      </c>
      <c r="D286" s="2">
        <v>23.1</v>
      </c>
      <c r="E286" s="2">
        <v>84</v>
      </c>
      <c r="F286" s="2">
        <v>-3.1</v>
      </c>
      <c r="G286" s="2">
        <v>109.6</v>
      </c>
      <c r="H286" s="2">
        <v>3800</v>
      </c>
      <c r="I286" s="2">
        <v>155</v>
      </c>
      <c r="J286" s="2">
        <v>416504</v>
      </c>
      <c r="K286" s="2">
        <v>7314</v>
      </c>
      <c r="L286" s="2">
        <v>428.3</v>
      </c>
      <c r="M286" s="2">
        <v>906.5</v>
      </c>
      <c r="N286" s="2">
        <v>25440</v>
      </c>
      <c r="O286" s="2">
        <v>18.7</v>
      </c>
    </row>
    <row r="287" spans="1:15" ht="24.95" customHeight="1" x14ac:dyDescent="0.25">
      <c r="A287" s="17" t="s">
        <v>26</v>
      </c>
      <c r="B287" s="2">
        <v>264</v>
      </c>
      <c r="C287" s="2">
        <v>110</v>
      </c>
      <c r="D287" s="2">
        <v>22.8</v>
      </c>
      <c r="E287" s="2">
        <v>84</v>
      </c>
      <c r="F287" s="2">
        <v>3.3</v>
      </c>
      <c r="G287" s="2">
        <v>115.6</v>
      </c>
      <c r="H287" s="2">
        <v>3435</v>
      </c>
      <c r="I287" s="2">
        <v>172</v>
      </c>
      <c r="J287" s="2">
        <v>397154</v>
      </c>
      <c r="K287" s="2">
        <v>11222</v>
      </c>
      <c r="L287" s="2">
        <v>473.1</v>
      </c>
      <c r="M287" s="2">
        <v>877.1</v>
      </c>
      <c r="N287" s="2">
        <v>36710</v>
      </c>
      <c r="O287" s="2">
        <v>49.2</v>
      </c>
    </row>
    <row r="288" spans="1:15" ht="24.95" customHeight="1" x14ac:dyDescent="0.25">
      <c r="A288" s="17" t="s">
        <v>416</v>
      </c>
      <c r="B288" s="2">
        <v>258</v>
      </c>
      <c r="C288" s="2">
        <v>108</v>
      </c>
      <c r="D288" s="2">
        <v>21.1</v>
      </c>
      <c r="E288" s="2">
        <v>84</v>
      </c>
      <c r="F288" s="2">
        <v>2.9</v>
      </c>
      <c r="G288" s="2">
        <v>116.8</v>
      </c>
      <c r="H288" s="2">
        <v>7025</v>
      </c>
      <c r="I288" s="2">
        <v>160</v>
      </c>
      <c r="J288" s="2">
        <v>820179</v>
      </c>
      <c r="K288" s="2">
        <v>27029</v>
      </c>
      <c r="L288" s="2">
        <v>1076.0999999999999</v>
      </c>
      <c r="M288" s="2">
        <v>1862.6</v>
      </c>
      <c r="N288" s="2">
        <v>86410</v>
      </c>
      <c r="O288" s="2">
        <v>53.8</v>
      </c>
    </row>
    <row r="289" spans="1:15" ht="24.95" customHeight="1" x14ac:dyDescent="0.25">
      <c r="A289" s="17" t="s">
        <v>417</v>
      </c>
      <c r="B289" s="2">
        <v>268</v>
      </c>
      <c r="C289" s="2">
        <v>103</v>
      </c>
      <c r="D289" s="2">
        <v>18.100000000000001</v>
      </c>
      <c r="E289" s="2">
        <v>84</v>
      </c>
      <c r="F289" s="2">
        <v>0.9</v>
      </c>
      <c r="G289" s="2">
        <v>104</v>
      </c>
      <c r="H289" s="2">
        <v>1227</v>
      </c>
      <c r="I289" s="2">
        <v>128</v>
      </c>
      <c r="J289" s="2">
        <v>127651</v>
      </c>
      <c r="K289" s="2">
        <v>4488</v>
      </c>
      <c r="L289" s="2">
        <v>170</v>
      </c>
      <c r="M289" s="2">
        <v>325.7</v>
      </c>
      <c r="N289" s="2">
        <v>14620</v>
      </c>
      <c r="O289" s="2">
        <v>50.8</v>
      </c>
    </row>
    <row r="290" spans="1:15" ht="24.95" customHeight="1" x14ac:dyDescent="0.25">
      <c r="A290" s="17" t="s">
        <v>418</v>
      </c>
      <c r="B290" s="2">
        <v>258</v>
      </c>
      <c r="C290" s="2">
        <v>108</v>
      </c>
      <c r="D290" s="2">
        <v>21.9</v>
      </c>
      <c r="E290" s="2">
        <v>84</v>
      </c>
      <c r="F290" s="2">
        <v>2.2000000000000002</v>
      </c>
      <c r="G290" s="2">
        <v>116</v>
      </c>
      <c r="H290" s="2">
        <v>3244</v>
      </c>
      <c r="I290" s="2">
        <v>152</v>
      </c>
      <c r="J290" s="2">
        <v>376222</v>
      </c>
      <c r="K290" s="2">
        <v>10831</v>
      </c>
      <c r="L290" s="2">
        <v>416.8</v>
      </c>
      <c r="M290" s="2">
        <v>835.3</v>
      </c>
      <c r="N290" s="2">
        <v>37030</v>
      </c>
      <c r="O290" s="2">
        <v>50.1</v>
      </c>
    </row>
    <row r="291" spans="1:15" ht="24.95" customHeight="1" x14ac:dyDescent="0.25">
      <c r="A291" s="17" t="s">
        <v>419</v>
      </c>
      <c r="B291" s="2">
        <v>222</v>
      </c>
      <c r="C291" s="2">
        <v>94</v>
      </c>
      <c r="D291" s="2">
        <v>11.4</v>
      </c>
      <c r="E291" s="2">
        <v>84</v>
      </c>
      <c r="F291" s="2">
        <v>-1.4</v>
      </c>
      <c r="G291" s="2">
        <v>95.1</v>
      </c>
      <c r="H291" s="2">
        <v>4165</v>
      </c>
      <c r="I291" s="2">
        <v>209</v>
      </c>
      <c r="J291" s="2">
        <v>396183</v>
      </c>
      <c r="K291" s="2">
        <v>3302</v>
      </c>
      <c r="L291" s="2">
        <v>189.2</v>
      </c>
      <c r="M291" s="2">
        <v>1046.7</v>
      </c>
      <c r="N291" s="2">
        <v>10200</v>
      </c>
    </row>
    <row r="292" spans="1:15" ht="24.95" customHeight="1" x14ac:dyDescent="0.25">
      <c r="A292" s="17" t="s">
        <v>160</v>
      </c>
      <c r="B292" s="2">
        <v>246</v>
      </c>
      <c r="C292" s="2">
        <v>100</v>
      </c>
      <c r="D292" s="2">
        <v>15</v>
      </c>
      <c r="E292" s="2">
        <v>94</v>
      </c>
      <c r="F292" s="2">
        <v>1</v>
      </c>
      <c r="G292" s="2">
        <v>101.4</v>
      </c>
      <c r="H292" s="2">
        <v>2448</v>
      </c>
      <c r="I292" s="2">
        <v>159</v>
      </c>
      <c r="J292" s="2">
        <v>248318</v>
      </c>
      <c r="K292" s="2">
        <v>8839</v>
      </c>
      <c r="L292" s="2">
        <v>421.7</v>
      </c>
      <c r="M292" s="2">
        <v>625.79999999999995</v>
      </c>
      <c r="N292" s="2">
        <v>28450</v>
      </c>
      <c r="O292" s="2">
        <v>50.5</v>
      </c>
    </row>
    <row r="293" spans="1:15" ht="24.95" customHeight="1" x14ac:dyDescent="0.25">
      <c r="A293" s="17" t="s">
        <v>420</v>
      </c>
      <c r="B293" s="2">
        <v>250</v>
      </c>
      <c r="C293" s="2">
        <v>126</v>
      </c>
      <c r="D293" s="2">
        <v>39.1</v>
      </c>
      <c r="E293" s="2">
        <v>84</v>
      </c>
      <c r="F293" s="2">
        <v>2.7</v>
      </c>
      <c r="G293" s="2">
        <v>131</v>
      </c>
      <c r="H293" s="2">
        <v>1002</v>
      </c>
      <c r="I293" s="2">
        <v>139</v>
      </c>
      <c r="J293" s="2">
        <v>131244</v>
      </c>
      <c r="K293" s="2">
        <v>3162</v>
      </c>
      <c r="L293" s="2">
        <v>87.2</v>
      </c>
      <c r="M293" s="2">
        <v>250.5</v>
      </c>
      <c r="N293" s="2">
        <v>8160</v>
      </c>
      <c r="O293" s="2">
        <v>33.1</v>
      </c>
    </row>
    <row r="294" spans="1:15" ht="24.95" customHeight="1" x14ac:dyDescent="0.25">
      <c r="A294" s="17" t="s">
        <v>6745</v>
      </c>
      <c r="B294" s="2">
        <v>171</v>
      </c>
      <c r="C294" s="2">
        <v>66.3</v>
      </c>
      <c r="H294" s="2">
        <v>346012</v>
      </c>
      <c r="I294" s="2">
        <v>200</v>
      </c>
      <c r="J294" s="2">
        <v>22940596</v>
      </c>
      <c r="K294" s="2">
        <v>593404</v>
      </c>
      <c r="L294" s="2">
        <v>46163.3</v>
      </c>
      <c r="M294" s="2">
        <v>85109.5</v>
      </c>
      <c r="N294" s="2">
        <v>1895600</v>
      </c>
    </row>
    <row r="295" spans="1:15" ht="24.95" customHeight="1" x14ac:dyDescent="0.25">
      <c r="A295" s="17" t="s">
        <v>422</v>
      </c>
      <c r="B295" s="2">
        <v>322</v>
      </c>
      <c r="C295" s="2">
        <v>128</v>
      </c>
      <c r="D295" s="2">
        <v>60</v>
      </c>
      <c r="E295" s="2">
        <v>67.099999999999994</v>
      </c>
      <c r="F295" s="2">
        <v>0.8</v>
      </c>
      <c r="H295" s="2">
        <v>16440</v>
      </c>
      <c r="I295" s="2">
        <v>174</v>
      </c>
      <c r="J295" s="2">
        <v>2104320</v>
      </c>
      <c r="K295" s="2">
        <v>22794</v>
      </c>
      <c r="L295" s="2">
        <v>1641.4</v>
      </c>
      <c r="M295" s="2">
        <v>4073.7</v>
      </c>
      <c r="N295" s="2">
        <v>72440</v>
      </c>
    </row>
    <row r="296" spans="1:15" ht="24.95" customHeight="1" x14ac:dyDescent="0.25">
      <c r="A296" s="17" t="s">
        <v>423</v>
      </c>
      <c r="B296" s="2">
        <v>288</v>
      </c>
      <c r="C296" s="2">
        <v>108</v>
      </c>
      <c r="D296" s="2">
        <v>34</v>
      </c>
      <c r="E296" s="2">
        <v>74.5</v>
      </c>
      <c r="F296" s="2">
        <v>-0.5</v>
      </c>
      <c r="H296" s="2">
        <v>12135</v>
      </c>
      <c r="I296" s="2">
        <v>205</v>
      </c>
      <c r="J296" s="2">
        <v>1310580</v>
      </c>
      <c r="K296" s="2">
        <v>16570</v>
      </c>
      <c r="L296" s="2">
        <v>1262.9000000000001</v>
      </c>
      <c r="M296" s="2">
        <v>3003.3</v>
      </c>
      <c r="N296" s="2">
        <v>51180</v>
      </c>
    </row>
    <row r="297" spans="1:15" ht="24.95" customHeight="1" x14ac:dyDescent="0.25">
      <c r="A297" s="17" t="s">
        <v>424</v>
      </c>
      <c r="B297" s="2">
        <v>304</v>
      </c>
      <c r="C297" s="2">
        <v>114</v>
      </c>
      <c r="D297" s="2">
        <v>44.9</v>
      </c>
      <c r="E297" s="2">
        <v>70.599999999999994</v>
      </c>
      <c r="F297" s="2">
        <v>-1.6</v>
      </c>
      <c r="H297" s="2">
        <v>8640</v>
      </c>
      <c r="I297" s="2">
        <v>178</v>
      </c>
      <c r="J297" s="2">
        <v>984960</v>
      </c>
      <c r="K297" s="2">
        <v>14406</v>
      </c>
      <c r="L297" s="2">
        <v>1522.7</v>
      </c>
      <c r="M297" s="2">
        <v>2130.6</v>
      </c>
      <c r="N297" s="2">
        <v>46350</v>
      </c>
    </row>
    <row r="298" spans="1:15" ht="24.95" customHeight="1" x14ac:dyDescent="0.25">
      <c r="A298" s="17" t="s">
        <v>425</v>
      </c>
      <c r="B298" s="2">
        <v>299</v>
      </c>
      <c r="C298" s="2">
        <v>115</v>
      </c>
      <c r="D298" s="2">
        <v>41</v>
      </c>
      <c r="E298" s="2">
        <v>73.599999999999994</v>
      </c>
      <c r="F298" s="2">
        <v>0.4</v>
      </c>
      <c r="H298" s="2">
        <v>10200</v>
      </c>
      <c r="I298" s="2">
        <v>173</v>
      </c>
      <c r="J298" s="2">
        <v>1173000</v>
      </c>
      <c r="K298" s="2">
        <v>19319</v>
      </c>
      <c r="L298" s="2">
        <v>1155.0999999999999</v>
      </c>
      <c r="M298" s="2">
        <v>2365.1</v>
      </c>
      <c r="N298" s="2">
        <v>67010</v>
      </c>
      <c r="O298" s="2">
        <v>12.1</v>
      </c>
    </row>
    <row r="299" spans="1:15" ht="24.95" customHeight="1" x14ac:dyDescent="0.25">
      <c r="A299" s="17" t="s">
        <v>426</v>
      </c>
      <c r="B299" s="2">
        <v>306</v>
      </c>
      <c r="C299" s="2">
        <v>112</v>
      </c>
      <c r="D299" s="2">
        <v>44.6</v>
      </c>
      <c r="E299" s="2">
        <v>67.099999999999994</v>
      </c>
      <c r="F299" s="2">
        <v>0.3</v>
      </c>
      <c r="H299" s="2">
        <v>25500</v>
      </c>
      <c r="I299" s="2">
        <v>242</v>
      </c>
      <c r="J299" s="2">
        <v>2856000</v>
      </c>
      <c r="K299" s="2">
        <v>31881</v>
      </c>
      <c r="L299" s="2">
        <v>2311</v>
      </c>
      <c r="M299" s="2">
        <v>6289.6</v>
      </c>
      <c r="N299" s="2">
        <v>109470</v>
      </c>
    </row>
    <row r="300" spans="1:15" ht="24.95" customHeight="1" x14ac:dyDescent="0.25">
      <c r="A300" s="17" t="s">
        <v>427</v>
      </c>
      <c r="B300" s="2">
        <v>322</v>
      </c>
      <c r="C300" s="2">
        <v>122</v>
      </c>
      <c r="D300" s="2">
        <v>42.7</v>
      </c>
      <c r="E300" s="2">
        <v>77.900000000000006</v>
      </c>
      <c r="F300" s="2">
        <v>1.4</v>
      </c>
      <c r="H300" s="2">
        <v>1615</v>
      </c>
      <c r="I300" s="2">
        <v>160</v>
      </c>
      <c r="J300" s="2">
        <v>197030</v>
      </c>
      <c r="K300" s="2">
        <v>4342</v>
      </c>
      <c r="L300" s="2">
        <v>272.39999999999998</v>
      </c>
      <c r="M300" s="2">
        <v>413.6</v>
      </c>
      <c r="N300" s="2">
        <v>13570</v>
      </c>
      <c r="O300" s="2">
        <v>36.200000000000003</v>
      </c>
    </row>
    <row r="301" spans="1:15" ht="24.95" customHeight="1" x14ac:dyDescent="0.25">
      <c r="A301" s="17" t="s">
        <v>5400</v>
      </c>
      <c r="B301" s="2">
        <v>300</v>
      </c>
      <c r="C301" s="2">
        <v>114</v>
      </c>
      <c r="D301" s="2">
        <v>48.2</v>
      </c>
      <c r="E301" s="2">
        <v>67</v>
      </c>
      <c r="F301" s="2">
        <v>-1.2</v>
      </c>
      <c r="H301" s="2">
        <v>36200</v>
      </c>
      <c r="I301" s="2">
        <v>181</v>
      </c>
      <c r="J301" s="2">
        <v>4126800</v>
      </c>
      <c r="K301" s="2">
        <v>52378</v>
      </c>
      <c r="L301" s="2">
        <v>5541.8</v>
      </c>
      <c r="M301" s="2">
        <v>8761</v>
      </c>
      <c r="N301" s="2">
        <v>177460</v>
      </c>
    </row>
    <row r="302" spans="1:15" ht="24.95" customHeight="1" x14ac:dyDescent="0.25">
      <c r="A302" s="17" t="s">
        <v>429</v>
      </c>
      <c r="B302" s="2">
        <v>326</v>
      </c>
      <c r="C302" s="2">
        <v>131</v>
      </c>
      <c r="D302" s="2">
        <v>63.6</v>
      </c>
      <c r="E302" s="2">
        <v>67.099999999999994</v>
      </c>
      <c r="F302" s="2">
        <v>0.3</v>
      </c>
      <c r="H302" s="2">
        <v>15065</v>
      </c>
      <c r="I302" s="2">
        <v>170</v>
      </c>
      <c r="J302" s="2">
        <v>1973515</v>
      </c>
      <c r="K302" s="2">
        <v>27736</v>
      </c>
      <c r="L302" s="2">
        <v>2209.6</v>
      </c>
      <c r="M302" s="2">
        <v>3727.7</v>
      </c>
      <c r="N302" s="2">
        <v>92970</v>
      </c>
      <c r="O302" s="2">
        <v>8.9</v>
      </c>
    </row>
    <row r="303" spans="1:15" ht="24.95" customHeight="1" x14ac:dyDescent="0.25">
      <c r="A303" s="17" t="s">
        <v>430</v>
      </c>
      <c r="B303" s="2">
        <v>296</v>
      </c>
      <c r="C303" s="2">
        <v>111</v>
      </c>
      <c r="D303" s="2">
        <v>32.6</v>
      </c>
      <c r="E303" s="2">
        <v>77.900000000000006</v>
      </c>
      <c r="F303" s="2">
        <v>0.5</v>
      </c>
      <c r="H303" s="2">
        <v>1880</v>
      </c>
      <c r="I303" s="2">
        <v>230</v>
      </c>
      <c r="J303" s="2">
        <v>208680</v>
      </c>
      <c r="K303" s="2">
        <v>3754</v>
      </c>
      <c r="L303" s="2">
        <v>212.6</v>
      </c>
      <c r="M303" s="2">
        <v>464.3</v>
      </c>
      <c r="N303" s="2">
        <v>10720</v>
      </c>
      <c r="O303" s="2">
        <v>2.7</v>
      </c>
    </row>
    <row r="304" spans="1:15" ht="24.95" customHeight="1" x14ac:dyDescent="0.25">
      <c r="A304" s="17" t="s">
        <v>431</v>
      </c>
      <c r="B304" s="2">
        <v>308</v>
      </c>
      <c r="C304" s="2">
        <v>118</v>
      </c>
      <c r="D304" s="2">
        <v>41.3</v>
      </c>
      <c r="E304" s="2">
        <v>77.400000000000006</v>
      </c>
      <c r="F304" s="2">
        <v>-0.7</v>
      </c>
      <c r="H304" s="2">
        <v>21300</v>
      </c>
      <c r="I304" s="2">
        <v>204</v>
      </c>
      <c r="J304" s="2">
        <v>2513400</v>
      </c>
      <c r="K304" s="2">
        <v>33437</v>
      </c>
      <c r="L304" s="2">
        <v>2830.2</v>
      </c>
      <c r="M304" s="2">
        <v>5233.8</v>
      </c>
      <c r="N304" s="2">
        <v>115600</v>
      </c>
    </row>
    <row r="305" spans="1:15" ht="24.95" customHeight="1" x14ac:dyDescent="0.25">
      <c r="A305" s="17" t="s">
        <v>432</v>
      </c>
      <c r="B305" s="2">
        <v>262</v>
      </c>
      <c r="C305" s="2">
        <v>103</v>
      </c>
      <c r="D305" s="2">
        <v>26.4</v>
      </c>
      <c r="E305" s="2">
        <v>77.900000000000006</v>
      </c>
      <c r="F305" s="2">
        <v>-1.3</v>
      </c>
      <c r="H305" s="2">
        <v>1500</v>
      </c>
      <c r="I305" s="2">
        <v>201</v>
      </c>
      <c r="J305" s="2">
        <v>154500</v>
      </c>
      <c r="K305" s="2">
        <v>2755</v>
      </c>
      <c r="L305" s="2">
        <v>179.1</v>
      </c>
      <c r="M305" s="2">
        <v>391.6</v>
      </c>
      <c r="N305" s="2">
        <v>8110</v>
      </c>
    </row>
    <row r="306" spans="1:15" ht="24.95" customHeight="1" x14ac:dyDescent="0.25">
      <c r="A306" s="17" t="s">
        <v>433</v>
      </c>
      <c r="B306" s="2">
        <v>332</v>
      </c>
      <c r="C306" s="2">
        <v>124</v>
      </c>
      <c r="D306" s="2">
        <v>57.5</v>
      </c>
      <c r="E306" s="2">
        <v>67.099999999999994</v>
      </c>
      <c r="F306" s="2">
        <v>-0.6</v>
      </c>
      <c r="H306" s="2">
        <v>22170</v>
      </c>
      <c r="I306" s="2">
        <v>205</v>
      </c>
      <c r="J306" s="2">
        <v>2749080</v>
      </c>
      <c r="K306" s="2">
        <v>34587</v>
      </c>
      <c r="L306" s="2">
        <v>2828.1</v>
      </c>
      <c r="M306" s="2">
        <v>5582.9</v>
      </c>
      <c r="N306" s="2">
        <v>108190</v>
      </c>
    </row>
    <row r="307" spans="1:15" ht="24.95" customHeight="1" x14ac:dyDescent="0.25">
      <c r="A307" s="17" t="s">
        <v>434</v>
      </c>
      <c r="B307" s="2">
        <v>292</v>
      </c>
      <c r="C307" s="2">
        <v>114</v>
      </c>
      <c r="D307" s="2">
        <v>45.3</v>
      </c>
      <c r="E307" s="2">
        <v>70.3</v>
      </c>
      <c r="F307" s="2">
        <v>-1.7</v>
      </c>
      <c r="H307" s="2">
        <v>11937</v>
      </c>
      <c r="I307" s="2">
        <v>169</v>
      </c>
      <c r="J307" s="2">
        <v>1360818</v>
      </c>
      <c r="K307" s="2">
        <v>19567</v>
      </c>
      <c r="L307" s="2">
        <v>2259.5</v>
      </c>
      <c r="M307" s="2">
        <v>2985.2</v>
      </c>
      <c r="N307" s="2">
        <v>61410</v>
      </c>
    </row>
    <row r="308" spans="1:15" ht="24.95" customHeight="1" x14ac:dyDescent="0.25">
      <c r="A308" s="17" t="s">
        <v>435</v>
      </c>
      <c r="B308" s="2">
        <v>286</v>
      </c>
      <c r="C308" s="2">
        <v>111</v>
      </c>
      <c r="D308" s="2">
        <v>32.700000000000003</v>
      </c>
      <c r="E308" s="2">
        <v>77.7</v>
      </c>
      <c r="F308" s="2">
        <v>0.6</v>
      </c>
      <c r="H308" s="2">
        <v>15250</v>
      </c>
      <c r="I308" s="2">
        <v>232</v>
      </c>
      <c r="J308" s="2">
        <v>1692750</v>
      </c>
      <c r="K308" s="2">
        <v>30035</v>
      </c>
      <c r="L308" s="2">
        <v>1955.2</v>
      </c>
      <c r="M308" s="2">
        <v>3605.5</v>
      </c>
      <c r="N308" s="2">
        <v>95360</v>
      </c>
      <c r="O308" s="2">
        <v>13.6</v>
      </c>
    </row>
    <row r="309" spans="1:15" ht="24.95" customHeight="1" x14ac:dyDescent="0.25">
      <c r="A309" s="17" t="s">
        <v>436</v>
      </c>
      <c r="B309" s="2">
        <v>278</v>
      </c>
      <c r="C309" s="2">
        <v>112</v>
      </c>
      <c r="D309" s="2">
        <v>34</v>
      </c>
      <c r="E309" s="2">
        <v>77.900000000000006</v>
      </c>
      <c r="F309" s="2">
        <v>0.2</v>
      </c>
      <c r="H309" s="2">
        <v>4660</v>
      </c>
      <c r="I309" s="2">
        <v>180</v>
      </c>
      <c r="J309" s="2">
        <v>521920</v>
      </c>
      <c r="K309" s="2">
        <v>12251</v>
      </c>
      <c r="L309" s="2">
        <v>880.8</v>
      </c>
      <c r="M309" s="2">
        <v>1151.3</v>
      </c>
      <c r="N309" s="2">
        <v>34520</v>
      </c>
      <c r="O309" s="2">
        <v>25.3</v>
      </c>
    </row>
    <row r="310" spans="1:15" ht="24.95" customHeight="1" x14ac:dyDescent="0.25">
      <c r="A310" s="17" t="s">
        <v>437</v>
      </c>
      <c r="B310" s="2">
        <v>298</v>
      </c>
      <c r="C310" s="2">
        <v>114</v>
      </c>
      <c r="D310" s="2">
        <v>36.5</v>
      </c>
      <c r="E310" s="2">
        <v>77.900000000000006</v>
      </c>
      <c r="F310" s="2">
        <v>-0.4</v>
      </c>
      <c r="H310" s="2">
        <v>3833</v>
      </c>
      <c r="I310" s="2">
        <v>203</v>
      </c>
      <c r="J310" s="2">
        <v>436962</v>
      </c>
      <c r="K310" s="2">
        <v>6788</v>
      </c>
      <c r="L310" s="2">
        <v>461.3</v>
      </c>
      <c r="M310" s="2">
        <v>943.4</v>
      </c>
      <c r="N310" s="2">
        <v>20760</v>
      </c>
    </row>
    <row r="311" spans="1:15" ht="24.95" customHeight="1" x14ac:dyDescent="0.25">
      <c r="A311" s="17" t="s">
        <v>438</v>
      </c>
      <c r="B311" s="2">
        <v>300</v>
      </c>
      <c r="C311" s="2">
        <v>114</v>
      </c>
      <c r="D311" s="2">
        <v>35.799999999999997</v>
      </c>
      <c r="E311" s="2">
        <v>77.900000000000006</v>
      </c>
      <c r="F311" s="2">
        <v>0.3</v>
      </c>
      <c r="H311" s="2">
        <v>8494</v>
      </c>
      <c r="I311" s="2">
        <v>219</v>
      </c>
      <c r="J311" s="2">
        <v>968316</v>
      </c>
      <c r="K311" s="2">
        <v>15320</v>
      </c>
      <c r="L311" s="2">
        <v>1238.8</v>
      </c>
      <c r="M311" s="2">
        <v>2015.9</v>
      </c>
      <c r="N311" s="2">
        <v>51450</v>
      </c>
      <c r="O311" s="2">
        <v>9.4</v>
      </c>
    </row>
    <row r="312" spans="1:15" ht="24.95" customHeight="1" x14ac:dyDescent="0.25">
      <c r="A312" s="17" t="s">
        <v>439</v>
      </c>
      <c r="B312" s="2">
        <v>256</v>
      </c>
      <c r="C312" s="2">
        <v>102</v>
      </c>
      <c r="D312" s="2">
        <v>23.3</v>
      </c>
      <c r="E312" s="2">
        <v>77.900000000000006</v>
      </c>
      <c r="F312" s="2">
        <v>0.8</v>
      </c>
      <c r="H312" s="2">
        <v>510</v>
      </c>
      <c r="I312" s="2">
        <v>144</v>
      </c>
      <c r="J312" s="2">
        <v>52020</v>
      </c>
      <c r="K312" s="2">
        <v>1890</v>
      </c>
      <c r="L312" s="2">
        <v>88.7</v>
      </c>
      <c r="M312" s="2">
        <v>130</v>
      </c>
      <c r="N312" s="2">
        <v>4770</v>
      </c>
      <c r="O312" s="2">
        <v>39</v>
      </c>
    </row>
    <row r="313" spans="1:15" ht="24.95" customHeight="1" x14ac:dyDescent="0.25">
      <c r="A313" s="17" t="s">
        <v>440</v>
      </c>
      <c r="B313" s="2">
        <v>280</v>
      </c>
      <c r="C313" s="2">
        <v>102</v>
      </c>
      <c r="D313" s="2">
        <v>23.8</v>
      </c>
      <c r="E313" s="2">
        <v>77.900000000000006</v>
      </c>
      <c r="F313" s="2">
        <v>0.3</v>
      </c>
      <c r="H313" s="2">
        <v>570</v>
      </c>
      <c r="I313" s="2">
        <v>198</v>
      </c>
      <c r="J313" s="2">
        <v>58140</v>
      </c>
      <c r="K313" s="2">
        <v>1528</v>
      </c>
      <c r="L313" s="2">
        <v>90.9</v>
      </c>
      <c r="M313" s="2">
        <v>141.4</v>
      </c>
      <c r="N313" s="2">
        <v>4180</v>
      </c>
      <c r="O313" s="2">
        <v>23.3</v>
      </c>
    </row>
    <row r="314" spans="1:15" ht="24.95" customHeight="1" x14ac:dyDescent="0.25">
      <c r="A314" s="17" t="s">
        <v>441</v>
      </c>
      <c r="B314" s="2">
        <v>276</v>
      </c>
      <c r="C314" s="2">
        <v>110</v>
      </c>
      <c r="D314" s="2">
        <v>31.9</v>
      </c>
      <c r="E314" s="2">
        <v>77.900000000000006</v>
      </c>
      <c r="F314" s="2">
        <v>0.2</v>
      </c>
      <c r="H314" s="2">
        <v>2150</v>
      </c>
      <c r="I314" s="2">
        <v>179</v>
      </c>
      <c r="J314" s="2">
        <v>236500</v>
      </c>
      <c r="K314" s="2">
        <v>6179</v>
      </c>
      <c r="L314" s="2">
        <v>321.7</v>
      </c>
      <c r="M314" s="2">
        <v>534.5</v>
      </c>
      <c r="N314" s="2">
        <v>16890</v>
      </c>
      <c r="O314" s="2">
        <v>30.8</v>
      </c>
    </row>
    <row r="315" spans="1:15" ht="24.95" customHeight="1" x14ac:dyDescent="0.25">
      <c r="A315" s="17" t="s">
        <v>442</v>
      </c>
      <c r="B315" s="2">
        <v>276</v>
      </c>
      <c r="C315" s="2">
        <v>106</v>
      </c>
      <c r="D315" s="2">
        <v>36.799999999999997</v>
      </c>
      <c r="E315" s="2">
        <v>70.599999999999994</v>
      </c>
      <c r="F315" s="2">
        <v>-1.5</v>
      </c>
      <c r="H315" s="2">
        <v>11700</v>
      </c>
      <c r="I315" s="2">
        <v>177</v>
      </c>
      <c r="J315" s="2">
        <v>1240200</v>
      </c>
      <c r="K315" s="2">
        <v>18121</v>
      </c>
      <c r="L315" s="2">
        <v>1887.5</v>
      </c>
      <c r="M315" s="2">
        <v>2903.7</v>
      </c>
      <c r="N315" s="2">
        <v>62070</v>
      </c>
    </row>
    <row r="316" spans="1:15" ht="24.95" customHeight="1" x14ac:dyDescent="0.25">
      <c r="A316" s="17" t="s">
        <v>443</v>
      </c>
      <c r="B316" s="2">
        <v>304</v>
      </c>
      <c r="C316" s="2">
        <v>128</v>
      </c>
      <c r="D316" s="2">
        <v>51.3</v>
      </c>
      <c r="E316" s="2">
        <v>77.900000000000006</v>
      </c>
      <c r="F316" s="2">
        <v>-1.1000000000000001</v>
      </c>
      <c r="H316" s="2">
        <v>5770</v>
      </c>
      <c r="I316" s="2">
        <v>157</v>
      </c>
      <c r="J316" s="2">
        <v>738560</v>
      </c>
      <c r="K316" s="2">
        <v>12423</v>
      </c>
      <c r="L316" s="2">
        <v>899.6</v>
      </c>
      <c r="M316" s="2">
        <v>1474.7</v>
      </c>
      <c r="N316" s="2">
        <v>28390</v>
      </c>
    </row>
    <row r="317" spans="1:15" ht="24.95" customHeight="1" x14ac:dyDescent="0.25">
      <c r="A317" s="17" t="s">
        <v>444</v>
      </c>
      <c r="B317" s="2">
        <v>266</v>
      </c>
      <c r="C317" s="2">
        <v>104</v>
      </c>
      <c r="D317" s="2">
        <v>26.9</v>
      </c>
      <c r="E317" s="2">
        <v>77.900000000000006</v>
      </c>
      <c r="F317" s="2">
        <v>-0.8</v>
      </c>
      <c r="H317" s="2">
        <v>1780</v>
      </c>
      <c r="I317" s="2">
        <v>215</v>
      </c>
      <c r="J317" s="2">
        <v>185120</v>
      </c>
      <c r="K317" s="2">
        <v>2997</v>
      </c>
      <c r="L317" s="2">
        <v>258.39999999999998</v>
      </c>
      <c r="M317" s="2">
        <v>440.7</v>
      </c>
      <c r="N317" s="2">
        <v>9970</v>
      </c>
    </row>
    <row r="318" spans="1:15" ht="24.95" customHeight="1" x14ac:dyDescent="0.25">
      <c r="A318" s="17" t="s">
        <v>445</v>
      </c>
      <c r="B318" s="2">
        <v>306</v>
      </c>
      <c r="C318" s="2">
        <v>120</v>
      </c>
      <c r="D318" s="2">
        <v>43.4</v>
      </c>
      <c r="E318" s="2">
        <v>77.900000000000006</v>
      </c>
      <c r="F318" s="2">
        <v>-1.3</v>
      </c>
      <c r="H318" s="2">
        <v>2000</v>
      </c>
      <c r="I318" s="2">
        <v>168</v>
      </c>
      <c r="J318" s="2">
        <v>240000</v>
      </c>
      <c r="K318" s="2">
        <v>4559</v>
      </c>
      <c r="L318" s="2">
        <v>366.9</v>
      </c>
      <c r="M318" s="2">
        <v>506.9</v>
      </c>
      <c r="N318" s="2">
        <v>9550</v>
      </c>
    </row>
    <row r="319" spans="1:15" ht="24.95" customHeight="1" x14ac:dyDescent="0.25">
      <c r="A319" s="17" t="s">
        <v>446</v>
      </c>
      <c r="B319" s="2">
        <v>285</v>
      </c>
      <c r="C319" s="2">
        <v>114</v>
      </c>
      <c r="D319" s="2">
        <v>35.5</v>
      </c>
      <c r="E319" s="2">
        <v>77.900000000000006</v>
      </c>
      <c r="F319" s="2">
        <v>0.6</v>
      </c>
      <c r="H319" s="2">
        <v>782</v>
      </c>
      <c r="I319" s="2">
        <v>138</v>
      </c>
      <c r="J319" s="2">
        <v>89148</v>
      </c>
      <c r="K319" s="2">
        <v>2347</v>
      </c>
      <c r="L319" s="2">
        <v>108</v>
      </c>
      <c r="M319" s="2">
        <v>195.1</v>
      </c>
      <c r="N319" s="2">
        <v>6580</v>
      </c>
      <c r="O319" s="2">
        <v>34.5</v>
      </c>
    </row>
    <row r="320" spans="1:15" ht="24.95" customHeight="1" x14ac:dyDescent="0.25">
      <c r="A320" s="17" t="s">
        <v>447</v>
      </c>
      <c r="B320" s="2">
        <v>318</v>
      </c>
      <c r="C320" s="2">
        <v>120</v>
      </c>
      <c r="D320" s="2">
        <v>42.2</v>
      </c>
      <c r="E320" s="2">
        <v>77.900000000000006</v>
      </c>
      <c r="H320" s="2">
        <v>12750</v>
      </c>
      <c r="I320" s="2">
        <v>225</v>
      </c>
      <c r="J320" s="2">
        <v>1530000</v>
      </c>
      <c r="K320" s="2">
        <v>17361</v>
      </c>
      <c r="L320" s="2">
        <v>1417.7</v>
      </c>
      <c r="M320" s="2">
        <v>3112.1</v>
      </c>
      <c r="N320" s="2">
        <v>58180</v>
      </c>
    </row>
    <row r="321" spans="1:15" ht="24.95" customHeight="1" x14ac:dyDescent="0.25">
      <c r="A321" s="17" t="s">
        <v>448</v>
      </c>
      <c r="B321" s="2">
        <v>298</v>
      </c>
      <c r="C321" s="2">
        <v>114</v>
      </c>
      <c r="D321" s="2">
        <v>37.200000000000003</v>
      </c>
      <c r="E321" s="2">
        <v>77.400000000000006</v>
      </c>
      <c r="F321" s="2">
        <v>-0.5</v>
      </c>
      <c r="H321" s="2">
        <v>24500</v>
      </c>
      <c r="I321" s="2">
        <v>217</v>
      </c>
      <c r="J321" s="2">
        <v>2793000</v>
      </c>
      <c r="K321" s="2">
        <v>40998</v>
      </c>
      <c r="L321" s="2">
        <v>3723.2</v>
      </c>
      <c r="M321" s="2">
        <v>6096.8</v>
      </c>
      <c r="N321" s="2">
        <v>132400</v>
      </c>
    </row>
    <row r="322" spans="1:15" ht="24.95" customHeight="1" x14ac:dyDescent="0.25">
      <c r="A322" s="17" t="s">
        <v>449</v>
      </c>
      <c r="B322" s="2">
        <v>306</v>
      </c>
      <c r="C322" s="2">
        <v>114</v>
      </c>
      <c r="D322" s="2">
        <v>35.799999999999997</v>
      </c>
      <c r="E322" s="2">
        <v>77.900000000000006</v>
      </c>
      <c r="F322" s="2">
        <v>0.3</v>
      </c>
      <c r="H322" s="2">
        <v>3030</v>
      </c>
      <c r="I322" s="2">
        <v>197</v>
      </c>
      <c r="J322" s="2">
        <v>345420</v>
      </c>
      <c r="K322" s="2">
        <v>6595</v>
      </c>
      <c r="L322" s="2">
        <v>530</v>
      </c>
      <c r="M322" s="2">
        <v>731.4</v>
      </c>
      <c r="N322" s="2">
        <v>19840</v>
      </c>
      <c r="O322" s="2">
        <v>14.1</v>
      </c>
    </row>
    <row r="323" spans="1:15" ht="24.95" customHeight="1" x14ac:dyDescent="0.25">
      <c r="A323" s="17" t="s">
        <v>450</v>
      </c>
      <c r="B323" s="2">
        <v>300</v>
      </c>
      <c r="C323" s="2">
        <v>114</v>
      </c>
      <c r="D323" s="2">
        <v>39</v>
      </c>
      <c r="E323" s="2">
        <v>74.5</v>
      </c>
      <c r="F323" s="2">
        <v>0.4</v>
      </c>
      <c r="H323" s="2">
        <v>26800</v>
      </c>
      <c r="I323" s="2">
        <v>244</v>
      </c>
      <c r="J323" s="2">
        <v>3055200</v>
      </c>
      <c r="K323" s="2">
        <v>32436</v>
      </c>
      <c r="L323" s="2">
        <v>1876</v>
      </c>
      <c r="M323" s="2">
        <v>6666.2</v>
      </c>
      <c r="N323" s="2">
        <v>115430</v>
      </c>
    </row>
    <row r="324" spans="1:15" ht="24.95" customHeight="1" x14ac:dyDescent="0.25">
      <c r="A324" s="17" t="s">
        <v>451</v>
      </c>
      <c r="B324" s="2">
        <v>316</v>
      </c>
      <c r="C324" s="2">
        <v>114</v>
      </c>
      <c r="D324" s="2">
        <v>43</v>
      </c>
      <c r="E324" s="2">
        <v>70.8</v>
      </c>
      <c r="F324" s="2">
        <v>0.2</v>
      </c>
      <c r="H324" s="2">
        <v>2750</v>
      </c>
      <c r="I324" s="2">
        <v>211</v>
      </c>
      <c r="J324" s="2">
        <v>313500</v>
      </c>
      <c r="K324" s="2">
        <v>3255</v>
      </c>
      <c r="L324" s="2">
        <v>278.5</v>
      </c>
      <c r="M324" s="2">
        <v>625</v>
      </c>
      <c r="N324" s="2">
        <v>11900</v>
      </c>
    </row>
    <row r="325" spans="1:15" ht="24.95" customHeight="1" x14ac:dyDescent="0.25">
      <c r="A325" s="17" t="s">
        <v>5321</v>
      </c>
      <c r="B325" s="2">
        <v>286</v>
      </c>
      <c r="C325" s="2">
        <v>107</v>
      </c>
      <c r="D325" s="2">
        <v>28.5</v>
      </c>
      <c r="E325" s="2">
        <v>78</v>
      </c>
      <c r="F325" s="2">
        <v>0.5</v>
      </c>
      <c r="H325" s="2">
        <v>482</v>
      </c>
      <c r="I325" s="2">
        <v>215</v>
      </c>
      <c r="J325" s="2">
        <v>51574</v>
      </c>
      <c r="K325" s="2">
        <v>1354</v>
      </c>
      <c r="L325" s="2">
        <v>90.3</v>
      </c>
      <c r="M325" s="2">
        <v>115.9</v>
      </c>
      <c r="N325" s="2">
        <v>3110</v>
      </c>
      <c r="O325" s="2">
        <v>17.399999999999999</v>
      </c>
    </row>
    <row r="326" spans="1:15" ht="24.95" customHeight="1" x14ac:dyDescent="0.25">
      <c r="A326" s="17" t="s">
        <v>453</v>
      </c>
      <c r="B326" s="2">
        <v>306</v>
      </c>
      <c r="C326" s="2">
        <v>118</v>
      </c>
      <c r="D326" s="2">
        <v>39.5</v>
      </c>
      <c r="E326" s="2">
        <v>77.900000000000006</v>
      </c>
      <c r="F326" s="2">
        <v>0.6</v>
      </c>
      <c r="H326" s="2">
        <v>1769</v>
      </c>
      <c r="I326" s="2">
        <v>236</v>
      </c>
      <c r="J326" s="2">
        <v>208742</v>
      </c>
      <c r="K326" s="2">
        <v>3042</v>
      </c>
      <c r="L326" s="2">
        <v>193.1</v>
      </c>
      <c r="M326" s="2">
        <v>436.7</v>
      </c>
      <c r="N326" s="2">
        <v>9650</v>
      </c>
    </row>
    <row r="327" spans="1:15" ht="24.95" customHeight="1" x14ac:dyDescent="0.25">
      <c r="A327" s="17" t="s">
        <v>454</v>
      </c>
      <c r="B327" s="2">
        <v>252</v>
      </c>
      <c r="C327" s="2">
        <v>98</v>
      </c>
      <c r="D327" s="2">
        <v>19.5</v>
      </c>
      <c r="E327" s="2">
        <v>78</v>
      </c>
      <c r="F327" s="2">
        <v>0.5</v>
      </c>
      <c r="H327" s="2">
        <v>300</v>
      </c>
      <c r="I327" s="2">
        <v>197</v>
      </c>
      <c r="J327" s="2">
        <v>29400</v>
      </c>
      <c r="K327" s="2">
        <v>1170</v>
      </c>
      <c r="L327" s="2">
        <v>58.6</v>
      </c>
      <c r="M327" s="2">
        <v>72.599999999999994</v>
      </c>
      <c r="N327" s="2">
        <v>3030</v>
      </c>
      <c r="O327" s="2">
        <v>47.5</v>
      </c>
    </row>
    <row r="328" spans="1:15" ht="24.95" customHeight="1" x14ac:dyDescent="0.25">
      <c r="A328" s="17" t="s">
        <v>456</v>
      </c>
      <c r="B328" s="2">
        <v>240</v>
      </c>
      <c r="C328" s="2">
        <v>92</v>
      </c>
      <c r="D328" s="2">
        <v>12.3</v>
      </c>
      <c r="E328" s="2">
        <v>78</v>
      </c>
      <c r="F328" s="2">
        <v>1.8</v>
      </c>
      <c r="G328" s="2">
        <v>93.8</v>
      </c>
      <c r="H328" s="2">
        <v>2370</v>
      </c>
      <c r="I328" s="2">
        <v>182</v>
      </c>
      <c r="J328" s="2">
        <v>222330</v>
      </c>
      <c r="K328" s="2">
        <v>6912</v>
      </c>
      <c r="L328" s="2">
        <v>387.6</v>
      </c>
      <c r="M328" s="2">
        <v>552.6</v>
      </c>
      <c r="N328" s="2">
        <v>23140</v>
      </c>
      <c r="O328" s="2">
        <v>43.7</v>
      </c>
    </row>
    <row r="329" spans="1:15" ht="24.95" customHeight="1" x14ac:dyDescent="0.25">
      <c r="A329" s="17" t="s">
        <v>423</v>
      </c>
      <c r="B329" s="2">
        <v>258</v>
      </c>
      <c r="C329" s="2">
        <v>102</v>
      </c>
      <c r="D329" s="2">
        <v>23</v>
      </c>
      <c r="E329" s="2">
        <v>78</v>
      </c>
      <c r="F329" s="2">
        <v>0.9</v>
      </c>
      <c r="G329" s="2">
        <v>104.8</v>
      </c>
      <c r="H329" s="2">
        <v>6433</v>
      </c>
      <c r="I329" s="2">
        <v>208</v>
      </c>
      <c r="J329" s="2">
        <v>674404</v>
      </c>
      <c r="K329" s="2">
        <v>16081</v>
      </c>
      <c r="L329" s="2">
        <v>1072.8</v>
      </c>
      <c r="M329" s="2">
        <v>1589.1</v>
      </c>
      <c r="N329" s="2">
        <v>49720</v>
      </c>
      <c r="O329" s="2">
        <v>27.9</v>
      </c>
    </row>
    <row r="330" spans="1:15" ht="24.95" customHeight="1" x14ac:dyDescent="0.25">
      <c r="A330" s="17" t="s">
        <v>457</v>
      </c>
      <c r="B330" s="2">
        <v>262</v>
      </c>
      <c r="C330" s="2">
        <v>101</v>
      </c>
      <c r="D330" s="2">
        <v>22</v>
      </c>
      <c r="E330" s="2">
        <v>78</v>
      </c>
      <c r="F330" s="2">
        <v>1</v>
      </c>
      <c r="G330" s="2">
        <v>102</v>
      </c>
      <c r="H330" s="2">
        <v>2640</v>
      </c>
      <c r="I330" s="2">
        <v>205</v>
      </c>
      <c r="J330" s="2">
        <v>269164</v>
      </c>
      <c r="K330" s="2">
        <v>6841</v>
      </c>
      <c r="L330" s="2">
        <v>427.2</v>
      </c>
      <c r="M330" s="2">
        <v>671.3</v>
      </c>
      <c r="N330" s="2">
        <v>20760</v>
      </c>
      <c r="O330" s="2">
        <v>28.2</v>
      </c>
    </row>
    <row r="331" spans="1:15" ht="24.95" customHeight="1" x14ac:dyDescent="0.25">
      <c r="A331" s="17" t="s">
        <v>458</v>
      </c>
      <c r="B331" s="2">
        <v>262</v>
      </c>
      <c r="C331" s="2">
        <v>99</v>
      </c>
      <c r="D331" s="2">
        <v>20</v>
      </c>
      <c r="E331" s="2">
        <v>78</v>
      </c>
      <c r="F331" s="2">
        <v>1</v>
      </c>
      <c r="G331" s="2">
        <v>100.6</v>
      </c>
      <c r="H331" s="2">
        <v>5450</v>
      </c>
      <c r="I331" s="2">
        <v>228</v>
      </c>
      <c r="J331" s="2">
        <v>548316</v>
      </c>
      <c r="K331" s="2">
        <v>12045</v>
      </c>
      <c r="L331" s="2">
        <v>903.6</v>
      </c>
      <c r="M331" s="2">
        <v>1322.9</v>
      </c>
      <c r="N331" s="2">
        <v>37790</v>
      </c>
      <c r="O331" s="2">
        <v>2</v>
      </c>
    </row>
    <row r="332" spans="1:15" ht="24.95" customHeight="1" x14ac:dyDescent="0.25">
      <c r="A332" s="17" t="s">
        <v>446</v>
      </c>
      <c r="B332" s="2">
        <v>276</v>
      </c>
      <c r="C332" s="2">
        <v>108</v>
      </c>
      <c r="D332" s="2">
        <v>27.5</v>
      </c>
      <c r="E332" s="2">
        <v>78</v>
      </c>
      <c r="F332" s="2">
        <v>2.6</v>
      </c>
      <c r="G332" s="2">
        <v>110.3</v>
      </c>
      <c r="H332" s="2">
        <v>1390</v>
      </c>
      <c r="I332" s="2">
        <v>126</v>
      </c>
      <c r="J332" s="2">
        <v>153364</v>
      </c>
      <c r="K332" s="2">
        <v>6054</v>
      </c>
      <c r="L332" s="2">
        <v>240.1</v>
      </c>
      <c r="M332" s="2">
        <v>342.5</v>
      </c>
      <c r="N332" s="2">
        <v>16390</v>
      </c>
      <c r="O332" s="2">
        <v>53.5</v>
      </c>
    </row>
    <row r="333" spans="1:15" ht="24.95" customHeight="1" x14ac:dyDescent="0.25">
      <c r="A333" s="17" t="s">
        <v>459</v>
      </c>
      <c r="B333" s="2">
        <v>232</v>
      </c>
      <c r="C333" s="2">
        <v>98</v>
      </c>
      <c r="D333" s="2">
        <v>18.8</v>
      </c>
      <c r="E333" s="2">
        <v>78</v>
      </c>
      <c r="F333" s="2">
        <v>1.2</v>
      </c>
      <c r="G333" s="2">
        <v>96.2</v>
      </c>
      <c r="H333" s="2">
        <v>2380</v>
      </c>
      <c r="I333" s="2">
        <v>157</v>
      </c>
      <c r="J333" s="2">
        <v>229033</v>
      </c>
      <c r="K333" s="2">
        <v>8153</v>
      </c>
      <c r="L333" s="2">
        <v>384.5</v>
      </c>
      <c r="M333" s="2">
        <v>616.29999999999995</v>
      </c>
      <c r="N333" s="2">
        <v>23230</v>
      </c>
      <c r="O333" s="2">
        <v>41.7</v>
      </c>
    </row>
    <row r="334" spans="1:15" ht="24.95" customHeight="1" x14ac:dyDescent="0.25">
      <c r="A334" s="17" t="s">
        <v>430</v>
      </c>
      <c r="B334" s="2">
        <v>252</v>
      </c>
      <c r="C334" s="2">
        <v>96</v>
      </c>
      <c r="D334" s="2">
        <v>16.8</v>
      </c>
      <c r="E334" s="2">
        <v>78</v>
      </c>
      <c r="F334" s="2">
        <v>1.2</v>
      </c>
      <c r="G334" s="2">
        <v>97.4</v>
      </c>
      <c r="H334" s="2">
        <v>2005</v>
      </c>
      <c r="I334" s="2">
        <v>196</v>
      </c>
      <c r="J334" s="2">
        <v>195275</v>
      </c>
      <c r="K334" s="2">
        <v>6252</v>
      </c>
      <c r="L334" s="2">
        <v>336.7</v>
      </c>
      <c r="M334" s="2">
        <v>525.1</v>
      </c>
      <c r="N334" s="2">
        <v>16380</v>
      </c>
      <c r="O334" s="2">
        <v>30.3</v>
      </c>
    </row>
    <row r="335" spans="1:15" ht="24.95" customHeight="1" x14ac:dyDescent="0.25">
      <c r="A335" s="17" t="s">
        <v>460</v>
      </c>
      <c r="B335" s="2">
        <v>250</v>
      </c>
      <c r="C335" s="2">
        <v>98</v>
      </c>
      <c r="D335" s="2">
        <v>19.600000000000001</v>
      </c>
      <c r="E335" s="2">
        <v>78</v>
      </c>
      <c r="F335" s="2">
        <v>0.4</v>
      </c>
      <c r="G335" s="2">
        <v>101.6</v>
      </c>
      <c r="H335" s="2">
        <v>4309</v>
      </c>
      <c r="I335" s="2">
        <v>199</v>
      </c>
      <c r="J335" s="2">
        <v>437814</v>
      </c>
      <c r="K335" s="2">
        <v>10809</v>
      </c>
      <c r="L335" s="2">
        <v>698.7</v>
      </c>
      <c r="M335" s="2">
        <v>1047.3</v>
      </c>
      <c r="N335" s="2">
        <v>32500</v>
      </c>
      <c r="O335" s="2">
        <v>25.3</v>
      </c>
    </row>
    <row r="336" spans="1:15" ht="24.95" customHeight="1" x14ac:dyDescent="0.25">
      <c r="A336" s="17" t="s">
        <v>432</v>
      </c>
      <c r="B336" s="2">
        <v>248</v>
      </c>
      <c r="C336" s="2">
        <v>96</v>
      </c>
      <c r="D336" s="2">
        <v>16.600000000000001</v>
      </c>
      <c r="E336" s="2">
        <v>78</v>
      </c>
      <c r="F336" s="2">
        <v>1.4</v>
      </c>
      <c r="G336" s="2">
        <v>97.9</v>
      </c>
      <c r="H336" s="2">
        <v>2000</v>
      </c>
      <c r="I336" s="2">
        <v>186</v>
      </c>
      <c r="J336" s="2">
        <v>195894</v>
      </c>
      <c r="K336" s="2">
        <v>6200</v>
      </c>
      <c r="L336" s="2">
        <v>334.7</v>
      </c>
      <c r="M336" s="2">
        <v>492.4</v>
      </c>
      <c r="N336" s="2">
        <v>18160</v>
      </c>
      <c r="O336" s="2">
        <v>36.200000000000003</v>
      </c>
    </row>
    <row r="337" spans="1:15" ht="24.95" customHeight="1" x14ac:dyDescent="0.25">
      <c r="A337" s="17" t="s">
        <v>2329</v>
      </c>
      <c r="B337" s="2">
        <v>268</v>
      </c>
      <c r="C337" s="2">
        <v>104</v>
      </c>
      <c r="D337" s="2">
        <v>24.4</v>
      </c>
      <c r="E337" s="2">
        <v>78</v>
      </c>
      <c r="F337" s="2">
        <v>1.6</v>
      </c>
      <c r="G337" s="2">
        <v>108.6</v>
      </c>
      <c r="H337" s="2">
        <v>2475</v>
      </c>
      <c r="I337" s="2">
        <v>196</v>
      </c>
      <c r="J337" s="2">
        <v>268680</v>
      </c>
      <c r="K337" s="2">
        <v>8982</v>
      </c>
      <c r="L337" s="2">
        <v>426</v>
      </c>
      <c r="M337" s="2">
        <v>627.79999999999995</v>
      </c>
      <c r="N337" s="2">
        <v>25020</v>
      </c>
      <c r="O337" s="2">
        <v>44</v>
      </c>
    </row>
    <row r="338" spans="1:15" ht="24.95" customHeight="1" x14ac:dyDescent="0.25">
      <c r="A338" s="17" t="s">
        <v>6746</v>
      </c>
      <c r="B338" s="2">
        <v>223</v>
      </c>
      <c r="C338" s="2">
        <v>86</v>
      </c>
      <c r="H338" s="2">
        <v>67819</v>
      </c>
      <c r="I338" s="2">
        <v>153</v>
      </c>
      <c r="J338" s="2">
        <v>5832434</v>
      </c>
      <c r="K338" s="2">
        <v>156456</v>
      </c>
      <c r="L338" s="2">
        <v>9103.7000000000007</v>
      </c>
      <c r="M338" s="2">
        <v>16455.3</v>
      </c>
      <c r="N338" s="2">
        <v>5093300</v>
      </c>
      <c r="O338" s="2">
        <v>25.8</v>
      </c>
    </row>
    <row r="339" spans="1:15" ht="24.95" customHeight="1" x14ac:dyDescent="0.25">
      <c r="A339" s="17" t="s">
        <v>463</v>
      </c>
      <c r="B339" s="2">
        <v>296</v>
      </c>
      <c r="C339" s="2">
        <v>128</v>
      </c>
      <c r="D339" s="2">
        <v>43.4</v>
      </c>
      <c r="E339" s="2">
        <v>86</v>
      </c>
      <c r="F339" s="2">
        <v>-1.4</v>
      </c>
      <c r="H339" s="2">
        <v>13120</v>
      </c>
      <c r="I339" s="2">
        <v>134</v>
      </c>
      <c r="J339" s="2">
        <v>1679360</v>
      </c>
      <c r="K339" s="2">
        <v>22762</v>
      </c>
      <c r="L339" s="2">
        <v>1496.5</v>
      </c>
      <c r="M339" s="2">
        <v>3118</v>
      </c>
      <c r="N339" s="2">
        <v>73770</v>
      </c>
      <c r="O339" s="2">
        <v>2.1</v>
      </c>
    </row>
    <row r="340" spans="1:15" ht="24.95" customHeight="1" x14ac:dyDescent="0.25">
      <c r="A340" s="17" t="s">
        <v>464</v>
      </c>
      <c r="B340" s="2">
        <v>326</v>
      </c>
      <c r="C340" s="2">
        <v>126</v>
      </c>
      <c r="D340" s="2">
        <v>36.200000000000003</v>
      </c>
      <c r="E340" s="2">
        <v>90</v>
      </c>
      <c r="F340" s="2">
        <v>-0.2</v>
      </c>
      <c r="H340" s="2">
        <v>792</v>
      </c>
      <c r="I340" s="2">
        <v>115</v>
      </c>
      <c r="J340" s="2">
        <v>99792</v>
      </c>
      <c r="K340" s="2">
        <v>1803</v>
      </c>
      <c r="L340" s="2">
        <v>85.7</v>
      </c>
      <c r="M340" s="2">
        <v>201</v>
      </c>
      <c r="N340" s="2">
        <v>5880</v>
      </c>
      <c r="O340" s="2">
        <v>23.6</v>
      </c>
    </row>
    <row r="341" spans="1:15" ht="24.95" customHeight="1" x14ac:dyDescent="0.25">
      <c r="A341" s="17" t="s">
        <v>465</v>
      </c>
      <c r="B341" s="2">
        <v>288</v>
      </c>
      <c r="C341" s="2">
        <v>114</v>
      </c>
      <c r="D341" s="2">
        <v>25.6</v>
      </c>
      <c r="E341" s="2">
        <v>89.5</v>
      </c>
      <c r="F341" s="2">
        <v>-1.1000000000000001</v>
      </c>
      <c r="H341" s="2">
        <v>1040</v>
      </c>
      <c r="I341" s="2">
        <v>139</v>
      </c>
      <c r="J341" s="2">
        <v>118560</v>
      </c>
      <c r="K341" s="2">
        <v>2526</v>
      </c>
      <c r="L341" s="2">
        <v>210.2</v>
      </c>
      <c r="M341" s="2">
        <v>258</v>
      </c>
      <c r="N341" s="2">
        <v>7770</v>
      </c>
      <c r="O341" s="2">
        <v>24.7</v>
      </c>
    </row>
    <row r="342" spans="1:15" ht="24.95" customHeight="1" x14ac:dyDescent="0.25">
      <c r="A342" s="17" t="s">
        <v>466</v>
      </c>
      <c r="B342" s="2">
        <v>316</v>
      </c>
      <c r="C342" s="2">
        <v>120</v>
      </c>
      <c r="D342" s="2">
        <v>31.4</v>
      </c>
      <c r="E342" s="2">
        <v>90</v>
      </c>
      <c r="F342" s="2">
        <v>-1.4</v>
      </c>
      <c r="H342" s="2">
        <v>1695</v>
      </c>
      <c r="I342" s="2">
        <v>145</v>
      </c>
      <c r="J342" s="2">
        <v>203400</v>
      </c>
      <c r="K342" s="2">
        <v>3746</v>
      </c>
      <c r="L342" s="2">
        <v>226.3</v>
      </c>
      <c r="M342" s="2">
        <v>433.6</v>
      </c>
      <c r="N342" s="2">
        <v>12600</v>
      </c>
      <c r="O342" s="2">
        <v>23.8</v>
      </c>
    </row>
    <row r="343" spans="1:15" ht="24.95" customHeight="1" x14ac:dyDescent="0.25">
      <c r="A343" s="17" t="s">
        <v>467</v>
      </c>
      <c r="B343" s="2">
        <v>284</v>
      </c>
      <c r="C343" s="2">
        <v>120</v>
      </c>
      <c r="D343" s="2">
        <v>30.2</v>
      </c>
      <c r="E343" s="2">
        <v>89.5</v>
      </c>
      <c r="F343" s="2">
        <v>0.3</v>
      </c>
      <c r="H343" s="2">
        <v>3453</v>
      </c>
      <c r="I343" s="2">
        <v>174</v>
      </c>
      <c r="J343" s="2">
        <v>414360</v>
      </c>
      <c r="K343" s="2">
        <v>8439</v>
      </c>
      <c r="L343" s="2">
        <v>542.5</v>
      </c>
      <c r="M343" s="2">
        <v>849.5</v>
      </c>
      <c r="N343" s="2">
        <v>26410</v>
      </c>
      <c r="O343" s="2">
        <v>27</v>
      </c>
    </row>
    <row r="344" spans="1:15" ht="24.95" customHeight="1" x14ac:dyDescent="0.25">
      <c r="A344" s="17" t="s">
        <v>5322</v>
      </c>
      <c r="B344" s="2">
        <v>288</v>
      </c>
      <c r="C344" s="2">
        <v>120</v>
      </c>
      <c r="D344" s="2">
        <v>30.4</v>
      </c>
      <c r="E344" s="2">
        <v>89.5</v>
      </c>
      <c r="F344" s="2">
        <v>0.1</v>
      </c>
      <c r="H344" s="2">
        <v>3124</v>
      </c>
      <c r="I344" s="2">
        <v>162</v>
      </c>
      <c r="J344" s="2">
        <v>374880</v>
      </c>
      <c r="K344" s="2">
        <v>7512</v>
      </c>
      <c r="L344" s="2">
        <v>569.20000000000005</v>
      </c>
      <c r="M344" s="2">
        <v>771.3</v>
      </c>
      <c r="N344" s="2">
        <v>24230</v>
      </c>
      <c r="O344" s="2">
        <v>27.8</v>
      </c>
    </row>
    <row r="345" spans="1:15" ht="24.95" customHeight="1" x14ac:dyDescent="0.25">
      <c r="A345" s="17" t="s">
        <v>5323</v>
      </c>
      <c r="B345" s="2">
        <v>314</v>
      </c>
      <c r="C345" s="2">
        <v>122</v>
      </c>
      <c r="D345" s="2">
        <v>31.2</v>
      </c>
      <c r="E345" s="2">
        <v>90</v>
      </c>
      <c r="F345" s="2">
        <v>0.8</v>
      </c>
      <c r="H345" s="2">
        <v>454</v>
      </c>
      <c r="I345" s="2">
        <v>162</v>
      </c>
      <c r="J345" s="2">
        <v>55388</v>
      </c>
      <c r="K345" s="2">
        <v>1207</v>
      </c>
      <c r="L345" s="2">
        <v>63.2</v>
      </c>
      <c r="M345" s="2">
        <v>114.7</v>
      </c>
      <c r="N345" s="2">
        <v>3700</v>
      </c>
      <c r="O345" s="2">
        <v>30</v>
      </c>
    </row>
    <row r="346" spans="1:15" ht="24.95" customHeight="1" x14ac:dyDescent="0.25">
      <c r="A346" s="17" t="s">
        <v>470</v>
      </c>
      <c r="B346" s="2">
        <v>324</v>
      </c>
      <c r="C346" s="2">
        <v>125</v>
      </c>
      <c r="D346" s="2">
        <v>36.299999999999997</v>
      </c>
      <c r="E346" s="2">
        <v>90</v>
      </c>
      <c r="F346" s="2">
        <v>-1.3</v>
      </c>
      <c r="H346" s="2">
        <v>2806</v>
      </c>
      <c r="I346" s="2">
        <v>153</v>
      </c>
      <c r="J346" s="2">
        <v>350750</v>
      </c>
      <c r="K346" s="2">
        <v>5949</v>
      </c>
      <c r="L346" s="2">
        <v>314.3</v>
      </c>
      <c r="M346" s="2">
        <v>682</v>
      </c>
      <c r="N346" s="2">
        <v>17620</v>
      </c>
      <c r="O346" s="2">
        <v>12.5</v>
      </c>
    </row>
    <row r="347" spans="1:15" ht="24.95" customHeight="1" x14ac:dyDescent="0.25">
      <c r="A347" s="17" t="s">
        <v>463</v>
      </c>
      <c r="B347" s="2">
        <v>240</v>
      </c>
      <c r="C347" s="2">
        <v>108</v>
      </c>
      <c r="D347" s="2">
        <v>17.899999999999999</v>
      </c>
      <c r="E347" s="2">
        <v>90</v>
      </c>
      <c r="F347" s="2">
        <v>0.1</v>
      </c>
      <c r="G347" s="2">
        <v>110.4</v>
      </c>
      <c r="H347" s="2">
        <v>5054</v>
      </c>
      <c r="I347" s="2">
        <v>154</v>
      </c>
      <c r="J347" s="2">
        <v>557735</v>
      </c>
      <c r="K347" s="2">
        <v>9895</v>
      </c>
      <c r="L347" s="2">
        <v>665.7</v>
      </c>
      <c r="M347" s="2">
        <v>1123.7</v>
      </c>
      <c r="N347" s="2">
        <v>32440</v>
      </c>
      <c r="O347" s="2">
        <v>17.3</v>
      </c>
    </row>
    <row r="348" spans="1:15" ht="24.95" customHeight="1" x14ac:dyDescent="0.25">
      <c r="A348" s="17" t="s">
        <v>466</v>
      </c>
      <c r="B348" s="2">
        <v>273</v>
      </c>
      <c r="C348" s="2">
        <v>111</v>
      </c>
      <c r="D348" s="2">
        <v>20.5</v>
      </c>
      <c r="E348" s="2">
        <v>90</v>
      </c>
      <c r="F348" s="2">
        <v>0.5</v>
      </c>
      <c r="G348" s="2">
        <v>112.5</v>
      </c>
      <c r="H348" s="2">
        <v>1973</v>
      </c>
      <c r="I348" s="2">
        <v>146</v>
      </c>
      <c r="J348" s="2">
        <v>221966</v>
      </c>
      <c r="K348" s="2">
        <v>4212</v>
      </c>
      <c r="L348" s="2">
        <v>222.8</v>
      </c>
      <c r="M348" s="2">
        <v>435.4</v>
      </c>
      <c r="N348" s="2">
        <v>15630</v>
      </c>
      <c r="O348" s="2">
        <v>31.6</v>
      </c>
    </row>
    <row r="349" spans="1:15" ht="24.95" customHeight="1" x14ac:dyDescent="0.25">
      <c r="A349" s="17" t="s">
        <v>471</v>
      </c>
      <c r="B349" s="2">
        <v>285</v>
      </c>
      <c r="C349" s="2">
        <v>111</v>
      </c>
      <c r="D349" s="2">
        <v>20</v>
      </c>
      <c r="E349" s="2">
        <v>90</v>
      </c>
      <c r="F349" s="2">
        <v>1</v>
      </c>
      <c r="G349" s="2">
        <v>114.2</v>
      </c>
      <c r="H349" s="2">
        <v>2000</v>
      </c>
      <c r="I349" s="2">
        <v>144</v>
      </c>
      <c r="J349" s="2">
        <v>228382</v>
      </c>
      <c r="K349" s="2">
        <v>5857</v>
      </c>
      <c r="L349" s="2">
        <v>278.60000000000002</v>
      </c>
      <c r="M349" s="2">
        <v>489.6</v>
      </c>
      <c r="N349" s="2">
        <v>18650</v>
      </c>
      <c r="O349" s="2">
        <v>41.3</v>
      </c>
    </row>
    <row r="350" spans="1:15" ht="24.95" customHeight="1" x14ac:dyDescent="0.25">
      <c r="A350" s="17" t="s">
        <v>472</v>
      </c>
      <c r="B350" s="2">
        <v>266</v>
      </c>
      <c r="C350" s="2">
        <v>108</v>
      </c>
      <c r="D350" s="2">
        <v>16.7</v>
      </c>
      <c r="E350" s="2">
        <v>90</v>
      </c>
      <c r="F350" s="2">
        <v>1.3</v>
      </c>
      <c r="G350" s="2">
        <v>112.8</v>
      </c>
      <c r="H350" s="2">
        <v>1546</v>
      </c>
      <c r="I350" s="2">
        <v>141</v>
      </c>
      <c r="J350" s="2">
        <v>174350</v>
      </c>
      <c r="K350" s="2">
        <v>6435</v>
      </c>
      <c r="L350" s="2">
        <v>227.7</v>
      </c>
      <c r="M350" s="2">
        <v>403.4</v>
      </c>
      <c r="N350" s="2">
        <v>20800</v>
      </c>
      <c r="O350" s="2">
        <v>57.6</v>
      </c>
    </row>
    <row r="351" spans="1:15" ht="24.95" customHeight="1" x14ac:dyDescent="0.25">
      <c r="A351" s="17" t="s">
        <v>473</v>
      </c>
      <c r="B351" s="2">
        <v>275</v>
      </c>
      <c r="C351" s="2">
        <v>109</v>
      </c>
      <c r="D351" s="2">
        <v>18.8</v>
      </c>
      <c r="E351" s="2">
        <v>90</v>
      </c>
      <c r="F351" s="2">
        <v>0.2</v>
      </c>
      <c r="G351" s="2">
        <v>111.9</v>
      </c>
      <c r="H351" s="2">
        <v>6767</v>
      </c>
      <c r="I351" s="2">
        <v>152</v>
      </c>
      <c r="J351" s="2">
        <v>756950</v>
      </c>
      <c r="K351" s="2">
        <v>13926</v>
      </c>
      <c r="L351" s="2">
        <v>855.5</v>
      </c>
      <c r="M351" s="2">
        <v>1574.8</v>
      </c>
      <c r="N351" s="2">
        <v>48050</v>
      </c>
      <c r="O351" s="2">
        <v>20.5</v>
      </c>
    </row>
    <row r="352" spans="1:15" ht="24.95" customHeight="1" x14ac:dyDescent="0.25">
      <c r="A352" s="17" t="s">
        <v>474</v>
      </c>
      <c r="B352" s="2">
        <v>271</v>
      </c>
      <c r="C352" s="2">
        <v>105</v>
      </c>
      <c r="D352" s="2">
        <v>14.2</v>
      </c>
      <c r="E352" s="2">
        <v>90</v>
      </c>
      <c r="F352" s="2">
        <v>0.8</v>
      </c>
      <c r="G352" s="2">
        <v>108.4</v>
      </c>
      <c r="H352" s="2">
        <v>1489</v>
      </c>
      <c r="I352" s="2">
        <v>161</v>
      </c>
      <c r="J352" s="2">
        <v>161434</v>
      </c>
      <c r="K352" s="2">
        <v>3731</v>
      </c>
      <c r="L352" s="2">
        <v>168.4</v>
      </c>
      <c r="M352" s="2">
        <v>363.3</v>
      </c>
      <c r="N352" s="2">
        <v>12930</v>
      </c>
      <c r="O352" s="2">
        <v>38.799999999999997</v>
      </c>
    </row>
    <row r="353" spans="1:15" ht="24.95" customHeight="1" x14ac:dyDescent="0.25">
      <c r="A353" s="17" t="s">
        <v>475</v>
      </c>
      <c r="B353" s="2">
        <v>268</v>
      </c>
      <c r="C353" s="2">
        <v>112</v>
      </c>
      <c r="D353" s="2">
        <v>21.2</v>
      </c>
      <c r="E353" s="2">
        <v>90</v>
      </c>
      <c r="F353" s="2">
        <v>0.8</v>
      </c>
      <c r="G353" s="2">
        <v>115</v>
      </c>
      <c r="H353" s="2">
        <v>577</v>
      </c>
      <c r="I353" s="2">
        <v>123</v>
      </c>
      <c r="J353" s="2">
        <v>66362</v>
      </c>
      <c r="K353" s="2">
        <v>2773</v>
      </c>
      <c r="L353" s="2">
        <v>113.9</v>
      </c>
      <c r="M353" s="2">
        <v>148.19999999999999</v>
      </c>
      <c r="N353" s="2">
        <v>8850</v>
      </c>
      <c r="O353" s="2">
        <v>62</v>
      </c>
    </row>
    <row r="354" spans="1:15" ht="24.95" customHeight="1" x14ac:dyDescent="0.25">
      <c r="A354" s="17" t="s">
        <v>476</v>
      </c>
      <c r="B354" s="2">
        <v>274</v>
      </c>
      <c r="C354" s="2">
        <v>108</v>
      </c>
      <c r="D354" s="2">
        <v>17.7</v>
      </c>
      <c r="E354" s="2">
        <v>90</v>
      </c>
      <c r="F354" s="2">
        <v>0.3</v>
      </c>
      <c r="G354" s="2">
        <v>110.9</v>
      </c>
      <c r="H354" s="2">
        <v>2405</v>
      </c>
      <c r="I354" s="2">
        <v>132</v>
      </c>
      <c r="J354" s="2">
        <v>266684</v>
      </c>
      <c r="K354" s="2">
        <v>6065</v>
      </c>
      <c r="L354" s="2">
        <v>376.7</v>
      </c>
      <c r="M354" s="2">
        <v>577.1</v>
      </c>
      <c r="N354" s="2">
        <v>20040</v>
      </c>
      <c r="O354" s="2">
        <v>32.700000000000003</v>
      </c>
    </row>
    <row r="355" spans="1:15" ht="24.95" customHeight="1" x14ac:dyDescent="0.25">
      <c r="A355" s="17" t="s">
        <v>477</v>
      </c>
      <c r="B355" s="2">
        <v>278</v>
      </c>
      <c r="C355" s="2">
        <v>107</v>
      </c>
      <c r="D355" s="2">
        <v>15.6</v>
      </c>
      <c r="E355" s="2">
        <v>90</v>
      </c>
      <c r="F355" s="2">
        <v>1.4</v>
      </c>
      <c r="G355" s="2">
        <v>107.9</v>
      </c>
      <c r="H355" s="2">
        <v>713</v>
      </c>
      <c r="I355" s="2">
        <v>145</v>
      </c>
      <c r="J355" s="2">
        <v>76953</v>
      </c>
      <c r="K355" s="2">
        <v>2655</v>
      </c>
      <c r="L355" s="2">
        <v>144.30000000000001</v>
      </c>
      <c r="M355" s="2">
        <v>187.3</v>
      </c>
      <c r="N355" s="2">
        <v>7880</v>
      </c>
      <c r="O355" s="2">
        <v>46.9</v>
      </c>
    </row>
    <row r="356" spans="1:15" ht="24.95" customHeight="1" x14ac:dyDescent="0.25">
      <c r="A356" s="17" t="s">
        <v>478</v>
      </c>
      <c r="B356" s="2">
        <v>274</v>
      </c>
      <c r="C356" s="2">
        <v>108</v>
      </c>
      <c r="D356" s="2">
        <v>17.600000000000001</v>
      </c>
      <c r="E356" s="2">
        <v>90</v>
      </c>
      <c r="F356" s="2">
        <v>0.4</v>
      </c>
      <c r="G356" s="2">
        <v>109.3</v>
      </c>
      <c r="H356" s="2">
        <v>7177</v>
      </c>
      <c r="I356" s="2">
        <v>187</v>
      </c>
      <c r="J356" s="2">
        <v>784349</v>
      </c>
      <c r="K356" s="2">
        <v>14108</v>
      </c>
      <c r="L356" s="2">
        <v>832</v>
      </c>
      <c r="M356" s="2">
        <v>1828.5</v>
      </c>
      <c r="N356" s="2">
        <v>46870</v>
      </c>
      <c r="O356" s="2">
        <v>10.9</v>
      </c>
    </row>
    <row r="357" spans="1:15" ht="24.95" customHeight="1" x14ac:dyDescent="0.25">
      <c r="A357" s="17" t="s">
        <v>470</v>
      </c>
      <c r="B357" s="2">
        <v>281</v>
      </c>
      <c r="C357" s="2">
        <v>108</v>
      </c>
      <c r="D357" s="2">
        <v>17.100000000000001</v>
      </c>
      <c r="E357" s="2">
        <v>90</v>
      </c>
      <c r="F357" s="2">
        <v>0.9</v>
      </c>
      <c r="G357" s="2">
        <v>112</v>
      </c>
      <c r="H357" s="2">
        <v>3300</v>
      </c>
      <c r="I357" s="2">
        <v>159</v>
      </c>
      <c r="J357" s="2">
        <v>369539</v>
      </c>
      <c r="K357" s="2">
        <v>9433</v>
      </c>
      <c r="L357" s="2">
        <v>538.5</v>
      </c>
      <c r="M357" s="2">
        <v>826.7</v>
      </c>
      <c r="N357" s="2">
        <v>28200</v>
      </c>
      <c r="O357" s="2">
        <v>37</v>
      </c>
    </row>
    <row r="358" spans="1:15" ht="24.95" customHeight="1" x14ac:dyDescent="0.25">
      <c r="A358" s="17" t="s">
        <v>480</v>
      </c>
      <c r="B358" s="2">
        <v>283</v>
      </c>
      <c r="C358" s="2">
        <v>108</v>
      </c>
      <c r="D358" s="2">
        <v>17</v>
      </c>
      <c r="E358" s="2">
        <v>90</v>
      </c>
      <c r="F358" s="2">
        <v>1</v>
      </c>
      <c r="G358" s="2">
        <v>110.9</v>
      </c>
      <c r="H358" s="2">
        <v>664</v>
      </c>
      <c r="I358" s="2">
        <v>153</v>
      </c>
      <c r="J358" s="2">
        <v>73636</v>
      </c>
      <c r="K358" s="2">
        <v>2025</v>
      </c>
      <c r="L358" s="2">
        <v>105</v>
      </c>
      <c r="M358" s="2">
        <v>169</v>
      </c>
      <c r="N358" s="2">
        <v>6920</v>
      </c>
      <c r="O358" s="2">
        <v>44.5</v>
      </c>
    </row>
    <row r="359" spans="1:15" ht="24.95" customHeight="1" x14ac:dyDescent="0.25">
      <c r="A359" s="17" t="s">
        <v>481</v>
      </c>
      <c r="B359" s="2">
        <v>286</v>
      </c>
      <c r="C359" s="2">
        <v>110</v>
      </c>
      <c r="D359" s="2">
        <v>19.600000000000001</v>
      </c>
      <c r="E359" s="2">
        <v>90</v>
      </c>
      <c r="F359" s="2">
        <v>0.4</v>
      </c>
      <c r="G359" s="2">
        <v>112.6</v>
      </c>
      <c r="H359" s="2">
        <v>3650</v>
      </c>
      <c r="I359" s="2">
        <v>153</v>
      </c>
      <c r="J359" s="2">
        <v>410958</v>
      </c>
      <c r="K359" s="2">
        <v>9265</v>
      </c>
      <c r="L359" s="2">
        <v>452.7</v>
      </c>
      <c r="M359" s="2">
        <v>938.7</v>
      </c>
      <c r="N359" s="2">
        <v>30970</v>
      </c>
      <c r="O359" s="2">
        <v>32.5</v>
      </c>
    </row>
    <row r="360" spans="1:15" ht="24.95" customHeight="1" x14ac:dyDescent="0.25">
      <c r="A360" s="17" t="s">
        <v>482</v>
      </c>
      <c r="B360" s="2">
        <v>288</v>
      </c>
      <c r="C360" s="2">
        <v>110</v>
      </c>
      <c r="D360" s="2">
        <v>19.8</v>
      </c>
      <c r="E360" s="2">
        <v>90</v>
      </c>
      <c r="F360" s="2">
        <v>0.2</v>
      </c>
      <c r="G360" s="2">
        <v>111</v>
      </c>
      <c r="H360" s="2">
        <v>2598</v>
      </c>
      <c r="I360" s="2">
        <v>193</v>
      </c>
      <c r="J360" s="2">
        <v>288435</v>
      </c>
      <c r="K360" s="2">
        <v>6593</v>
      </c>
      <c r="L360" s="2">
        <v>431</v>
      </c>
      <c r="M360" s="2">
        <v>604.5</v>
      </c>
      <c r="N360" s="2">
        <v>21500</v>
      </c>
      <c r="O360" s="2">
        <v>36.6</v>
      </c>
    </row>
    <row r="361" spans="1:15" ht="24.95" customHeight="1" x14ac:dyDescent="0.25">
      <c r="A361" s="17" t="s">
        <v>483</v>
      </c>
      <c r="B361" s="2">
        <v>302</v>
      </c>
      <c r="C361" s="2">
        <v>119</v>
      </c>
      <c r="D361" s="2">
        <v>26.8</v>
      </c>
      <c r="E361" s="2">
        <v>90</v>
      </c>
      <c r="F361" s="2">
        <v>2.2000000000000002</v>
      </c>
      <c r="G361" s="2">
        <v>120.5</v>
      </c>
      <c r="H361" s="2">
        <v>1403</v>
      </c>
      <c r="I361" s="2">
        <v>148</v>
      </c>
      <c r="J361" s="2">
        <v>169029</v>
      </c>
      <c r="K361" s="2">
        <v>5539</v>
      </c>
      <c r="L361" s="2">
        <v>183.2</v>
      </c>
      <c r="M361" s="2">
        <v>357.2</v>
      </c>
      <c r="N361" s="2">
        <v>17590</v>
      </c>
      <c r="O361" s="2">
        <v>55.3</v>
      </c>
    </row>
    <row r="362" spans="1:15" ht="24.95" customHeight="1" x14ac:dyDescent="0.25">
      <c r="A362" s="17" t="s">
        <v>484</v>
      </c>
      <c r="B362" s="2">
        <v>167</v>
      </c>
      <c r="C362" s="2">
        <v>69</v>
      </c>
      <c r="H362" s="2">
        <v>129209</v>
      </c>
      <c r="I362" s="2">
        <v>171</v>
      </c>
      <c r="J362" s="2">
        <v>8915421</v>
      </c>
      <c r="K362" s="2">
        <v>239779</v>
      </c>
      <c r="L362" s="2">
        <v>18093.099999999999</v>
      </c>
      <c r="M362" s="2">
        <v>30589.4</v>
      </c>
      <c r="N362" s="2">
        <v>801740</v>
      </c>
      <c r="O362" s="2">
        <v>11.1</v>
      </c>
    </row>
    <row r="363" spans="1:15" ht="24.95" customHeight="1" x14ac:dyDescent="0.25">
      <c r="A363" s="17" t="s">
        <v>485</v>
      </c>
      <c r="B363" s="2">
        <v>282</v>
      </c>
      <c r="C363" s="2">
        <v>112</v>
      </c>
      <c r="D363" s="2">
        <v>42.1</v>
      </c>
      <c r="E363" s="2">
        <v>69.5</v>
      </c>
      <c r="F363" s="2">
        <v>0.4</v>
      </c>
      <c r="H363" s="2">
        <v>5760</v>
      </c>
      <c r="I363" s="2">
        <v>150</v>
      </c>
      <c r="J363" s="2">
        <v>645120</v>
      </c>
      <c r="K363" s="2">
        <v>7530</v>
      </c>
      <c r="L363" s="2">
        <v>526.70000000000005</v>
      </c>
      <c r="M363" s="2">
        <v>1204.2</v>
      </c>
      <c r="N363" s="2">
        <v>32810</v>
      </c>
      <c r="O363" s="2">
        <v>4</v>
      </c>
    </row>
    <row r="364" spans="1:15" ht="24.95" customHeight="1" x14ac:dyDescent="0.25">
      <c r="A364" s="17" t="s">
        <v>486</v>
      </c>
      <c r="B364" s="2">
        <v>286</v>
      </c>
      <c r="C364" s="2">
        <v>114</v>
      </c>
      <c r="D364" s="2">
        <v>44.2</v>
      </c>
      <c r="E364" s="2">
        <v>69.5</v>
      </c>
      <c r="F364" s="2">
        <v>0.3</v>
      </c>
      <c r="H364" s="2">
        <v>3190</v>
      </c>
      <c r="I364" s="2">
        <v>177</v>
      </c>
      <c r="J364" s="2">
        <v>363660</v>
      </c>
      <c r="K364" s="2">
        <v>5396</v>
      </c>
      <c r="L364" s="2">
        <v>408.1</v>
      </c>
      <c r="M364" s="2">
        <v>760.7</v>
      </c>
      <c r="N364" s="2">
        <v>17960</v>
      </c>
    </row>
    <row r="365" spans="1:15" ht="24.95" customHeight="1" x14ac:dyDescent="0.25">
      <c r="A365" s="17" t="s">
        <v>501</v>
      </c>
      <c r="B365" s="2">
        <v>280</v>
      </c>
      <c r="C365" s="2">
        <v>112</v>
      </c>
      <c r="D365" s="2">
        <v>39.6</v>
      </c>
      <c r="E365" s="2">
        <v>72</v>
      </c>
      <c r="F365" s="2">
        <v>0.4</v>
      </c>
      <c r="H365" s="2">
        <v>5500</v>
      </c>
      <c r="I365" s="2">
        <v>209</v>
      </c>
      <c r="J365" s="2">
        <v>616000</v>
      </c>
      <c r="K365" s="2">
        <v>8994</v>
      </c>
      <c r="L365" s="2">
        <v>638.5</v>
      </c>
      <c r="M365" s="2">
        <v>1297.2</v>
      </c>
      <c r="N365" s="2">
        <v>26990</v>
      </c>
    </row>
    <row r="366" spans="1:15" ht="24.95" customHeight="1" x14ac:dyDescent="0.25">
      <c r="A366" s="17" t="s">
        <v>488</v>
      </c>
      <c r="B366" s="2">
        <v>260</v>
      </c>
      <c r="C366" s="2">
        <v>106</v>
      </c>
      <c r="D366" s="2">
        <v>33.700000000000003</v>
      </c>
      <c r="E366" s="2">
        <v>72</v>
      </c>
      <c r="F366" s="2">
        <v>0.3</v>
      </c>
      <c r="H366" s="2">
        <v>5580</v>
      </c>
      <c r="I366" s="2">
        <v>198</v>
      </c>
      <c r="J366" s="2">
        <v>591480</v>
      </c>
      <c r="K366" s="2">
        <v>9064</v>
      </c>
      <c r="L366" s="2">
        <v>944.1</v>
      </c>
      <c r="M366" s="2">
        <v>1393.6</v>
      </c>
      <c r="N366" s="2">
        <v>26640</v>
      </c>
    </row>
    <row r="367" spans="1:15" ht="24.95" customHeight="1" x14ac:dyDescent="0.25">
      <c r="A367" s="17" t="s">
        <v>489</v>
      </c>
      <c r="B367" s="2">
        <v>276</v>
      </c>
      <c r="C367" s="2">
        <v>112</v>
      </c>
      <c r="D367" s="2">
        <v>38.9</v>
      </c>
      <c r="E367" s="2">
        <v>72</v>
      </c>
      <c r="F367" s="2">
        <v>1.1000000000000001</v>
      </c>
      <c r="H367" s="2">
        <v>5940</v>
      </c>
      <c r="I367" s="2">
        <v>180</v>
      </c>
      <c r="J367" s="2">
        <v>665280</v>
      </c>
      <c r="K367" s="2">
        <v>12051</v>
      </c>
      <c r="L367" s="2">
        <v>943.7</v>
      </c>
      <c r="M367" s="2">
        <v>1500.3</v>
      </c>
      <c r="N367" s="2">
        <v>33080</v>
      </c>
      <c r="O367" s="2">
        <v>13.4</v>
      </c>
    </row>
    <row r="368" spans="1:15" ht="24.95" customHeight="1" x14ac:dyDescent="0.25">
      <c r="A368" s="17" t="s">
        <v>490</v>
      </c>
      <c r="B368" s="2">
        <v>266</v>
      </c>
      <c r="C368" s="2">
        <v>108</v>
      </c>
      <c r="D368" s="2">
        <v>37.799999999999997</v>
      </c>
      <c r="E368" s="2">
        <v>69.5</v>
      </c>
      <c r="F368" s="2">
        <v>0.7</v>
      </c>
      <c r="H368" s="2">
        <v>9600</v>
      </c>
      <c r="I368" s="2">
        <v>161</v>
      </c>
      <c r="J368" s="2">
        <v>1036800</v>
      </c>
      <c r="K368" s="2">
        <v>18314</v>
      </c>
      <c r="L368" s="2">
        <v>1315.4</v>
      </c>
      <c r="M368" s="2">
        <v>2125.1</v>
      </c>
      <c r="N368" s="2">
        <v>68850</v>
      </c>
      <c r="O368" s="2">
        <v>23.8</v>
      </c>
    </row>
    <row r="369" spans="1:15" ht="24.95" customHeight="1" x14ac:dyDescent="0.25">
      <c r="A369" s="17" t="s">
        <v>491</v>
      </c>
      <c r="B369" s="2">
        <v>261</v>
      </c>
      <c r="C369" s="2">
        <v>106</v>
      </c>
      <c r="D369" s="2">
        <v>33.700000000000003</v>
      </c>
      <c r="E369" s="2">
        <v>72</v>
      </c>
      <c r="F369" s="2">
        <v>0.3</v>
      </c>
      <c r="H369" s="2">
        <v>5650</v>
      </c>
      <c r="I369" s="2">
        <v>174</v>
      </c>
      <c r="J369" s="2">
        <v>598900</v>
      </c>
      <c r="K369" s="2">
        <v>11159</v>
      </c>
      <c r="L369" s="2">
        <v>983.9</v>
      </c>
      <c r="M369" s="2">
        <v>1393.7</v>
      </c>
      <c r="N369" s="2">
        <v>29220</v>
      </c>
    </row>
    <row r="370" spans="1:15" ht="24.95" customHeight="1" x14ac:dyDescent="0.25">
      <c r="A370" s="17" t="s">
        <v>492</v>
      </c>
      <c r="B370" s="2">
        <v>258</v>
      </c>
      <c r="C370" s="2">
        <v>116</v>
      </c>
      <c r="D370" s="2">
        <v>43.4</v>
      </c>
      <c r="E370" s="2">
        <v>72</v>
      </c>
      <c r="F370" s="2">
        <v>0.6</v>
      </c>
      <c r="H370" s="2">
        <v>1053</v>
      </c>
      <c r="I370" s="2">
        <v>177</v>
      </c>
      <c r="J370" s="2">
        <v>122148</v>
      </c>
      <c r="K370" s="2">
        <v>1957</v>
      </c>
      <c r="L370" s="2">
        <v>129.30000000000001</v>
      </c>
      <c r="M370" s="2">
        <v>264</v>
      </c>
      <c r="N370" s="2">
        <v>6400</v>
      </c>
      <c r="O370" s="2">
        <v>6.8</v>
      </c>
    </row>
    <row r="371" spans="1:15" ht="24.95" customHeight="1" x14ac:dyDescent="0.25">
      <c r="A371" s="17" t="s">
        <v>6747</v>
      </c>
      <c r="B371" s="2">
        <v>280</v>
      </c>
      <c r="C371" s="2">
        <v>114</v>
      </c>
      <c r="D371" s="2">
        <v>44.6</v>
      </c>
      <c r="E371" s="2">
        <v>69</v>
      </c>
      <c r="F371" s="2">
        <v>0.4</v>
      </c>
      <c r="H371" s="2">
        <v>5725</v>
      </c>
      <c r="I371" s="2">
        <v>157</v>
      </c>
      <c r="J371" s="2">
        <v>652650</v>
      </c>
      <c r="K371" s="2">
        <v>8666</v>
      </c>
      <c r="L371" s="2">
        <v>718.2</v>
      </c>
      <c r="M371" s="2">
        <v>1395.7</v>
      </c>
      <c r="N371" s="2">
        <v>28650</v>
      </c>
    </row>
    <row r="372" spans="1:15" ht="24.95" customHeight="1" x14ac:dyDescent="0.25">
      <c r="A372" s="17" t="s">
        <v>494</v>
      </c>
      <c r="B372" s="2">
        <v>284</v>
      </c>
      <c r="C372" s="2">
        <v>118</v>
      </c>
      <c r="D372" s="2">
        <v>45.5</v>
      </c>
      <c r="E372" s="2">
        <v>72</v>
      </c>
      <c r="F372" s="2">
        <v>0.5</v>
      </c>
      <c r="H372" s="2">
        <v>1590</v>
      </c>
      <c r="I372" s="2">
        <v>203</v>
      </c>
      <c r="J372" s="2">
        <v>187620</v>
      </c>
      <c r="K372" s="2">
        <v>2802</v>
      </c>
      <c r="L372" s="2">
        <v>168.6</v>
      </c>
      <c r="M372" s="2">
        <v>356.8</v>
      </c>
      <c r="N372" s="2">
        <v>9080</v>
      </c>
      <c r="O372" s="2">
        <v>5.0999999999999996</v>
      </c>
    </row>
    <row r="373" spans="1:15" ht="24.95" customHeight="1" x14ac:dyDescent="0.25">
      <c r="A373" s="17" t="s">
        <v>495</v>
      </c>
      <c r="B373" s="2">
        <v>266</v>
      </c>
      <c r="C373" s="2">
        <v>110</v>
      </c>
      <c r="D373" s="2">
        <v>37.4</v>
      </c>
      <c r="E373" s="2">
        <v>72</v>
      </c>
      <c r="F373" s="2">
        <v>0.6</v>
      </c>
      <c r="H373" s="2">
        <v>10040</v>
      </c>
      <c r="I373" s="2">
        <v>215</v>
      </c>
      <c r="J373" s="2">
        <v>1104400</v>
      </c>
      <c r="K373" s="2">
        <v>19703</v>
      </c>
      <c r="L373" s="2">
        <v>1580</v>
      </c>
      <c r="M373" s="2">
        <v>2335.1</v>
      </c>
      <c r="N373" s="2">
        <v>63170</v>
      </c>
      <c r="O373" s="2">
        <v>13.6</v>
      </c>
    </row>
    <row r="374" spans="1:15" ht="24.95" customHeight="1" x14ac:dyDescent="0.25">
      <c r="A374" s="17" t="s">
        <v>496</v>
      </c>
      <c r="B374" s="2">
        <v>244</v>
      </c>
      <c r="C374" s="2">
        <v>104</v>
      </c>
      <c r="D374" s="2">
        <v>31.8</v>
      </c>
      <c r="E374" s="2">
        <v>72</v>
      </c>
      <c r="F374" s="2">
        <v>0.2</v>
      </c>
      <c r="H374" s="2">
        <v>5625</v>
      </c>
      <c r="I374" s="2">
        <v>148</v>
      </c>
      <c r="J374" s="2">
        <v>585000</v>
      </c>
      <c r="K374" s="2">
        <v>8493</v>
      </c>
      <c r="L374" s="2">
        <v>669.2</v>
      </c>
      <c r="M374" s="2">
        <v>1183.9000000000001</v>
      </c>
      <c r="N374" s="2">
        <v>33430</v>
      </c>
      <c r="O374" s="2">
        <v>9.6</v>
      </c>
    </row>
    <row r="375" spans="1:15" ht="24.95" customHeight="1" x14ac:dyDescent="0.25">
      <c r="A375" s="17" t="s">
        <v>497</v>
      </c>
      <c r="B375" s="2">
        <v>282</v>
      </c>
      <c r="C375" s="2">
        <v>112</v>
      </c>
      <c r="D375" s="2">
        <v>39.700000000000003</v>
      </c>
      <c r="E375" s="2">
        <v>72</v>
      </c>
      <c r="F375" s="2">
        <v>0.3</v>
      </c>
      <c r="H375" s="2">
        <v>2176</v>
      </c>
      <c r="I375" s="2">
        <v>166</v>
      </c>
      <c r="J375" s="2">
        <v>243712</v>
      </c>
      <c r="K375" s="2">
        <v>452</v>
      </c>
      <c r="L375" s="2">
        <v>403.6</v>
      </c>
      <c r="M375" s="2">
        <v>554.29999999999995</v>
      </c>
      <c r="N375" s="2">
        <v>14180</v>
      </c>
      <c r="O375" s="2">
        <v>12.4</v>
      </c>
    </row>
    <row r="376" spans="1:15" ht="24.95" customHeight="1" x14ac:dyDescent="0.25">
      <c r="A376" s="17" t="s">
        <v>498</v>
      </c>
      <c r="B376" s="2">
        <v>274</v>
      </c>
      <c r="C376" s="2">
        <v>108</v>
      </c>
      <c r="D376" s="2">
        <v>35.6</v>
      </c>
      <c r="E376" s="2">
        <v>72</v>
      </c>
      <c r="F376" s="2">
        <v>0.4</v>
      </c>
      <c r="H376" s="2">
        <v>11800</v>
      </c>
      <c r="I376" s="2">
        <v>161</v>
      </c>
      <c r="J376" s="2">
        <v>1274400</v>
      </c>
      <c r="K376" s="2">
        <v>25357</v>
      </c>
      <c r="L376" s="2">
        <v>1991</v>
      </c>
      <c r="M376" s="2">
        <v>2781.2</v>
      </c>
      <c r="N376" s="2">
        <v>78120</v>
      </c>
      <c r="O376" s="2">
        <v>21.6</v>
      </c>
    </row>
    <row r="377" spans="1:15" ht="24.95" customHeight="1" x14ac:dyDescent="0.25">
      <c r="A377" s="17" t="s">
        <v>499</v>
      </c>
      <c r="B377" s="2">
        <v>258</v>
      </c>
      <c r="C377" s="2">
        <v>104</v>
      </c>
      <c r="D377" s="2">
        <v>31.6</v>
      </c>
      <c r="E377" s="2">
        <v>72</v>
      </c>
      <c r="F377" s="2">
        <v>0.4</v>
      </c>
      <c r="H377" s="2">
        <v>1390</v>
      </c>
      <c r="I377" s="2">
        <v>196</v>
      </c>
      <c r="J377" s="2">
        <v>144560</v>
      </c>
      <c r="K377" s="2">
        <v>2474</v>
      </c>
      <c r="L377" s="2">
        <v>193.7</v>
      </c>
      <c r="M377" s="2">
        <v>349.1</v>
      </c>
      <c r="N377" s="2">
        <v>7730</v>
      </c>
    </row>
    <row r="378" spans="1:15" ht="24.95" customHeight="1" x14ac:dyDescent="0.25">
      <c r="A378" s="17" t="s">
        <v>494</v>
      </c>
      <c r="B378" s="2">
        <v>224</v>
      </c>
      <c r="C378" s="2">
        <v>90</v>
      </c>
      <c r="D378" s="2">
        <v>16.5</v>
      </c>
      <c r="E378" s="2">
        <v>72</v>
      </c>
      <c r="F378" s="2">
        <v>1.5</v>
      </c>
      <c r="G378" s="2">
        <v>91.2</v>
      </c>
      <c r="H378" s="2">
        <v>3130</v>
      </c>
      <c r="I378" s="2">
        <v>159</v>
      </c>
      <c r="J378" s="2">
        <v>285492</v>
      </c>
      <c r="K378" s="2">
        <v>6884</v>
      </c>
      <c r="L378" s="2">
        <v>441.7</v>
      </c>
      <c r="M378" s="2">
        <v>664.4</v>
      </c>
      <c r="N378" s="2">
        <v>25090</v>
      </c>
      <c r="O378" s="2">
        <v>32.700000000000003</v>
      </c>
    </row>
    <row r="379" spans="1:15" ht="24.95" customHeight="1" x14ac:dyDescent="0.25">
      <c r="A379" s="17" t="s">
        <v>486</v>
      </c>
      <c r="B379" s="2">
        <v>236</v>
      </c>
      <c r="C379" s="2">
        <v>94</v>
      </c>
      <c r="D379" s="2">
        <v>20.6</v>
      </c>
      <c r="E379" s="2">
        <v>72</v>
      </c>
      <c r="F379" s="2">
        <v>1.4</v>
      </c>
      <c r="G379" s="2">
        <v>95.1</v>
      </c>
      <c r="H379" s="2">
        <v>2142</v>
      </c>
      <c r="I379" s="2">
        <v>155</v>
      </c>
      <c r="J379" s="2">
        <v>203808</v>
      </c>
      <c r="K379" s="2">
        <v>4090</v>
      </c>
      <c r="L379" s="2">
        <v>245.4</v>
      </c>
      <c r="M379" s="2">
        <v>421.8</v>
      </c>
      <c r="N379" s="2">
        <v>19760</v>
      </c>
      <c r="O379" s="2">
        <v>43.5</v>
      </c>
    </row>
    <row r="380" spans="1:15" ht="24.95" customHeight="1" x14ac:dyDescent="0.25">
      <c r="A380" s="17" t="s">
        <v>501</v>
      </c>
      <c r="B380" s="2">
        <v>222</v>
      </c>
      <c r="C380" s="2">
        <v>90</v>
      </c>
      <c r="D380" s="2">
        <v>16.7</v>
      </c>
      <c r="E380" s="2">
        <v>72</v>
      </c>
      <c r="F380" s="2">
        <v>1.3</v>
      </c>
      <c r="G380" s="2">
        <v>92.4</v>
      </c>
      <c r="H380" s="2">
        <v>2270</v>
      </c>
      <c r="I380" s="2">
        <v>170</v>
      </c>
      <c r="J380" s="2">
        <v>290744</v>
      </c>
      <c r="K380" s="2">
        <v>5174</v>
      </c>
      <c r="L380" s="2">
        <v>353.2</v>
      </c>
      <c r="M380" s="2">
        <v>493.2</v>
      </c>
      <c r="N380" s="2">
        <v>19640</v>
      </c>
      <c r="O380" s="2">
        <v>36.4</v>
      </c>
    </row>
    <row r="381" spans="1:15" ht="24.95" customHeight="1" x14ac:dyDescent="0.25">
      <c r="A381" s="17" t="s">
        <v>502</v>
      </c>
      <c r="B381" s="2">
        <v>228</v>
      </c>
      <c r="C381" s="2">
        <v>92</v>
      </c>
      <c r="D381" s="2">
        <v>18.8</v>
      </c>
      <c r="E381" s="2">
        <v>72</v>
      </c>
      <c r="F381" s="2">
        <v>1.2</v>
      </c>
      <c r="G381" s="2">
        <v>93.7</v>
      </c>
      <c r="H381" s="2">
        <v>2612</v>
      </c>
      <c r="I381" s="2">
        <v>159</v>
      </c>
      <c r="J381" s="2">
        <v>244711</v>
      </c>
      <c r="K381" s="2">
        <v>6753</v>
      </c>
      <c r="L381" s="2">
        <v>434.5</v>
      </c>
      <c r="M381" s="2">
        <v>611.6</v>
      </c>
      <c r="N381" s="2">
        <v>23300</v>
      </c>
      <c r="O381" s="2">
        <v>35.6</v>
      </c>
    </row>
    <row r="382" spans="1:15" ht="24.95" customHeight="1" x14ac:dyDescent="0.25">
      <c r="A382" s="17" t="s">
        <v>503</v>
      </c>
      <c r="B382" s="2">
        <v>234</v>
      </c>
      <c r="C382" s="2">
        <v>90</v>
      </c>
      <c r="D382" s="2">
        <v>16.899999999999999</v>
      </c>
      <c r="E382" s="2">
        <v>72</v>
      </c>
      <c r="F382" s="2">
        <v>1.1000000000000001</v>
      </c>
      <c r="G382" s="2">
        <v>92.9</v>
      </c>
      <c r="H382" s="2">
        <v>3560</v>
      </c>
      <c r="I382" s="2">
        <v>159</v>
      </c>
      <c r="J382" s="2">
        <v>330875</v>
      </c>
      <c r="K382" s="2">
        <v>7208</v>
      </c>
      <c r="L382" s="2">
        <v>518.5</v>
      </c>
      <c r="M382" s="2">
        <v>787.4</v>
      </c>
      <c r="N382" s="2">
        <v>26950</v>
      </c>
      <c r="O382" s="2">
        <v>30.6</v>
      </c>
    </row>
    <row r="383" spans="1:15" ht="24.95" customHeight="1" x14ac:dyDescent="0.25">
      <c r="A383" s="17" t="s">
        <v>504</v>
      </c>
      <c r="B383" s="2">
        <v>220</v>
      </c>
      <c r="C383" s="2">
        <v>89</v>
      </c>
      <c r="D383" s="2">
        <v>15.6</v>
      </c>
      <c r="E383" s="2">
        <v>72</v>
      </c>
      <c r="F383" s="2">
        <v>1.4</v>
      </c>
      <c r="G383" s="2">
        <v>90.6</v>
      </c>
      <c r="H383" s="2">
        <v>2846</v>
      </c>
      <c r="I383" s="2">
        <v>185</v>
      </c>
      <c r="J383" s="2">
        <v>257842</v>
      </c>
      <c r="K383" s="2">
        <v>7447</v>
      </c>
      <c r="L383" s="2">
        <v>485.2</v>
      </c>
      <c r="M383" s="2">
        <v>699.8</v>
      </c>
      <c r="N383" s="2">
        <v>23710</v>
      </c>
      <c r="O383" s="2">
        <v>33.200000000000003</v>
      </c>
    </row>
    <row r="384" spans="1:15" ht="24.95" customHeight="1" x14ac:dyDescent="0.25">
      <c r="A384" s="17" t="s">
        <v>505</v>
      </c>
      <c r="B384" s="2">
        <v>210</v>
      </c>
      <c r="C384" s="2">
        <v>90</v>
      </c>
      <c r="D384" s="2">
        <v>16.600000000000001</v>
      </c>
      <c r="E384" s="2">
        <v>72</v>
      </c>
      <c r="F384" s="2">
        <v>1.5</v>
      </c>
      <c r="G384" s="2">
        <v>90.7</v>
      </c>
      <c r="H384" s="2">
        <v>14700</v>
      </c>
      <c r="I384" s="2">
        <v>148</v>
      </c>
      <c r="J384" s="2">
        <v>1333030</v>
      </c>
      <c r="K384" s="2">
        <v>18387</v>
      </c>
      <c r="L384" s="2">
        <v>1303.4000000000001</v>
      </c>
      <c r="M384" s="2">
        <v>3897.8</v>
      </c>
      <c r="N384" s="2">
        <v>59750</v>
      </c>
    </row>
    <row r="385" spans="1:15" ht="24.95" customHeight="1" x14ac:dyDescent="0.25">
      <c r="A385" s="17" t="s">
        <v>499</v>
      </c>
      <c r="B385" s="2">
        <v>226</v>
      </c>
      <c r="C385" s="2">
        <v>92</v>
      </c>
      <c r="D385" s="2">
        <v>18.600000000000001</v>
      </c>
      <c r="E385" s="2">
        <v>72</v>
      </c>
      <c r="F385" s="2">
        <v>1.4</v>
      </c>
      <c r="G385" s="2">
        <v>93.3</v>
      </c>
      <c r="H385" s="2">
        <v>2800</v>
      </c>
      <c r="I385" s="2">
        <v>184</v>
      </c>
      <c r="J385" s="2">
        <v>261283</v>
      </c>
      <c r="K385" s="2">
        <v>7377</v>
      </c>
      <c r="L385" s="2">
        <v>533.1</v>
      </c>
      <c r="M385" s="2">
        <v>688.4</v>
      </c>
      <c r="N385" s="2">
        <v>23930</v>
      </c>
      <c r="O385" s="2">
        <v>32.1</v>
      </c>
    </row>
    <row r="386" spans="1:15" ht="24.95" customHeight="1" x14ac:dyDescent="0.25">
      <c r="A386" s="17" t="s">
        <v>506</v>
      </c>
      <c r="B386" s="2">
        <v>212</v>
      </c>
      <c r="C386" s="2">
        <v>86</v>
      </c>
      <c r="D386" s="2">
        <v>13.2</v>
      </c>
      <c r="E386" s="2">
        <v>72</v>
      </c>
      <c r="F386" s="2">
        <v>0.8</v>
      </c>
      <c r="G386" s="2">
        <v>90.3</v>
      </c>
      <c r="H386" s="2">
        <v>4375</v>
      </c>
      <c r="I386" s="2">
        <v>187</v>
      </c>
      <c r="J386" s="2">
        <v>394994</v>
      </c>
      <c r="K386" s="2">
        <v>9097</v>
      </c>
      <c r="L386" s="2">
        <v>653.9</v>
      </c>
      <c r="M386" s="2">
        <v>1059.4000000000001</v>
      </c>
      <c r="N386" s="2">
        <v>27380</v>
      </c>
      <c r="O386" s="2">
        <v>11.4</v>
      </c>
    </row>
    <row r="387" spans="1:15" ht="24.95" customHeight="1" x14ac:dyDescent="0.25">
      <c r="A387" s="17" t="s">
        <v>507</v>
      </c>
      <c r="B387" s="2">
        <v>216</v>
      </c>
      <c r="C387" s="2">
        <v>89</v>
      </c>
      <c r="D387" s="2">
        <v>15.9</v>
      </c>
      <c r="E387" s="2">
        <v>72</v>
      </c>
      <c r="F387" s="2">
        <v>1.1000000000000001</v>
      </c>
      <c r="G387" s="2">
        <v>90.6</v>
      </c>
      <c r="H387" s="2">
        <v>2925</v>
      </c>
      <c r="I387" s="2">
        <v>166</v>
      </c>
      <c r="J387" s="2">
        <v>264883</v>
      </c>
      <c r="K387" s="2">
        <v>6450</v>
      </c>
      <c r="L387" s="2">
        <v>450.3</v>
      </c>
      <c r="M387" s="2">
        <v>680.7</v>
      </c>
      <c r="N387" s="2">
        <v>22500</v>
      </c>
      <c r="O387" s="2">
        <v>25.2</v>
      </c>
    </row>
    <row r="388" spans="1:15" ht="24.95" customHeight="1" x14ac:dyDescent="0.25">
      <c r="A388" s="17" t="s">
        <v>6747</v>
      </c>
      <c r="B388" s="2">
        <v>230</v>
      </c>
      <c r="C388" s="2">
        <v>90</v>
      </c>
      <c r="D388" s="2">
        <v>17.2</v>
      </c>
      <c r="E388" s="2">
        <v>72</v>
      </c>
      <c r="F388" s="2">
        <v>0.8</v>
      </c>
      <c r="G388" s="2">
        <v>92.6</v>
      </c>
      <c r="H388" s="2">
        <v>7000</v>
      </c>
      <c r="I388" s="2">
        <v>183</v>
      </c>
      <c r="J388" s="2">
        <v>648510</v>
      </c>
      <c r="K388" s="2">
        <v>14424</v>
      </c>
      <c r="L388" s="2">
        <v>1060</v>
      </c>
      <c r="M388" s="2">
        <v>1690</v>
      </c>
      <c r="N388" s="2">
        <v>48420</v>
      </c>
      <c r="O388" s="2">
        <v>18.899999999999999</v>
      </c>
    </row>
    <row r="389" spans="1:15" ht="24.95" customHeight="1" x14ac:dyDescent="0.25">
      <c r="A389" s="17" t="s">
        <v>6748</v>
      </c>
      <c r="B389" s="2">
        <v>214</v>
      </c>
      <c r="C389" s="2">
        <v>83</v>
      </c>
      <c r="H389" s="2">
        <v>15724</v>
      </c>
      <c r="I389" s="2">
        <v>183</v>
      </c>
      <c r="J389" s="2">
        <v>1305092</v>
      </c>
      <c r="K389" s="2">
        <v>40202</v>
      </c>
      <c r="L389" s="2">
        <v>2043.5</v>
      </c>
      <c r="M389" s="2">
        <v>3975.7</v>
      </c>
      <c r="N389" s="2">
        <v>132670</v>
      </c>
      <c r="O389" s="2">
        <v>32.799999999999997</v>
      </c>
    </row>
    <row r="390" spans="1:15" ht="24.95" customHeight="1" x14ac:dyDescent="0.25">
      <c r="A390" s="17" t="s">
        <v>509</v>
      </c>
      <c r="B390" s="2">
        <v>356</v>
      </c>
      <c r="C390" s="2">
        <v>146</v>
      </c>
      <c r="D390" s="2">
        <v>64</v>
      </c>
      <c r="E390" s="2">
        <v>83</v>
      </c>
      <c r="F390" s="2">
        <v>-1.2</v>
      </c>
      <c r="H390" s="2">
        <v>7500</v>
      </c>
      <c r="I390" s="2">
        <v>188</v>
      </c>
      <c r="J390" s="2">
        <v>1095000</v>
      </c>
      <c r="K390" s="2">
        <v>12577</v>
      </c>
      <c r="L390" s="2">
        <v>753.8</v>
      </c>
      <c r="M390" s="2">
        <v>1939.6</v>
      </c>
      <c r="N390" s="2">
        <v>41300</v>
      </c>
    </row>
    <row r="391" spans="1:15" ht="24.95" customHeight="1" x14ac:dyDescent="0.25">
      <c r="A391" s="17" t="s">
        <v>510</v>
      </c>
      <c r="B391" s="2">
        <v>330</v>
      </c>
      <c r="C391" s="2">
        <v>128</v>
      </c>
      <c r="D391" s="2">
        <v>39.200000000000003</v>
      </c>
      <c r="E391" s="2">
        <v>90</v>
      </c>
      <c r="F391" s="2">
        <v>-1.2</v>
      </c>
      <c r="H391" s="2">
        <v>820</v>
      </c>
      <c r="I391" s="2">
        <v>165</v>
      </c>
      <c r="J391" s="2">
        <v>104960</v>
      </c>
      <c r="K391" s="2">
        <v>2034</v>
      </c>
      <c r="L391" s="2">
        <v>104.2</v>
      </c>
      <c r="M391" s="2">
        <v>202.6</v>
      </c>
      <c r="N391" s="2">
        <v>6430</v>
      </c>
      <c r="O391" s="2">
        <v>30</v>
      </c>
    </row>
    <row r="392" spans="1:15" ht="24.95" customHeight="1" x14ac:dyDescent="0.25">
      <c r="A392" s="17" t="s">
        <v>511</v>
      </c>
      <c r="B392" s="2">
        <v>336</v>
      </c>
      <c r="C392" s="2">
        <v>152</v>
      </c>
      <c r="D392" s="2">
        <v>62.2</v>
      </c>
      <c r="E392" s="2">
        <v>90</v>
      </c>
      <c r="F392" s="2">
        <v>-0.2</v>
      </c>
      <c r="H392" s="2">
        <v>200</v>
      </c>
      <c r="I392" s="2">
        <v>150</v>
      </c>
      <c r="J392" s="2">
        <v>30400</v>
      </c>
      <c r="K392" s="2">
        <v>531</v>
      </c>
      <c r="L392" s="2">
        <v>26.3</v>
      </c>
      <c r="M392" s="2">
        <v>49.8</v>
      </c>
      <c r="N392" s="2">
        <v>1670</v>
      </c>
      <c r="O392" s="2">
        <v>29.3</v>
      </c>
    </row>
    <row r="393" spans="1:15" ht="24.95" customHeight="1" x14ac:dyDescent="0.25">
      <c r="A393" s="17" t="s">
        <v>512</v>
      </c>
      <c r="B393" s="2">
        <v>328</v>
      </c>
      <c r="C393" s="2">
        <v>144</v>
      </c>
      <c r="D393" s="2">
        <v>53.2</v>
      </c>
      <c r="E393" s="2">
        <v>90</v>
      </c>
      <c r="F393" s="2">
        <v>0.8</v>
      </c>
      <c r="H393" s="2">
        <v>226</v>
      </c>
      <c r="I393" s="2">
        <v>157</v>
      </c>
      <c r="J393" s="2">
        <v>32544</v>
      </c>
      <c r="K393" s="2">
        <v>614</v>
      </c>
      <c r="L393" s="2">
        <v>25.9</v>
      </c>
      <c r="M393" s="2">
        <v>58.4</v>
      </c>
      <c r="N393" s="2">
        <v>1890</v>
      </c>
      <c r="O393" s="2">
        <v>28.4</v>
      </c>
    </row>
    <row r="394" spans="1:15" ht="24.95" customHeight="1" x14ac:dyDescent="0.25">
      <c r="A394" s="17" t="s">
        <v>513</v>
      </c>
      <c r="B394" s="2">
        <v>346</v>
      </c>
      <c r="C394" s="2">
        <v>134</v>
      </c>
      <c r="D394" s="2">
        <v>44.4</v>
      </c>
      <c r="E394" s="2">
        <v>90</v>
      </c>
      <c r="F394" s="2">
        <v>-0.4</v>
      </c>
      <c r="H394" s="2">
        <v>460</v>
      </c>
      <c r="I394" s="2">
        <v>182</v>
      </c>
      <c r="J394" s="2">
        <v>61640</v>
      </c>
      <c r="K394" s="2">
        <v>1157</v>
      </c>
      <c r="L394" s="2">
        <v>60.9</v>
      </c>
      <c r="M394" s="2">
        <v>113.4</v>
      </c>
      <c r="N394" s="2">
        <v>3630</v>
      </c>
      <c r="O394" s="2">
        <v>30.3</v>
      </c>
    </row>
    <row r="395" spans="1:15" ht="24.95" customHeight="1" x14ac:dyDescent="0.25">
      <c r="A395" s="17" t="s">
        <v>514</v>
      </c>
      <c r="B395" s="2">
        <v>360</v>
      </c>
      <c r="C395" s="2">
        <v>144</v>
      </c>
      <c r="D395" s="2">
        <v>54.4</v>
      </c>
      <c r="E395" s="2">
        <v>90</v>
      </c>
      <c r="F395" s="2">
        <v>-0.4</v>
      </c>
      <c r="H395" s="2">
        <v>740</v>
      </c>
      <c r="I395" s="2">
        <v>161</v>
      </c>
      <c r="J395" s="2">
        <v>106560</v>
      </c>
      <c r="K395" s="2">
        <v>1681</v>
      </c>
      <c r="L395" s="2">
        <v>101.9</v>
      </c>
      <c r="M395" s="2">
        <v>201.4</v>
      </c>
      <c r="N395" s="2">
        <v>5700</v>
      </c>
      <c r="O395" s="2">
        <v>21.6</v>
      </c>
    </row>
    <row r="396" spans="1:15" ht="24.95" customHeight="1" x14ac:dyDescent="0.25">
      <c r="A396" s="17" t="s">
        <v>511</v>
      </c>
      <c r="B396" s="2">
        <v>266</v>
      </c>
      <c r="C396" s="2">
        <v>107</v>
      </c>
      <c r="D396" s="2">
        <v>16.600000000000001</v>
      </c>
      <c r="E396" s="2">
        <v>90</v>
      </c>
      <c r="F396" s="2">
        <v>0.4</v>
      </c>
      <c r="G396" s="2">
        <v>107.4</v>
      </c>
      <c r="H396" s="2">
        <v>421</v>
      </c>
      <c r="I396" s="2">
        <v>219</v>
      </c>
      <c r="J396" s="2">
        <v>45228</v>
      </c>
      <c r="K396" s="2">
        <v>2181</v>
      </c>
      <c r="L396" s="2">
        <v>92.8</v>
      </c>
      <c r="M396" s="2">
        <v>113.8</v>
      </c>
      <c r="N396" s="2">
        <v>6810</v>
      </c>
      <c r="O396" s="2">
        <v>63.2</v>
      </c>
    </row>
    <row r="397" spans="1:15" ht="24.95" customHeight="1" x14ac:dyDescent="0.25">
      <c r="A397" s="17" t="s">
        <v>515</v>
      </c>
      <c r="B397" s="2">
        <v>268</v>
      </c>
      <c r="C397" s="2">
        <v>108</v>
      </c>
      <c r="D397" s="2">
        <v>17.399999999999999</v>
      </c>
      <c r="E397" s="2">
        <v>90</v>
      </c>
      <c r="F397" s="2">
        <v>0.7</v>
      </c>
      <c r="G397" s="2">
        <v>108.9</v>
      </c>
      <c r="H397" s="2">
        <v>600</v>
      </c>
      <c r="I397" s="2">
        <v>199</v>
      </c>
      <c r="J397" s="2">
        <v>65338</v>
      </c>
      <c r="K397" s="2">
        <v>2434</v>
      </c>
      <c r="L397" s="2">
        <v>98.3</v>
      </c>
      <c r="M397" s="2">
        <v>139.5</v>
      </c>
      <c r="N397" s="2">
        <v>7890</v>
      </c>
      <c r="O397" s="2">
        <v>57</v>
      </c>
    </row>
    <row r="398" spans="1:15" ht="24.95" customHeight="1" x14ac:dyDescent="0.25">
      <c r="A398" s="17" t="s">
        <v>509</v>
      </c>
      <c r="B398" s="2">
        <v>278</v>
      </c>
      <c r="C398" s="2">
        <v>108</v>
      </c>
      <c r="D398" s="2">
        <v>17.899999999999999</v>
      </c>
      <c r="E398" s="2">
        <v>90</v>
      </c>
      <c r="F398" s="2">
        <v>0.1</v>
      </c>
      <c r="G398" s="2">
        <v>108.2</v>
      </c>
      <c r="H398" s="2">
        <v>1800</v>
      </c>
      <c r="I398" s="2">
        <v>171</v>
      </c>
      <c r="J398" s="2">
        <v>194722</v>
      </c>
      <c r="K398" s="2">
        <v>4444</v>
      </c>
      <c r="L398" s="2">
        <v>239.4</v>
      </c>
      <c r="M398" s="2">
        <v>402.4</v>
      </c>
      <c r="N398" s="2">
        <v>18470</v>
      </c>
      <c r="O398" s="2">
        <v>44.7</v>
      </c>
    </row>
    <row r="399" spans="1:15" ht="24.95" customHeight="1" x14ac:dyDescent="0.25">
      <c r="A399" s="17" t="s">
        <v>512</v>
      </c>
      <c r="B399" s="2">
        <v>270</v>
      </c>
      <c r="C399" s="2">
        <v>108</v>
      </c>
      <c r="D399" s="2">
        <v>17.8</v>
      </c>
      <c r="E399" s="2">
        <v>90</v>
      </c>
      <c r="F399" s="2">
        <v>0.4</v>
      </c>
      <c r="G399" s="2">
        <v>108</v>
      </c>
      <c r="H399" s="2">
        <v>308</v>
      </c>
      <c r="I399" s="2">
        <v>214</v>
      </c>
      <c r="J399" s="2">
        <v>33264</v>
      </c>
      <c r="K399" s="2">
        <v>1502</v>
      </c>
      <c r="L399" s="2">
        <v>56.8</v>
      </c>
      <c r="M399" s="2">
        <v>80.8</v>
      </c>
      <c r="N399" s="2">
        <v>4410</v>
      </c>
      <c r="O399" s="2">
        <v>61.3</v>
      </c>
    </row>
    <row r="400" spans="1:15" ht="24.95" customHeight="1" x14ac:dyDescent="0.25">
      <c r="A400" s="17" t="s">
        <v>513</v>
      </c>
      <c r="B400" s="2">
        <v>248.5</v>
      </c>
      <c r="C400" s="2">
        <v>92.2</v>
      </c>
      <c r="D400" s="2">
        <v>5.3</v>
      </c>
      <c r="E400" s="2">
        <v>86.5</v>
      </c>
      <c r="F400" s="2">
        <v>0.3</v>
      </c>
      <c r="G400" s="2">
        <v>107.3</v>
      </c>
      <c r="H400" s="2">
        <v>705</v>
      </c>
      <c r="I400" s="2">
        <v>196</v>
      </c>
      <c r="J400" s="2">
        <v>75674</v>
      </c>
      <c r="K400" s="2">
        <v>2482</v>
      </c>
      <c r="L400" s="2">
        <v>127.1</v>
      </c>
      <c r="M400" s="2">
        <v>175.7</v>
      </c>
      <c r="N400" s="2">
        <v>7920</v>
      </c>
      <c r="O400" s="2">
        <v>50.7</v>
      </c>
    </row>
    <row r="401" spans="1:15" ht="24.95" customHeight="1" x14ac:dyDescent="0.25">
      <c r="A401" s="17" t="s">
        <v>516</v>
      </c>
      <c r="B401" s="2">
        <v>268</v>
      </c>
      <c r="C401" s="2">
        <v>98</v>
      </c>
      <c r="D401" s="2">
        <v>7.3</v>
      </c>
      <c r="E401" s="2">
        <v>90</v>
      </c>
      <c r="F401" s="2">
        <v>0.7</v>
      </c>
      <c r="G401" s="2">
        <v>98.8</v>
      </c>
      <c r="H401" s="2">
        <v>740</v>
      </c>
      <c r="I401" s="2">
        <v>445</v>
      </c>
      <c r="J401" s="2">
        <v>73128</v>
      </c>
      <c r="K401" s="2">
        <v>3092</v>
      </c>
      <c r="L401" s="2">
        <v>113.3</v>
      </c>
      <c r="M401" s="2">
        <v>185.2</v>
      </c>
      <c r="N401" s="2">
        <v>9580</v>
      </c>
      <c r="O401" s="2">
        <v>61.5</v>
      </c>
    </row>
    <row r="402" spans="1:15" ht="24.95" customHeight="1" x14ac:dyDescent="0.25">
      <c r="A402" s="17" t="s">
        <v>517</v>
      </c>
      <c r="B402" s="2">
        <v>280</v>
      </c>
      <c r="C402" s="2">
        <v>108</v>
      </c>
      <c r="D402" s="2">
        <v>17</v>
      </c>
      <c r="E402" s="2">
        <v>90</v>
      </c>
      <c r="F402" s="2">
        <v>1</v>
      </c>
      <c r="G402" s="2">
        <v>108</v>
      </c>
      <c r="H402" s="2">
        <v>874</v>
      </c>
      <c r="I402" s="2">
        <v>226</v>
      </c>
      <c r="J402" s="2">
        <v>94392</v>
      </c>
      <c r="K402" s="2">
        <v>3655</v>
      </c>
      <c r="L402" s="2">
        <v>174.9</v>
      </c>
      <c r="M402" s="2">
        <v>225.7</v>
      </c>
      <c r="N402" s="2">
        <v>11440</v>
      </c>
      <c r="O402" s="2">
        <v>56.7</v>
      </c>
    </row>
    <row r="403" spans="1:15" ht="24.95" customHeight="1" x14ac:dyDescent="0.25">
      <c r="A403" s="17" t="s">
        <v>518</v>
      </c>
      <c r="B403" s="2">
        <v>272</v>
      </c>
      <c r="C403" s="2">
        <v>100</v>
      </c>
      <c r="D403" s="2">
        <v>8.6</v>
      </c>
      <c r="E403" s="2">
        <v>90</v>
      </c>
      <c r="F403" s="2">
        <v>1.4</v>
      </c>
      <c r="G403" s="2">
        <v>100.4</v>
      </c>
      <c r="H403" s="2">
        <v>330</v>
      </c>
      <c r="I403" s="2">
        <v>150</v>
      </c>
      <c r="J403" s="2">
        <v>33122</v>
      </c>
      <c r="K403" s="2">
        <v>1818</v>
      </c>
      <c r="L403" s="2">
        <v>67.900000000000006</v>
      </c>
      <c r="M403" s="2">
        <v>87.6</v>
      </c>
      <c r="N403" s="2">
        <v>5530</v>
      </c>
      <c r="O403" s="2">
        <v>65.3</v>
      </c>
    </row>
    <row r="404" spans="1:15" ht="24.95" customHeight="1" x14ac:dyDescent="0.25">
      <c r="A404" s="17" t="s">
        <v>6749</v>
      </c>
      <c r="B404" s="2">
        <v>178.5</v>
      </c>
      <c r="C404" s="2">
        <v>66</v>
      </c>
      <c r="H404" s="2">
        <v>197445</v>
      </c>
      <c r="I404" s="2">
        <v>224</v>
      </c>
      <c r="J404" s="2">
        <v>13031370</v>
      </c>
      <c r="K404" s="2">
        <v>260078</v>
      </c>
      <c r="L404" s="2">
        <v>25258.2</v>
      </c>
      <c r="M404" s="2">
        <v>47615.8</v>
      </c>
      <c r="N404" s="2">
        <v>857200</v>
      </c>
    </row>
    <row r="405" spans="1:15" ht="24.95" customHeight="1" x14ac:dyDescent="0.25">
      <c r="A405" s="17" t="s">
        <v>5324</v>
      </c>
      <c r="B405" s="2">
        <v>300</v>
      </c>
      <c r="C405" s="2">
        <v>108</v>
      </c>
      <c r="D405" s="2">
        <v>34</v>
      </c>
      <c r="E405" s="2">
        <v>74</v>
      </c>
      <c r="H405" s="2">
        <v>14300</v>
      </c>
      <c r="I405" s="2">
        <v>227</v>
      </c>
      <c r="J405" s="2">
        <v>1544400</v>
      </c>
      <c r="K405" s="2">
        <v>18201</v>
      </c>
      <c r="L405" s="2">
        <v>1583.2</v>
      </c>
      <c r="M405" s="2">
        <v>3214.4</v>
      </c>
      <c r="N405" s="2">
        <v>58270</v>
      </c>
    </row>
    <row r="406" spans="1:15" ht="24.95" customHeight="1" x14ac:dyDescent="0.25">
      <c r="A406" s="17" t="s">
        <v>521</v>
      </c>
      <c r="B406" s="2">
        <v>298</v>
      </c>
      <c r="C406" s="2">
        <v>105</v>
      </c>
      <c r="D406" s="2">
        <v>33.799999999999997</v>
      </c>
      <c r="E406" s="2">
        <v>71.8</v>
      </c>
      <c r="F406" s="2">
        <v>-0.6</v>
      </c>
      <c r="H406" s="2">
        <v>3800</v>
      </c>
      <c r="I406" s="2">
        <v>241</v>
      </c>
      <c r="J406" s="2">
        <v>399000</v>
      </c>
      <c r="K406" s="2">
        <v>5431</v>
      </c>
      <c r="L406" s="2">
        <v>432.4</v>
      </c>
      <c r="M406" s="2">
        <v>966.5</v>
      </c>
      <c r="N406" s="2">
        <v>16670</v>
      </c>
    </row>
    <row r="407" spans="1:15" ht="24.95" customHeight="1" x14ac:dyDescent="0.25">
      <c r="A407" s="17" t="s">
        <v>2893</v>
      </c>
      <c r="B407" s="2">
        <v>292</v>
      </c>
      <c r="C407" s="2">
        <v>107</v>
      </c>
      <c r="D407" s="2">
        <v>36.6</v>
      </c>
      <c r="E407" s="2">
        <v>71.8</v>
      </c>
      <c r="F407" s="2">
        <v>-0.3</v>
      </c>
      <c r="H407" s="2">
        <v>11850</v>
      </c>
      <c r="I407" s="2">
        <v>193</v>
      </c>
      <c r="J407" s="2">
        <v>1279800</v>
      </c>
      <c r="K407" s="2">
        <v>15517</v>
      </c>
      <c r="L407" s="2">
        <v>1500.7</v>
      </c>
      <c r="M407" s="2">
        <v>2903.8</v>
      </c>
      <c r="N407" s="2">
        <v>50450</v>
      </c>
    </row>
    <row r="408" spans="1:15" ht="24.95" customHeight="1" x14ac:dyDescent="0.25">
      <c r="A408" s="17" t="s">
        <v>523</v>
      </c>
      <c r="B408" s="2">
        <v>284</v>
      </c>
      <c r="C408" s="2">
        <v>103</v>
      </c>
      <c r="D408" s="2">
        <v>31.5</v>
      </c>
      <c r="E408" s="2">
        <v>71.5</v>
      </c>
      <c r="H408" s="2">
        <v>22200</v>
      </c>
      <c r="I408" s="2">
        <v>200</v>
      </c>
      <c r="J408" s="2">
        <v>2286600</v>
      </c>
      <c r="K408" s="2">
        <v>23947</v>
      </c>
      <c r="L408" s="2">
        <v>2419.6</v>
      </c>
      <c r="M408" s="2">
        <v>5419.3</v>
      </c>
      <c r="N408" s="2">
        <v>75540</v>
      </c>
    </row>
    <row r="409" spans="1:15" ht="24.95" customHeight="1" x14ac:dyDescent="0.25">
      <c r="A409" s="17" t="s">
        <v>524</v>
      </c>
      <c r="B409" s="2">
        <v>276</v>
      </c>
      <c r="C409" s="2">
        <v>102</v>
      </c>
      <c r="D409" s="2">
        <v>27.5</v>
      </c>
      <c r="E409" s="2">
        <v>74</v>
      </c>
      <c r="F409" s="2">
        <v>0.5</v>
      </c>
      <c r="H409" s="2">
        <v>1300</v>
      </c>
      <c r="I409" s="2">
        <v>282</v>
      </c>
      <c r="J409" s="2">
        <v>132600</v>
      </c>
      <c r="K409" s="2">
        <v>1908</v>
      </c>
      <c r="L409" s="2">
        <v>138.19999999999999</v>
      </c>
      <c r="M409" s="2">
        <v>320.39999999999998</v>
      </c>
      <c r="N409" s="2">
        <v>6780</v>
      </c>
    </row>
    <row r="410" spans="1:15" ht="24.95" customHeight="1" x14ac:dyDescent="0.25">
      <c r="A410" s="17" t="s">
        <v>525</v>
      </c>
      <c r="B410" s="2">
        <v>304</v>
      </c>
      <c r="C410" s="2">
        <v>115</v>
      </c>
      <c r="D410" s="2">
        <v>46.8</v>
      </c>
      <c r="E410" s="2">
        <v>68.599999999999994</v>
      </c>
      <c r="F410" s="2">
        <v>-0.4</v>
      </c>
      <c r="H410" s="2">
        <v>6180</v>
      </c>
      <c r="I410" s="2">
        <v>189</v>
      </c>
      <c r="J410" s="2">
        <v>710700</v>
      </c>
      <c r="K410" s="2">
        <v>8474</v>
      </c>
      <c r="L410" s="2">
        <v>1083.5999999999999</v>
      </c>
      <c r="M410" s="2">
        <v>1520</v>
      </c>
      <c r="N410" s="2">
        <v>27460</v>
      </c>
    </row>
    <row r="411" spans="1:15" ht="24.95" customHeight="1" x14ac:dyDescent="0.25">
      <c r="A411" s="17" t="s">
        <v>526</v>
      </c>
      <c r="B411" s="2">
        <v>292</v>
      </c>
      <c r="C411" s="2">
        <v>104</v>
      </c>
      <c r="D411" s="2">
        <v>30.7</v>
      </c>
      <c r="E411" s="2">
        <v>74</v>
      </c>
      <c r="F411" s="2">
        <v>-0.7</v>
      </c>
      <c r="H411" s="2">
        <v>2770</v>
      </c>
      <c r="I411" s="2">
        <v>183</v>
      </c>
      <c r="J411" s="2">
        <v>288080</v>
      </c>
      <c r="K411" s="2">
        <v>4398</v>
      </c>
      <c r="L411" s="2">
        <v>417.5</v>
      </c>
      <c r="M411" s="2">
        <v>684</v>
      </c>
      <c r="N411" s="2">
        <v>13760</v>
      </c>
    </row>
    <row r="412" spans="1:15" ht="24.95" customHeight="1" x14ac:dyDescent="0.25">
      <c r="A412" s="17" t="s">
        <v>527</v>
      </c>
      <c r="B412" s="2">
        <v>288</v>
      </c>
      <c r="C412" s="2">
        <v>107</v>
      </c>
      <c r="D412" s="2">
        <v>33</v>
      </c>
      <c r="E412" s="2">
        <v>74</v>
      </c>
      <c r="H412" s="2">
        <v>3831</v>
      </c>
      <c r="I412" s="2">
        <v>243</v>
      </c>
      <c r="J412" s="2">
        <v>409917</v>
      </c>
      <c r="K412" s="2">
        <v>6064</v>
      </c>
      <c r="L412" s="2">
        <v>535.29999999999995</v>
      </c>
      <c r="M412" s="2">
        <v>932.6</v>
      </c>
      <c r="N412" s="2">
        <v>19590</v>
      </c>
    </row>
    <row r="413" spans="1:15" ht="24.95" customHeight="1" x14ac:dyDescent="0.25">
      <c r="A413" s="17" t="s">
        <v>528</v>
      </c>
      <c r="B413" s="2">
        <v>280</v>
      </c>
      <c r="C413" s="2">
        <v>106</v>
      </c>
      <c r="D413" s="2">
        <v>37.9</v>
      </c>
      <c r="E413" s="2">
        <v>68.5</v>
      </c>
      <c r="F413" s="2">
        <v>-0.4</v>
      </c>
      <c r="H413" s="2">
        <v>5000</v>
      </c>
      <c r="I413" s="2">
        <v>192</v>
      </c>
      <c r="J413" s="2">
        <v>530000</v>
      </c>
      <c r="K413" s="2">
        <v>6275</v>
      </c>
      <c r="L413" s="2">
        <v>637.1</v>
      </c>
      <c r="M413" s="2">
        <v>1196.2</v>
      </c>
      <c r="N413" s="2">
        <v>22080</v>
      </c>
    </row>
    <row r="414" spans="1:15" ht="24.95" customHeight="1" x14ac:dyDescent="0.25">
      <c r="A414" s="17" t="s">
        <v>529</v>
      </c>
      <c r="B414" s="2">
        <v>310</v>
      </c>
      <c r="C414" s="2">
        <v>116</v>
      </c>
      <c r="D414" s="2">
        <v>49.7</v>
      </c>
      <c r="E414" s="2">
        <v>66.3</v>
      </c>
      <c r="F414" s="2">
        <v>0.1</v>
      </c>
      <c r="H414" s="2">
        <v>7223</v>
      </c>
      <c r="I414" s="2">
        <v>236</v>
      </c>
      <c r="J414" s="2">
        <v>837868</v>
      </c>
      <c r="K414" s="2">
        <v>11196</v>
      </c>
      <c r="L414" s="2">
        <v>987</v>
      </c>
      <c r="M414" s="2">
        <v>1671.5</v>
      </c>
      <c r="N414" s="2">
        <v>36630</v>
      </c>
    </row>
    <row r="415" spans="1:15" ht="24.95" customHeight="1" x14ac:dyDescent="0.25">
      <c r="A415" s="17" t="s">
        <v>530</v>
      </c>
      <c r="B415" s="2">
        <v>285</v>
      </c>
      <c r="C415" s="2">
        <v>103</v>
      </c>
      <c r="D415" s="2">
        <v>29.3</v>
      </c>
      <c r="E415" s="2">
        <v>74</v>
      </c>
      <c r="F415" s="2">
        <v>-0.3</v>
      </c>
      <c r="H415" s="2">
        <v>1785</v>
      </c>
      <c r="I415" s="2">
        <v>231</v>
      </c>
      <c r="J415" s="2">
        <v>183855</v>
      </c>
      <c r="K415" s="2">
        <v>2265</v>
      </c>
      <c r="L415" s="2">
        <v>383.6</v>
      </c>
      <c r="M415" s="2">
        <v>428.7</v>
      </c>
      <c r="N415" s="2">
        <v>7050</v>
      </c>
    </row>
    <row r="416" spans="1:15" ht="24.95" customHeight="1" x14ac:dyDescent="0.25">
      <c r="A416" s="17" t="s">
        <v>531</v>
      </c>
      <c r="B416" s="2">
        <v>312</v>
      </c>
      <c r="C416" s="2">
        <v>116</v>
      </c>
      <c r="D416" s="2">
        <v>47.7</v>
      </c>
      <c r="E416" s="2">
        <v>68.5</v>
      </c>
      <c r="F416" s="2">
        <v>-0.2</v>
      </c>
      <c r="H416" s="2">
        <v>8530</v>
      </c>
      <c r="I416" s="2">
        <v>183</v>
      </c>
      <c r="J416" s="2">
        <v>989480</v>
      </c>
      <c r="K416" s="2">
        <v>12959</v>
      </c>
      <c r="L416" s="2">
        <v>1606.5</v>
      </c>
      <c r="M416" s="2">
        <v>2080.8000000000002</v>
      </c>
      <c r="N416" s="2">
        <v>40890</v>
      </c>
    </row>
    <row r="417" spans="1:15" ht="24.95" customHeight="1" x14ac:dyDescent="0.25">
      <c r="A417" s="17" t="s">
        <v>532</v>
      </c>
      <c r="B417" s="2">
        <v>270</v>
      </c>
      <c r="C417" s="2">
        <v>98</v>
      </c>
      <c r="D417" s="2">
        <v>23.2</v>
      </c>
      <c r="E417" s="2">
        <v>74</v>
      </c>
      <c r="F417" s="2">
        <v>0.8</v>
      </c>
      <c r="H417" s="2">
        <v>4230</v>
      </c>
      <c r="I417" s="2">
        <v>208</v>
      </c>
      <c r="J417" s="2">
        <v>414540</v>
      </c>
      <c r="K417" s="2">
        <v>6343</v>
      </c>
      <c r="L417" s="2">
        <v>729.5</v>
      </c>
      <c r="M417" s="2">
        <v>1033.5999999999999</v>
      </c>
      <c r="N417" s="2">
        <v>18960</v>
      </c>
    </row>
    <row r="418" spans="1:15" ht="24.95" customHeight="1" x14ac:dyDescent="0.25">
      <c r="A418" s="17" t="s">
        <v>533</v>
      </c>
      <c r="B418" s="2">
        <v>324</v>
      </c>
      <c r="C418" s="2">
        <v>108</v>
      </c>
      <c r="D418" s="2">
        <v>34.200000000000003</v>
      </c>
      <c r="E418" s="2">
        <v>74</v>
      </c>
      <c r="F418" s="2">
        <v>-0.2</v>
      </c>
      <c r="H418" s="2">
        <v>5420</v>
      </c>
      <c r="I418" s="2">
        <v>252</v>
      </c>
      <c r="J418" s="2">
        <v>585360</v>
      </c>
      <c r="K418" s="2">
        <v>7784</v>
      </c>
      <c r="L418" s="2">
        <v>651.1</v>
      </c>
      <c r="M418" s="2">
        <v>1293</v>
      </c>
      <c r="N418" s="2">
        <v>24070</v>
      </c>
    </row>
    <row r="419" spans="1:15" ht="24.95" customHeight="1" x14ac:dyDescent="0.25">
      <c r="A419" s="17" t="s">
        <v>534</v>
      </c>
      <c r="B419" s="2">
        <v>326</v>
      </c>
      <c r="C419" s="2">
        <v>112</v>
      </c>
      <c r="D419" s="2">
        <v>37.6</v>
      </c>
      <c r="E419" s="2">
        <v>74.099999999999994</v>
      </c>
      <c r="F419" s="2">
        <v>0.4</v>
      </c>
      <c r="H419" s="2">
        <v>3850</v>
      </c>
      <c r="I419" s="2">
        <v>242</v>
      </c>
      <c r="J419" s="2">
        <v>431200</v>
      </c>
      <c r="K419" s="2">
        <v>5660</v>
      </c>
      <c r="L419" s="2">
        <v>495.1</v>
      </c>
      <c r="M419" s="2">
        <v>978.3</v>
      </c>
      <c r="N419" s="2">
        <v>18370</v>
      </c>
    </row>
    <row r="420" spans="1:15" ht="24.95" customHeight="1" x14ac:dyDescent="0.25">
      <c r="A420" s="17" t="s">
        <v>535</v>
      </c>
      <c r="B420" s="2">
        <v>294</v>
      </c>
      <c r="C420" s="2">
        <v>106</v>
      </c>
      <c r="D420" s="2">
        <v>34.1</v>
      </c>
      <c r="E420" s="2">
        <v>71.8</v>
      </c>
      <c r="F420" s="2">
        <v>0.1</v>
      </c>
      <c r="H420" s="2">
        <v>8500</v>
      </c>
      <c r="I420" s="2">
        <v>284</v>
      </c>
      <c r="J420" s="2">
        <v>901000</v>
      </c>
      <c r="K420" s="2">
        <v>8130</v>
      </c>
      <c r="L420" s="2">
        <v>679.7</v>
      </c>
      <c r="M420" s="2">
        <v>2109.3000000000002</v>
      </c>
      <c r="N420" s="2">
        <v>26230</v>
      </c>
    </row>
    <row r="421" spans="1:15" ht="24.95" customHeight="1" x14ac:dyDescent="0.25">
      <c r="A421" s="17" t="s">
        <v>536</v>
      </c>
      <c r="B421" s="2">
        <v>291</v>
      </c>
      <c r="C421" s="2">
        <v>104</v>
      </c>
      <c r="D421" s="2">
        <v>30</v>
      </c>
      <c r="E421" s="2">
        <v>74</v>
      </c>
      <c r="H421" s="2">
        <v>8525</v>
      </c>
      <c r="I421" s="2">
        <v>223</v>
      </c>
      <c r="J421" s="2">
        <v>886600</v>
      </c>
      <c r="K421" s="2">
        <v>8887</v>
      </c>
      <c r="L421" s="2">
        <v>1205.5</v>
      </c>
      <c r="M421" s="2">
        <v>2040.1</v>
      </c>
      <c r="N421" s="2">
        <v>29320</v>
      </c>
    </row>
    <row r="422" spans="1:15" ht="24.95" customHeight="1" x14ac:dyDescent="0.25">
      <c r="A422" s="17" t="s">
        <v>537</v>
      </c>
      <c r="B422" s="2">
        <v>306</v>
      </c>
      <c r="C422" s="2">
        <v>106</v>
      </c>
      <c r="D422" s="2">
        <v>32</v>
      </c>
      <c r="E422" s="2">
        <v>74</v>
      </c>
      <c r="H422" s="2">
        <v>1385</v>
      </c>
      <c r="I422" s="2">
        <v>274</v>
      </c>
      <c r="J422" s="2">
        <v>146810</v>
      </c>
      <c r="K422" s="2">
        <v>2025</v>
      </c>
      <c r="L422" s="2">
        <v>159.69999999999999</v>
      </c>
      <c r="M422" s="2">
        <v>350.8</v>
      </c>
      <c r="N422" s="2">
        <v>6450</v>
      </c>
    </row>
    <row r="423" spans="1:15" ht="24.95" customHeight="1" x14ac:dyDescent="0.25">
      <c r="A423" s="17" t="s">
        <v>538</v>
      </c>
      <c r="B423" s="2">
        <v>264</v>
      </c>
      <c r="C423" s="2">
        <v>98</v>
      </c>
      <c r="D423" s="2">
        <v>23.8</v>
      </c>
      <c r="E423" s="2">
        <v>74</v>
      </c>
      <c r="F423" s="2">
        <v>0.2</v>
      </c>
      <c r="H423" s="2">
        <v>821</v>
      </c>
      <c r="I423" s="2">
        <v>252</v>
      </c>
      <c r="J423" s="2">
        <v>80458</v>
      </c>
      <c r="K423" s="2">
        <v>1546</v>
      </c>
      <c r="L423" s="2">
        <v>141.5</v>
      </c>
      <c r="M423" s="2">
        <v>207.2</v>
      </c>
      <c r="N423" s="2">
        <v>4770</v>
      </c>
      <c r="O423" s="2">
        <v>3.9</v>
      </c>
    </row>
    <row r="424" spans="1:15" ht="24.95" customHeight="1" x14ac:dyDescent="0.25">
      <c r="A424" s="17" t="s">
        <v>539</v>
      </c>
      <c r="B424" s="2">
        <v>294</v>
      </c>
      <c r="C424" s="2">
        <v>104</v>
      </c>
      <c r="D424" s="2">
        <v>29.8</v>
      </c>
      <c r="E424" s="2">
        <v>74.2</v>
      </c>
      <c r="H424" s="2">
        <v>11900</v>
      </c>
      <c r="I424" s="2">
        <v>247</v>
      </c>
      <c r="J424" s="2">
        <v>1237600</v>
      </c>
      <c r="K424" s="2">
        <v>14166</v>
      </c>
      <c r="L424" s="2">
        <v>1210</v>
      </c>
      <c r="M424" s="2">
        <v>2974.9</v>
      </c>
      <c r="N424" s="2">
        <v>46710</v>
      </c>
    </row>
    <row r="425" spans="1:15" ht="24.95" customHeight="1" x14ac:dyDescent="0.25">
      <c r="A425" s="17" t="s">
        <v>540</v>
      </c>
      <c r="B425" s="2">
        <v>288</v>
      </c>
      <c r="C425" s="2">
        <v>106</v>
      </c>
      <c r="D425" s="2">
        <v>31.7</v>
      </c>
      <c r="E425" s="2">
        <v>74</v>
      </c>
      <c r="F425" s="2">
        <v>0.3</v>
      </c>
      <c r="H425" s="2">
        <v>1014</v>
      </c>
      <c r="I425" s="2">
        <v>224</v>
      </c>
      <c r="J425" s="2">
        <v>107484</v>
      </c>
      <c r="K425" s="2">
        <v>2260</v>
      </c>
      <c r="L425" s="2">
        <v>172.7</v>
      </c>
      <c r="M425" s="2">
        <v>247.3</v>
      </c>
      <c r="N425" s="2">
        <v>6740</v>
      </c>
      <c r="O425" s="2">
        <v>17.8</v>
      </c>
    </row>
    <row r="426" spans="1:15" ht="24.95" customHeight="1" x14ac:dyDescent="0.25">
      <c r="A426" s="17" t="s">
        <v>6750</v>
      </c>
      <c r="B426" s="2">
        <v>298</v>
      </c>
      <c r="C426" s="2">
        <v>104</v>
      </c>
      <c r="D426" s="2">
        <v>29.6</v>
      </c>
      <c r="E426" s="2">
        <v>74</v>
      </c>
      <c r="F426" s="2">
        <v>0.4</v>
      </c>
      <c r="H426" s="2">
        <v>2475</v>
      </c>
      <c r="I426" s="2">
        <v>302</v>
      </c>
      <c r="J426" s="2">
        <v>257400</v>
      </c>
      <c r="K426" s="2">
        <v>3689</v>
      </c>
      <c r="L426" s="2">
        <v>280.7</v>
      </c>
      <c r="M426" s="2">
        <v>624.9</v>
      </c>
      <c r="N426" s="2">
        <v>10850</v>
      </c>
    </row>
    <row r="427" spans="1:15" ht="24.95" customHeight="1" x14ac:dyDescent="0.25">
      <c r="A427" s="17" t="s">
        <v>542</v>
      </c>
      <c r="B427" s="2">
        <v>266</v>
      </c>
      <c r="C427" s="2">
        <v>92</v>
      </c>
      <c r="D427" s="2">
        <v>18</v>
      </c>
      <c r="E427" s="2">
        <v>74</v>
      </c>
      <c r="H427" s="2">
        <v>13170</v>
      </c>
      <c r="I427" s="2">
        <v>267</v>
      </c>
      <c r="J427" s="2">
        <v>1211640</v>
      </c>
      <c r="K427" s="2">
        <v>11235</v>
      </c>
      <c r="L427" s="2">
        <v>1110.5999999999999</v>
      </c>
      <c r="M427" s="2">
        <v>2987.5</v>
      </c>
      <c r="N427" s="2">
        <v>36860</v>
      </c>
    </row>
    <row r="428" spans="1:15" ht="24.95" customHeight="1" x14ac:dyDescent="0.25">
      <c r="A428" s="17" t="s">
        <v>526</v>
      </c>
      <c r="B428" s="2">
        <v>252</v>
      </c>
      <c r="C428" s="2">
        <v>92</v>
      </c>
      <c r="D428" s="2">
        <v>17.3</v>
      </c>
      <c r="E428" s="2">
        <v>74</v>
      </c>
      <c r="F428" s="2">
        <v>0.7</v>
      </c>
      <c r="G428" s="2">
        <v>93.2</v>
      </c>
      <c r="H428" s="2">
        <v>940</v>
      </c>
      <c r="I428" s="2">
        <v>194</v>
      </c>
      <c r="J428" s="2">
        <v>87609</v>
      </c>
      <c r="K428" s="2">
        <v>2006</v>
      </c>
      <c r="L428" s="2">
        <v>194.6</v>
      </c>
      <c r="M428" s="2">
        <v>233.9</v>
      </c>
      <c r="N428" s="2">
        <v>6400</v>
      </c>
      <c r="O428" s="2">
        <v>16</v>
      </c>
    </row>
    <row r="429" spans="1:15" ht="24.95" customHeight="1" x14ac:dyDescent="0.25">
      <c r="A429" s="17" t="s">
        <v>544</v>
      </c>
      <c r="B429" s="2">
        <v>240</v>
      </c>
      <c r="C429" s="2">
        <v>90</v>
      </c>
      <c r="D429" s="2">
        <v>14.5</v>
      </c>
      <c r="E429" s="2">
        <v>74</v>
      </c>
      <c r="F429" s="2">
        <v>1.5</v>
      </c>
      <c r="G429" s="2">
        <v>91.7</v>
      </c>
      <c r="H429" s="2">
        <v>1371</v>
      </c>
      <c r="I429" s="2">
        <v>245</v>
      </c>
      <c r="J429" s="2">
        <v>125716</v>
      </c>
      <c r="K429" s="2">
        <v>3398</v>
      </c>
      <c r="L429" s="2">
        <v>239.6</v>
      </c>
      <c r="M429" s="2">
        <v>340.8</v>
      </c>
      <c r="N429" s="2">
        <v>10150</v>
      </c>
      <c r="O429" s="2">
        <v>24.5</v>
      </c>
    </row>
    <row r="430" spans="1:15" ht="24.95" customHeight="1" x14ac:dyDescent="0.25">
      <c r="A430" s="17" t="s">
        <v>545</v>
      </c>
      <c r="B430" s="2">
        <v>280</v>
      </c>
      <c r="C430" s="2">
        <v>100.5</v>
      </c>
      <c r="D430" s="2">
        <v>31.6</v>
      </c>
      <c r="E430" s="2">
        <v>68.5</v>
      </c>
      <c r="F430" s="2">
        <v>0.4</v>
      </c>
      <c r="G430" s="2">
        <v>103.8</v>
      </c>
      <c r="H430" s="2">
        <v>7600</v>
      </c>
      <c r="I430" s="2">
        <v>251</v>
      </c>
      <c r="J430" s="2">
        <v>788900</v>
      </c>
      <c r="K430" s="2">
        <v>7468</v>
      </c>
      <c r="L430" s="2">
        <v>735.8</v>
      </c>
      <c r="M430" s="2">
        <v>1766.1</v>
      </c>
      <c r="N430" s="2">
        <v>29490</v>
      </c>
    </row>
    <row r="431" spans="1:15" ht="24.95" customHeight="1" x14ac:dyDescent="0.25">
      <c r="A431" s="17" t="s">
        <v>6751</v>
      </c>
    </row>
    <row r="432" spans="1:15" ht="24.95" customHeight="1" x14ac:dyDescent="0.25">
      <c r="A432" s="17" t="s">
        <v>6752</v>
      </c>
      <c r="B432" s="2">
        <v>270</v>
      </c>
      <c r="C432" s="2">
        <v>96.5</v>
      </c>
      <c r="D432" s="2">
        <v>27.1</v>
      </c>
      <c r="E432" s="2">
        <v>69</v>
      </c>
      <c r="F432" s="15">
        <v>0.3</v>
      </c>
      <c r="G432" s="15">
        <v>94.3</v>
      </c>
      <c r="H432" s="15">
        <v>10540</v>
      </c>
      <c r="I432" s="15">
        <v>255</v>
      </c>
      <c r="J432" s="15">
        <v>993901</v>
      </c>
      <c r="K432" s="15">
        <v>12339</v>
      </c>
      <c r="L432" s="15">
        <v>1237.9000000000001</v>
      </c>
      <c r="M432" s="15">
        <v>2536.1</v>
      </c>
      <c r="N432" s="15">
        <v>41350</v>
      </c>
      <c r="O432" s="15"/>
    </row>
    <row r="433" spans="1:15" ht="24.95" customHeight="1" x14ac:dyDescent="0.25">
      <c r="A433" s="17" t="s">
        <v>6753</v>
      </c>
      <c r="B433" s="2">
        <v>263</v>
      </c>
      <c r="C433" s="2">
        <v>92.5</v>
      </c>
      <c r="D433" s="2">
        <v>17.600000000000001</v>
      </c>
      <c r="E433" s="2">
        <v>74.5</v>
      </c>
      <c r="F433" s="15"/>
      <c r="G433" s="15"/>
      <c r="H433" s="15"/>
      <c r="I433" s="15"/>
      <c r="J433" s="15"/>
      <c r="K433" s="15"/>
      <c r="L433" s="15"/>
      <c r="M433" s="15"/>
      <c r="N433" s="15"/>
      <c r="O433" s="15"/>
    </row>
    <row r="434" spans="1:15" ht="24.95" customHeight="1" x14ac:dyDescent="0.25">
      <c r="A434" s="17" t="s">
        <v>5324</v>
      </c>
      <c r="B434" s="2">
        <v>276</v>
      </c>
      <c r="C434" s="2">
        <v>98</v>
      </c>
      <c r="D434" s="2">
        <v>22.9</v>
      </c>
      <c r="E434" s="2">
        <v>74</v>
      </c>
      <c r="F434" s="2">
        <v>1.1000000000000001</v>
      </c>
      <c r="G434" s="2">
        <v>99.9</v>
      </c>
      <c r="H434" s="2">
        <v>2050</v>
      </c>
      <c r="I434" s="2">
        <v>212</v>
      </c>
      <c r="J434" s="2">
        <v>204702</v>
      </c>
      <c r="K434" s="2">
        <v>4291</v>
      </c>
      <c r="L434" s="2">
        <v>361.2</v>
      </c>
      <c r="M434" s="2">
        <v>486.6</v>
      </c>
      <c r="N434" s="2">
        <v>13870</v>
      </c>
      <c r="O434" s="2">
        <v>19.899999999999999</v>
      </c>
    </row>
    <row r="435" spans="1:15" ht="24.95" customHeight="1" x14ac:dyDescent="0.25">
      <c r="A435" s="17" t="s">
        <v>521</v>
      </c>
      <c r="B435" s="2">
        <v>256</v>
      </c>
      <c r="C435" s="2">
        <v>96</v>
      </c>
      <c r="D435" s="2">
        <v>20.8</v>
      </c>
      <c r="E435" s="2">
        <v>74</v>
      </c>
      <c r="F435" s="2">
        <v>1.3</v>
      </c>
      <c r="G435" s="2">
        <v>97.5</v>
      </c>
      <c r="H435" s="2">
        <v>1405</v>
      </c>
      <c r="I435" s="2">
        <v>235</v>
      </c>
      <c r="J435" s="2">
        <v>136973</v>
      </c>
      <c r="K435" s="2">
        <v>3182</v>
      </c>
      <c r="L435" s="2">
        <v>246.2</v>
      </c>
      <c r="M435" s="2">
        <v>343.3</v>
      </c>
      <c r="N435" s="2">
        <v>10270</v>
      </c>
      <c r="O435" s="2">
        <v>26.1</v>
      </c>
    </row>
    <row r="436" spans="1:15" ht="24.95" customHeight="1" x14ac:dyDescent="0.25">
      <c r="A436" s="17" t="s">
        <v>533</v>
      </c>
      <c r="B436" s="2">
        <v>258</v>
      </c>
      <c r="C436" s="2">
        <v>92</v>
      </c>
      <c r="D436" s="2">
        <v>16.2</v>
      </c>
      <c r="E436" s="2">
        <v>74</v>
      </c>
      <c r="F436" s="2">
        <v>1.8</v>
      </c>
      <c r="G436" s="2">
        <v>94.1</v>
      </c>
      <c r="H436" s="2">
        <v>3006</v>
      </c>
      <c r="I436" s="2">
        <v>280</v>
      </c>
      <c r="J436" s="2">
        <v>282725</v>
      </c>
      <c r="K436" s="2">
        <v>7455</v>
      </c>
      <c r="L436" s="2">
        <v>580.9</v>
      </c>
      <c r="M436" s="2">
        <v>754.1</v>
      </c>
      <c r="N436" s="2">
        <v>23060</v>
      </c>
      <c r="O436" s="2">
        <v>26.4</v>
      </c>
    </row>
    <row r="437" spans="1:15" ht="24.95" customHeight="1" x14ac:dyDescent="0.25">
      <c r="A437" s="17" t="s">
        <v>2893</v>
      </c>
      <c r="B437" s="2">
        <v>267</v>
      </c>
      <c r="C437" s="2">
        <v>100</v>
      </c>
      <c r="D437" s="2">
        <v>25.2</v>
      </c>
      <c r="E437" s="2">
        <v>74</v>
      </c>
      <c r="F437" s="2">
        <v>0.8</v>
      </c>
      <c r="G437" s="2">
        <v>101.6</v>
      </c>
      <c r="H437" s="2">
        <v>7060</v>
      </c>
      <c r="I437" s="2">
        <v>228</v>
      </c>
      <c r="J437" s="2">
        <v>717117</v>
      </c>
      <c r="K437" s="2">
        <v>10433</v>
      </c>
      <c r="L437" s="2">
        <v>959.6</v>
      </c>
      <c r="M437" s="2">
        <v>1543.5</v>
      </c>
      <c r="N437" s="2">
        <v>39210</v>
      </c>
      <c r="O437" s="2">
        <v>0.9</v>
      </c>
    </row>
    <row r="438" spans="1:15" ht="24.95" customHeight="1" x14ac:dyDescent="0.25">
      <c r="A438" s="17" t="s">
        <v>541</v>
      </c>
      <c r="B438" s="2">
        <v>254</v>
      </c>
      <c r="C438" s="2">
        <v>91</v>
      </c>
      <c r="D438" s="2">
        <v>16</v>
      </c>
      <c r="E438" s="2">
        <v>74</v>
      </c>
      <c r="F438" s="2">
        <v>1</v>
      </c>
      <c r="G438" s="2">
        <v>92.7</v>
      </c>
      <c r="H438" s="2">
        <v>1830</v>
      </c>
      <c r="I438" s="2">
        <v>191</v>
      </c>
      <c r="J438" s="2">
        <v>169629</v>
      </c>
      <c r="K438" s="2">
        <v>3419</v>
      </c>
      <c r="L438" s="2">
        <v>241.6</v>
      </c>
      <c r="M438" s="2">
        <v>469.9</v>
      </c>
      <c r="N438" s="2">
        <v>12300</v>
      </c>
      <c r="O438" s="2">
        <v>13.2</v>
      </c>
    </row>
    <row r="439" spans="1:15" ht="24.95" customHeight="1" x14ac:dyDescent="0.25">
      <c r="A439" s="17" t="s">
        <v>523</v>
      </c>
    </row>
    <row r="440" spans="1:15" ht="24.95" customHeight="1" x14ac:dyDescent="0.25">
      <c r="A440" s="17" t="s">
        <v>6752</v>
      </c>
      <c r="B440" s="2">
        <v>271</v>
      </c>
      <c r="C440" s="2">
        <v>112.6</v>
      </c>
      <c r="D440" s="2">
        <v>43.6</v>
      </c>
      <c r="E440" s="2">
        <v>68.5</v>
      </c>
      <c r="F440" s="15">
        <v>0.5</v>
      </c>
      <c r="G440" s="15">
        <v>104.7</v>
      </c>
      <c r="H440" s="15">
        <v>10360</v>
      </c>
      <c r="I440" s="15">
        <v>192</v>
      </c>
      <c r="J440" s="15">
        <v>1084693</v>
      </c>
      <c r="K440" s="15">
        <v>15588</v>
      </c>
      <c r="L440" s="15">
        <v>1686.6</v>
      </c>
      <c r="M440" s="15">
        <v>2574.4</v>
      </c>
      <c r="N440" s="15">
        <v>59560</v>
      </c>
      <c r="O440" s="15">
        <v>1.1000000000000001</v>
      </c>
    </row>
    <row r="441" spans="1:15" ht="24.95" customHeight="1" x14ac:dyDescent="0.25">
      <c r="A441" s="17" t="s">
        <v>6753</v>
      </c>
      <c r="B441" s="2">
        <v>264</v>
      </c>
      <c r="C441" s="2">
        <v>104.4</v>
      </c>
      <c r="D441" s="2">
        <v>24.5</v>
      </c>
      <c r="E441" s="2">
        <v>79.400000000000006</v>
      </c>
      <c r="F441" s="15"/>
      <c r="G441" s="15"/>
      <c r="H441" s="15"/>
      <c r="I441" s="15"/>
      <c r="J441" s="15"/>
      <c r="K441" s="15"/>
      <c r="L441" s="15"/>
      <c r="M441" s="15"/>
      <c r="N441" s="15"/>
      <c r="O441" s="15"/>
    </row>
    <row r="442" spans="1:15" ht="24.95" customHeight="1" x14ac:dyDescent="0.25">
      <c r="A442" s="17" t="s">
        <v>547</v>
      </c>
      <c r="B442" s="2">
        <v>270</v>
      </c>
      <c r="C442" s="2">
        <v>100</v>
      </c>
      <c r="D442" s="2">
        <v>25.5</v>
      </c>
      <c r="E442" s="2">
        <v>74</v>
      </c>
      <c r="F442" s="2">
        <v>0.5</v>
      </c>
      <c r="G442" s="2">
        <v>107.6</v>
      </c>
      <c r="H442" s="2">
        <v>1222</v>
      </c>
      <c r="I442" s="2">
        <v>220</v>
      </c>
      <c r="J442" s="2">
        <v>131536</v>
      </c>
      <c r="K442" s="2">
        <v>2239</v>
      </c>
      <c r="L442" s="2">
        <v>213.6</v>
      </c>
      <c r="M442" s="2">
        <v>310.2</v>
      </c>
      <c r="N442" s="2">
        <v>7040</v>
      </c>
      <c r="O442" s="2">
        <v>0.2</v>
      </c>
    </row>
    <row r="443" spans="1:15" ht="24.95" customHeight="1" x14ac:dyDescent="0.25">
      <c r="A443" s="17" t="s">
        <v>6754</v>
      </c>
      <c r="B443" s="2">
        <v>202</v>
      </c>
      <c r="C443" s="2">
        <v>81</v>
      </c>
      <c r="H443" s="2">
        <v>11601</v>
      </c>
      <c r="I443" s="2">
        <v>176</v>
      </c>
      <c r="J443" s="2">
        <v>939681</v>
      </c>
      <c r="K443" s="2">
        <v>23659</v>
      </c>
      <c r="L443" s="2">
        <v>1258.2</v>
      </c>
      <c r="M443" s="2">
        <v>2734</v>
      </c>
      <c r="N443" s="2">
        <v>85520</v>
      </c>
      <c r="O443" s="2">
        <v>24.5</v>
      </c>
    </row>
    <row r="444" spans="1:15" ht="24.95" customHeight="1" x14ac:dyDescent="0.25">
      <c r="A444" s="17" t="s">
        <v>6755</v>
      </c>
      <c r="B444" s="2">
        <v>312</v>
      </c>
      <c r="C444" s="2">
        <v>122</v>
      </c>
      <c r="D444" s="2">
        <v>41</v>
      </c>
      <c r="E444" s="2">
        <v>81</v>
      </c>
      <c r="H444" s="2">
        <v>1665</v>
      </c>
      <c r="I444" s="2">
        <v>204</v>
      </c>
      <c r="J444" s="2">
        <v>203130</v>
      </c>
      <c r="K444" s="2">
        <v>3062</v>
      </c>
      <c r="L444" s="2">
        <v>180.1</v>
      </c>
      <c r="M444" s="2">
        <v>397.7</v>
      </c>
      <c r="N444" s="2">
        <v>9800</v>
      </c>
      <c r="O444" s="2">
        <v>8.1999999999999993</v>
      </c>
    </row>
    <row r="445" spans="1:15" ht="24.95" customHeight="1" x14ac:dyDescent="0.25">
      <c r="A445" s="17" t="s">
        <v>550</v>
      </c>
      <c r="B445" s="2">
        <v>262</v>
      </c>
      <c r="C445" s="2">
        <v>102</v>
      </c>
      <c r="D445" s="2">
        <v>21</v>
      </c>
      <c r="E445" s="2">
        <v>81</v>
      </c>
      <c r="H445" s="2">
        <v>750</v>
      </c>
      <c r="I445" s="2">
        <v>183</v>
      </c>
      <c r="J445" s="2">
        <v>76500</v>
      </c>
      <c r="K445" s="2">
        <v>1469</v>
      </c>
      <c r="L445" s="2">
        <v>101.7</v>
      </c>
      <c r="M445" s="2">
        <v>194.6</v>
      </c>
      <c r="N445" s="2">
        <v>4320</v>
      </c>
      <c r="O445" s="2">
        <v>0.4</v>
      </c>
    </row>
    <row r="446" spans="1:15" ht="24.95" customHeight="1" x14ac:dyDescent="0.25">
      <c r="A446" s="17" t="s">
        <v>551</v>
      </c>
      <c r="B446" s="2">
        <v>246</v>
      </c>
      <c r="C446" s="2">
        <v>98</v>
      </c>
      <c r="D446" s="2">
        <v>17.5</v>
      </c>
      <c r="E446" s="2">
        <v>81</v>
      </c>
      <c r="F446" s="2">
        <v>-0.5</v>
      </c>
      <c r="H446" s="2">
        <v>2300</v>
      </c>
      <c r="I446" s="2">
        <v>201</v>
      </c>
      <c r="J446" s="2">
        <v>225400</v>
      </c>
      <c r="K446" s="2">
        <v>3628</v>
      </c>
      <c r="L446" s="2">
        <v>224.8</v>
      </c>
      <c r="M446" s="2">
        <v>572.79999999999995</v>
      </c>
      <c r="N446" s="2">
        <v>11890</v>
      </c>
    </row>
    <row r="447" spans="1:15" ht="24.95" customHeight="1" x14ac:dyDescent="0.25">
      <c r="A447" s="17" t="s">
        <v>552</v>
      </c>
      <c r="B447" s="2">
        <v>288</v>
      </c>
      <c r="C447" s="2">
        <v>108</v>
      </c>
      <c r="D447" s="2">
        <v>25.9</v>
      </c>
      <c r="E447" s="2">
        <v>81</v>
      </c>
      <c r="F447" s="2">
        <v>1.1000000000000001</v>
      </c>
      <c r="H447" s="2">
        <v>570</v>
      </c>
      <c r="I447" s="2">
        <v>179</v>
      </c>
      <c r="J447" s="2">
        <v>61560</v>
      </c>
      <c r="K447" s="2">
        <v>1820</v>
      </c>
      <c r="L447" s="2">
        <v>93.9</v>
      </c>
      <c r="M447" s="2">
        <v>148.4</v>
      </c>
      <c r="N447" s="2">
        <v>5700</v>
      </c>
      <c r="O447" s="2">
        <v>40.700000000000003</v>
      </c>
    </row>
    <row r="448" spans="1:15" ht="24.95" customHeight="1" x14ac:dyDescent="0.25">
      <c r="A448" s="17" t="s">
        <v>5353</v>
      </c>
      <c r="B448" s="2">
        <v>306</v>
      </c>
      <c r="C448" s="2">
        <v>118</v>
      </c>
      <c r="D448" s="2">
        <v>37</v>
      </c>
      <c r="E448" s="2">
        <v>81</v>
      </c>
      <c r="H448" s="2">
        <v>1182</v>
      </c>
      <c r="I448" s="2">
        <v>218</v>
      </c>
      <c r="J448" s="2">
        <v>139476</v>
      </c>
      <c r="K448" s="2">
        <v>2001</v>
      </c>
      <c r="L448" s="2">
        <v>114.3</v>
      </c>
      <c r="M448" s="2">
        <v>286.10000000000002</v>
      </c>
      <c r="N448" s="2">
        <v>5990</v>
      </c>
    </row>
    <row r="449" spans="1:15" ht="24.95" customHeight="1" x14ac:dyDescent="0.25">
      <c r="A449" s="17" t="s">
        <v>554</v>
      </c>
      <c r="B449" s="2">
        <v>234</v>
      </c>
      <c r="C449" s="2">
        <v>92</v>
      </c>
      <c r="D449" s="2">
        <v>11.8</v>
      </c>
      <c r="E449" s="2">
        <v>81</v>
      </c>
      <c r="F449" s="2">
        <v>-0.8</v>
      </c>
      <c r="G449" s="2">
        <v>94.5</v>
      </c>
      <c r="H449" s="2">
        <v>1300</v>
      </c>
      <c r="I449" s="2">
        <v>120</v>
      </c>
      <c r="J449" s="2">
        <v>122860</v>
      </c>
      <c r="K449" s="2">
        <v>2605</v>
      </c>
      <c r="L449" s="2">
        <v>109.8</v>
      </c>
      <c r="M449" s="2">
        <v>241.3</v>
      </c>
      <c r="N449" s="2">
        <v>15490</v>
      </c>
      <c r="O449" s="2">
        <v>52.6</v>
      </c>
    </row>
    <row r="450" spans="1:15" ht="24.95" customHeight="1" x14ac:dyDescent="0.25">
      <c r="A450" s="17" t="s">
        <v>555</v>
      </c>
      <c r="B450" s="2">
        <v>256</v>
      </c>
      <c r="C450" s="2">
        <v>102</v>
      </c>
      <c r="D450" s="2">
        <v>19.3</v>
      </c>
      <c r="E450" s="2">
        <v>81</v>
      </c>
      <c r="F450" s="2">
        <v>1.7</v>
      </c>
      <c r="G450" s="2">
        <v>106.5</v>
      </c>
      <c r="H450" s="2">
        <v>1250</v>
      </c>
      <c r="I450" s="2">
        <v>163</v>
      </c>
      <c r="J450" s="2">
        <v>132526</v>
      </c>
      <c r="K450" s="2">
        <v>2824</v>
      </c>
      <c r="L450" s="2">
        <v>148.80000000000001</v>
      </c>
      <c r="M450" s="2">
        <v>319.7</v>
      </c>
      <c r="N450" s="2">
        <v>8920</v>
      </c>
      <c r="O450" s="2">
        <v>20.3</v>
      </c>
    </row>
    <row r="451" spans="1:15" ht="24.95" customHeight="1" x14ac:dyDescent="0.25">
      <c r="A451" s="17" t="s">
        <v>550</v>
      </c>
      <c r="B451" s="2">
        <v>262</v>
      </c>
      <c r="C451" s="2">
        <v>112</v>
      </c>
      <c r="D451" s="2">
        <v>28.5</v>
      </c>
      <c r="E451" s="2">
        <v>81</v>
      </c>
      <c r="F451" s="2">
        <v>2.5</v>
      </c>
      <c r="G451" s="2">
        <v>112.5</v>
      </c>
      <c r="H451" s="2">
        <v>1850</v>
      </c>
      <c r="I451" s="2">
        <v>150</v>
      </c>
      <c r="J451" s="2">
        <v>208086</v>
      </c>
      <c r="K451" s="2">
        <v>3928</v>
      </c>
      <c r="L451" s="2">
        <v>190.2</v>
      </c>
      <c r="M451" s="2">
        <v>399.7</v>
      </c>
      <c r="N451" s="2">
        <v>15570</v>
      </c>
      <c r="O451" s="2">
        <v>35</v>
      </c>
    </row>
    <row r="452" spans="1:15" ht="24.95" customHeight="1" x14ac:dyDescent="0.25">
      <c r="A452" s="17" t="s">
        <v>5353</v>
      </c>
      <c r="B452" s="2">
        <v>262</v>
      </c>
      <c r="C452" s="2">
        <v>100</v>
      </c>
      <c r="D452" s="2">
        <v>17.600000000000001</v>
      </c>
      <c r="E452" s="2">
        <v>81</v>
      </c>
      <c r="F452" s="2">
        <v>1.4</v>
      </c>
      <c r="G452" s="2">
        <v>110.5</v>
      </c>
      <c r="H452" s="2">
        <v>675</v>
      </c>
      <c r="I452" s="2">
        <v>170</v>
      </c>
      <c r="J452" s="2">
        <v>69710</v>
      </c>
      <c r="K452" s="2">
        <v>2322</v>
      </c>
      <c r="L452" s="2">
        <v>94.5</v>
      </c>
      <c r="M452" s="2">
        <v>173.7</v>
      </c>
      <c r="N452" s="2">
        <v>7840</v>
      </c>
      <c r="O452" s="2">
        <v>49</v>
      </c>
    </row>
    <row r="453" spans="1:15" ht="24.95" customHeight="1" x14ac:dyDescent="0.25">
      <c r="A453" s="17" t="s">
        <v>6756</v>
      </c>
      <c r="B453" s="2">
        <v>207</v>
      </c>
      <c r="C453" s="2">
        <v>87</v>
      </c>
      <c r="H453" s="2">
        <v>10936</v>
      </c>
      <c r="I453" s="2">
        <v>173</v>
      </c>
      <c r="J453" s="2">
        <v>951432</v>
      </c>
      <c r="K453" s="2">
        <v>29150</v>
      </c>
      <c r="L453" s="2">
        <v>1518.5</v>
      </c>
      <c r="M453" s="2">
        <v>2764.7</v>
      </c>
      <c r="N453" s="2">
        <v>89420</v>
      </c>
      <c r="O453" s="2">
        <v>29.8</v>
      </c>
    </row>
    <row r="454" spans="1:15" ht="24.95" customHeight="1" x14ac:dyDescent="0.25">
      <c r="A454" s="17" t="s">
        <v>558</v>
      </c>
      <c r="B454" s="2">
        <v>334</v>
      </c>
      <c r="C454" s="2">
        <v>132</v>
      </c>
      <c r="D454" s="2">
        <v>45.8</v>
      </c>
      <c r="E454" s="2">
        <v>87</v>
      </c>
      <c r="F454" s="2">
        <v>-0.8</v>
      </c>
      <c r="H454" s="2">
        <v>3350</v>
      </c>
      <c r="I454" s="2">
        <v>194</v>
      </c>
      <c r="J454" s="2">
        <v>442200</v>
      </c>
      <c r="K454" s="2">
        <v>5672</v>
      </c>
      <c r="L454" s="2">
        <v>348.6</v>
      </c>
      <c r="M454" s="2">
        <v>833.6</v>
      </c>
      <c r="N454" s="2">
        <v>17550</v>
      </c>
    </row>
    <row r="455" spans="1:15" ht="24.95" customHeight="1" x14ac:dyDescent="0.25">
      <c r="A455" s="17" t="s">
        <v>559</v>
      </c>
      <c r="B455" s="2">
        <v>258</v>
      </c>
      <c r="C455" s="2">
        <v>110</v>
      </c>
      <c r="D455" s="2">
        <v>23.3</v>
      </c>
      <c r="E455" s="2">
        <v>87</v>
      </c>
      <c r="F455" s="2">
        <v>-0.3</v>
      </c>
      <c r="H455" s="2">
        <v>553</v>
      </c>
      <c r="I455" s="2">
        <v>140</v>
      </c>
      <c r="J455" s="2">
        <v>60830</v>
      </c>
      <c r="K455" s="2">
        <v>1833</v>
      </c>
      <c r="L455" s="2">
        <v>102</v>
      </c>
      <c r="M455" s="2">
        <v>154.9</v>
      </c>
      <c r="N455" s="2">
        <v>5520</v>
      </c>
      <c r="O455" s="2">
        <v>37.1</v>
      </c>
    </row>
    <row r="456" spans="1:15" ht="24.95" customHeight="1" x14ac:dyDescent="0.25">
      <c r="A456" s="17" t="s">
        <v>560</v>
      </c>
      <c r="B456" s="2">
        <v>288</v>
      </c>
      <c r="C456" s="2">
        <v>128</v>
      </c>
      <c r="D456" s="2">
        <v>42.1</v>
      </c>
      <c r="E456" s="2">
        <v>87</v>
      </c>
      <c r="F456" s="2">
        <v>-1.1000000000000001</v>
      </c>
      <c r="H456" s="2">
        <v>1612</v>
      </c>
      <c r="I456" s="2">
        <v>174</v>
      </c>
      <c r="J456" s="2">
        <v>206336</v>
      </c>
      <c r="K456" s="2">
        <v>3023</v>
      </c>
      <c r="L456" s="2">
        <v>161.6</v>
      </c>
      <c r="M456" s="2">
        <v>406.2</v>
      </c>
      <c r="N456" s="2">
        <v>9800</v>
      </c>
    </row>
    <row r="457" spans="1:15" ht="24.95" customHeight="1" x14ac:dyDescent="0.25">
      <c r="A457" s="17" t="s">
        <v>561</v>
      </c>
      <c r="B457" s="2">
        <v>306</v>
      </c>
      <c r="C457" s="2">
        <v>126</v>
      </c>
      <c r="D457" s="2">
        <v>38.6</v>
      </c>
      <c r="E457" s="2">
        <v>87</v>
      </c>
      <c r="F457" s="2">
        <v>0.4</v>
      </c>
      <c r="H457" s="2">
        <v>1618</v>
      </c>
      <c r="I457" s="2">
        <v>154</v>
      </c>
      <c r="J457" s="2">
        <v>203868</v>
      </c>
      <c r="K457" s="2">
        <v>4534</v>
      </c>
      <c r="L457" s="2">
        <v>265.3</v>
      </c>
      <c r="M457" s="2">
        <v>398.3</v>
      </c>
      <c r="N457" s="2">
        <v>13230</v>
      </c>
      <c r="O457" s="2">
        <v>32.299999999999997</v>
      </c>
    </row>
    <row r="458" spans="1:15" ht="24.95" customHeight="1" x14ac:dyDescent="0.25">
      <c r="A458" s="17" t="s">
        <v>562</v>
      </c>
      <c r="B458" s="2">
        <v>292</v>
      </c>
      <c r="C458" s="2">
        <v>118</v>
      </c>
      <c r="D458" s="2">
        <v>30.7</v>
      </c>
      <c r="E458" s="2">
        <v>87</v>
      </c>
      <c r="F458" s="2">
        <v>0.3</v>
      </c>
      <c r="H458" s="2">
        <v>1286</v>
      </c>
      <c r="I458" s="2">
        <v>173</v>
      </c>
      <c r="J458" s="2">
        <v>151748</v>
      </c>
      <c r="K458" s="2">
        <v>2921</v>
      </c>
      <c r="L458" s="2">
        <v>153.30000000000001</v>
      </c>
      <c r="M458" s="2">
        <v>304.10000000000002</v>
      </c>
      <c r="N458" s="2">
        <v>9460</v>
      </c>
      <c r="O458" s="2">
        <v>25.5</v>
      </c>
    </row>
    <row r="459" spans="1:15" ht="24.95" customHeight="1" x14ac:dyDescent="0.25">
      <c r="A459" s="17" t="s">
        <v>560</v>
      </c>
      <c r="B459" s="2">
        <v>252</v>
      </c>
      <c r="C459" s="2">
        <v>98</v>
      </c>
      <c r="D459" s="2">
        <v>10.1</v>
      </c>
      <c r="E459" s="2">
        <v>87</v>
      </c>
      <c r="F459" s="2">
        <v>0.9</v>
      </c>
      <c r="G459" s="2">
        <v>104.5</v>
      </c>
      <c r="H459" s="2">
        <v>1125</v>
      </c>
      <c r="I459" s="2">
        <v>165</v>
      </c>
      <c r="J459" s="2">
        <v>117596</v>
      </c>
      <c r="K459" s="2">
        <v>4720</v>
      </c>
      <c r="L459" s="2">
        <v>207.8</v>
      </c>
      <c r="M459" s="2">
        <v>295.7</v>
      </c>
      <c r="N459" s="2">
        <v>14370</v>
      </c>
      <c r="O459" s="2">
        <v>53.7</v>
      </c>
    </row>
    <row r="460" spans="1:15" ht="24.95" customHeight="1" x14ac:dyDescent="0.25">
      <c r="A460" s="17" t="s">
        <v>563</v>
      </c>
      <c r="B460" s="2">
        <v>252</v>
      </c>
      <c r="C460" s="2">
        <v>109</v>
      </c>
      <c r="D460" s="2">
        <v>21.1</v>
      </c>
      <c r="E460" s="2">
        <v>87</v>
      </c>
      <c r="F460" s="2">
        <v>0.9</v>
      </c>
      <c r="G460" s="2">
        <v>114.2</v>
      </c>
      <c r="H460" s="2">
        <v>320</v>
      </c>
      <c r="I460" s="2">
        <v>130</v>
      </c>
      <c r="J460" s="2">
        <v>36543</v>
      </c>
      <c r="K460" s="2">
        <v>1616</v>
      </c>
      <c r="L460" s="2">
        <v>70.7</v>
      </c>
      <c r="M460" s="2">
        <v>95.5</v>
      </c>
      <c r="N460" s="2">
        <v>4650</v>
      </c>
      <c r="O460" s="2">
        <v>54.9</v>
      </c>
    </row>
    <row r="461" spans="1:15" ht="24.95" customHeight="1" x14ac:dyDescent="0.25">
      <c r="A461" s="17" t="s">
        <v>564</v>
      </c>
      <c r="B461" s="2">
        <v>254</v>
      </c>
      <c r="C461" s="2">
        <v>110</v>
      </c>
      <c r="D461" s="2">
        <v>21.5</v>
      </c>
      <c r="E461" s="2">
        <v>87</v>
      </c>
      <c r="F461" s="2">
        <v>1.5</v>
      </c>
      <c r="G461" s="2">
        <v>112</v>
      </c>
      <c r="H461" s="2">
        <v>169</v>
      </c>
      <c r="I461" s="2">
        <v>152</v>
      </c>
      <c r="J461" s="2">
        <v>18922</v>
      </c>
      <c r="K461" s="2">
        <v>679</v>
      </c>
      <c r="L461" s="2">
        <v>28</v>
      </c>
      <c r="M461" s="2">
        <v>44.9</v>
      </c>
      <c r="N461" s="2">
        <v>2170</v>
      </c>
      <c r="O461" s="2">
        <v>53.9</v>
      </c>
    </row>
    <row r="462" spans="1:15" ht="24.95" customHeight="1" x14ac:dyDescent="0.25">
      <c r="A462" s="17" t="s">
        <v>558</v>
      </c>
      <c r="B462" s="2">
        <v>236</v>
      </c>
      <c r="C462" s="2">
        <v>98</v>
      </c>
      <c r="D462" s="2">
        <v>10.8</v>
      </c>
      <c r="E462" s="2">
        <v>87</v>
      </c>
      <c r="F462" s="2">
        <v>0.2</v>
      </c>
      <c r="G462" s="2">
        <v>100.8</v>
      </c>
      <c r="H462" s="2">
        <v>903</v>
      </c>
      <c r="I462" s="2">
        <v>178</v>
      </c>
      <c r="J462" s="2">
        <v>91064</v>
      </c>
      <c r="K462" s="2">
        <v>4152</v>
      </c>
      <c r="L462" s="2">
        <v>181.1</v>
      </c>
      <c r="M462" s="2">
        <v>231.5</v>
      </c>
      <c r="N462" s="2">
        <v>12670</v>
      </c>
      <c r="O462" s="2">
        <v>59.8</v>
      </c>
    </row>
    <row r="463" spans="1:15" ht="24.95" customHeight="1" x14ac:dyDescent="0.25">
      <c r="A463" s="17" t="s">
        <v>291</v>
      </c>
      <c r="B463" s="2">
        <v>193</v>
      </c>
      <c r="C463" s="2">
        <v>80</v>
      </c>
      <c r="D463" s="2">
        <v>78.5</v>
      </c>
      <c r="F463" s="2">
        <v>1.5</v>
      </c>
      <c r="G463" s="2">
        <v>101</v>
      </c>
      <c r="H463" s="2">
        <v>256</v>
      </c>
      <c r="I463" s="2">
        <v>205</v>
      </c>
      <c r="J463" s="2">
        <v>25863</v>
      </c>
      <c r="K463" s="2">
        <v>568</v>
      </c>
      <c r="L463" s="2">
        <v>30.3</v>
      </c>
      <c r="M463" s="2">
        <v>63.9</v>
      </c>
      <c r="N463" s="2">
        <v>1770</v>
      </c>
      <c r="O463" s="2">
        <v>42.4</v>
      </c>
    </row>
    <row r="464" spans="1:15" ht="24.95" customHeight="1" x14ac:dyDescent="0.25">
      <c r="A464" s="17" t="s">
        <v>6757</v>
      </c>
      <c r="B464" s="2">
        <v>227</v>
      </c>
      <c r="C464" s="2">
        <v>89</v>
      </c>
      <c r="H464" s="2">
        <v>13916</v>
      </c>
      <c r="I464" s="2">
        <v>126</v>
      </c>
      <c r="J464" s="2">
        <v>1238524</v>
      </c>
      <c r="K464" s="2">
        <v>31474</v>
      </c>
      <c r="L464" s="2">
        <v>1967.4</v>
      </c>
      <c r="M464" s="2">
        <v>3446.4</v>
      </c>
      <c r="N464" s="2">
        <v>93090</v>
      </c>
      <c r="O464" s="2">
        <v>15.6</v>
      </c>
    </row>
    <row r="465" spans="1:15" ht="24.95" customHeight="1" x14ac:dyDescent="0.25">
      <c r="A465" s="17" t="s">
        <v>566</v>
      </c>
      <c r="B465" s="2">
        <v>312</v>
      </c>
      <c r="C465" s="2">
        <v>126</v>
      </c>
      <c r="D465" s="2">
        <v>37</v>
      </c>
      <c r="E465" s="2">
        <v>92</v>
      </c>
      <c r="F465" s="2">
        <v>-3</v>
      </c>
      <c r="H465" s="2">
        <v>2800</v>
      </c>
      <c r="I465" s="2">
        <v>122</v>
      </c>
      <c r="J465" s="2">
        <v>352800</v>
      </c>
      <c r="K465" s="2">
        <v>5531</v>
      </c>
      <c r="L465" s="2">
        <v>313.5</v>
      </c>
      <c r="M465" s="2">
        <v>658.2</v>
      </c>
      <c r="N465" s="2">
        <v>18950</v>
      </c>
      <c r="O465" s="2">
        <v>16.399999999999999</v>
      </c>
    </row>
    <row r="466" spans="1:15" ht="24.95" customHeight="1" x14ac:dyDescent="0.25">
      <c r="A466" s="17" t="s">
        <v>567</v>
      </c>
      <c r="B466" s="2">
        <v>330</v>
      </c>
      <c r="C466" s="2">
        <v>134</v>
      </c>
      <c r="D466" s="2">
        <v>44</v>
      </c>
      <c r="E466" s="2">
        <v>92</v>
      </c>
      <c r="F466" s="2">
        <v>-2</v>
      </c>
      <c r="H466" s="2">
        <v>2750</v>
      </c>
      <c r="I466" s="2">
        <v>126</v>
      </c>
      <c r="J466" s="2">
        <v>368500</v>
      </c>
      <c r="K466" s="2">
        <v>7064</v>
      </c>
      <c r="L466" s="2">
        <v>451.3</v>
      </c>
      <c r="M466" s="2">
        <v>700.3</v>
      </c>
      <c r="N466" s="2">
        <v>19690</v>
      </c>
      <c r="O466" s="2">
        <v>20.6</v>
      </c>
    </row>
    <row r="467" spans="1:15" ht="24.95" customHeight="1" x14ac:dyDescent="0.25">
      <c r="A467" s="17" t="s">
        <v>568</v>
      </c>
      <c r="B467" s="2">
        <v>306</v>
      </c>
      <c r="C467" s="2">
        <v>122</v>
      </c>
      <c r="D467" s="2">
        <v>30.5</v>
      </c>
      <c r="E467" s="2">
        <v>92</v>
      </c>
      <c r="F467" s="2">
        <v>-0.5</v>
      </c>
      <c r="H467" s="2">
        <v>2350</v>
      </c>
      <c r="I467" s="2">
        <v>130</v>
      </c>
      <c r="J467" s="2">
        <v>286700</v>
      </c>
      <c r="K467" s="2">
        <v>5712</v>
      </c>
      <c r="L467" s="2">
        <v>330.7</v>
      </c>
      <c r="M467" s="2">
        <v>580.4</v>
      </c>
      <c r="N467" s="2">
        <v>17000</v>
      </c>
      <c r="O467" s="2">
        <v>22.9</v>
      </c>
    </row>
    <row r="468" spans="1:15" ht="24.95" customHeight="1" x14ac:dyDescent="0.25">
      <c r="A468" s="17" t="s">
        <v>6758</v>
      </c>
      <c r="B468" s="2">
        <v>326</v>
      </c>
      <c r="C468" s="2">
        <v>136</v>
      </c>
      <c r="D468" s="2">
        <v>48.5</v>
      </c>
      <c r="E468" s="2">
        <v>89</v>
      </c>
      <c r="F468" s="2">
        <v>-1.5</v>
      </c>
      <c r="H468" s="2">
        <v>2694</v>
      </c>
      <c r="I468" s="2">
        <v>119</v>
      </c>
      <c r="J468" s="2">
        <v>366384</v>
      </c>
      <c r="K468" s="2">
        <v>4246</v>
      </c>
      <c r="L468" s="2">
        <v>341.5</v>
      </c>
      <c r="M468" s="2">
        <v>674.1</v>
      </c>
      <c r="N468" s="2">
        <v>13250</v>
      </c>
    </row>
    <row r="469" spans="1:15" ht="24.95" customHeight="1" x14ac:dyDescent="0.25">
      <c r="A469" s="17" t="s">
        <v>570</v>
      </c>
      <c r="B469" s="2">
        <v>337</v>
      </c>
      <c r="C469" s="2">
        <v>136</v>
      </c>
      <c r="D469" s="2">
        <v>47.1</v>
      </c>
      <c r="E469" s="2">
        <v>92</v>
      </c>
      <c r="F469" s="2">
        <v>-3.1</v>
      </c>
      <c r="H469" s="2">
        <v>910</v>
      </c>
      <c r="I469" s="2">
        <v>116</v>
      </c>
      <c r="J469" s="2">
        <v>123760</v>
      </c>
      <c r="K469" s="2">
        <v>2123</v>
      </c>
      <c r="L469" s="2">
        <v>127.6</v>
      </c>
      <c r="M469" s="2">
        <v>230.7</v>
      </c>
      <c r="N469" s="2">
        <v>6100</v>
      </c>
      <c r="O469" s="2">
        <v>16.100000000000001</v>
      </c>
    </row>
    <row r="470" spans="1:15" ht="24.95" customHeight="1" x14ac:dyDescent="0.25">
      <c r="A470" s="17" t="s">
        <v>572</v>
      </c>
      <c r="B470" s="2">
        <v>284</v>
      </c>
      <c r="C470" s="2">
        <v>114</v>
      </c>
      <c r="D470" s="2">
        <v>21.9</v>
      </c>
      <c r="E470" s="2">
        <v>92</v>
      </c>
      <c r="F470" s="2">
        <v>0.1</v>
      </c>
      <c r="G470" s="2">
        <v>117</v>
      </c>
      <c r="H470" s="2">
        <v>2412</v>
      </c>
      <c r="I470" s="2">
        <v>138</v>
      </c>
      <c r="J470" s="2">
        <v>282304</v>
      </c>
      <c r="K470" s="2">
        <v>6798</v>
      </c>
      <c r="L470" s="2">
        <v>402.8</v>
      </c>
      <c r="M470" s="2">
        <v>602.6</v>
      </c>
      <c r="N470" s="2">
        <v>18100</v>
      </c>
      <c r="O470" s="2">
        <v>25.6</v>
      </c>
    </row>
    <row r="471" spans="1:15" ht="24.95" customHeight="1" x14ac:dyDescent="0.25">
      <c r="A471" s="17" t="s">
        <v>6759</v>
      </c>
      <c r="B471" s="2">
        <v>164</v>
      </c>
      <c r="C471" s="2">
        <v>69.599999999999994</v>
      </c>
      <c r="H471" s="2">
        <v>285896</v>
      </c>
      <c r="I471" s="2">
        <v>160</v>
      </c>
      <c r="J471" s="2">
        <v>19898362</v>
      </c>
      <c r="K471" s="2">
        <v>546623</v>
      </c>
      <c r="L471" s="2">
        <v>41634.5</v>
      </c>
      <c r="M471" s="2">
        <v>69719.5</v>
      </c>
      <c r="N471" s="2">
        <v>1695560</v>
      </c>
    </row>
    <row r="472" spans="1:15" ht="24.95" customHeight="1" x14ac:dyDescent="0.25">
      <c r="A472" s="17" t="s">
        <v>574</v>
      </c>
      <c r="B472" s="2">
        <v>270</v>
      </c>
      <c r="C472" s="2">
        <v>113</v>
      </c>
      <c r="D472" s="2">
        <v>42.2</v>
      </c>
      <c r="E472" s="2">
        <v>70.7</v>
      </c>
      <c r="F472" s="2">
        <v>0.1</v>
      </c>
      <c r="H472" s="2">
        <v>17650</v>
      </c>
      <c r="I472" s="2">
        <v>184</v>
      </c>
      <c r="J472" s="2">
        <v>1994450</v>
      </c>
      <c r="K472" s="2">
        <v>24887</v>
      </c>
      <c r="L472" s="2">
        <v>3017</v>
      </c>
      <c r="M472" s="2">
        <v>4282</v>
      </c>
      <c r="N472" s="2">
        <v>76930</v>
      </c>
    </row>
    <row r="473" spans="1:15" ht="24.95" customHeight="1" x14ac:dyDescent="0.25">
      <c r="A473" s="17" t="s">
        <v>575</v>
      </c>
      <c r="B473" s="2">
        <v>280</v>
      </c>
      <c r="C473" s="2">
        <v>108</v>
      </c>
      <c r="D473" s="2">
        <v>37.299999999999997</v>
      </c>
      <c r="E473" s="2">
        <v>70.7</v>
      </c>
      <c r="H473" s="2">
        <v>15060</v>
      </c>
      <c r="I473" s="2">
        <v>171</v>
      </c>
      <c r="J473" s="2">
        <v>1626480</v>
      </c>
      <c r="K473" s="2">
        <v>28997</v>
      </c>
      <c r="L473" s="2">
        <v>2726.6</v>
      </c>
      <c r="M473" s="2">
        <v>3643</v>
      </c>
      <c r="N473" s="2">
        <v>89910</v>
      </c>
      <c r="O473" s="2">
        <v>7.9</v>
      </c>
    </row>
    <row r="474" spans="1:15" ht="24.95" customHeight="1" x14ac:dyDescent="0.25">
      <c r="A474" s="17" t="s">
        <v>576</v>
      </c>
      <c r="B474" s="2">
        <v>286</v>
      </c>
      <c r="C474" s="2">
        <v>111</v>
      </c>
      <c r="D474" s="2">
        <v>40.1</v>
      </c>
      <c r="E474" s="2">
        <v>70.7</v>
      </c>
      <c r="F474" s="2">
        <v>0.2</v>
      </c>
      <c r="H474" s="2">
        <v>16620</v>
      </c>
      <c r="I474" s="2">
        <v>182</v>
      </c>
      <c r="J474" s="2">
        <v>1844820</v>
      </c>
      <c r="K474" s="2">
        <v>22205</v>
      </c>
      <c r="L474" s="2">
        <v>2524.1999999999998</v>
      </c>
      <c r="M474" s="2">
        <v>4012.9</v>
      </c>
      <c r="N474" s="2">
        <v>68730</v>
      </c>
    </row>
    <row r="475" spans="1:15" ht="24.95" customHeight="1" x14ac:dyDescent="0.25">
      <c r="A475" s="17" t="s">
        <v>577</v>
      </c>
      <c r="B475" s="2">
        <v>300</v>
      </c>
      <c r="C475" s="2">
        <v>126</v>
      </c>
      <c r="D475" s="2">
        <v>45.2</v>
      </c>
      <c r="E475" s="2">
        <v>80</v>
      </c>
      <c r="F475" s="2">
        <v>0.8</v>
      </c>
      <c r="H475" s="2">
        <v>6585</v>
      </c>
      <c r="I475" s="2">
        <v>127</v>
      </c>
      <c r="J475" s="2">
        <v>829710</v>
      </c>
      <c r="K475" s="2">
        <v>14824</v>
      </c>
      <c r="L475" s="2">
        <v>805.2</v>
      </c>
      <c r="M475" s="2">
        <v>1577.8</v>
      </c>
      <c r="N475" s="2">
        <v>49520</v>
      </c>
      <c r="O475" s="2">
        <v>24.2</v>
      </c>
    </row>
    <row r="476" spans="1:15" ht="24.95" customHeight="1" x14ac:dyDescent="0.25">
      <c r="A476" s="17" t="s">
        <v>578</v>
      </c>
      <c r="B476" s="2">
        <v>282</v>
      </c>
      <c r="C476" s="2">
        <v>120</v>
      </c>
      <c r="D476" s="2">
        <v>39.4</v>
      </c>
      <c r="E476" s="2">
        <v>80.3</v>
      </c>
      <c r="F476" s="2">
        <v>0.3</v>
      </c>
      <c r="H476" s="2">
        <v>7150</v>
      </c>
      <c r="I476" s="2">
        <v>131</v>
      </c>
      <c r="J476" s="2">
        <v>858000</v>
      </c>
      <c r="K476" s="2">
        <v>13865</v>
      </c>
      <c r="L476" s="2">
        <v>933.3</v>
      </c>
      <c r="M476" s="2">
        <v>1811.7</v>
      </c>
      <c r="N476" s="2">
        <v>46180</v>
      </c>
      <c r="O476" s="2">
        <v>8</v>
      </c>
    </row>
    <row r="477" spans="1:15" ht="24.95" customHeight="1" x14ac:dyDescent="0.25">
      <c r="A477" s="17" t="s">
        <v>579</v>
      </c>
      <c r="B477" s="2">
        <v>280</v>
      </c>
      <c r="C477" s="2">
        <v>116</v>
      </c>
      <c r="D477" s="2">
        <v>31.2</v>
      </c>
      <c r="E477" s="2">
        <v>83.8</v>
      </c>
      <c r="F477" s="2">
        <v>1</v>
      </c>
      <c r="H477" s="2">
        <v>2925</v>
      </c>
      <c r="I477" s="2">
        <v>137</v>
      </c>
      <c r="J477" s="2">
        <v>339300</v>
      </c>
      <c r="K477" s="2">
        <v>7992</v>
      </c>
      <c r="L477" s="2">
        <v>495.6</v>
      </c>
      <c r="M477" s="2">
        <v>717.7</v>
      </c>
      <c r="N477" s="2">
        <v>25510</v>
      </c>
      <c r="O477" s="2">
        <v>34.6</v>
      </c>
    </row>
    <row r="478" spans="1:15" ht="24.95" customHeight="1" x14ac:dyDescent="0.25">
      <c r="A478" s="17" t="s">
        <v>580</v>
      </c>
      <c r="B478" s="2">
        <v>278</v>
      </c>
      <c r="C478" s="2">
        <v>118</v>
      </c>
      <c r="D478" s="2">
        <v>38.299999999999997</v>
      </c>
      <c r="E478" s="2">
        <v>79.2</v>
      </c>
      <c r="F478" s="2">
        <v>0.5</v>
      </c>
      <c r="H478" s="2">
        <v>4875</v>
      </c>
      <c r="I478" s="2">
        <v>136</v>
      </c>
      <c r="J478" s="2">
        <v>575250</v>
      </c>
      <c r="K478" s="2">
        <v>11100</v>
      </c>
      <c r="L478" s="2">
        <v>659.7</v>
      </c>
      <c r="M478" s="2">
        <v>1219.5999999999999</v>
      </c>
      <c r="N478" s="2">
        <v>35650</v>
      </c>
      <c r="O478" s="2">
        <v>23.4</v>
      </c>
    </row>
    <row r="479" spans="1:15" ht="24.95" customHeight="1" x14ac:dyDescent="0.25">
      <c r="A479" s="17" t="s">
        <v>581</v>
      </c>
      <c r="B479" s="2">
        <v>268</v>
      </c>
      <c r="C479" s="2">
        <v>107</v>
      </c>
      <c r="D479" s="2">
        <v>35.799999999999997</v>
      </c>
      <c r="E479" s="2">
        <v>70.7</v>
      </c>
      <c r="F479" s="2">
        <v>0.6</v>
      </c>
      <c r="H479" s="2">
        <v>11530</v>
      </c>
      <c r="I479" s="2">
        <v>189</v>
      </c>
      <c r="J479" s="2">
        <v>1233710</v>
      </c>
      <c r="K479" s="2">
        <v>13746</v>
      </c>
      <c r="L479" s="2">
        <v>1100.4000000000001</v>
      </c>
      <c r="M479" s="2">
        <v>2676.1</v>
      </c>
      <c r="N479" s="2">
        <v>45300</v>
      </c>
    </row>
    <row r="480" spans="1:15" ht="24.95" customHeight="1" x14ac:dyDescent="0.25">
      <c r="A480" s="17" t="s">
        <v>582</v>
      </c>
      <c r="B480" s="2">
        <v>292</v>
      </c>
      <c r="C480" s="2">
        <v>126</v>
      </c>
      <c r="D480" s="2">
        <v>41.5</v>
      </c>
      <c r="E480" s="2">
        <v>83.8</v>
      </c>
      <c r="F480" s="2">
        <v>0.7</v>
      </c>
      <c r="H480" s="2">
        <v>1755</v>
      </c>
      <c r="I480" s="2">
        <v>152</v>
      </c>
      <c r="J480" s="2">
        <v>221130</v>
      </c>
      <c r="K480" s="2">
        <v>4480</v>
      </c>
      <c r="L480" s="2">
        <v>208.8</v>
      </c>
      <c r="M480" s="2">
        <v>449.6</v>
      </c>
      <c r="N480" s="2">
        <v>13130</v>
      </c>
      <c r="O480" s="2">
        <v>23.4</v>
      </c>
    </row>
    <row r="481" spans="1:15" ht="24.95" customHeight="1" x14ac:dyDescent="0.25">
      <c r="A481" s="17" t="s">
        <v>583</v>
      </c>
      <c r="B481" s="2">
        <v>293</v>
      </c>
      <c r="C481" s="2">
        <v>131</v>
      </c>
      <c r="D481" s="2">
        <v>51.6</v>
      </c>
      <c r="E481" s="2">
        <v>79.2</v>
      </c>
      <c r="F481" s="2">
        <v>0.2</v>
      </c>
      <c r="H481" s="2">
        <v>7715</v>
      </c>
      <c r="I481" s="2">
        <v>124</v>
      </c>
      <c r="J481" s="2">
        <v>1010665</v>
      </c>
      <c r="K481" s="2">
        <v>14038</v>
      </c>
      <c r="L481" s="2">
        <v>1121.9000000000001</v>
      </c>
      <c r="M481" s="2">
        <v>1915.6</v>
      </c>
      <c r="N481" s="2">
        <v>44390</v>
      </c>
      <c r="O481" s="2">
        <v>0.4</v>
      </c>
    </row>
    <row r="482" spans="1:15" ht="24.95" customHeight="1" x14ac:dyDescent="0.25">
      <c r="A482" s="17" t="s">
        <v>584</v>
      </c>
      <c r="B482" s="2">
        <v>258</v>
      </c>
      <c r="C482" s="2">
        <v>112</v>
      </c>
      <c r="D482" s="2">
        <v>31.4</v>
      </c>
      <c r="E482" s="2">
        <v>80</v>
      </c>
      <c r="F482" s="2">
        <v>0.6</v>
      </c>
      <c r="H482" s="2">
        <v>9450</v>
      </c>
      <c r="I482" s="2">
        <v>133</v>
      </c>
      <c r="J482" s="2">
        <v>1058400</v>
      </c>
      <c r="K482" s="2">
        <v>23639</v>
      </c>
      <c r="L482" s="2">
        <v>1385.6</v>
      </c>
      <c r="M482" s="2">
        <v>2162.1</v>
      </c>
      <c r="N482" s="2">
        <v>73970</v>
      </c>
      <c r="O482" s="2">
        <v>28.6</v>
      </c>
    </row>
    <row r="483" spans="1:15" ht="24.95" customHeight="1" x14ac:dyDescent="0.25">
      <c r="A483" s="17" t="s">
        <v>585</v>
      </c>
      <c r="B483" s="2">
        <v>270</v>
      </c>
      <c r="C483" s="2">
        <v>116</v>
      </c>
      <c r="D483" s="2">
        <v>36.6</v>
      </c>
      <c r="E483" s="2">
        <v>79.2</v>
      </c>
      <c r="F483" s="2">
        <v>0.2</v>
      </c>
      <c r="H483" s="2">
        <v>7500</v>
      </c>
      <c r="I483" s="2">
        <v>144</v>
      </c>
      <c r="J483" s="2">
        <v>870000</v>
      </c>
      <c r="K483" s="2">
        <v>15736</v>
      </c>
      <c r="L483" s="2">
        <v>1119.2</v>
      </c>
      <c r="M483" s="2">
        <v>1841.1</v>
      </c>
      <c r="N483" s="2">
        <v>51950</v>
      </c>
      <c r="O483" s="2">
        <v>19.600000000000001</v>
      </c>
    </row>
    <row r="484" spans="1:15" ht="24.95" customHeight="1" x14ac:dyDescent="0.25">
      <c r="A484" s="17" t="s">
        <v>586</v>
      </c>
      <c r="B484" s="2">
        <v>280</v>
      </c>
      <c r="C484" s="2">
        <v>123</v>
      </c>
      <c r="D484" s="2">
        <v>42.4</v>
      </c>
      <c r="E484" s="2">
        <v>80.5</v>
      </c>
      <c r="F484" s="2">
        <v>0.1</v>
      </c>
      <c r="H484" s="2">
        <v>1790</v>
      </c>
      <c r="I484" s="2">
        <v>128</v>
      </c>
      <c r="J484" s="2">
        <v>220170</v>
      </c>
      <c r="K484" s="2">
        <v>3766</v>
      </c>
      <c r="L484" s="2">
        <v>313.5</v>
      </c>
      <c r="M484" s="2">
        <v>435.2</v>
      </c>
      <c r="N484" s="2">
        <v>10000</v>
      </c>
      <c r="O484" s="2">
        <v>0.6</v>
      </c>
    </row>
    <row r="485" spans="1:15" ht="24.95" customHeight="1" x14ac:dyDescent="0.25">
      <c r="A485" s="17" t="s">
        <v>587</v>
      </c>
      <c r="B485" s="2">
        <v>256</v>
      </c>
      <c r="C485" s="2">
        <v>110</v>
      </c>
      <c r="D485" s="2">
        <v>26.1</v>
      </c>
      <c r="E485" s="2">
        <v>84</v>
      </c>
      <c r="F485" s="2">
        <v>-0.1</v>
      </c>
      <c r="H485" s="2">
        <v>600</v>
      </c>
      <c r="I485" s="2">
        <v>167</v>
      </c>
      <c r="J485" s="2">
        <v>66000</v>
      </c>
      <c r="K485" s="2">
        <v>1068</v>
      </c>
      <c r="L485" s="2">
        <v>51.4</v>
      </c>
      <c r="M485" s="2">
        <v>147.6</v>
      </c>
      <c r="N485" s="2">
        <v>3440</v>
      </c>
      <c r="O485" s="2">
        <v>3.7</v>
      </c>
    </row>
    <row r="486" spans="1:15" ht="24.95" customHeight="1" x14ac:dyDescent="0.25">
      <c r="A486" s="17" t="s">
        <v>588</v>
      </c>
      <c r="B486" s="2">
        <v>288</v>
      </c>
      <c r="C486" s="2">
        <v>125</v>
      </c>
      <c r="D486" s="2">
        <v>45.7</v>
      </c>
      <c r="E486" s="2">
        <v>79.2</v>
      </c>
      <c r="F486" s="2">
        <v>0.2</v>
      </c>
      <c r="H486" s="2">
        <v>10600</v>
      </c>
      <c r="I486" s="2">
        <v>145</v>
      </c>
      <c r="J486" s="2">
        <v>1325000</v>
      </c>
      <c r="K486" s="2">
        <v>18348</v>
      </c>
      <c r="L486" s="2">
        <v>1310.5</v>
      </c>
      <c r="M486" s="2">
        <v>2545.1</v>
      </c>
      <c r="N486" s="2">
        <v>60570</v>
      </c>
      <c r="O486" s="2">
        <v>3.6</v>
      </c>
    </row>
    <row r="487" spans="1:15" ht="24.95" customHeight="1" x14ac:dyDescent="0.25">
      <c r="A487" s="17" t="s">
        <v>589</v>
      </c>
      <c r="B487" s="2">
        <v>308</v>
      </c>
      <c r="C487" s="2">
        <v>138</v>
      </c>
      <c r="D487" s="2">
        <v>58.5</v>
      </c>
      <c r="E487" s="2">
        <v>79.2</v>
      </c>
      <c r="F487" s="2">
        <v>0.3</v>
      </c>
      <c r="H487" s="2">
        <v>8385</v>
      </c>
      <c r="I487" s="2">
        <v>128</v>
      </c>
      <c r="J487" s="2">
        <v>1157130</v>
      </c>
      <c r="K487" s="2">
        <v>15697</v>
      </c>
      <c r="L487" s="2">
        <v>1301.4000000000001</v>
      </c>
      <c r="M487" s="2">
        <v>2146.9</v>
      </c>
      <c r="N487" s="2">
        <v>44930</v>
      </c>
    </row>
    <row r="488" spans="1:15" ht="24.95" customHeight="1" x14ac:dyDescent="0.25">
      <c r="A488" s="17" t="s">
        <v>590</v>
      </c>
      <c r="B488" s="2">
        <v>285</v>
      </c>
      <c r="C488" s="2">
        <v>120</v>
      </c>
      <c r="D488" s="2">
        <v>36.4</v>
      </c>
      <c r="E488" s="2">
        <v>84</v>
      </c>
      <c r="F488" s="2">
        <v>-0.4</v>
      </c>
      <c r="H488" s="2">
        <v>442</v>
      </c>
      <c r="I488" s="2">
        <v>148</v>
      </c>
      <c r="J488" s="2">
        <v>53040</v>
      </c>
      <c r="K488" s="2">
        <v>1189</v>
      </c>
      <c r="L488" s="2">
        <v>77.5</v>
      </c>
      <c r="M488" s="2">
        <v>115.5</v>
      </c>
      <c r="N488" s="2">
        <v>2740</v>
      </c>
      <c r="O488" s="2">
        <v>10.1</v>
      </c>
    </row>
    <row r="489" spans="1:15" ht="24.95" customHeight="1" x14ac:dyDescent="0.25">
      <c r="A489" s="17" t="s">
        <v>591</v>
      </c>
      <c r="B489" s="2">
        <v>288</v>
      </c>
      <c r="C489" s="2">
        <v>120</v>
      </c>
      <c r="D489" s="2">
        <v>35</v>
      </c>
      <c r="E489" s="2">
        <v>84</v>
      </c>
      <c r="F489" s="2">
        <v>1</v>
      </c>
      <c r="H489" s="2">
        <v>760</v>
      </c>
      <c r="I489" s="2">
        <v>230</v>
      </c>
      <c r="J489" s="2">
        <v>91200</v>
      </c>
      <c r="K489" s="2">
        <v>968</v>
      </c>
      <c r="L489" s="2">
        <v>39.299999999999997</v>
      </c>
      <c r="M489" s="2">
        <v>204.9</v>
      </c>
      <c r="N489" s="2">
        <v>3080</v>
      </c>
    </row>
    <row r="490" spans="1:15" ht="24.95" customHeight="1" x14ac:dyDescent="0.25">
      <c r="A490" s="17" t="s">
        <v>592</v>
      </c>
      <c r="B490" s="2">
        <v>303</v>
      </c>
      <c r="C490" s="2">
        <v>132</v>
      </c>
      <c r="D490" s="2">
        <v>51.5</v>
      </c>
      <c r="E490" s="2">
        <v>80.3</v>
      </c>
      <c r="F490" s="2">
        <v>0.2</v>
      </c>
      <c r="H490" s="2">
        <v>5100</v>
      </c>
      <c r="I490" s="2">
        <v>134</v>
      </c>
      <c r="J490" s="2">
        <v>673200</v>
      </c>
      <c r="K490" s="2">
        <v>12363</v>
      </c>
      <c r="L490" s="2">
        <v>798.5</v>
      </c>
      <c r="M490" s="2">
        <v>1292.7</v>
      </c>
      <c r="N490" s="2">
        <v>37380</v>
      </c>
      <c r="O490" s="2">
        <v>22.7</v>
      </c>
    </row>
    <row r="491" spans="1:15" ht="24.95" customHeight="1" x14ac:dyDescent="0.25">
      <c r="A491" s="17" t="s">
        <v>593</v>
      </c>
      <c r="B491" s="2">
        <v>278</v>
      </c>
      <c r="C491" s="2">
        <v>116</v>
      </c>
      <c r="D491" s="2">
        <v>36.700000000000003</v>
      </c>
      <c r="E491" s="2">
        <v>78.900000000000006</v>
      </c>
      <c r="F491" s="2">
        <v>0.4</v>
      </c>
      <c r="H491" s="2">
        <v>7765</v>
      </c>
      <c r="I491" s="2">
        <v>169</v>
      </c>
      <c r="J491" s="2">
        <v>900740</v>
      </c>
      <c r="K491" s="2">
        <v>16013</v>
      </c>
      <c r="L491" s="2">
        <v>980.7</v>
      </c>
      <c r="M491" s="2">
        <v>1926.9</v>
      </c>
      <c r="N491" s="2">
        <v>51010</v>
      </c>
      <c r="O491" s="2">
        <v>13.9</v>
      </c>
    </row>
    <row r="492" spans="1:15" ht="24.95" customHeight="1" x14ac:dyDescent="0.25">
      <c r="A492" s="17" t="s">
        <v>594</v>
      </c>
      <c r="B492" s="2">
        <v>249</v>
      </c>
      <c r="C492" s="2">
        <v>106</v>
      </c>
      <c r="D492" s="2">
        <v>22.2</v>
      </c>
      <c r="E492" s="2">
        <v>83.8</v>
      </c>
      <c r="F492" s="2">
        <v>0.1</v>
      </c>
      <c r="H492" s="2">
        <v>1030</v>
      </c>
      <c r="I492" s="2">
        <v>196</v>
      </c>
      <c r="J492" s="2">
        <v>109180</v>
      </c>
      <c r="K492" s="2">
        <v>1450</v>
      </c>
      <c r="L492" s="2">
        <v>82.8</v>
      </c>
      <c r="M492" s="2">
        <v>260.89999999999998</v>
      </c>
      <c r="N492" s="2">
        <v>4370</v>
      </c>
    </row>
    <row r="493" spans="1:15" ht="24.95" customHeight="1" x14ac:dyDescent="0.25">
      <c r="A493" s="17" t="s">
        <v>595</v>
      </c>
      <c r="B493" s="2">
        <v>256</v>
      </c>
      <c r="C493" s="2">
        <v>114</v>
      </c>
      <c r="D493" s="2">
        <v>30.1</v>
      </c>
      <c r="E493" s="2">
        <v>83.8</v>
      </c>
      <c r="F493" s="2">
        <v>0.2</v>
      </c>
      <c r="H493" s="2">
        <v>650</v>
      </c>
      <c r="I493" s="2">
        <v>128</v>
      </c>
      <c r="J493" s="2">
        <v>74100</v>
      </c>
      <c r="K493" s="2">
        <v>1752</v>
      </c>
      <c r="L493" s="2">
        <v>109.9</v>
      </c>
      <c r="M493" s="2">
        <v>160.4</v>
      </c>
      <c r="N493" s="2">
        <v>4970</v>
      </c>
      <c r="O493" s="2">
        <v>27.6</v>
      </c>
    </row>
    <row r="494" spans="1:15" ht="24.95" customHeight="1" x14ac:dyDescent="0.25">
      <c r="A494" s="17" t="s">
        <v>6760</v>
      </c>
      <c r="B494" s="2">
        <v>300</v>
      </c>
      <c r="C494" s="2">
        <v>132</v>
      </c>
      <c r="D494" s="2">
        <v>52.2</v>
      </c>
      <c r="E494" s="2">
        <v>79.599999999999994</v>
      </c>
      <c r="F494" s="2">
        <v>0.1</v>
      </c>
      <c r="H494" s="2">
        <v>7200</v>
      </c>
      <c r="I494" s="2">
        <v>135</v>
      </c>
      <c r="J494" s="2">
        <v>950400</v>
      </c>
      <c r="K494" s="2">
        <v>12974</v>
      </c>
      <c r="L494" s="2">
        <v>1096.4000000000001</v>
      </c>
      <c r="M494" s="2">
        <v>1770.7</v>
      </c>
      <c r="N494" s="2">
        <v>40340</v>
      </c>
      <c r="O494" s="2">
        <v>0.2</v>
      </c>
    </row>
    <row r="495" spans="1:15" ht="24.95" customHeight="1" x14ac:dyDescent="0.25">
      <c r="A495" s="17" t="s">
        <v>597</v>
      </c>
      <c r="B495" s="2">
        <v>272</v>
      </c>
      <c r="C495" s="2">
        <v>114</v>
      </c>
      <c r="D495" s="2">
        <v>30</v>
      </c>
      <c r="E495" s="2">
        <v>83.8</v>
      </c>
      <c r="F495" s="2">
        <v>0.2</v>
      </c>
      <c r="H495" s="2">
        <v>4410</v>
      </c>
      <c r="I495" s="2">
        <v>151</v>
      </c>
      <c r="J495" s="2">
        <v>502740</v>
      </c>
      <c r="K495" s="2">
        <v>9322</v>
      </c>
      <c r="L495" s="2">
        <v>539.6</v>
      </c>
      <c r="M495" s="2">
        <v>1063</v>
      </c>
      <c r="N495" s="2">
        <v>28450</v>
      </c>
      <c r="O495" s="2">
        <v>14.7</v>
      </c>
    </row>
    <row r="496" spans="1:15" ht="24.95" customHeight="1" x14ac:dyDescent="0.25">
      <c r="A496" s="17" t="s">
        <v>6761</v>
      </c>
      <c r="B496" s="2">
        <v>270</v>
      </c>
      <c r="C496" s="2">
        <v>114</v>
      </c>
      <c r="D496" s="2">
        <v>30.2</v>
      </c>
      <c r="E496" s="2">
        <v>83.8</v>
      </c>
      <c r="H496" s="2">
        <v>3043</v>
      </c>
      <c r="I496" s="2">
        <v>138</v>
      </c>
      <c r="J496" s="2">
        <v>346902</v>
      </c>
      <c r="K496" s="2">
        <v>6295</v>
      </c>
      <c r="L496" s="2">
        <v>516.9</v>
      </c>
      <c r="M496" s="2">
        <v>761</v>
      </c>
      <c r="N496" s="2">
        <v>17630</v>
      </c>
      <c r="O496" s="2">
        <v>3.1</v>
      </c>
    </row>
    <row r="497" spans="1:15" ht="24.95" customHeight="1" x14ac:dyDescent="0.25">
      <c r="A497" s="17" t="s">
        <v>599</v>
      </c>
      <c r="B497" s="2">
        <v>278</v>
      </c>
      <c r="C497" s="2">
        <v>110</v>
      </c>
      <c r="D497" s="2">
        <v>39</v>
      </c>
      <c r="E497" s="2">
        <v>71</v>
      </c>
      <c r="H497" s="2">
        <v>16245</v>
      </c>
      <c r="I497" s="2">
        <v>188</v>
      </c>
      <c r="J497" s="2">
        <v>1786950</v>
      </c>
      <c r="K497" s="2">
        <v>27339</v>
      </c>
      <c r="L497" s="2">
        <v>2626.3</v>
      </c>
      <c r="M497" s="2">
        <v>3956.4</v>
      </c>
      <c r="N497" s="2">
        <v>88560</v>
      </c>
    </row>
    <row r="498" spans="1:15" ht="24.95" customHeight="1" x14ac:dyDescent="0.25">
      <c r="A498" s="17" t="s">
        <v>600</v>
      </c>
      <c r="B498" s="2">
        <v>303</v>
      </c>
      <c r="C498" s="2">
        <v>117</v>
      </c>
      <c r="D498" s="2">
        <v>42.4</v>
      </c>
      <c r="E498" s="2">
        <v>74.2</v>
      </c>
      <c r="F498" s="2">
        <v>0.4</v>
      </c>
      <c r="H498" s="2">
        <v>6030</v>
      </c>
      <c r="I498" s="2">
        <v>199</v>
      </c>
      <c r="J498" s="2">
        <v>705510</v>
      </c>
      <c r="K498" s="2">
        <v>10208</v>
      </c>
      <c r="L498" s="2">
        <v>803.3</v>
      </c>
      <c r="M498" s="2">
        <v>1464.9</v>
      </c>
      <c r="N498" s="2">
        <v>31980</v>
      </c>
    </row>
    <row r="499" spans="1:15" ht="24.95" customHeight="1" x14ac:dyDescent="0.25">
      <c r="A499" s="17" t="s">
        <v>601</v>
      </c>
      <c r="B499" s="2">
        <v>300</v>
      </c>
      <c r="C499" s="2">
        <v>124</v>
      </c>
      <c r="D499" s="2">
        <v>40.200000000000003</v>
      </c>
      <c r="E499" s="2">
        <v>83.8</v>
      </c>
      <c r="H499" s="2">
        <v>3300</v>
      </c>
      <c r="I499" s="2">
        <v>126</v>
      </c>
      <c r="J499" s="2">
        <v>409200</v>
      </c>
      <c r="K499" s="2">
        <v>8675</v>
      </c>
      <c r="L499" s="2">
        <v>628.5</v>
      </c>
      <c r="M499" s="2">
        <v>831.3</v>
      </c>
      <c r="N499" s="2">
        <v>21100</v>
      </c>
      <c r="O499" s="2">
        <v>11.7</v>
      </c>
    </row>
    <row r="500" spans="1:15" ht="24.95" customHeight="1" x14ac:dyDescent="0.25">
      <c r="A500" s="17" t="s">
        <v>602</v>
      </c>
      <c r="B500" s="2">
        <v>268</v>
      </c>
      <c r="C500" s="2">
        <v>112</v>
      </c>
      <c r="D500" s="2">
        <v>27.9</v>
      </c>
      <c r="E500" s="2">
        <v>83.8</v>
      </c>
      <c r="F500" s="2">
        <v>0.3</v>
      </c>
      <c r="H500" s="2">
        <v>5230</v>
      </c>
      <c r="I500" s="2">
        <v>170</v>
      </c>
      <c r="J500" s="2">
        <v>585760</v>
      </c>
      <c r="K500" s="2">
        <v>7309</v>
      </c>
      <c r="L500" s="2">
        <v>461.3</v>
      </c>
      <c r="M500" s="2">
        <v>1209.8</v>
      </c>
      <c r="N500" s="2">
        <v>22960</v>
      </c>
    </row>
    <row r="501" spans="1:15" ht="24.95" customHeight="1" x14ac:dyDescent="0.25">
      <c r="A501" s="17" t="s">
        <v>603</v>
      </c>
      <c r="B501" s="2">
        <v>256</v>
      </c>
      <c r="C501" s="2">
        <v>109</v>
      </c>
      <c r="D501" s="2">
        <v>38</v>
      </c>
      <c r="E501" s="2">
        <v>71</v>
      </c>
      <c r="F501" s="2">
        <v>0.1</v>
      </c>
      <c r="H501" s="2">
        <v>15950</v>
      </c>
      <c r="I501" s="2">
        <v>184</v>
      </c>
      <c r="J501" s="2">
        <v>1738550</v>
      </c>
      <c r="K501" s="2">
        <v>25204</v>
      </c>
      <c r="L501" s="2">
        <v>2751.3</v>
      </c>
      <c r="M501" s="2">
        <v>3821</v>
      </c>
      <c r="N501" s="2">
        <v>80950</v>
      </c>
    </row>
    <row r="502" spans="1:15" ht="24.95" customHeight="1" x14ac:dyDescent="0.25">
      <c r="A502" s="17" t="s">
        <v>604</v>
      </c>
      <c r="B502" s="2">
        <v>276</v>
      </c>
      <c r="C502" s="2">
        <v>115</v>
      </c>
      <c r="D502" s="2">
        <v>43.7</v>
      </c>
      <c r="E502" s="2">
        <v>70.900000000000006</v>
      </c>
      <c r="F502" s="2">
        <v>0.4</v>
      </c>
      <c r="H502" s="2">
        <v>3928</v>
      </c>
      <c r="I502" s="2">
        <v>169</v>
      </c>
      <c r="J502" s="2">
        <v>451720</v>
      </c>
      <c r="K502" s="2">
        <v>7475</v>
      </c>
      <c r="L502" s="2">
        <v>588</v>
      </c>
      <c r="M502" s="2">
        <v>960.2</v>
      </c>
      <c r="N502" s="2">
        <v>26020</v>
      </c>
      <c r="O502" s="2">
        <v>17.3</v>
      </c>
    </row>
    <row r="503" spans="1:15" ht="24.95" customHeight="1" x14ac:dyDescent="0.25">
      <c r="A503" s="17" t="s">
        <v>605</v>
      </c>
      <c r="B503" s="2">
        <v>278</v>
      </c>
      <c r="C503" s="2">
        <v>120</v>
      </c>
      <c r="D503" s="2">
        <v>39.4</v>
      </c>
      <c r="E503" s="2">
        <v>80.5</v>
      </c>
      <c r="F503" s="2">
        <v>0.1</v>
      </c>
      <c r="H503" s="2">
        <v>3241</v>
      </c>
      <c r="I503" s="2">
        <v>141</v>
      </c>
      <c r="J503" s="2">
        <v>388920</v>
      </c>
      <c r="K503" s="2">
        <v>5586</v>
      </c>
      <c r="L503" s="2">
        <v>545.1</v>
      </c>
      <c r="M503" s="2">
        <v>789.5</v>
      </c>
      <c r="N503" s="2">
        <v>17610</v>
      </c>
    </row>
    <row r="504" spans="1:15" ht="24.95" customHeight="1" x14ac:dyDescent="0.25">
      <c r="A504" s="17" t="s">
        <v>606</v>
      </c>
      <c r="B504" s="2">
        <v>293</v>
      </c>
      <c r="C504" s="2">
        <v>134</v>
      </c>
      <c r="D504" s="2">
        <v>48.7</v>
      </c>
      <c r="E504" s="2">
        <v>83.8</v>
      </c>
      <c r="F504" s="2">
        <v>1.5</v>
      </c>
      <c r="H504" s="2">
        <v>1565</v>
      </c>
      <c r="I504" s="2">
        <v>117</v>
      </c>
      <c r="J504" s="2">
        <v>209710</v>
      </c>
      <c r="K504" s="2">
        <v>4576</v>
      </c>
      <c r="L504" s="2">
        <v>213.8</v>
      </c>
      <c r="M504" s="2">
        <v>392.5</v>
      </c>
      <c r="N504" s="2">
        <v>13620</v>
      </c>
      <c r="O504" s="2">
        <v>34.799999999999997</v>
      </c>
    </row>
    <row r="505" spans="1:15" ht="24.95" customHeight="1" x14ac:dyDescent="0.25">
      <c r="A505" s="17" t="s">
        <v>607</v>
      </c>
      <c r="B505" s="2">
        <v>270</v>
      </c>
      <c r="C505" s="2">
        <v>114</v>
      </c>
      <c r="D505" s="2">
        <v>32.9</v>
      </c>
      <c r="E505" s="2">
        <v>80.5</v>
      </c>
      <c r="F505" s="2">
        <v>0.6</v>
      </c>
      <c r="H505" s="2">
        <v>4750</v>
      </c>
      <c r="I505" s="2">
        <v>174</v>
      </c>
      <c r="J505" s="2">
        <v>541500</v>
      </c>
      <c r="K505" s="2">
        <v>7919</v>
      </c>
      <c r="L505" s="2">
        <v>457.8</v>
      </c>
      <c r="M505" s="2">
        <v>1162.9000000000001</v>
      </c>
      <c r="N505" s="2">
        <v>24270</v>
      </c>
    </row>
    <row r="506" spans="1:15" ht="24.95" customHeight="1" x14ac:dyDescent="0.25">
      <c r="A506" s="17" t="s">
        <v>608</v>
      </c>
      <c r="B506" s="2">
        <v>282</v>
      </c>
      <c r="C506" s="2">
        <v>120</v>
      </c>
      <c r="D506" s="2">
        <v>35.6</v>
      </c>
      <c r="E506" s="2">
        <v>83.8</v>
      </c>
      <c r="F506" s="2">
        <v>0.6</v>
      </c>
      <c r="H506" s="2">
        <v>1300</v>
      </c>
      <c r="I506" s="2">
        <v>155</v>
      </c>
      <c r="J506" s="2">
        <v>156000</v>
      </c>
      <c r="K506" s="2">
        <v>3317</v>
      </c>
      <c r="L506" s="2">
        <v>246.3</v>
      </c>
      <c r="M506" s="2">
        <v>317</v>
      </c>
      <c r="N506" s="2">
        <v>9720</v>
      </c>
      <c r="O506" s="2">
        <v>26</v>
      </c>
    </row>
    <row r="507" spans="1:15" ht="24.95" customHeight="1" x14ac:dyDescent="0.25">
      <c r="A507" s="17" t="s">
        <v>609</v>
      </c>
      <c r="B507" s="2">
        <v>278</v>
      </c>
      <c r="C507" s="2">
        <v>114</v>
      </c>
      <c r="D507" s="2">
        <v>28.8</v>
      </c>
      <c r="E507" s="2">
        <v>83.8</v>
      </c>
      <c r="F507" s="2">
        <v>1.4</v>
      </c>
      <c r="H507" s="2">
        <v>2155</v>
      </c>
      <c r="I507" s="2">
        <v>176</v>
      </c>
      <c r="J507" s="2">
        <v>245670</v>
      </c>
      <c r="K507" s="2">
        <v>2728</v>
      </c>
      <c r="L507" s="2">
        <v>132.1</v>
      </c>
      <c r="M507" s="2">
        <v>563.79999999999995</v>
      </c>
      <c r="N507" s="2">
        <v>9040</v>
      </c>
    </row>
    <row r="508" spans="1:15" ht="24.95" customHeight="1" x14ac:dyDescent="0.25">
      <c r="A508" s="17" t="s">
        <v>610</v>
      </c>
      <c r="B508" s="2">
        <v>308</v>
      </c>
      <c r="C508" s="2">
        <v>132</v>
      </c>
      <c r="D508" s="2">
        <v>48.3</v>
      </c>
      <c r="E508" s="2">
        <v>83.8</v>
      </c>
      <c r="F508" s="2">
        <v>-0.1</v>
      </c>
      <c r="H508" s="2">
        <v>3775</v>
      </c>
      <c r="I508" s="2">
        <v>160</v>
      </c>
      <c r="J508" s="2">
        <v>498300</v>
      </c>
      <c r="K508" s="2">
        <v>8165</v>
      </c>
      <c r="L508" s="2">
        <v>599.70000000000005</v>
      </c>
      <c r="M508" s="2">
        <v>957.4</v>
      </c>
      <c r="N508" s="2">
        <v>23310</v>
      </c>
      <c r="O508" s="2">
        <v>8.1</v>
      </c>
    </row>
    <row r="509" spans="1:15" ht="24.95" customHeight="1" x14ac:dyDescent="0.25">
      <c r="A509" s="17" t="s">
        <v>611</v>
      </c>
      <c r="B509" s="2">
        <v>318</v>
      </c>
      <c r="C509" s="2">
        <v>132</v>
      </c>
      <c r="D509" s="2">
        <v>48.5</v>
      </c>
      <c r="E509" s="2">
        <v>83.8</v>
      </c>
      <c r="F509" s="2">
        <v>-0.3</v>
      </c>
      <c r="H509" s="2">
        <v>3000</v>
      </c>
      <c r="I509" s="2">
        <v>140</v>
      </c>
      <c r="J509" s="2">
        <v>396000</v>
      </c>
      <c r="K509" s="2">
        <v>8218</v>
      </c>
      <c r="L509" s="2">
        <v>538.20000000000005</v>
      </c>
      <c r="M509" s="2">
        <v>727.6</v>
      </c>
      <c r="N509" s="2">
        <v>19280</v>
      </c>
      <c r="O509" s="2">
        <v>14.9</v>
      </c>
    </row>
    <row r="510" spans="1:15" ht="24.95" customHeight="1" x14ac:dyDescent="0.25">
      <c r="A510" s="17" t="s">
        <v>612</v>
      </c>
      <c r="B510" s="2">
        <v>258</v>
      </c>
      <c r="C510" s="2">
        <v>107</v>
      </c>
      <c r="D510" s="2">
        <v>20.9</v>
      </c>
      <c r="E510" s="2">
        <v>84</v>
      </c>
      <c r="F510" s="2">
        <v>2.1</v>
      </c>
      <c r="G510" s="2">
        <v>109.1</v>
      </c>
      <c r="H510" s="2">
        <v>2210</v>
      </c>
      <c r="I510" s="2">
        <v>150</v>
      </c>
      <c r="J510" s="2">
        <v>241170</v>
      </c>
      <c r="K510" s="2">
        <v>6489</v>
      </c>
      <c r="L510" s="2">
        <v>359.7</v>
      </c>
      <c r="M510" s="2">
        <v>528.4</v>
      </c>
      <c r="N510" s="2">
        <v>20200</v>
      </c>
      <c r="O510" s="2">
        <v>39.799999999999997</v>
      </c>
    </row>
    <row r="511" spans="1:15" ht="24.95" customHeight="1" x14ac:dyDescent="0.25">
      <c r="A511" s="17" t="s">
        <v>613</v>
      </c>
      <c r="B511" s="2">
        <v>252</v>
      </c>
      <c r="C511" s="2">
        <v>111</v>
      </c>
      <c r="D511" s="2">
        <v>25.4</v>
      </c>
      <c r="E511" s="2">
        <v>84</v>
      </c>
      <c r="F511" s="2">
        <v>1.6</v>
      </c>
      <c r="G511" s="2">
        <v>114.4</v>
      </c>
      <c r="H511" s="2">
        <v>1655</v>
      </c>
      <c r="I511" s="2">
        <v>153</v>
      </c>
      <c r="J511" s="2">
        <v>189257</v>
      </c>
      <c r="K511" s="2">
        <v>4724</v>
      </c>
      <c r="L511" s="2">
        <v>317.2</v>
      </c>
      <c r="M511" s="2">
        <v>443.9</v>
      </c>
      <c r="N511" s="2">
        <v>15230</v>
      </c>
      <c r="O511" s="2">
        <v>34.799999999999997</v>
      </c>
    </row>
    <row r="512" spans="1:15" ht="24.95" customHeight="1" x14ac:dyDescent="0.25">
      <c r="A512" s="17" t="s">
        <v>578</v>
      </c>
      <c r="B512" s="2">
        <v>248</v>
      </c>
      <c r="C512" s="2">
        <v>100</v>
      </c>
      <c r="D512" s="2">
        <v>14.3</v>
      </c>
      <c r="E512" s="2">
        <v>84</v>
      </c>
      <c r="F512" s="2">
        <v>1.7</v>
      </c>
      <c r="G512" s="2">
        <v>117.5</v>
      </c>
      <c r="H512" s="2">
        <v>8200</v>
      </c>
      <c r="I512" s="2">
        <v>160</v>
      </c>
      <c r="J512" s="2">
        <v>963409</v>
      </c>
      <c r="K512" s="2">
        <v>16296</v>
      </c>
      <c r="L512" s="2">
        <v>1141.8</v>
      </c>
      <c r="M512" s="2">
        <v>2004.6</v>
      </c>
      <c r="N512" s="2">
        <v>55190</v>
      </c>
      <c r="O512" s="2">
        <v>16.600000000000001</v>
      </c>
    </row>
    <row r="513" spans="1:15" ht="24.95" customHeight="1" x14ac:dyDescent="0.25">
      <c r="A513" s="17" t="s">
        <v>580</v>
      </c>
      <c r="B513" s="2">
        <v>251</v>
      </c>
      <c r="C513" s="2">
        <v>111</v>
      </c>
      <c r="D513" s="2">
        <v>26.3</v>
      </c>
      <c r="E513" s="2">
        <v>84</v>
      </c>
      <c r="F513" s="2">
        <v>0.8</v>
      </c>
      <c r="G513" s="2">
        <v>111.7</v>
      </c>
      <c r="H513" s="2">
        <v>1541</v>
      </c>
      <c r="I513" s="2">
        <v>107</v>
      </c>
      <c r="J513" s="2">
        <v>172059</v>
      </c>
      <c r="K513" s="2">
        <v>3850</v>
      </c>
      <c r="L513" s="2">
        <v>276.2</v>
      </c>
      <c r="M513" s="2">
        <v>380.2</v>
      </c>
      <c r="N513" s="2">
        <v>11600</v>
      </c>
      <c r="O513" s="2">
        <v>20.9</v>
      </c>
    </row>
    <row r="514" spans="1:15" ht="24.95" customHeight="1" x14ac:dyDescent="0.25">
      <c r="A514" s="17" t="s">
        <v>614</v>
      </c>
      <c r="B514" s="2">
        <v>258</v>
      </c>
      <c r="C514" s="2">
        <v>108</v>
      </c>
      <c r="D514" s="2">
        <v>22.5</v>
      </c>
      <c r="E514" s="2">
        <v>84</v>
      </c>
      <c r="F514" s="2">
        <v>1.5</v>
      </c>
      <c r="G514" s="2">
        <v>110.5</v>
      </c>
      <c r="H514" s="2">
        <v>1020</v>
      </c>
      <c r="I514" s="2">
        <v>137</v>
      </c>
      <c r="J514" s="2">
        <v>112683</v>
      </c>
      <c r="K514" s="2">
        <v>3786</v>
      </c>
      <c r="L514" s="2">
        <v>197.8</v>
      </c>
      <c r="M514" s="2">
        <v>265.60000000000002</v>
      </c>
      <c r="N514" s="2">
        <v>10900</v>
      </c>
      <c r="O514" s="2">
        <v>45.8</v>
      </c>
    </row>
    <row r="515" spans="1:15" ht="24.95" customHeight="1" x14ac:dyDescent="0.25">
      <c r="A515" s="17" t="s">
        <v>615</v>
      </c>
      <c r="B515" s="2">
        <v>252</v>
      </c>
      <c r="C515" s="2">
        <v>108</v>
      </c>
      <c r="D515" s="2">
        <v>21.8</v>
      </c>
      <c r="E515" s="2">
        <v>84</v>
      </c>
      <c r="F515" s="2">
        <v>2.2000000000000002</v>
      </c>
      <c r="G515" s="2">
        <v>109.5</v>
      </c>
      <c r="H515" s="2">
        <v>2373</v>
      </c>
      <c r="I515" s="2">
        <v>150</v>
      </c>
      <c r="J515" s="2">
        <v>259818</v>
      </c>
      <c r="K515" s="2">
        <v>7228</v>
      </c>
      <c r="L515" s="2">
        <v>376.4</v>
      </c>
      <c r="M515" s="2">
        <v>600.1</v>
      </c>
      <c r="N515" s="2">
        <v>22540</v>
      </c>
      <c r="O515" s="2">
        <v>40.1</v>
      </c>
    </row>
    <row r="516" spans="1:15" ht="24.95" customHeight="1" x14ac:dyDescent="0.25">
      <c r="A516" s="17" t="s">
        <v>616</v>
      </c>
      <c r="B516" s="2">
        <v>247</v>
      </c>
      <c r="C516" s="2">
        <v>108</v>
      </c>
      <c r="D516" s="2">
        <v>23</v>
      </c>
      <c r="E516" s="2">
        <v>84</v>
      </c>
      <c r="F516" s="2">
        <v>1</v>
      </c>
      <c r="G516" s="2">
        <v>108.4</v>
      </c>
      <c r="H516" s="2">
        <v>1245</v>
      </c>
      <c r="I516" s="2">
        <v>152</v>
      </c>
      <c r="J516" s="2">
        <v>134908</v>
      </c>
      <c r="K516" s="2">
        <v>3329</v>
      </c>
      <c r="L516" s="2">
        <v>232.5</v>
      </c>
      <c r="M516" s="2">
        <v>306.8</v>
      </c>
      <c r="N516" s="2">
        <v>9900</v>
      </c>
      <c r="O516" s="2">
        <v>31.4</v>
      </c>
    </row>
    <row r="517" spans="1:15" ht="24.95" customHeight="1" x14ac:dyDescent="0.25">
      <c r="A517" s="17" t="s">
        <v>617</v>
      </c>
      <c r="B517" s="2">
        <v>247</v>
      </c>
      <c r="C517" s="2">
        <v>106</v>
      </c>
      <c r="D517" s="2">
        <v>20.8</v>
      </c>
      <c r="E517" s="2">
        <v>84</v>
      </c>
      <c r="F517" s="2">
        <v>1.3</v>
      </c>
      <c r="G517" s="2">
        <v>107.5</v>
      </c>
      <c r="H517" s="2">
        <v>2075</v>
      </c>
      <c r="I517" s="2">
        <v>161</v>
      </c>
      <c r="J517" s="2">
        <v>222980</v>
      </c>
      <c r="K517" s="2">
        <v>5762</v>
      </c>
      <c r="L517" s="2">
        <v>351.9</v>
      </c>
      <c r="M517" s="2">
        <v>529.1</v>
      </c>
      <c r="N517" s="2">
        <v>17330</v>
      </c>
      <c r="O517" s="2">
        <v>31.6</v>
      </c>
    </row>
    <row r="518" spans="1:15" ht="24.95" customHeight="1" x14ac:dyDescent="0.25">
      <c r="A518" s="17" t="s">
        <v>588</v>
      </c>
      <c r="B518" s="2">
        <v>243</v>
      </c>
      <c r="C518" s="2">
        <v>103</v>
      </c>
      <c r="D518" s="2">
        <v>17.399999999999999</v>
      </c>
      <c r="E518" s="2">
        <v>84</v>
      </c>
      <c r="F518" s="2">
        <v>1.6</v>
      </c>
      <c r="G518" s="2">
        <v>104.4</v>
      </c>
      <c r="H518" s="2">
        <v>2400</v>
      </c>
      <c r="I518" s="2">
        <v>158</v>
      </c>
      <c r="J518" s="2">
        <v>250660</v>
      </c>
      <c r="K518" s="2">
        <v>6938</v>
      </c>
      <c r="L518" s="2">
        <v>475.3</v>
      </c>
      <c r="M518" s="2">
        <v>606</v>
      </c>
      <c r="N518" s="2">
        <v>20890</v>
      </c>
      <c r="O518" s="2">
        <v>35.299999999999997</v>
      </c>
    </row>
    <row r="519" spans="1:15" ht="24.95" customHeight="1" x14ac:dyDescent="0.25">
      <c r="A519" s="17" t="s">
        <v>618</v>
      </c>
      <c r="B519" s="2">
        <v>249</v>
      </c>
      <c r="C519" s="2">
        <v>106</v>
      </c>
      <c r="D519" s="2">
        <v>21.2</v>
      </c>
      <c r="E519" s="2">
        <v>84</v>
      </c>
      <c r="F519" s="2">
        <v>0.8</v>
      </c>
      <c r="G519" s="2">
        <v>108.3</v>
      </c>
      <c r="H519" s="2">
        <v>7521</v>
      </c>
      <c r="I519" s="2">
        <v>170</v>
      </c>
      <c r="J519" s="2">
        <v>814849</v>
      </c>
      <c r="K519" s="2">
        <v>12902</v>
      </c>
      <c r="L519" s="2">
        <v>758.3</v>
      </c>
      <c r="M519" s="2">
        <v>1899.5</v>
      </c>
      <c r="N519" s="2">
        <v>42380</v>
      </c>
    </row>
    <row r="520" spans="1:15" ht="24.95" customHeight="1" x14ac:dyDescent="0.25">
      <c r="A520" s="17" t="s">
        <v>619</v>
      </c>
      <c r="B520" s="2">
        <v>252</v>
      </c>
      <c r="C520" s="2">
        <v>112</v>
      </c>
      <c r="D520" s="2">
        <v>27.1</v>
      </c>
      <c r="E520" s="2">
        <v>84</v>
      </c>
      <c r="F520" s="2">
        <v>0.9</v>
      </c>
      <c r="G520" s="2">
        <v>112</v>
      </c>
      <c r="H520" s="2">
        <v>590</v>
      </c>
      <c r="I520" s="2">
        <v>144</v>
      </c>
      <c r="J520" s="2">
        <v>66080</v>
      </c>
      <c r="K520" s="2">
        <v>1887</v>
      </c>
      <c r="L520" s="2">
        <v>98.3</v>
      </c>
      <c r="M520" s="2">
        <v>149</v>
      </c>
      <c r="N520" s="2">
        <v>4680</v>
      </c>
      <c r="O520" s="2">
        <v>30</v>
      </c>
    </row>
    <row r="521" spans="1:15" ht="24.95" customHeight="1" x14ac:dyDescent="0.25">
      <c r="A521" s="17" t="s">
        <v>605</v>
      </c>
      <c r="B521" s="2">
        <v>249</v>
      </c>
      <c r="C521" s="2">
        <v>103</v>
      </c>
      <c r="D521" s="2">
        <v>18.100000000000001</v>
      </c>
      <c r="E521" s="2">
        <v>84</v>
      </c>
      <c r="F521" s="2">
        <v>0.9</v>
      </c>
      <c r="G521" s="2">
        <v>105.3</v>
      </c>
      <c r="H521" s="2">
        <v>5850</v>
      </c>
      <c r="I521" s="2">
        <v>168</v>
      </c>
      <c r="J521" s="2">
        <v>616159</v>
      </c>
      <c r="K521" s="2">
        <v>12671</v>
      </c>
      <c r="L521" s="2">
        <v>979.4</v>
      </c>
      <c r="M521" s="2">
        <v>1393.6</v>
      </c>
      <c r="N521" s="2">
        <v>40640</v>
      </c>
      <c r="O521" s="2">
        <v>21.3</v>
      </c>
    </row>
    <row r="522" spans="1:15" ht="24.95" customHeight="1" x14ac:dyDescent="0.25">
      <c r="A522" s="17" t="s">
        <v>620</v>
      </c>
      <c r="B522" s="2">
        <v>280</v>
      </c>
      <c r="C522" s="2">
        <v>121</v>
      </c>
      <c r="D522" s="2">
        <v>36.5</v>
      </c>
      <c r="E522" s="2">
        <v>84</v>
      </c>
      <c r="F522" s="2">
        <v>0.5</v>
      </c>
      <c r="G522" s="2">
        <v>124.8</v>
      </c>
      <c r="H522" s="2">
        <v>1480</v>
      </c>
      <c r="I522" s="2">
        <v>124</v>
      </c>
      <c r="J522" s="2">
        <v>184738</v>
      </c>
      <c r="K522" s="2">
        <v>6110</v>
      </c>
      <c r="L522" s="2">
        <v>253</v>
      </c>
      <c r="M522" s="2">
        <v>357.7</v>
      </c>
      <c r="N522" s="2">
        <v>10590</v>
      </c>
      <c r="O522" s="2">
        <v>20.7</v>
      </c>
    </row>
    <row r="523" spans="1:15" ht="24.95" customHeight="1" x14ac:dyDescent="0.25">
      <c r="A523" s="17" t="s">
        <v>6762</v>
      </c>
      <c r="B523" s="2">
        <v>247</v>
      </c>
      <c r="C523" s="2">
        <v>101</v>
      </c>
      <c r="D523" s="2">
        <v>14</v>
      </c>
      <c r="E523" s="2">
        <v>84</v>
      </c>
      <c r="F523" s="2">
        <v>3</v>
      </c>
      <c r="G523" s="2">
        <v>103.2</v>
      </c>
      <c r="H523" s="2">
        <v>8653</v>
      </c>
      <c r="I523" s="2">
        <v>179</v>
      </c>
      <c r="J523" s="2">
        <v>893380</v>
      </c>
      <c r="K523" s="2">
        <v>9346</v>
      </c>
      <c r="L523" s="2">
        <v>574.6</v>
      </c>
      <c r="M523" s="2">
        <v>2162.1</v>
      </c>
      <c r="N523" s="2">
        <v>30270</v>
      </c>
    </row>
    <row r="524" spans="1:15" ht="24.95" customHeight="1" x14ac:dyDescent="0.25">
      <c r="A524" s="17" t="s">
        <v>622</v>
      </c>
      <c r="B524" s="2">
        <v>254</v>
      </c>
      <c r="C524" s="2">
        <v>108</v>
      </c>
      <c r="D524" s="2">
        <v>21.8</v>
      </c>
      <c r="E524" s="2">
        <v>84</v>
      </c>
      <c r="F524" s="2">
        <v>2.2999999999999998</v>
      </c>
      <c r="G524" s="2">
        <v>109.8</v>
      </c>
      <c r="H524" s="2">
        <v>1963</v>
      </c>
      <c r="I524" s="2">
        <v>116</v>
      </c>
      <c r="J524" s="2">
        <v>215586</v>
      </c>
      <c r="K524" s="2">
        <v>7136</v>
      </c>
      <c r="L524" s="2">
        <v>369.3</v>
      </c>
      <c r="M524" s="2">
        <v>506.5</v>
      </c>
      <c r="N524" s="2">
        <v>21150</v>
      </c>
      <c r="O524" s="2">
        <v>46.7</v>
      </c>
    </row>
    <row r="525" spans="1:15" ht="24.95" customHeight="1" x14ac:dyDescent="0.25">
      <c r="A525" s="17" t="s">
        <v>595</v>
      </c>
      <c r="B525" s="2">
        <v>250</v>
      </c>
      <c r="C525" s="2">
        <v>105</v>
      </c>
      <c r="D525" s="2">
        <v>19.399999999999999</v>
      </c>
      <c r="E525" s="2">
        <v>84</v>
      </c>
      <c r="F525" s="2">
        <v>1.7</v>
      </c>
      <c r="G525" s="2">
        <v>106.1</v>
      </c>
      <c r="H525" s="2">
        <v>695</v>
      </c>
      <c r="I525" s="2">
        <v>140</v>
      </c>
      <c r="J525" s="2">
        <v>73742</v>
      </c>
      <c r="K525" s="2">
        <v>2654</v>
      </c>
      <c r="L525" s="2">
        <v>143.9</v>
      </c>
      <c r="M525" s="2">
        <v>174.7</v>
      </c>
      <c r="N525" s="2">
        <v>7500</v>
      </c>
      <c r="O525" s="2">
        <v>48.5</v>
      </c>
    </row>
    <row r="526" spans="1:15" ht="24.95" customHeight="1" x14ac:dyDescent="0.25">
      <c r="A526" s="17" t="s">
        <v>610</v>
      </c>
      <c r="B526" s="2">
        <v>256</v>
      </c>
      <c r="C526" s="2">
        <v>111</v>
      </c>
      <c r="D526" s="2">
        <v>26</v>
      </c>
      <c r="E526" s="2">
        <v>84</v>
      </c>
      <c r="F526" s="2">
        <v>1</v>
      </c>
      <c r="G526" s="2">
        <v>114</v>
      </c>
      <c r="H526" s="2">
        <v>3370</v>
      </c>
      <c r="I526" s="2">
        <v>161</v>
      </c>
      <c r="J526" s="2">
        <v>384286</v>
      </c>
      <c r="K526" s="2">
        <v>8500</v>
      </c>
      <c r="L526" s="2">
        <v>631.70000000000005</v>
      </c>
      <c r="M526" s="2">
        <v>858.2</v>
      </c>
      <c r="N526" s="2">
        <v>25240</v>
      </c>
      <c r="O526" s="2">
        <v>24.3</v>
      </c>
    </row>
    <row r="527" spans="1:15" ht="24.95" customHeight="1" x14ac:dyDescent="0.25">
      <c r="A527" s="17" t="s">
        <v>623</v>
      </c>
      <c r="B527" s="2">
        <v>240</v>
      </c>
      <c r="C527" s="2">
        <v>102</v>
      </c>
      <c r="D527" s="2">
        <v>16.399999999999999</v>
      </c>
      <c r="E527" s="2">
        <v>84</v>
      </c>
      <c r="F527" s="2">
        <v>1.6</v>
      </c>
      <c r="G527" s="2">
        <v>103.8</v>
      </c>
      <c r="H527" s="2">
        <v>1000</v>
      </c>
      <c r="I527" s="2">
        <v>144</v>
      </c>
      <c r="J527" s="2">
        <v>103760</v>
      </c>
      <c r="K527" s="2">
        <v>3582</v>
      </c>
      <c r="L527" s="2">
        <v>189.5</v>
      </c>
      <c r="M527" s="2">
        <v>258.3</v>
      </c>
      <c r="N527" s="2">
        <v>10830</v>
      </c>
      <c r="O527" s="2">
        <v>47.9</v>
      </c>
    </row>
    <row r="528" spans="1:15" ht="24.95" customHeight="1" x14ac:dyDescent="0.25">
      <c r="A528" s="17" t="s">
        <v>6763</v>
      </c>
      <c r="B528" s="2">
        <v>182.5</v>
      </c>
      <c r="C528" s="2">
        <v>74.400000000000006</v>
      </c>
      <c r="H528" s="2">
        <v>286854</v>
      </c>
      <c r="I528" s="2">
        <v>167</v>
      </c>
      <c r="J528" s="2">
        <v>21341938</v>
      </c>
      <c r="K528" s="2">
        <v>729130</v>
      </c>
      <c r="L528" s="2">
        <v>39139.199999999997</v>
      </c>
      <c r="M528" s="2">
        <v>73093.3</v>
      </c>
      <c r="N528" s="2">
        <v>2237810</v>
      </c>
      <c r="O528" s="2">
        <v>26.4</v>
      </c>
    </row>
    <row r="529" spans="1:15" ht="24.95" customHeight="1" x14ac:dyDescent="0.25">
      <c r="A529" s="17" t="s">
        <v>625</v>
      </c>
      <c r="B529" s="2">
        <v>285</v>
      </c>
      <c r="C529" s="2">
        <v>118</v>
      </c>
      <c r="D529" s="2">
        <v>43</v>
      </c>
      <c r="E529" s="2">
        <v>74.400000000000006</v>
      </c>
      <c r="F529" s="2">
        <v>0.6</v>
      </c>
      <c r="H529" s="2">
        <v>4380</v>
      </c>
      <c r="I529" s="2">
        <v>134</v>
      </c>
      <c r="J529" s="2">
        <v>516840</v>
      </c>
      <c r="K529" s="2">
        <v>13943</v>
      </c>
      <c r="L529" s="2">
        <v>478.1</v>
      </c>
      <c r="M529" s="2">
        <v>1100.2</v>
      </c>
      <c r="N529" s="2">
        <v>38940</v>
      </c>
      <c r="O529" s="2">
        <v>36.4</v>
      </c>
    </row>
    <row r="530" spans="1:15" ht="24.95" customHeight="1" x14ac:dyDescent="0.25">
      <c r="A530" s="17" t="s">
        <v>626</v>
      </c>
      <c r="B530" s="2">
        <v>284</v>
      </c>
      <c r="C530" s="2">
        <v>117</v>
      </c>
      <c r="D530" s="2">
        <v>42.3</v>
      </c>
      <c r="E530" s="2">
        <v>74.400000000000006</v>
      </c>
      <c r="F530" s="2">
        <v>0.3</v>
      </c>
      <c r="H530" s="2">
        <v>5967</v>
      </c>
      <c r="I530" s="2">
        <v>156</v>
      </c>
      <c r="J530" s="2">
        <v>698139</v>
      </c>
      <c r="K530" s="2">
        <v>17262</v>
      </c>
      <c r="L530" s="2">
        <v>737.3</v>
      </c>
      <c r="M530" s="2">
        <v>1456.2</v>
      </c>
      <c r="N530" s="2">
        <v>49810</v>
      </c>
      <c r="O530" s="2">
        <v>34.5</v>
      </c>
    </row>
    <row r="531" spans="1:15" ht="24.95" customHeight="1" x14ac:dyDescent="0.25">
      <c r="A531" s="17" t="s">
        <v>627</v>
      </c>
      <c r="B531" s="2">
        <v>318</v>
      </c>
      <c r="C531" s="2">
        <v>144</v>
      </c>
      <c r="D531" s="2">
        <v>66.5</v>
      </c>
      <c r="E531" s="2">
        <v>74.599999999999994</v>
      </c>
      <c r="F531" s="2">
        <v>2.9</v>
      </c>
      <c r="H531" s="2">
        <v>1360</v>
      </c>
      <c r="I531" s="2">
        <v>120</v>
      </c>
      <c r="J531" s="2">
        <v>195840</v>
      </c>
      <c r="K531" s="2">
        <v>6306</v>
      </c>
      <c r="L531" s="2">
        <v>183.1</v>
      </c>
      <c r="M531" s="2">
        <v>364.5</v>
      </c>
      <c r="N531" s="2">
        <v>17240</v>
      </c>
      <c r="O531" s="2">
        <v>53.4</v>
      </c>
    </row>
    <row r="532" spans="1:15" ht="24.95" customHeight="1" x14ac:dyDescent="0.25">
      <c r="A532" s="17" t="s">
        <v>628</v>
      </c>
      <c r="B532" s="2">
        <v>282</v>
      </c>
      <c r="C532" s="2">
        <v>111</v>
      </c>
      <c r="D532" s="2">
        <v>36</v>
      </c>
      <c r="E532" s="2">
        <v>74.7</v>
      </c>
      <c r="F532" s="2">
        <v>0.3</v>
      </c>
      <c r="H532" s="2">
        <v>3550</v>
      </c>
      <c r="I532" s="2">
        <v>177</v>
      </c>
      <c r="J532" s="2">
        <v>394050</v>
      </c>
      <c r="K532" s="2">
        <v>10214</v>
      </c>
      <c r="L532" s="2">
        <v>468.3</v>
      </c>
      <c r="M532" s="2">
        <v>924.2</v>
      </c>
      <c r="N532" s="2">
        <v>31210</v>
      </c>
      <c r="O532" s="2">
        <v>33.4</v>
      </c>
    </row>
    <row r="533" spans="1:15" ht="24.95" customHeight="1" x14ac:dyDescent="0.25">
      <c r="A533" s="17" t="s">
        <v>629</v>
      </c>
      <c r="B533" s="2">
        <v>297</v>
      </c>
      <c r="C533" s="2">
        <v>117</v>
      </c>
      <c r="D533" s="2">
        <v>41.4</v>
      </c>
      <c r="E533" s="2">
        <v>75</v>
      </c>
      <c r="F533" s="2">
        <v>0.6</v>
      </c>
      <c r="H533" s="2">
        <v>1646</v>
      </c>
      <c r="I533" s="2">
        <v>173</v>
      </c>
      <c r="J533" s="2">
        <v>192582</v>
      </c>
      <c r="K533" s="2">
        <v>4401</v>
      </c>
      <c r="L533" s="2">
        <v>198.1</v>
      </c>
      <c r="M533" s="2">
        <v>433.1</v>
      </c>
      <c r="N533" s="2">
        <v>12300</v>
      </c>
      <c r="O533" s="2">
        <v>20.8</v>
      </c>
    </row>
    <row r="534" spans="1:15" ht="24.95" customHeight="1" x14ac:dyDescent="0.25">
      <c r="A534" s="17" t="s">
        <v>630</v>
      </c>
      <c r="B534" s="2">
        <v>282</v>
      </c>
      <c r="C534" s="2">
        <v>129</v>
      </c>
      <c r="D534" s="2">
        <v>55.9</v>
      </c>
      <c r="E534" s="2">
        <v>74.400000000000006</v>
      </c>
      <c r="F534" s="2">
        <v>-1.3</v>
      </c>
      <c r="H534" s="2">
        <v>1930</v>
      </c>
      <c r="I534" s="2">
        <v>116</v>
      </c>
      <c r="J534" s="2">
        <v>248970</v>
      </c>
      <c r="K534" s="2">
        <v>7295</v>
      </c>
      <c r="L534" s="2">
        <v>245.8</v>
      </c>
      <c r="M534" s="2">
        <v>501.6</v>
      </c>
      <c r="N534" s="2">
        <v>19410</v>
      </c>
      <c r="O534" s="2">
        <v>42.2</v>
      </c>
    </row>
    <row r="535" spans="1:15" ht="24.95" customHeight="1" x14ac:dyDescent="0.25">
      <c r="A535" s="17" t="s">
        <v>631</v>
      </c>
      <c r="B535" s="2">
        <v>286</v>
      </c>
      <c r="C535" s="2">
        <v>120</v>
      </c>
      <c r="D535" s="2">
        <v>47.9</v>
      </c>
      <c r="E535" s="2">
        <v>74.400000000000006</v>
      </c>
      <c r="F535" s="2">
        <v>-2.2999999999999998</v>
      </c>
      <c r="H535" s="2">
        <v>7408</v>
      </c>
      <c r="I535" s="2">
        <v>141</v>
      </c>
      <c r="J535" s="2">
        <v>888960</v>
      </c>
      <c r="K535" s="2">
        <v>18006</v>
      </c>
      <c r="L535" s="2">
        <v>1409.5</v>
      </c>
      <c r="M535" s="2">
        <v>1861.8</v>
      </c>
      <c r="N535" s="2">
        <v>59490</v>
      </c>
      <c r="O535" s="2">
        <v>30.1</v>
      </c>
    </row>
    <row r="536" spans="1:15" ht="24.95" customHeight="1" x14ac:dyDescent="0.25">
      <c r="A536" s="17" t="s">
        <v>632</v>
      </c>
      <c r="B536" s="2">
        <v>314</v>
      </c>
      <c r="C536" s="2">
        <v>126</v>
      </c>
      <c r="D536" s="2">
        <v>49.5</v>
      </c>
      <c r="E536" s="2">
        <v>74.7</v>
      </c>
      <c r="F536" s="2">
        <v>1.8</v>
      </c>
      <c r="H536" s="2">
        <v>3150</v>
      </c>
      <c r="I536" s="2">
        <v>160</v>
      </c>
      <c r="J536" s="2">
        <v>396900</v>
      </c>
      <c r="K536" s="2">
        <v>10627</v>
      </c>
      <c r="L536" s="2">
        <v>367.8</v>
      </c>
      <c r="M536" s="2">
        <v>810.6</v>
      </c>
      <c r="N536" s="2">
        <v>29570</v>
      </c>
      <c r="O536" s="2">
        <v>39.700000000000003</v>
      </c>
    </row>
    <row r="537" spans="1:15" ht="24.95" customHeight="1" x14ac:dyDescent="0.25">
      <c r="A537" s="17" t="s">
        <v>633</v>
      </c>
      <c r="B537" s="2">
        <v>300</v>
      </c>
      <c r="C537" s="2">
        <v>123</v>
      </c>
      <c r="D537" s="2">
        <v>48.3</v>
      </c>
      <c r="E537" s="2">
        <v>74.400000000000006</v>
      </c>
      <c r="F537" s="2">
        <v>0.4</v>
      </c>
      <c r="H537" s="2">
        <v>5500</v>
      </c>
      <c r="I537" s="2">
        <v>172</v>
      </c>
      <c r="J537" s="2">
        <v>676500</v>
      </c>
      <c r="K537" s="2">
        <v>13929</v>
      </c>
      <c r="L537" s="2">
        <v>727.3</v>
      </c>
      <c r="M537" s="2">
        <v>1383.8</v>
      </c>
      <c r="N537" s="2">
        <v>43060</v>
      </c>
      <c r="O537" s="2">
        <v>26.6</v>
      </c>
    </row>
    <row r="538" spans="1:15" ht="24.95" customHeight="1" x14ac:dyDescent="0.25">
      <c r="A538" s="17" t="s">
        <v>634</v>
      </c>
      <c r="B538" s="2">
        <v>282</v>
      </c>
      <c r="C538" s="2">
        <v>108</v>
      </c>
      <c r="D538" s="2">
        <v>32.5</v>
      </c>
      <c r="E538" s="2">
        <v>75</v>
      </c>
      <c r="F538" s="2">
        <v>0.7</v>
      </c>
      <c r="H538" s="2">
        <v>2900</v>
      </c>
      <c r="I538" s="2">
        <v>160</v>
      </c>
      <c r="J538" s="2">
        <v>313200</v>
      </c>
      <c r="K538" s="2">
        <v>9031</v>
      </c>
      <c r="L538" s="2">
        <v>389.1</v>
      </c>
      <c r="M538" s="2">
        <v>725.9</v>
      </c>
      <c r="N538" s="2">
        <v>27290</v>
      </c>
      <c r="O538" s="2">
        <v>41.2</v>
      </c>
    </row>
    <row r="539" spans="1:15" ht="24.95" customHeight="1" x14ac:dyDescent="0.25">
      <c r="A539" s="17" t="s">
        <v>635</v>
      </c>
      <c r="B539" s="2">
        <v>302</v>
      </c>
      <c r="C539" s="2">
        <v>135</v>
      </c>
      <c r="D539" s="2">
        <v>61.1</v>
      </c>
      <c r="E539" s="2">
        <v>75</v>
      </c>
      <c r="F539" s="2">
        <v>-1</v>
      </c>
      <c r="H539" s="2">
        <v>3310</v>
      </c>
      <c r="I539" s="2">
        <v>108</v>
      </c>
      <c r="J539" s="2">
        <v>446850</v>
      </c>
      <c r="K539" s="2">
        <v>8211</v>
      </c>
      <c r="L539" s="2">
        <v>503</v>
      </c>
      <c r="M539" s="2">
        <v>857.7</v>
      </c>
      <c r="N539" s="2">
        <v>28330</v>
      </c>
      <c r="O539" s="2">
        <v>32.5</v>
      </c>
    </row>
    <row r="540" spans="1:15" ht="24.95" customHeight="1" x14ac:dyDescent="0.25">
      <c r="A540" s="17" t="s">
        <v>636</v>
      </c>
      <c r="B540" s="2">
        <v>300</v>
      </c>
      <c r="C540" s="2">
        <v>114</v>
      </c>
      <c r="D540" s="2">
        <v>38.6</v>
      </c>
      <c r="E540" s="2">
        <v>74.599999999999994</v>
      </c>
      <c r="F540" s="2">
        <v>0.9</v>
      </c>
      <c r="H540" s="2">
        <v>1490</v>
      </c>
      <c r="I540" s="2">
        <v>122</v>
      </c>
      <c r="J540" s="2">
        <v>169860</v>
      </c>
      <c r="K540" s="2">
        <v>5311</v>
      </c>
      <c r="L540" s="2">
        <v>168.4</v>
      </c>
      <c r="M540" s="2">
        <v>380.7</v>
      </c>
      <c r="N540" s="2">
        <v>14300</v>
      </c>
      <c r="O540" s="2">
        <v>40.4</v>
      </c>
    </row>
    <row r="541" spans="1:15" ht="24.95" customHeight="1" x14ac:dyDescent="0.25">
      <c r="A541" s="17" t="s">
        <v>637</v>
      </c>
      <c r="B541" s="2">
        <v>303</v>
      </c>
      <c r="C541" s="2">
        <v>123</v>
      </c>
      <c r="D541" s="2">
        <v>47.6</v>
      </c>
      <c r="E541" s="2">
        <v>74.900000000000006</v>
      </c>
      <c r="F541" s="2">
        <v>0.5</v>
      </c>
      <c r="H541" s="2">
        <v>2800</v>
      </c>
      <c r="I541" s="2">
        <v>147</v>
      </c>
      <c r="J541" s="2">
        <v>344400</v>
      </c>
      <c r="K541" s="2">
        <v>8783</v>
      </c>
      <c r="L541" s="2">
        <v>327.2</v>
      </c>
      <c r="M541" s="2">
        <v>665.3</v>
      </c>
      <c r="N541" s="2">
        <v>24220</v>
      </c>
      <c r="O541" s="2">
        <v>36.200000000000003</v>
      </c>
    </row>
    <row r="542" spans="1:15" ht="24.95" customHeight="1" x14ac:dyDescent="0.25">
      <c r="A542" s="17" t="s">
        <v>36</v>
      </c>
      <c r="B542" s="2">
        <v>294</v>
      </c>
      <c r="C542" s="2">
        <v>120</v>
      </c>
      <c r="D542" s="2">
        <v>45.9</v>
      </c>
      <c r="E542" s="2">
        <v>74.7</v>
      </c>
      <c r="F542" s="2">
        <v>-0.6</v>
      </c>
      <c r="H542" s="2">
        <v>6423</v>
      </c>
      <c r="I542" s="2">
        <v>152</v>
      </c>
      <c r="J542" s="2">
        <v>770760</v>
      </c>
      <c r="K542" s="2">
        <v>14436</v>
      </c>
      <c r="L542" s="2">
        <v>763.8</v>
      </c>
      <c r="M542" s="2">
        <v>1615.2</v>
      </c>
      <c r="N542" s="2">
        <v>48480</v>
      </c>
      <c r="O542" s="2">
        <v>22.8</v>
      </c>
    </row>
    <row r="543" spans="1:15" ht="24.95" customHeight="1" x14ac:dyDescent="0.25">
      <c r="A543" s="17" t="s">
        <v>638</v>
      </c>
      <c r="B543" s="2">
        <v>288</v>
      </c>
      <c r="C543" s="2">
        <v>114</v>
      </c>
      <c r="D543" s="2">
        <v>38.9</v>
      </c>
      <c r="E543" s="2">
        <v>74.400000000000006</v>
      </c>
      <c r="F543" s="2">
        <v>0.8</v>
      </c>
      <c r="H543" s="2">
        <v>5333</v>
      </c>
      <c r="I543" s="2">
        <v>146</v>
      </c>
      <c r="J543" s="2">
        <v>607962</v>
      </c>
      <c r="K543" s="2">
        <v>15204</v>
      </c>
      <c r="L543" s="2">
        <v>644.6</v>
      </c>
      <c r="M543" s="2">
        <v>1345.5</v>
      </c>
      <c r="N543" s="2">
        <v>46500</v>
      </c>
      <c r="O543" s="2">
        <v>35.9</v>
      </c>
    </row>
    <row r="544" spans="1:15" ht="24.95" customHeight="1" x14ac:dyDescent="0.25">
      <c r="A544" s="17" t="s">
        <v>6764</v>
      </c>
      <c r="B544" s="2">
        <v>282</v>
      </c>
      <c r="C544" s="2">
        <v>114</v>
      </c>
      <c r="D544" s="2">
        <v>42</v>
      </c>
      <c r="E544" s="2">
        <v>75</v>
      </c>
      <c r="F544" s="2">
        <v>-3</v>
      </c>
      <c r="H544" s="2">
        <v>7650</v>
      </c>
      <c r="I544" s="2">
        <v>182</v>
      </c>
      <c r="J544" s="2">
        <v>872100</v>
      </c>
      <c r="K544" s="2">
        <v>12695</v>
      </c>
      <c r="L544" s="2">
        <v>1384.2</v>
      </c>
      <c r="M544" s="2">
        <v>1945.4</v>
      </c>
      <c r="N544" s="2">
        <v>36110</v>
      </c>
    </row>
    <row r="545" spans="1:15" ht="24.95" customHeight="1" x14ac:dyDescent="0.25">
      <c r="A545" s="17" t="s">
        <v>640</v>
      </c>
      <c r="B545" s="2">
        <v>288</v>
      </c>
      <c r="C545" s="2">
        <v>120</v>
      </c>
      <c r="D545" s="2">
        <v>45.3</v>
      </c>
      <c r="E545" s="2">
        <v>74.7</v>
      </c>
      <c r="F545" s="2">
        <v>-0.1</v>
      </c>
      <c r="H545" s="2">
        <v>5625</v>
      </c>
      <c r="I545" s="2">
        <v>150</v>
      </c>
      <c r="J545" s="2">
        <v>675000</v>
      </c>
      <c r="K545" s="2">
        <v>17845</v>
      </c>
      <c r="L545" s="2">
        <v>949.2</v>
      </c>
      <c r="M545" s="2">
        <v>1547.4</v>
      </c>
      <c r="N545" s="2">
        <v>58460</v>
      </c>
      <c r="O545" s="2">
        <v>42.3</v>
      </c>
    </row>
    <row r="546" spans="1:15" ht="24.95" customHeight="1" x14ac:dyDescent="0.25">
      <c r="A546" s="17" t="s">
        <v>6765</v>
      </c>
      <c r="B546" s="2">
        <v>330</v>
      </c>
      <c r="C546" s="2">
        <v>148</v>
      </c>
      <c r="D546" s="2">
        <v>72.400000000000006</v>
      </c>
      <c r="E546" s="2">
        <v>78.8</v>
      </c>
      <c r="F546" s="2">
        <v>-3.1</v>
      </c>
      <c r="H546" s="2">
        <v>6789</v>
      </c>
      <c r="I546" s="2">
        <v>146</v>
      </c>
      <c r="J546" s="2">
        <v>1004772</v>
      </c>
      <c r="K546" s="2">
        <v>13372</v>
      </c>
      <c r="L546" s="2">
        <v>1010.5</v>
      </c>
      <c r="M546" s="2">
        <v>1682.1</v>
      </c>
      <c r="N546" s="2">
        <v>40100</v>
      </c>
      <c r="O546" s="2">
        <v>9.9</v>
      </c>
    </row>
    <row r="547" spans="1:15" ht="24.95" customHeight="1" x14ac:dyDescent="0.25">
      <c r="A547" s="17" t="s">
        <v>642</v>
      </c>
      <c r="B547" s="2">
        <v>306</v>
      </c>
      <c r="C547" s="2">
        <v>129</v>
      </c>
      <c r="D547" s="2">
        <v>48.6</v>
      </c>
      <c r="E547" s="2">
        <v>78.599999999999994</v>
      </c>
      <c r="F547" s="2">
        <v>1.9</v>
      </c>
      <c r="H547" s="2">
        <v>920</v>
      </c>
      <c r="I547" s="2">
        <v>142</v>
      </c>
      <c r="J547" s="2">
        <v>118680</v>
      </c>
      <c r="K547" s="2">
        <v>3660</v>
      </c>
      <c r="L547" s="2">
        <v>124.5</v>
      </c>
      <c r="M547" s="2">
        <v>276.8</v>
      </c>
      <c r="N547" s="2">
        <v>9860</v>
      </c>
      <c r="O547" s="2">
        <v>40</v>
      </c>
    </row>
    <row r="548" spans="1:15" ht="24.95" customHeight="1" x14ac:dyDescent="0.25">
      <c r="A548" s="17" t="s">
        <v>643</v>
      </c>
      <c r="B548" s="2">
        <v>309</v>
      </c>
      <c r="C548" s="2">
        <v>132</v>
      </c>
      <c r="D548" s="2">
        <v>57.9</v>
      </c>
      <c r="E548" s="2">
        <v>74.599999999999994</v>
      </c>
      <c r="F548" s="2">
        <v>-0.4</v>
      </c>
      <c r="H548" s="2">
        <v>3150</v>
      </c>
      <c r="I548" s="2">
        <v>103</v>
      </c>
      <c r="J548" s="2">
        <v>415800</v>
      </c>
      <c r="K548" s="2">
        <v>12098</v>
      </c>
      <c r="L548" s="2">
        <v>397.6</v>
      </c>
      <c r="M548" s="2">
        <v>856.7</v>
      </c>
      <c r="N548" s="2">
        <v>32000</v>
      </c>
      <c r="O548" s="2">
        <v>41.2</v>
      </c>
    </row>
    <row r="549" spans="1:15" ht="24.95" customHeight="1" x14ac:dyDescent="0.25">
      <c r="A549" s="17" t="s">
        <v>644</v>
      </c>
      <c r="B549" s="2">
        <v>276</v>
      </c>
      <c r="C549" s="2">
        <v>112</v>
      </c>
      <c r="D549" s="2">
        <v>33.700000000000003</v>
      </c>
      <c r="E549" s="2">
        <v>79</v>
      </c>
      <c r="F549" s="2">
        <v>-0.7</v>
      </c>
      <c r="H549" s="2">
        <v>4150</v>
      </c>
      <c r="I549" s="2">
        <v>168</v>
      </c>
      <c r="J549" s="2">
        <v>464800</v>
      </c>
      <c r="K549" s="2">
        <v>10644</v>
      </c>
      <c r="L549" s="2">
        <v>786.5</v>
      </c>
      <c r="M549" s="2">
        <v>1052.5</v>
      </c>
      <c r="N549" s="2">
        <v>34160</v>
      </c>
      <c r="O549" s="2">
        <v>28.9</v>
      </c>
    </row>
    <row r="550" spans="1:15" ht="24.95" customHeight="1" x14ac:dyDescent="0.25">
      <c r="A550" s="17" t="s">
        <v>645</v>
      </c>
      <c r="B550" s="2">
        <v>300</v>
      </c>
      <c r="C550" s="2">
        <v>120</v>
      </c>
      <c r="D550" s="2">
        <v>45.3</v>
      </c>
      <c r="E550" s="2">
        <v>74.599999999999994</v>
      </c>
      <c r="F550" s="2">
        <v>0.1</v>
      </c>
      <c r="H550" s="2">
        <v>3400</v>
      </c>
      <c r="I550" s="2">
        <v>150</v>
      </c>
      <c r="J550" s="2">
        <v>408000</v>
      </c>
      <c r="K550" s="2">
        <v>9763</v>
      </c>
      <c r="L550" s="2">
        <v>404.2</v>
      </c>
      <c r="M550" s="2">
        <v>853</v>
      </c>
      <c r="N550" s="2">
        <v>26860</v>
      </c>
      <c r="O550" s="2">
        <v>29.2</v>
      </c>
    </row>
    <row r="551" spans="1:15" ht="24.95" customHeight="1" x14ac:dyDescent="0.25">
      <c r="A551" s="17" t="s">
        <v>646</v>
      </c>
      <c r="B551" s="2">
        <v>318</v>
      </c>
      <c r="C551" s="2">
        <v>132</v>
      </c>
      <c r="D551" s="2">
        <v>56.4</v>
      </c>
      <c r="E551" s="2">
        <v>74.599999999999994</v>
      </c>
      <c r="F551" s="2">
        <v>1.1000000000000001</v>
      </c>
      <c r="H551" s="2">
        <v>2275</v>
      </c>
      <c r="I551" s="2">
        <v>122</v>
      </c>
      <c r="J551" s="2">
        <v>300300</v>
      </c>
      <c r="K551" s="2">
        <v>8847</v>
      </c>
      <c r="L551" s="2">
        <v>296.3</v>
      </c>
      <c r="M551" s="2">
        <v>594.79999999999995</v>
      </c>
      <c r="N551" s="2">
        <v>23860</v>
      </c>
      <c r="O551" s="2">
        <v>44.3</v>
      </c>
    </row>
    <row r="552" spans="1:15" ht="24.95" customHeight="1" x14ac:dyDescent="0.25">
      <c r="A552" s="17" t="s">
        <v>647</v>
      </c>
      <c r="B552" s="2">
        <v>288</v>
      </c>
      <c r="C552" s="2">
        <v>117</v>
      </c>
      <c r="D552" s="2">
        <v>43.9</v>
      </c>
      <c r="E552" s="2">
        <v>74.400000000000006</v>
      </c>
      <c r="F552" s="2">
        <v>-1.4</v>
      </c>
      <c r="H552" s="2">
        <v>13500</v>
      </c>
      <c r="I552" s="2">
        <v>192</v>
      </c>
      <c r="J552" s="2">
        <v>1579500</v>
      </c>
      <c r="K552" s="2">
        <v>18438</v>
      </c>
      <c r="L552" s="2">
        <v>1133.4000000000001</v>
      </c>
      <c r="M552" s="2">
        <v>3438.6</v>
      </c>
      <c r="N552" s="2">
        <v>60610</v>
      </c>
    </row>
    <row r="553" spans="1:15" ht="24.95" customHeight="1" x14ac:dyDescent="0.25">
      <c r="A553" s="17" t="s">
        <v>648</v>
      </c>
      <c r="B553" s="2">
        <v>304</v>
      </c>
      <c r="C553" s="2">
        <v>120</v>
      </c>
      <c r="D553" s="2">
        <v>44.8</v>
      </c>
      <c r="E553" s="2">
        <v>74.400000000000006</v>
      </c>
      <c r="F553" s="2">
        <v>0.8</v>
      </c>
      <c r="H553" s="2">
        <v>5944</v>
      </c>
      <c r="I553" s="2">
        <v>171</v>
      </c>
      <c r="J553" s="2">
        <v>713280</v>
      </c>
      <c r="K553" s="2">
        <v>13919</v>
      </c>
      <c r="L553" s="2">
        <v>746.5</v>
      </c>
      <c r="M553" s="2">
        <v>1480.6</v>
      </c>
      <c r="N553" s="2">
        <v>41020</v>
      </c>
      <c r="O553" s="2">
        <v>18.100000000000001</v>
      </c>
    </row>
    <row r="554" spans="1:15" ht="24.95" customHeight="1" x14ac:dyDescent="0.25">
      <c r="A554" s="17" t="s">
        <v>649</v>
      </c>
      <c r="B554" s="2">
        <v>318</v>
      </c>
      <c r="C554" s="2">
        <v>120</v>
      </c>
      <c r="D554" s="2">
        <v>44.8</v>
      </c>
      <c r="E554" s="2">
        <v>74.7</v>
      </c>
      <c r="F554" s="2">
        <v>0.5</v>
      </c>
      <c r="H554" s="2">
        <v>7500</v>
      </c>
      <c r="I554" s="2">
        <v>230</v>
      </c>
      <c r="J554" s="2">
        <v>900000</v>
      </c>
      <c r="K554" s="2">
        <v>15155</v>
      </c>
      <c r="L554" s="2">
        <v>780.4</v>
      </c>
      <c r="M554" s="2">
        <v>1859.2</v>
      </c>
      <c r="N554" s="2">
        <v>53300</v>
      </c>
      <c r="O554" s="2">
        <v>22.6</v>
      </c>
    </row>
    <row r="555" spans="1:15" ht="24.95" customHeight="1" x14ac:dyDescent="0.25">
      <c r="A555" s="17" t="s">
        <v>650</v>
      </c>
      <c r="B555" s="2">
        <v>264</v>
      </c>
      <c r="C555" s="2">
        <v>108</v>
      </c>
      <c r="D555" s="2">
        <v>26.7</v>
      </c>
      <c r="E555" s="2">
        <v>79</v>
      </c>
      <c r="F555" s="2">
        <v>2.2999999999999998</v>
      </c>
      <c r="H555" s="2">
        <v>420</v>
      </c>
      <c r="I555" s="2">
        <v>159</v>
      </c>
      <c r="J555" s="2">
        <v>45360</v>
      </c>
      <c r="K555" s="2">
        <v>1914</v>
      </c>
      <c r="L555" s="2">
        <v>72.599999999999994</v>
      </c>
      <c r="M555" s="2">
        <v>108</v>
      </c>
      <c r="N555" s="2">
        <v>6160</v>
      </c>
      <c r="O555" s="2">
        <v>59</v>
      </c>
    </row>
    <row r="556" spans="1:15" ht="24.95" customHeight="1" x14ac:dyDescent="0.25">
      <c r="A556" s="17" t="s">
        <v>5325</v>
      </c>
      <c r="B556" s="2">
        <v>234</v>
      </c>
      <c r="C556" s="2">
        <v>96</v>
      </c>
      <c r="D556" s="2">
        <v>18.2</v>
      </c>
      <c r="E556" s="2">
        <v>79</v>
      </c>
      <c r="F556" s="2">
        <v>-1.2</v>
      </c>
      <c r="H556" s="2">
        <v>387</v>
      </c>
      <c r="I556" s="2">
        <v>153</v>
      </c>
      <c r="J556" s="2">
        <v>37152</v>
      </c>
      <c r="K556" s="2">
        <v>1487</v>
      </c>
      <c r="L556" s="2">
        <v>60.4</v>
      </c>
      <c r="M556" s="2">
        <v>103.8</v>
      </c>
      <c r="N556" s="2">
        <v>4550</v>
      </c>
      <c r="O556" s="2">
        <v>48.8</v>
      </c>
    </row>
    <row r="557" spans="1:15" ht="24.95" customHeight="1" x14ac:dyDescent="0.25">
      <c r="A557" s="17" t="s">
        <v>652</v>
      </c>
      <c r="B557" s="2">
        <v>276</v>
      </c>
      <c r="C557" s="2">
        <v>108</v>
      </c>
      <c r="D557" s="2">
        <v>32.5</v>
      </c>
      <c r="E557" s="2">
        <v>75</v>
      </c>
      <c r="F557" s="2">
        <v>0.6</v>
      </c>
      <c r="H557" s="2">
        <v>1900</v>
      </c>
      <c r="I557" s="2">
        <v>197</v>
      </c>
      <c r="J557" s="2">
        <v>205200</v>
      </c>
      <c r="K557" s="2">
        <v>6512</v>
      </c>
      <c r="L557" s="2">
        <v>319.60000000000002</v>
      </c>
      <c r="M557" s="2">
        <v>469.6</v>
      </c>
      <c r="N557" s="2">
        <v>19840</v>
      </c>
      <c r="O557" s="2">
        <v>47.2</v>
      </c>
    </row>
    <row r="558" spans="1:15" ht="24.95" customHeight="1" x14ac:dyDescent="0.25">
      <c r="A558" s="17" t="s">
        <v>653</v>
      </c>
      <c r="B558" s="2">
        <v>276</v>
      </c>
      <c r="C558" s="2">
        <v>102</v>
      </c>
      <c r="D558" s="2">
        <v>19.600000000000001</v>
      </c>
      <c r="E558" s="2">
        <v>79</v>
      </c>
      <c r="F558" s="2">
        <v>3.3</v>
      </c>
      <c r="H558" s="2">
        <v>467</v>
      </c>
      <c r="I558" s="2">
        <v>161</v>
      </c>
      <c r="J558" s="2">
        <v>47634</v>
      </c>
      <c r="K558" s="2">
        <v>2120</v>
      </c>
      <c r="L558" s="2">
        <v>81</v>
      </c>
      <c r="M558" s="2">
        <v>122.3</v>
      </c>
      <c r="N558" s="2">
        <v>6870</v>
      </c>
      <c r="O558" s="2">
        <v>60.7</v>
      </c>
    </row>
    <row r="559" spans="1:15" ht="24.95" customHeight="1" x14ac:dyDescent="0.25">
      <c r="A559" s="17" t="s">
        <v>654</v>
      </c>
      <c r="B559" s="2">
        <v>282</v>
      </c>
      <c r="C559" s="2">
        <v>111</v>
      </c>
      <c r="D559" s="2">
        <v>34.799999999999997</v>
      </c>
      <c r="E559" s="2">
        <v>74.599999999999994</v>
      </c>
      <c r="F559" s="2">
        <v>1.6</v>
      </c>
      <c r="H559" s="2">
        <v>1875</v>
      </c>
      <c r="I559" s="2">
        <v>144</v>
      </c>
      <c r="J559" s="2">
        <v>208125</v>
      </c>
      <c r="K559" s="2">
        <v>6550</v>
      </c>
      <c r="L559" s="2">
        <v>253.2</v>
      </c>
      <c r="M559" s="2">
        <v>495.8</v>
      </c>
      <c r="N559" s="2">
        <v>19830</v>
      </c>
      <c r="O559" s="2">
        <v>45.6</v>
      </c>
    </row>
    <row r="560" spans="1:15" ht="24.95" customHeight="1" x14ac:dyDescent="0.25">
      <c r="A560" s="17" t="s">
        <v>655</v>
      </c>
      <c r="B560" s="2">
        <v>297</v>
      </c>
      <c r="C560" s="2">
        <v>126</v>
      </c>
      <c r="D560" s="2">
        <v>49.1</v>
      </c>
      <c r="E560" s="2">
        <v>78.599999999999994</v>
      </c>
      <c r="F560" s="2">
        <v>-1.7</v>
      </c>
      <c r="H560" s="2">
        <v>1800</v>
      </c>
      <c r="I560" s="2">
        <v>145</v>
      </c>
      <c r="J560" s="2">
        <v>226800</v>
      </c>
      <c r="K560" s="2">
        <v>4233</v>
      </c>
      <c r="L560" s="2">
        <v>243.7</v>
      </c>
      <c r="M560" s="2">
        <v>450.7</v>
      </c>
      <c r="N560" s="2">
        <v>12060</v>
      </c>
      <c r="O560" s="2">
        <v>14.5</v>
      </c>
    </row>
    <row r="561" spans="1:15" ht="24.95" customHeight="1" x14ac:dyDescent="0.25">
      <c r="A561" s="17" t="s">
        <v>656</v>
      </c>
      <c r="B561" s="2">
        <v>288</v>
      </c>
      <c r="C561" s="2">
        <v>122</v>
      </c>
      <c r="D561" s="2">
        <v>43.4</v>
      </c>
      <c r="E561" s="2">
        <v>78.599999999999994</v>
      </c>
      <c r="H561" s="2">
        <v>452</v>
      </c>
      <c r="I561" s="2">
        <v>114</v>
      </c>
      <c r="J561" s="2">
        <v>55144</v>
      </c>
      <c r="K561" s="2">
        <v>1933</v>
      </c>
      <c r="L561" s="2">
        <v>73.3</v>
      </c>
      <c r="M561" s="2">
        <v>120.4</v>
      </c>
      <c r="N561" s="2">
        <v>4590</v>
      </c>
      <c r="O561" s="2">
        <v>43.1</v>
      </c>
    </row>
    <row r="562" spans="1:15" ht="24.95" customHeight="1" x14ac:dyDescent="0.25">
      <c r="A562" s="17" t="s">
        <v>657</v>
      </c>
      <c r="B562" s="2">
        <v>252</v>
      </c>
      <c r="C562" s="2">
        <v>100</v>
      </c>
      <c r="D562" s="2">
        <v>21.6</v>
      </c>
      <c r="E562" s="2">
        <v>79</v>
      </c>
      <c r="F562" s="2">
        <v>-0.6</v>
      </c>
      <c r="H562" s="2">
        <v>778</v>
      </c>
      <c r="I562" s="2">
        <v>200</v>
      </c>
      <c r="J562" s="2">
        <v>77800</v>
      </c>
      <c r="K562" s="2">
        <v>2479</v>
      </c>
      <c r="L562" s="2">
        <v>146.69999999999999</v>
      </c>
      <c r="M562" s="2">
        <v>198.1</v>
      </c>
      <c r="N562" s="2">
        <v>7290</v>
      </c>
      <c r="O562" s="2">
        <v>38.4</v>
      </c>
    </row>
    <row r="563" spans="1:15" ht="24.95" customHeight="1" x14ac:dyDescent="0.25">
      <c r="A563" s="17" t="s">
        <v>658</v>
      </c>
      <c r="B563" s="2">
        <v>243</v>
      </c>
      <c r="C563" s="2">
        <v>100</v>
      </c>
      <c r="D563" s="2">
        <v>21</v>
      </c>
      <c r="E563" s="2">
        <v>79</v>
      </c>
      <c r="H563" s="2">
        <v>368</v>
      </c>
      <c r="I563" s="2">
        <v>175</v>
      </c>
      <c r="J563" s="2">
        <v>36800</v>
      </c>
      <c r="K563" s="2">
        <v>1340</v>
      </c>
      <c r="L563" s="2">
        <v>62.8</v>
      </c>
      <c r="M563" s="2">
        <v>98.3</v>
      </c>
      <c r="N563" s="2">
        <v>3810</v>
      </c>
      <c r="O563" s="2">
        <v>44.2</v>
      </c>
    </row>
    <row r="564" spans="1:15" ht="24.95" customHeight="1" x14ac:dyDescent="0.25">
      <c r="A564" s="17" t="s">
        <v>659</v>
      </c>
      <c r="B564" s="2">
        <v>267</v>
      </c>
      <c r="C564" s="2">
        <v>111</v>
      </c>
      <c r="D564" s="2">
        <v>32.1</v>
      </c>
      <c r="E564" s="2">
        <v>78.599999999999994</v>
      </c>
      <c r="F564" s="2">
        <v>0.2</v>
      </c>
      <c r="H564" s="2">
        <v>675</v>
      </c>
      <c r="I564" s="2">
        <v>99</v>
      </c>
      <c r="J564" s="2">
        <v>74925</v>
      </c>
      <c r="K564" s="2">
        <v>2603</v>
      </c>
      <c r="L564" s="2">
        <v>93.7</v>
      </c>
      <c r="M564" s="2">
        <v>177.7</v>
      </c>
      <c r="N564" s="2">
        <v>7140</v>
      </c>
      <c r="O564" s="2">
        <v>44.6</v>
      </c>
    </row>
    <row r="565" spans="1:15" ht="24.95" customHeight="1" x14ac:dyDescent="0.25">
      <c r="A565" s="17" t="s">
        <v>660</v>
      </c>
      <c r="B565" s="2">
        <v>250</v>
      </c>
      <c r="C565" s="2">
        <v>102</v>
      </c>
      <c r="D565" s="2">
        <v>24.3</v>
      </c>
      <c r="E565" s="2">
        <v>79</v>
      </c>
      <c r="F565" s="2">
        <v>-1.3</v>
      </c>
      <c r="H565" s="2">
        <v>396</v>
      </c>
      <c r="I565" s="2">
        <v>110</v>
      </c>
      <c r="J565" s="2">
        <v>40392</v>
      </c>
      <c r="K565" s="2">
        <v>1327</v>
      </c>
      <c r="L565" s="2">
        <v>59.7</v>
      </c>
      <c r="M565" s="2">
        <v>105.6</v>
      </c>
      <c r="N565" s="2">
        <v>4070</v>
      </c>
      <c r="O565" s="2">
        <v>41.6</v>
      </c>
    </row>
    <row r="566" spans="1:15" ht="24.95" customHeight="1" x14ac:dyDescent="0.25">
      <c r="A566" s="17" t="s">
        <v>661</v>
      </c>
      <c r="B566" s="2">
        <v>264</v>
      </c>
      <c r="C566" s="2">
        <v>108</v>
      </c>
      <c r="D566" s="2">
        <v>34.4</v>
      </c>
      <c r="E566" s="2">
        <v>74.599999999999994</v>
      </c>
      <c r="F566" s="2">
        <v>-1</v>
      </c>
      <c r="H566" s="2">
        <v>5020</v>
      </c>
      <c r="I566" s="2">
        <v>127</v>
      </c>
      <c r="J566" s="2">
        <v>542160</v>
      </c>
      <c r="K566" s="2">
        <v>11598</v>
      </c>
      <c r="L566" s="2">
        <v>527.5</v>
      </c>
      <c r="M566" s="2">
        <v>1304.5999999999999</v>
      </c>
      <c r="N566" s="2">
        <v>32930</v>
      </c>
      <c r="O566" s="2">
        <v>14.5</v>
      </c>
    </row>
    <row r="567" spans="1:15" ht="24.95" customHeight="1" x14ac:dyDescent="0.25">
      <c r="A567" s="17" t="s">
        <v>662</v>
      </c>
      <c r="B567" s="2">
        <v>276</v>
      </c>
      <c r="C567" s="2">
        <v>117</v>
      </c>
      <c r="D567" s="2">
        <v>36</v>
      </c>
      <c r="E567" s="2">
        <v>79</v>
      </c>
      <c r="F567" s="2">
        <v>2</v>
      </c>
      <c r="H567" s="2">
        <v>475</v>
      </c>
      <c r="I567" s="2">
        <v>157</v>
      </c>
      <c r="J567" s="2">
        <v>55575</v>
      </c>
      <c r="K567" s="2">
        <v>1992</v>
      </c>
      <c r="L567" s="2">
        <v>66.5</v>
      </c>
      <c r="M567" s="2">
        <v>140.80000000000001</v>
      </c>
      <c r="N567" s="2">
        <v>5870</v>
      </c>
      <c r="O567" s="2">
        <v>52</v>
      </c>
    </row>
    <row r="568" spans="1:15" ht="24.95" customHeight="1" x14ac:dyDescent="0.25">
      <c r="A568" s="17" t="s">
        <v>663</v>
      </c>
      <c r="B568" s="2">
        <v>282</v>
      </c>
      <c r="C568" s="2">
        <v>116</v>
      </c>
      <c r="D568" s="2">
        <v>41.4</v>
      </c>
      <c r="E568" s="2">
        <v>74.599999999999994</v>
      </c>
      <c r="H568" s="2">
        <v>891</v>
      </c>
      <c r="I568" s="2">
        <v>176</v>
      </c>
      <c r="J568" s="2">
        <v>103356</v>
      </c>
      <c r="K568" s="2">
        <v>2297</v>
      </c>
      <c r="L568" s="2">
        <v>72.3</v>
      </c>
      <c r="M568" s="2">
        <v>230.1</v>
      </c>
      <c r="N568" s="2">
        <v>6510</v>
      </c>
      <c r="O568" s="2">
        <v>21</v>
      </c>
    </row>
    <row r="569" spans="1:15" ht="24.95" customHeight="1" x14ac:dyDescent="0.25">
      <c r="A569" s="17" t="s">
        <v>664</v>
      </c>
      <c r="B569" s="2">
        <v>302</v>
      </c>
      <c r="C569" s="2">
        <v>120</v>
      </c>
      <c r="D569" s="2">
        <v>44.4</v>
      </c>
      <c r="E569" s="2">
        <v>75</v>
      </c>
      <c r="F569" s="2">
        <v>0.6</v>
      </c>
      <c r="H569" s="2">
        <v>1647</v>
      </c>
      <c r="I569" s="2">
        <v>131</v>
      </c>
      <c r="J569" s="2">
        <v>197640</v>
      </c>
      <c r="K569" s="2">
        <v>4950</v>
      </c>
      <c r="L569" s="2">
        <v>201.2</v>
      </c>
      <c r="M569" s="2">
        <v>443.3</v>
      </c>
      <c r="N569" s="2">
        <v>13130</v>
      </c>
      <c r="O569" s="2">
        <v>27.9</v>
      </c>
    </row>
    <row r="570" spans="1:15" ht="24.95" customHeight="1" x14ac:dyDescent="0.25">
      <c r="A570" s="17" t="s">
        <v>665</v>
      </c>
      <c r="B570" s="2">
        <v>270</v>
      </c>
      <c r="C570" s="2">
        <v>112</v>
      </c>
      <c r="D570" s="2">
        <v>32.1</v>
      </c>
      <c r="E570" s="2">
        <v>78.599999999999994</v>
      </c>
      <c r="F570" s="2">
        <v>1.2</v>
      </c>
      <c r="H570" s="2">
        <v>920</v>
      </c>
      <c r="I570" s="2">
        <v>163</v>
      </c>
      <c r="J570" s="2">
        <v>103040</v>
      </c>
      <c r="K570" s="2">
        <v>3334</v>
      </c>
      <c r="L570" s="2">
        <v>122.4</v>
      </c>
      <c r="M570" s="2">
        <v>234.3</v>
      </c>
      <c r="N570" s="2">
        <v>10320</v>
      </c>
      <c r="O570" s="2">
        <v>48.1</v>
      </c>
    </row>
    <row r="571" spans="1:15" ht="24.95" customHeight="1" x14ac:dyDescent="0.25">
      <c r="A571" s="17" t="s">
        <v>666</v>
      </c>
      <c r="B571" s="2">
        <v>297</v>
      </c>
      <c r="C571" s="2">
        <v>119</v>
      </c>
      <c r="D571" s="2">
        <v>44.1</v>
      </c>
      <c r="E571" s="2">
        <v>74.599999999999994</v>
      </c>
      <c r="F571" s="2">
        <v>0.3</v>
      </c>
      <c r="H571" s="2">
        <v>4075</v>
      </c>
      <c r="I571" s="2">
        <v>180</v>
      </c>
      <c r="J571" s="2">
        <v>484925</v>
      </c>
      <c r="K571" s="2">
        <v>11066</v>
      </c>
      <c r="L571" s="2">
        <v>637.4</v>
      </c>
      <c r="M571" s="2">
        <v>1024.2</v>
      </c>
      <c r="N571" s="2">
        <v>31840</v>
      </c>
      <c r="O571" s="2">
        <v>27.6</v>
      </c>
    </row>
    <row r="572" spans="1:15" ht="24.95" customHeight="1" x14ac:dyDescent="0.25">
      <c r="A572" s="17" t="s">
        <v>667</v>
      </c>
      <c r="B572" s="2">
        <v>303</v>
      </c>
      <c r="C572" s="2">
        <v>122</v>
      </c>
      <c r="D572" s="2">
        <v>42.1</v>
      </c>
      <c r="E572" s="2">
        <v>78.599999999999994</v>
      </c>
      <c r="F572" s="2">
        <v>1.3</v>
      </c>
      <c r="H572" s="2">
        <v>2400</v>
      </c>
      <c r="I572" s="2">
        <v>147</v>
      </c>
      <c r="J572" s="2">
        <v>292800</v>
      </c>
      <c r="K572" s="2">
        <v>8454</v>
      </c>
      <c r="L572" s="2">
        <v>423.6</v>
      </c>
      <c r="M572" s="2">
        <v>635.4</v>
      </c>
      <c r="N572" s="2">
        <v>25650</v>
      </c>
      <c r="O572" s="2">
        <v>44.9</v>
      </c>
    </row>
    <row r="573" spans="1:15" ht="24.95" customHeight="1" x14ac:dyDescent="0.25">
      <c r="A573" s="17" t="s">
        <v>668</v>
      </c>
      <c r="B573" s="2">
        <v>300</v>
      </c>
      <c r="C573" s="2">
        <v>114</v>
      </c>
      <c r="D573" s="2">
        <v>38.799999999999997</v>
      </c>
      <c r="E573" s="2">
        <v>74.599999999999994</v>
      </c>
      <c r="F573" s="2">
        <v>0.6</v>
      </c>
      <c r="H573" s="2">
        <v>2400</v>
      </c>
      <c r="I573" s="2">
        <v>161</v>
      </c>
      <c r="J573" s="2">
        <v>273600</v>
      </c>
      <c r="K573" s="2">
        <v>7140</v>
      </c>
      <c r="L573" s="2">
        <v>345.7</v>
      </c>
      <c r="M573" s="2">
        <v>607.20000000000005</v>
      </c>
      <c r="N573" s="2">
        <v>20530</v>
      </c>
      <c r="O573" s="2">
        <v>36.1</v>
      </c>
    </row>
    <row r="574" spans="1:15" ht="24.95" customHeight="1" x14ac:dyDescent="0.25">
      <c r="A574" s="17" t="s">
        <v>5326</v>
      </c>
      <c r="B574" s="2">
        <v>258</v>
      </c>
      <c r="C574" s="2">
        <v>108</v>
      </c>
      <c r="D574" s="2">
        <v>32.700000000000003</v>
      </c>
      <c r="E574" s="2">
        <v>79</v>
      </c>
      <c r="F574" s="2">
        <v>-3.7</v>
      </c>
      <c r="H574" s="2">
        <v>2070</v>
      </c>
      <c r="I574" s="2">
        <v>176</v>
      </c>
      <c r="J574" s="2">
        <v>223560</v>
      </c>
      <c r="K574" s="2">
        <v>4089</v>
      </c>
      <c r="L574" s="2">
        <v>388.8</v>
      </c>
      <c r="M574" s="2">
        <v>490.1</v>
      </c>
      <c r="N574" s="2">
        <v>12620</v>
      </c>
      <c r="O574" s="2">
        <v>9.4</v>
      </c>
    </row>
    <row r="575" spans="1:15" ht="24.95" customHeight="1" x14ac:dyDescent="0.25">
      <c r="A575" s="17" t="s">
        <v>670</v>
      </c>
      <c r="B575" s="2">
        <v>264</v>
      </c>
      <c r="C575" s="2">
        <v>105</v>
      </c>
      <c r="D575" s="2">
        <v>28.3</v>
      </c>
      <c r="E575" s="2">
        <v>78.599999999999994</v>
      </c>
      <c r="F575" s="2">
        <v>-2</v>
      </c>
      <c r="H575" s="2">
        <v>2265</v>
      </c>
      <c r="I575" s="2">
        <v>180</v>
      </c>
      <c r="J575" s="2">
        <v>237825</v>
      </c>
      <c r="K575" s="2">
        <v>5268</v>
      </c>
      <c r="L575" s="2">
        <v>464.8</v>
      </c>
      <c r="M575" s="2">
        <v>542.9</v>
      </c>
      <c r="N575" s="2">
        <v>16900</v>
      </c>
      <c r="O575" s="2">
        <v>25.2</v>
      </c>
    </row>
    <row r="576" spans="1:15" ht="24.95" customHeight="1" x14ac:dyDescent="0.25">
      <c r="A576" s="17" t="s">
        <v>671</v>
      </c>
      <c r="B576" s="2">
        <v>249</v>
      </c>
      <c r="C576" s="2">
        <v>102</v>
      </c>
      <c r="D576" s="2">
        <v>22.5</v>
      </c>
      <c r="E576" s="2">
        <v>79</v>
      </c>
      <c r="F576" s="2">
        <v>0.5</v>
      </c>
      <c r="H576" s="2">
        <v>2440</v>
      </c>
      <c r="I576" s="2">
        <v>221</v>
      </c>
      <c r="J576" s="2">
        <v>248880</v>
      </c>
      <c r="K576" s="2">
        <v>7041</v>
      </c>
      <c r="L576" s="2">
        <v>397.4</v>
      </c>
      <c r="M576" s="2">
        <v>592.70000000000005</v>
      </c>
      <c r="N576" s="2">
        <v>22240</v>
      </c>
      <c r="O576" s="2">
        <v>39.1</v>
      </c>
    </row>
    <row r="577" spans="1:15" ht="24.95" customHeight="1" x14ac:dyDescent="0.25">
      <c r="A577" s="17" t="s">
        <v>672</v>
      </c>
      <c r="B577" s="2">
        <v>288</v>
      </c>
      <c r="C577" s="2">
        <v>132</v>
      </c>
      <c r="D577" s="2">
        <v>57</v>
      </c>
      <c r="E577" s="2">
        <v>79</v>
      </c>
      <c r="F577" s="2">
        <v>-4</v>
      </c>
      <c r="H577" s="2">
        <v>550</v>
      </c>
      <c r="I577" s="2">
        <v>127</v>
      </c>
      <c r="J577" s="2">
        <v>72600</v>
      </c>
      <c r="K577" s="2">
        <v>1101</v>
      </c>
      <c r="L577" s="2">
        <v>90.9</v>
      </c>
      <c r="M577" s="2">
        <v>136.80000000000001</v>
      </c>
      <c r="N577" s="2">
        <v>2810</v>
      </c>
    </row>
    <row r="578" spans="1:15" ht="24.95" customHeight="1" x14ac:dyDescent="0.25">
      <c r="A578" s="17" t="s">
        <v>673</v>
      </c>
      <c r="B578" s="2">
        <v>288</v>
      </c>
      <c r="C578" s="2">
        <v>120</v>
      </c>
      <c r="D578" s="2">
        <v>39.700000000000003</v>
      </c>
      <c r="E578" s="2">
        <v>79</v>
      </c>
      <c r="F578" s="2">
        <v>1.3</v>
      </c>
      <c r="H578" s="2">
        <v>1000</v>
      </c>
      <c r="I578" s="2">
        <v>144</v>
      </c>
      <c r="J578" s="2">
        <v>120000</v>
      </c>
      <c r="K578" s="2">
        <v>3858</v>
      </c>
      <c r="L578" s="2">
        <v>133.1</v>
      </c>
      <c r="M578" s="2">
        <v>265.3</v>
      </c>
      <c r="N578" s="2">
        <v>10750</v>
      </c>
      <c r="O578" s="2">
        <v>45.7</v>
      </c>
    </row>
    <row r="579" spans="1:15" ht="24.95" customHeight="1" x14ac:dyDescent="0.25">
      <c r="A579" s="17" t="s">
        <v>674</v>
      </c>
      <c r="B579" s="2">
        <v>258</v>
      </c>
      <c r="C579" s="2">
        <v>114</v>
      </c>
      <c r="D579" s="2">
        <v>35</v>
      </c>
      <c r="E579" s="2">
        <v>79</v>
      </c>
      <c r="H579" s="2">
        <v>1238</v>
      </c>
      <c r="I579" s="2">
        <v>166</v>
      </c>
      <c r="J579" s="2">
        <v>141132</v>
      </c>
      <c r="K579" s="2">
        <v>3683</v>
      </c>
      <c r="L579" s="2">
        <v>174.2</v>
      </c>
      <c r="M579" s="2">
        <v>302.60000000000002</v>
      </c>
      <c r="N579" s="2">
        <v>12310</v>
      </c>
      <c r="O579" s="2">
        <v>44.5</v>
      </c>
    </row>
    <row r="580" spans="1:15" ht="24.95" customHeight="1" x14ac:dyDescent="0.25">
      <c r="A580" s="17" t="s">
        <v>675</v>
      </c>
      <c r="B580" s="2">
        <v>276</v>
      </c>
      <c r="C580" s="2">
        <v>114</v>
      </c>
      <c r="D580" s="2">
        <v>37.5</v>
      </c>
      <c r="E580" s="2">
        <v>75</v>
      </c>
      <c r="F580" s="2">
        <v>1.5</v>
      </c>
      <c r="H580" s="2">
        <v>1747</v>
      </c>
      <c r="I580" s="2">
        <v>171</v>
      </c>
      <c r="J580" s="2">
        <v>199158</v>
      </c>
      <c r="K580" s="2">
        <v>6558</v>
      </c>
      <c r="L580" s="2">
        <v>236</v>
      </c>
      <c r="M580" s="2">
        <v>475.8</v>
      </c>
      <c r="N580" s="2">
        <v>20090</v>
      </c>
      <c r="O580" s="2">
        <v>47.2</v>
      </c>
    </row>
    <row r="581" spans="1:15" ht="24.95" customHeight="1" x14ac:dyDescent="0.25">
      <c r="A581" s="17" t="s">
        <v>6766</v>
      </c>
      <c r="B581" s="2">
        <v>270</v>
      </c>
      <c r="C581" s="2">
        <v>108</v>
      </c>
      <c r="D581" s="2">
        <v>28.2</v>
      </c>
      <c r="E581" s="2">
        <v>79</v>
      </c>
      <c r="F581" s="2">
        <v>0.8</v>
      </c>
      <c r="H581" s="2">
        <v>1585</v>
      </c>
      <c r="I581" s="2">
        <v>169</v>
      </c>
      <c r="J581" s="2">
        <v>171180</v>
      </c>
      <c r="K581" s="2">
        <v>5556</v>
      </c>
      <c r="L581" s="2">
        <v>254</v>
      </c>
      <c r="M581" s="2">
        <v>395.7</v>
      </c>
      <c r="N581" s="2">
        <v>16170</v>
      </c>
      <c r="O581" s="2">
        <v>45.8</v>
      </c>
    </row>
    <row r="582" spans="1:15" ht="24.95" customHeight="1" x14ac:dyDescent="0.25">
      <c r="A582" s="17" t="s">
        <v>677</v>
      </c>
      <c r="B582" s="2">
        <v>280</v>
      </c>
      <c r="C582" s="2">
        <v>111</v>
      </c>
      <c r="D582" s="2">
        <v>31.4</v>
      </c>
      <c r="E582" s="2">
        <v>78.8</v>
      </c>
      <c r="F582" s="2">
        <v>0.8</v>
      </c>
      <c r="H582" s="2">
        <v>6490</v>
      </c>
      <c r="I582" s="2">
        <v>184</v>
      </c>
      <c r="J582" s="2">
        <v>720390</v>
      </c>
      <c r="K582" s="2">
        <v>17791</v>
      </c>
      <c r="L582" s="2">
        <v>1212.2</v>
      </c>
      <c r="M582" s="2">
        <v>1610.5</v>
      </c>
      <c r="N582" s="2">
        <v>65630</v>
      </c>
      <c r="O582" s="2">
        <v>44.6</v>
      </c>
    </row>
    <row r="583" spans="1:15" ht="24.95" customHeight="1" x14ac:dyDescent="0.25">
      <c r="A583" s="17" t="s">
        <v>678</v>
      </c>
      <c r="B583" s="2">
        <v>258</v>
      </c>
      <c r="C583" s="2">
        <v>105</v>
      </c>
      <c r="D583" s="2">
        <v>28.7</v>
      </c>
      <c r="E583" s="2">
        <v>75</v>
      </c>
      <c r="F583" s="2">
        <v>1.3</v>
      </c>
      <c r="H583" s="2">
        <v>1680</v>
      </c>
      <c r="I583" s="2">
        <v>160</v>
      </c>
      <c r="J583" s="2">
        <v>176400</v>
      </c>
      <c r="K583" s="2">
        <v>5437</v>
      </c>
      <c r="L583" s="2">
        <v>191.6</v>
      </c>
      <c r="M583" s="2">
        <v>443.9</v>
      </c>
      <c r="N583" s="2">
        <v>18060</v>
      </c>
      <c r="O583" s="2">
        <v>45.6</v>
      </c>
    </row>
    <row r="584" spans="1:15" ht="24.95" customHeight="1" x14ac:dyDescent="0.25">
      <c r="A584" s="17" t="s">
        <v>679</v>
      </c>
      <c r="B584" s="2">
        <v>288</v>
      </c>
      <c r="C584" s="2">
        <v>114</v>
      </c>
      <c r="D584" s="2">
        <v>35.5</v>
      </c>
      <c r="E584" s="2">
        <v>79</v>
      </c>
      <c r="F584" s="2">
        <v>-0.5</v>
      </c>
      <c r="H584" s="2">
        <v>4200</v>
      </c>
      <c r="I584" s="2">
        <v>273</v>
      </c>
      <c r="J584" s="2">
        <v>478800</v>
      </c>
      <c r="K584" s="2">
        <v>5250</v>
      </c>
      <c r="L584" s="2">
        <v>275</v>
      </c>
      <c r="M584" s="2">
        <v>1068.5</v>
      </c>
      <c r="N584" s="2">
        <v>15820</v>
      </c>
    </row>
    <row r="585" spans="1:15" ht="24.95" customHeight="1" x14ac:dyDescent="0.25">
      <c r="A585" s="17" t="s">
        <v>680</v>
      </c>
      <c r="B585" s="2">
        <v>291</v>
      </c>
      <c r="C585" s="2">
        <v>120</v>
      </c>
      <c r="D585" s="2">
        <v>39.5</v>
      </c>
      <c r="E585" s="2">
        <v>79</v>
      </c>
      <c r="F585" s="2">
        <v>1.5</v>
      </c>
      <c r="H585" s="2">
        <v>1400</v>
      </c>
      <c r="I585" s="2">
        <v>127</v>
      </c>
      <c r="J585" s="2">
        <v>168000</v>
      </c>
      <c r="K585" s="2">
        <v>3528</v>
      </c>
      <c r="L585" s="2">
        <v>149.4</v>
      </c>
      <c r="M585" s="2">
        <v>372.9</v>
      </c>
      <c r="N585" s="2">
        <v>10410</v>
      </c>
      <c r="O585" s="2">
        <v>22.1</v>
      </c>
    </row>
    <row r="586" spans="1:15" ht="24.95" customHeight="1" x14ac:dyDescent="0.25">
      <c r="A586" s="17" t="s">
        <v>681</v>
      </c>
      <c r="B586" s="2">
        <v>282</v>
      </c>
      <c r="C586" s="2">
        <v>111</v>
      </c>
      <c r="D586" s="2">
        <v>31.8</v>
      </c>
      <c r="E586" s="2">
        <v>79</v>
      </c>
      <c r="F586" s="2">
        <v>0.2</v>
      </c>
      <c r="H586" s="2">
        <v>7000</v>
      </c>
      <c r="I586" s="2">
        <v>233</v>
      </c>
      <c r="J586" s="2">
        <v>777000</v>
      </c>
      <c r="K586" s="2">
        <v>11553</v>
      </c>
      <c r="L586" s="2">
        <v>731.7</v>
      </c>
      <c r="M586" s="2">
        <v>1813.7</v>
      </c>
      <c r="N586" s="2">
        <v>54900</v>
      </c>
      <c r="O586" s="2">
        <v>27.5</v>
      </c>
    </row>
    <row r="587" spans="1:15" ht="24.95" customHeight="1" x14ac:dyDescent="0.25">
      <c r="A587" s="17" t="s">
        <v>6767</v>
      </c>
      <c r="B587" s="2">
        <v>246</v>
      </c>
      <c r="C587" s="2">
        <v>102</v>
      </c>
      <c r="D587" s="2">
        <v>25.4</v>
      </c>
      <c r="E587" s="2">
        <v>79</v>
      </c>
      <c r="F587" s="2">
        <v>-2.4</v>
      </c>
      <c r="H587" s="2">
        <v>595</v>
      </c>
      <c r="I587" s="2">
        <v>167</v>
      </c>
      <c r="J587" s="2">
        <v>60690</v>
      </c>
      <c r="K587" s="2">
        <v>1630</v>
      </c>
      <c r="L587" s="2">
        <v>83.1</v>
      </c>
      <c r="M587" s="2">
        <v>154.69999999999999</v>
      </c>
      <c r="N587" s="2">
        <v>5290</v>
      </c>
      <c r="O587" s="2">
        <v>35.799999999999997</v>
      </c>
    </row>
    <row r="588" spans="1:15" ht="24.95" customHeight="1" x14ac:dyDescent="0.25">
      <c r="A588" s="17" t="s">
        <v>683</v>
      </c>
      <c r="B588" s="2">
        <v>282</v>
      </c>
      <c r="C588" s="2">
        <v>111</v>
      </c>
      <c r="D588" s="2">
        <v>30.7</v>
      </c>
      <c r="E588" s="2">
        <v>78.599999999999994</v>
      </c>
      <c r="F588" s="2">
        <v>1.7</v>
      </c>
      <c r="H588" s="2">
        <v>330</v>
      </c>
      <c r="I588" s="2">
        <v>134</v>
      </c>
      <c r="J588" s="2">
        <v>36630</v>
      </c>
      <c r="K588" s="2">
        <v>1441</v>
      </c>
      <c r="L588" s="2">
        <v>47.2</v>
      </c>
      <c r="M588" s="2">
        <v>101.5</v>
      </c>
      <c r="N588" s="2">
        <v>3750</v>
      </c>
      <c r="O588" s="2">
        <v>46.9</v>
      </c>
    </row>
    <row r="589" spans="1:15" ht="24.95" customHeight="1" x14ac:dyDescent="0.25">
      <c r="A589" s="17" t="s">
        <v>684</v>
      </c>
      <c r="B589" s="2">
        <v>264</v>
      </c>
      <c r="C589" s="2">
        <v>106</v>
      </c>
      <c r="D589" s="2">
        <v>27.4</v>
      </c>
      <c r="E589" s="2">
        <v>79</v>
      </c>
      <c r="F589" s="2">
        <v>-0.4</v>
      </c>
      <c r="H589" s="2">
        <v>2910</v>
      </c>
      <c r="I589" s="2">
        <v>185</v>
      </c>
      <c r="J589" s="2">
        <v>308460</v>
      </c>
      <c r="K589" s="2">
        <v>6315</v>
      </c>
      <c r="L589" s="2">
        <v>357.1</v>
      </c>
      <c r="M589" s="2">
        <v>681.9</v>
      </c>
      <c r="N589" s="2">
        <v>19790</v>
      </c>
      <c r="O589" s="2">
        <v>16.899999999999999</v>
      </c>
    </row>
    <row r="590" spans="1:15" ht="24.95" customHeight="1" x14ac:dyDescent="0.25">
      <c r="A590" s="17" t="s">
        <v>685</v>
      </c>
      <c r="B590" s="2">
        <v>261</v>
      </c>
      <c r="C590" s="2">
        <v>104</v>
      </c>
      <c r="D590" s="2">
        <v>25.1</v>
      </c>
      <c r="E590" s="2">
        <v>78.599999999999994</v>
      </c>
      <c r="F590" s="2">
        <v>0.3</v>
      </c>
      <c r="H590" s="2">
        <v>2540</v>
      </c>
      <c r="I590" s="2">
        <v>157</v>
      </c>
      <c r="J590" s="2">
        <v>264160</v>
      </c>
      <c r="K590" s="2">
        <v>7596</v>
      </c>
      <c r="L590" s="2">
        <v>445.4</v>
      </c>
      <c r="M590" s="2">
        <v>658.2</v>
      </c>
      <c r="N590" s="2">
        <v>25020</v>
      </c>
      <c r="O590" s="2">
        <v>41</v>
      </c>
    </row>
    <row r="591" spans="1:15" ht="24.95" customHeight="1" x14ac:dyDescent="0.25">
      <c r="A591" s="17" t="s">
        <v>6768</v>
      </c>
      <c r="B591" s="2">
        <v>267</v>
      </c>
      <c r="C591" s="2">
        <v>118</v>
      </c>
      <c r="D591" s="2">
        <v>39</v>
      </c>
      <c r="E591" s="2">
        <v>79</v>
      </c>
      <c r="H591" s="2">
        <v>1021</v>
      </c>
      <c r="I591" s="2">
        <v>123</v>
      </c>
      <c r="J591" s="2">
        <v>120478</v>
      </c>
      <c r="K591" s="2">
        <v>3952</v>
      </c>
      <c r="L591" s="2">
        <v>131.1</v>
      </c>
      <c r="M591" s="2">
        <v>279.2</v>
      </c>
      <c r="N591" s="2">
        <v>10630</v>
      </c>
      <c r="O591" s="2">
        <v>43.2</v>
      </c>
    </row>
    <row r="592" spans="1:15" ht="24.95" customHeight="1" x14ac:dyDescent="0.25">
      <c r="A592" s="17" t="s">
        <v>689</v>
      </c>
      <c r="B592" s="2">
        <v>261</v>
      </c>
      <c r="C592" s="2">
        <v>102</v>
      </c>
      <c r="D592" s="2">
        <v>22</v>
      </c>
      <c r="E592" s="2">
        <v>79</v>
      </c>
      <c r="F592" s="2">
        <v>1</v>
      </c>
      <c r="H592" s="2">
        <v>526</v>
      </c>
      <c r="I592" s="2">
        <v>196</v>
      </c>
      <c r="J592" s="2">
        <v>53652</v>
      </c>
      <c r="K592" s="2">
        <v>1897</v>
      </c>
      <c r="L592" s="2">
        <v>83.1</v>
      </c>
      <c r="M592" s="2">
        <v>145.30000000000001</v>
      </c>
      <c r="N592" s="2">
        <v>5320</v>
      </c>
      <c r="O592" s="2">
        <v>41.5</v>
      </c>
    </row>
    <row r="593" spans="1:15" ht="24.95" customHeight="1" x14ac:dyDescent="0.25">
      <c r="A593" s="17" t="s">
        <v>690</v>
      </c>
      <c r="B593" s="2">
        <v>270</v>
      </c>
      <c r="C593" s="2">
        <v>114</v>
      </c>
      <c r="D593" s="2">
        <v>35.4</v>
      </c>
      <c r="E593" s="2">
        <v>79</v>
      </c>
      <c r="F593" s="2">
        <v>-0.4</v>
      </c>
      <c r="H593" s="2">
        <v>535</v>
      </c>
      <c r="I593" s="2">
        <v>137</v>
      </c>
      <c r="J593" s="2">
        <v>60990</v>
      </c>
      <c r="K593" s="2">
        <v>1619</v>
      </c>
      <c r="L593" s="2">
        <v>71.5</v>
      </c>
      <c r="M593" s="2">
        <v>131.9</v>
      </c>
      <c r="N593" s="2">
        <v>4830</v>
      </c>
      <c r="O593" s="2">
        <v>39</v>
      </c>
    </row>
    <row r="594" spans="1:15" ht="24.95" customHeight="1" x14ac:dyDescent="0.25">
      <c r="A594" s="17" t="s">
        <v>691</v>
      </c>
      <c r="B594" s="2">
        <v>255</v>
      </c>
      <c r="C594" s="2">
        <v>114</v>
      </c>
      <c r="D594" s="2">
        <v>40.5</v>
      </c>
      <c r="E594" s="2">
        <v>75</v>
      </c>
      <c r="F594" s="2">
        <v>-1.5</v>
      </c>
      <c r="H594" s="2">
        <v>918</v>
      </c>
      <c r="I594" s="2">
        <v>135</v>
      </c>
      <c r="J594" s="2">
        <v>104652</v>
      </c>
      <c r="K594" s="2">
        <v>3121</v>
      </c>
      <c r="L594" s="2">
        <v>110.4</v>
      </c>
      <c r="M594" s="2">
        <v>246.3</v>
      </c>
      <c r="N594" s="2">
        <v>8160</v>
      </c>
      <c r="O594" s="2">
        <v>35.1</v>
      </c>
    </row>
    <row r="595" spans="1:15" ht="24.95" customHeight="1" x14ac:dyDescent="0.25">
      <c r="A595" s="17" t="s">
        <v>692</v>
      </c>
      <c r="B595" s="2">
        <v>263</v>
      </c>
      <c r="C595" s="2">
        <v>106</v>
      </c>
      <c r="D595" s="2">
        <v>29.8</v>
      </c>
      <c r="E595" s="2">
        <v>74.8</v>
      </c>
      <c r="F595" s="2">
        <v>1.4</v>
      </c>
      <c r="H595" s="2">
        <v>2353</v>
      </c>
      <c r="I595" s="2">
        <v>202</v>
      </c>
      <c r="J595" s="2">
        <v>249418</v>
      </c>
      <c r="K595" s="2">
        <v>7164</v>
      </c>
      <c r="L595" s="2">
        <v>350</v>
      </c>
      <c r="M595" s="2">
        <v>600.29999999999995</v>
      </c>
      <c r="N595" s="2">
        <v>21910</v>
      </c>
      <c r="O595" s="2">
        <v>38.799999999999997</v>
      </c>
    </row>
    <row r="596" spans="1:15" ht="24.95" customHeight="1" x14ac:dyDescent="0.25">
      <c r="A596" s="17" t="s">
        <v>693</v>
      </c>
      <c r="B596" s="2">
        <v>278</v>
      </c>
      <c r="C596" s="2">
        <v>113</v>
      </c>
      <c r="D596" s="2">
        <v>35.5</v>
      </c>
      <c r="E596" s="2">
        <v>79</v>
      </c>
      <c r="F596" s="2">
        <v>-1.5</v>
      </c>
      <c r="H596" s="2">
        <v>3250</v>
      </c>
      <c r="I596" s="2">
        <v>162</v>
      </c>
      <c r="J596" s="2">
        <v>367250</v>
      </c>
      <c r="K596" s="2">
        <v>7418</v>
      </c>
      <c r="L596" s="2">
        <v>453.6</v>
      </c>
      <c r="M596" s="2">
        <v>847</v>
      </c>
      <c r="N596" s="2">
        <v>22880</v>
      </c>
      <c r="O596" s="2">
        <v>14.4</v>
      </c>
    </row>
    <row r="597" spans="1:15" ht="24.95" customHeight="1" x14ac:dyDescent="0.25">
      <c r="A597" s="17" t="s">
        <v>694</v>
      </c>
      <c r="B597" s="2">
        <v>240</v>
      </c>
      <c r="C597" s="2">
        <v>105</v>
      </c>
      <c r="D597" s="2">
        <v>25.8</v>
      </c>
      <c r="E597" s="2">
        <v>79</v>
      </c>
      <c r="F597" s="2">
        <v>0.2</v>
      </c>
      <c r="H597" s="2">
        <v>1690</v>
      </c>
      <c r="I597" s="2">
        <v>182</v>
      </c>
      <c r="J597" s="2">
        <v>177450</v>
      </c>
      <c r="K597" s="2">
        <v>3689</v>
      </c>
      <c r="L597" s="2">
        <v>211.6</v>
      </c>
      <c r="M597" s="2">
        <v>434.7</v>
      </c>
      <c r="N597" s="2">
        <v>11140</v>
      </c>
      <c r="O597" s="2">
        <v>9.9</v>
      </c>
    </row>
    <row r="598" spans="1:15" ht="24.95" customHeight="1" x14ac:dyDescent="0.25">
      <c r="A598" s="17" t="s">
        <v>6769</v>
      </c>
      <c r="B598" s="2">
        <v>270</v>
      </c>
      <c r="C598" s="2">
        <v>111</v>
      </c>
      <c r="D598" s="2">
        <v>32</v>
      </c>
      <c r="E598" s="2">
        <v>78.599999999999994</v>
      </c>
      <c r="F598" s="2">
        <v>0.3</v>
      </c>
      <c r="H598" s="2">
        <v>1172</v>
      </c>
      <c r="I598" s="2">
        <v>148</v>
      </c>
      <c r="J598" s="2">
        <v>130092</v>
      </c>
      <c r="K598" s="2">
        <v>4505</v>
      </c>
      <c r="L598" s="2">
        <v>148.69999999999999</v>
      </c>
      <c r="M598" s="2">
        <v>304.39999999999998</v>
      </c>
      <c r="N598" s="2">
        <v>12190</v>
      </c>
      <c r="O598" s="2">
        <v>43.5</v>
      </c>
    </row>
    <row r="599" spans="1:15" ht="24.95" customHeight="1" x14ac:dyDescent="0.25">
      <c r="A599" s="17" t="s">
        <v>696</v>
      </c>
      <c r="B599" s="2">
        <v>300</v>
      </c>
      <c r="C599" s="2">
        <v>132</v>
      </c>
      <c r="D599" s="2">
        <v>51.6</v>
      </c>
      <c r="E599" s="2">
        <v>79</v>
      </c>
      <c r="F599" s="2">
        <v>1.4</v>
      </c>
      <c r="H599" s="2">
        <v>1162</v>
      </c>
      <c r="I599" s="2">
        <v>188</v>
      </c>
      <c r="J599" s="2">
        <v>153384</v>
      </c>
      <c r="K599" s="2">
        <v>3544</v>
      </c>
      <c r="L599" s="2">
        <v>113.6</v>
      </c>
      <c r="M599" s="2">
        <v>313.10000000000002</v>
      </c>
      <c r="N599" s="2">
        <v>9950</v>
      </c>
      <c r="O599" s="2">
        <v>30.5</v>
      </c>
    </row>
    <row r="600" spans="1:15" ht="24.95" customHeight="1" x14ac:dyDescent="0.25">
      <c r="A600" s="17" t="s">
        <v>697</v>
      </c>
      <c r="B600" s="2">
        <v>267</v>
      </c>
      <c r="C600" s="2">
        <v>107</v>
      </c>
      <c r="D600" s="2">
        <v>30</v>
      </c>
      <c r="E600" s="2">
        <v>79</v>
      </c>
      <c r="F600" s="2">
        <v>-2</v>
      </c>
      <c r="H600" s="2">
        <v>2170</v>
      </c>
      <c r="I600" s="2">
        <v>212</v>
      </c>
      <c r="J600" s="2">
        <v>232190</v>
      </c>
      <c r="K600" s="2">
        <v>4958</v>
      </c>
      <c r="L600" s="2">
        <v>428.1</v>
      </c>
      <c r="M600" s="2">
        <v>527.20000000000005</v>
      </c>
      <c r="N600" s="2">
        <v>13530</v>
      </c>
      <c r="O600" s="2">
        <v>13.2</v>
      </c>
    </row>
    <row r="601" spans="1:15" ht="24.95" customHeight="1" x14ac:dyDescent="0.25">
      <c r="A601" s="17" t="s">
        <v>698</v>
      </c>
      <c r="B601" s="2">
        <v>258</v>
      </c>
      <c r="C601" s="2">
        <v>108</v>
      </c>
      <c r="D601" s="2">
        <v>30.7</v>
      </c>
      <c r="E601" s="2">
        <v>79</v>
      </c>
      <c r="F601" s="2">
        <v>-1.7</v>
      </c>
      <c r="H601" s="2">
        <v>300</v>
      </c>
      <c r="I601" s="2">
        <v>150</v>
      </c>
      <c r="J601" s="2">
        <v>32400</v>
      </c>
      <c r="K601" s="2">
        <v>977</v>
      </c>
      <c r="L601" s="2">
        <v>53.4</v>
      </c>
      <c r="M601" s="2">
        <v>75.7</v>
      </c>
      <c r="N601" s="2">
        <v>2570</v>
      </c>
      <c r="O601" s="2">
        <v>33.299999999999997</v>
      </c>
    </row>
    <row r="602" spans="1:15" ht="24.95" customHeight="1" x14ac:dyDescent="0.25">
      <c r="A602" s="17" t="s">
        <v>699</v>
      </c>
      <c r="B602" s="2">
        <v>296</v>
      </c>
      <c r="C602" s="2">
        <v>120</v>
      </c>
      <c r="D602" s="2">
        <v>40.9</v>
      </c>
      <c r="E602" s="2">
        <v>79</v>
      </c>
      <c r="F602" s="2">
        <v>0.1</v>
      </c>
      <c r="H602" s="2">
        <v>2200</v>
      </c>
      <c r="I602" s="2">
        <v>221</v>
      </c>
      <c r="J602" s="2">
        <v>264000</v>
      </c>
      <c r="K602" s="2">
        <v>4159</v>
      </c>
      <c r="L602" s="2">
        <v>216</v>
      </c>
      <c r="M602" s="2">
        <v>565.20000000000005</v>
      </c>
      <c r="N602" s="2">
        <v>13190</v>
      </c>
      <c r="O602" s="2">
        <v>6</v>
      </c>
    </row>
    <row r="603" spans="1:15" ht="24.95" customHeight="1" x14ac:dyDescent="0.25">
      <c r="A603" s="17" t="s">
        <v>700</v>
      </c>
      <c r="B603" s="2">
        <v>234</v>
      </c>
      <c r="C603" s="2">
        <v>95</v>
      </c>
      <c r="D603" s="2">
        <v>17.2</v>
      </c>
      <c r="E603" s="2">
        <v>79</v>
      </c>
      <c r="F603" s="2">
        <v>-1.2</v>
      </c>
      <c r="H603" s="2">
        <v>558</v>
      </c>
      <c r="I603" s="2">
        <v>161</v>
      </c>
      <c r="J603" s="2">
        <v>53010</v>
      </c>
      <c r="K603" s="2">
        <v>1831</v>
      </c>
      <c r="L603" s="2">
        <v>108</v>
      </c>
      <c r="M603" s="2">
        <v>150</v>
      </c>
      <c r="N603" s="2">
        <v>5690</v>
      </c>
      <c r="O603" s="2">
        <v>41.1</v>
      </c>
    </row>
    <row r="604" spans="1:15" ht="24.95" customHeight="1" x14ac:dyDescent="0.25">
      <c r="A604" s="17" t="s">
        <v>701</v>
      </c>
      <c r="B604" s="2">
        <v>264</v>
      </c>
      <c r="C604" s="2">
        <v>108</v>
      </c>
      <c r="D604" s="2">
        <v>29.1</v>
      </c>
      <c r="E604" s="2">
        <v>78.599999999999994</v>
      </c>
      <c r="F604" s="2">
        <v>0.3</v>
      </c>
      <c r="H604" s="2">
        <v>1450</v>
      </c>
      <c r="I604" s="2">
        <v>129</v>
      </c>
      <c r="J604" s="2">
        <v>156600</v>
      </c>
      <c r="K604" s="2">
        <v>5109</v>
      </c>
      <c r="L604" s="2">
        <v>202.1</v>
      </c>
      <c r="M604" s="2">
        <v>371.1</v>
      </c>
      <c r="N604" s="2">
        <v>13890</v>
      </c>
      <c r="O604" s="2">
        <v>40.4</v>
      </c>
    </row>
    <row r="605" spans="1:15" ht="24.95" customHeight="1" x14ac:dyDescent="0.25">
      <c r="A605" s="17" t="s">
        <v>702</v>
      </c>
      <c r="B605" s="2">
        <v>279</v>
      </c>
      <c r="C605" s="2">
        <v>114</v>
      </c>
      <c r="D605" s="2">
        <v>34.299999999999997</v>
      </c>
      <c r="E605" s="2">
        <v>78.599999999999994</v>
      </c>
      <c r="F605" s="2">
        <v>1.1000000000000001</v>
      </c>
      <c r="H605" s="2">
        <v>737</v>
      </c>
      <c r="I605" s="2">
        <v>116</v>
      </c>
      <c r="J605" s="2">
        <v>84018</v>
      </c>
      <c r="K605" s="2">
        <v>1953</v>
      </c>
      <c r="L605" s="2">
        <v>66.7</v>
      </c>
      <c r="M605" s="2">
        <v>190.4</v>
      </c>
      <c r="N605" s="2">
        <v>5450</v>
      </c>
      <c r="O605" s="2">
        <v>23.7</v>
      </c>
    </row>
    <row r="606" spans="1:15" ht="24.95" customHeight="1" x14ac:dyDescent="0.25">
      <c r="A606" s="17" t="s">
        <v>703</v>
      </c>
      <c r="B606" s="2">
        <v>284</v>
      </c>
      <c r="C606" s="2">
        <v>114</v>
      </c>
      <c r="D606" s="2">
        <v>39.5</v>
      </c>
      <c r="E606" s="2">
        <v>75</v>
      </c>
      <c r="F606" s="2">
        <v>-0.5</v>
      </c>
      <c r="H606" s="2">
        <v>1825</v>
      </c>
      <c r="I606" s="2">
        <v>137</v>
      </c>
      <c r="J606" s="2">
        <v>208050</v>
      </c>
      <c r="K606" s="2">
        <v>5433</v>
      </c>
      <c r="L606" s="2">
        <v>230.2</v>
      </c>
      <c r="M606" s="2">
        <v>500.1</v>
      </c>
      <c r="N606" s="2">
        <v>14760</v>
      </c>
      <c r="O606" s="2">
        <v>28.6</v>
      </c>
    </row>
    <row r="607" spans="1:15" ht="24.95" customHeight="1" x14ac:dyDescent="0.25">
      <c r="A607" s="17" t="s">
        <v>704</v>
      </c>
      <c r="B607" s="2">
        <v>322</v>
      </c>
      <c r="C607" s="2">
        <v>108</v>
      </c>
      <c r="D607" s="2">
        <v>29</v>
      </c>
      <c r="E607" s="2">
        <v>79</v>
      </c>
      <c r="H607" s="2">
        <v>495</v>
      </c>
      <c r="I607" s="2">
        <v>175</v>
      </c>
      <c r="J607" s="2">
        <v>53460</v>
      </c>
      <c r="K607" s="2">
        <v>2061</v>
      </c>
      <c r="L607" s="2">
        <v>93.7</v>
      </c>
      <c r="M607" s="2">
        <v>141.4</v>
      </c>
      <c r="N607" s="2">
        <v>6380</v>
      </c>
      <c r="O607" s="2">
        <v>51.7</v>
      </c>
    </row>
    <row r="608" spans="1:15" ht="24.95" customHeight="1" x14ac:dyDescent="0.25">
      <c r="A608" s="17" t="s">
        <v>705</v>
      </c>
      <c r="B608" s="2">
        <v>270</v>
      </c>
      <c r="C608" s="2">
        <v>108</v>
      </c>
      <c r="D608" s="2">
        <v>28.8</v>
      </c>
      <c r="E608" s="2">
        <v>79</v>
      </c>
      <c r="F608" s="2">
        <v>0.2</v>
      </c>
      <c r="H608" s="2">
        <v>1250</v>
      </c>
      <c r="I608" s="2">
        <v>193</v>
      </c>
      <c r="J608" s="2">
        <v>135000</v>
      </c>
      <c r="K608" s="2">
        <v>3334</v>
      </c>
      <c r="L608" s="2">
        <v>200.4</v>
      </c>
      <c r="M608" s="2">
        <v>318.10000000000002</v>
      </c>
      <c r="N608" s="2">
        <v>9810</v>
      </c>
      <c r="O608" s="2">
        <v>28.7</v>
      </c>
    </row>
    <row r="609" spans="1:15" ht="24.95" customHeight="1" x14ac:dyDescent="0.25">
      <c r="A609" s="17" t="s">
        <v>706</v>
      </c>
      <c r="B609" s="2">
        <v>260</v>
      </c>
      <c r="C609" s="2">
        <v>105</v>
      </c>
      <c r="D609" s="2">
        <v>27.9</v>
      </c>
      <c r="E609" s="2">
        <v>79</v>
      </c>
      <c r="F609" s="2">
        <v>-1.9</v>
      </c>
      <c r="H609" s="2">
        <v>4800</v>
      </c>
      <c r="I609" s="2">
        <v>181</v>
      </c>
      <c r="J609" s="2">
        <v>504000</v>
      </c>
      <c r="K609" s="2">
        <v>7796</v>
      </c>
      <c r="L609" s="2">
        <v>642.6</v>
      </c>
      <c r="M609" s="2">
        <v>1228</v>
      </c>
      <c r="N609" s="2">
        <v>20890</v>
      </c>
    </row>
    <row r="610" spans="1:15" ht="24.95" customHeight="1" x14ac:dyDescent="0.25">
      <c r="A610" s="17" t="s">
        <v>707</v>
      </c>
      <c r="B610" s="2">
        <v>279</v>
      </c>
      <c r="C610" s="2">
        <v>113</v>
      </c>
      <c r="D610" s="2">
        <v>33.9</v>
      </c>
      <c r="E610" s="2">
        <v>78.599999999999994</v>
      </c>
      <c r="F610" s="2">
        <v>0.4</v>
      </c>
      <c r="H610" s="2">
        <v>550</v>
      </c>
      <c r="I610" s="2">
        <v>135</v>
      </c>
      <c r="J610" s="2">
        <v>62150</v>
      </c>
      <c r="K610" s="2">
        <v>2179</v>
      </c>
      <c r="L610" s="2">
        <v>89.2</v>
      </c>
      <c r="M610" s="2">
        <v>150</v>
      </c>
      <c r="N610" s="2">
        <v>5810</v>
      </c>
      <c r="O610" s="2">
        <v>43</v>
      </c>
    </row>
    <row r="611" spans="1:15" ht="24.95" customHeight="1" x14ac:dyDescent="0.25">
      <c r="A611" s="17" t="s">
        <v>708</v>
      </c>
      <c r="B611" s="2">
        <v>288</v>
      </c>
      <c r="C611" s="2">
        <v>126</v>
      </c>
      <c r="D611" s="2">
        <v>45.3</v>
      </c>
      <c r="E611" s="2">
        <v>78.599999999999994</v>
      </c>
      <c r="F611" s="2">
        <v>2.1</v>
      </c>
      <c r="H611" s="2">
        <v>140</v>
      </c>
      <c r="I611" s="2">
        <v>119</v>
      </c>
      <c r="J611" s="2">
        <v>17640</v>
      </c>
      <c r="K611" s="2">
        <v>787</v>
      </c>
      <c r="L611" s="2">
        <v>17.100000000000001</v>
      </c>
      <c r="M611" s="2">
        <v>37.299999999999997</v>
      </c>
      <c r="N611" s="2">
        <v>1930</v>
      </c>
      <c r="O611" s="2">
        <v>57.1</v>
      </c>
    </row>
    <row r="612" spans="1:15" ht="24.95" customHeight="1" x14ac:dyDescent="0.25">
      <c r="A612" s="17" t="s">
        <v>709</v>
      </c>
      <c r="B612" s="2">
        <v>276</v>
      </c>
      <c r="C612" s="2">
        <v>114</v>
      </c>
      <c r="D612" s="2">
        <v>34.799999999999997</v>
      </c>
      <c r="E612" s="2">
        <v>79</v>
      </c>
      <c r="F612" s="2">
        <v>0.2</v>
      </c>
      <c r="H612" s="2">
        <v>1760</v>
      </c>
      <c r="I612" s="2">
        <v>179</v>
      </c>
      <c r="J612" s="2">
        <v>200640</v>
      </c>
      <c r="K612" s="2">
        <v>5594</v>
      </c>
      <c r="L612" s="2">
        <v>294.8</v>
      </c>
      <c r="M612" s="2">
        <v>466.7</v>
      </c>
      <c r="N612" s="2">
        <v>14790</v>
      </c>
      <c r="O612" s="2">
        <v>31.5</v>
      </c>
    </row>
    <row r="613" spans="1:15" ht="24.95" customHeight="1" x14ac:dyDescent="0.25">
      <c r="A613" s="17" t="s">
        <v>710</v>
      </c>
      <c r="B613" s="2">
        <v>276</v>
      </c>
      <c r="C613" s="2">
        <v>109</v>
      </c>
      <c r="D613" s="2">
        <v>34.1</v>
      </c>
      <c r="E613" s="2">
        <v>74.599999999999994</v>
      </c>
      <c r="F613" s="2">
        <v>0.3</v>
      </c>
      <c r="H613" s="2">
        <v>1621</v>
      </c>
      <c r="I613" s="2">
        <v>141</v>
      </c>
      <c r="J613" s="2">
        <v>176689</v>
      </c>
      <c r="K613" s="2">
        <v>5670</v>
      </c>
      <c r="L613" s="2">
        <v>223.7</v>
      </c>
      <c r="M613" s="2">
        <v>443.3</v>
      </c>
      <c r="N613" s="2">
        <v>17000</v>
      </c>
      <c r="O613" s="2">
        <v>42.9</v>
      </c>
    </row>
    <row r="614" spans="1:15" ht="24.95" customHeight="1" x14ac:dyDescent="0.25">
      <c r="A614" s="17" t="s">
        <v>711</v>
      </c>
      <c r="B614" s="2">
        <v>288</v>
      </c>
      <c r="C614" s="2">
        <v>116</v>
      </c>
      <c r="D614" s="2">
        <v>36.799999999999997</v>
      </c>
      <c r="E614" s="2">
        <v>79</v>
      </c>
      <c r="F614" s="2">
        <v>0.2</v>
      </c>
      <c r="H614" s="2">
        <v>1235</v>
      </c>
      <c r="I614" s="2">
        <v>152</v>
      </c>
      <c r="J614" s="2">
        <v>143260</v>
      </c>
      <c r="K614" s="2">
        <v>3460</v>
      </c>
      <c r="L614" s="2">
        <v>166.6</v>
      </c>
      <c r="M614" s="2">
        <v>323</v>
      </c>
      <c r="N614" s="2">
        <v>10480</v>
      </c>
      <c r="O614" s="2">
        <v>32.200000000000003</v>
      </c>
    </row>
    <row r="615" spans="1:15" ht="24.95" customHeight="1" x14ac:dyDescent="0.25">
      <c r="A615" s="17" t="s">
        <v>712</v>
      </c>
      <c r="B615" s="2">
        <v>258</v>
      </c>
      <c r="C615" s="2">
        <v>106</v>
      </c>
      <c r="D615" s="2">
        <v>26.4</v>
      </c>
      <c r="E615" s="2">
        <v>79</v>
      </c>
      <c r="F615" s="2">
        <v>0.6</v>
      </c>
      <c r="H615" s="2">
        <v>699</v>
      </c>
      <c r="I615" s="2">
        <v>196</v>
      </c>
      <c r="J615" s="2">
        <v>74094</v>
      </c>
      <c r="K615" s="2">
        <v>2490</v>
      </c>
      <c r="L615" s="2">
        <v>129.5</v>
      </c>
      <c r="M615" s="2">
        <v>178.8</v>
      </c>
      <c r="N615" s="2">
        <v>8360</v>
      </c>
      <c r="O615" s="2">
        <v>53.1</v>
      </c>
    </row>
    <row r="616" spans="1:15" ht="24.95" customHeight="1" x14ac:dyDescent="0.25">
      <c r="A616" s="17" t="s">
        <v>713</v>
      </c>
      <c r="B616" s="2">
        <v>270</v>
      </c>
      <c r="C616" s="2">
        <v>108</v>
      </c>
      <c r="D616" s="2">
        <v>29.6</v>
      </c>
      <c r="E616" s="2" t="s">
        <v>6770</v>
      </c>
      <c r="F616" s="2">
        <v>-0.2</v>
      </c>
      <c r="H616" s="2">
        <v>11000</v>
      </c>
      <c r="I616" s="2">
        <v>204</v>
      </c>
      <c r="J616" s="2">
        <v>1188000</v>
      </c>
      <c r="K616" s="2">
        <v>13879</v>
      </c>
      <c r="L616" s="2">
        <v>1017.4</v>
      </c>
      <c r="M616" s="2">
        <v>2814.1</v>
      </c>
      <c r="N616" s="2">
        <v>43110</v>
      </c>
    </row>
    <row r="617" spans="1:15" ht="24.95" customHeight="1" x14ac:dyDescent="0.25">
      <c r="A617" s="17" t="s">
        <v>714</v>
      </c>
      <c r="B617" s="2">
        <v>252</v>
      </c>
      <c r="C617" s="2">
        <v>111</v>
      </c>
      <c r="D617" s="2">
        <v>32.4</v>
      </c>
      <c r="E617" s="2">
        <v>78.599999999999994</v>
      </c>
      <c r="H617" s="2">
        <v>2400</v>
      </c>
      <c r="I617" s="2">
        <v>186</v>
      </c>
      <c r="J617" s="2">
        <v>266400</v>
      </c>
      <c r="K617" s="2">
        <v>6583</v>
      </c>
      <c r="L617" s="2">
        <v>360.6</v>
      </c>
      <c r="M617" s="2">
        <v>619</v>
      </c>
      <c r="N617" s="2">
        <v>19770</v>
      </c>
      <c r="O617" s="2">
        <v>30.4</v>
      </c>
    </row>
    <row r="618" spans="1:15" ht="24.95" customHeight="1" x14ac:dyDescent="0.25">
      <c r="A618" s="17" t="s">
        <v>715</v>
      </c>
      <c r="B618" s="2">
        <v>246</v>
      </c>
      <c r="C618" s="2">
        <v>105</v>
      </c>
      <c r="D618" s="2">
        <v>30.2</v>
      </c>
      <c r="E618" s="2">
        <v>79</v>
      </c>
      <c r="F618" s="2">
        <v>-4.2</v>
      </c>
      <c r="H618" s="2">
        <v>511</v>
      </c>
      <c r="I618" s="2">
        <v>110</v>
      </c>
      <c r="J618" s="2">
        <v>53655</v>
      </c>
      <c r="K618" s="2">
        <v>1461</v>
      </c>
      <c r="L618" s="2">
        <v>54.7</v>
      </c>
      <c r="M618" s="2">
        <v>121.4</v>
      </c>
      <c r="N618" s="2">
        <v>4400</v>
      </c>
      <c r="O618" s="2">
        <v>33.1</v>
      </c>
    </row>
    <row r="619" spans="1:15" ht="24.95" customHeight="1" x14ac:dyDescent="0.25">
      <c r="A619" s="17" t="s">
        <v>716</v>
      </c>
      <c r="B619" s="2">
        <v>279</v>
      </c>
      <c r="C619" s="2">
        <v>108</v>
      </c>
      <c r="D619" s="2">
        <v>32.1</v>
      </c>
      <c r="E619" s="2">
        <v>75</v>
      </c>
      <c r="F619" s="2">
        <v>0.9</v>
      </c>
      <c r="H619" s="2">
        <v>1815</v>
      </c>
      <c r="I619" s="2">
        <v>193</v>
      </c>
      <c r="J619" s="2">
        <v>196020</v>
      </c>
      <c r="K619" s="2">
        <v>5798</v>
      </c>
      <c r="L619" s="2">
        <v>289.89999999999998</v>
      </c>
      <c r="M619" s="2">
        <v>446.7</v>
      </c>
      <c r="N619" s="2">
        <v>16620</v>
      </c>
      <c r="O619" s="2">
        <v>40</v>
      </c>
    </row>
    <row r="620" spans="1:15" ht="24.95" customHeight="1" x14ac:dyDescent="0.25">
      <c r="A620" s="17" t="s">
        <v>717</v>
      </c>
      <c r="B620" s="2">
        <v>276</v>
      </c>
      <c r="C620" s="2">
        <v>111</v>
      </c>
      <c r="D620" s="2">
        <v>32.5</v>
      </c>
      <c r="E620" s="2">
        <v>79</v>
      </c>
      <c r="F620" s="2">
        <v>-0.4</v>
      </c>
      <c r="H620" s="2">
        <v>1835</v>
      </c>
      <c r="I620" s="2">
        <v>178</v>
      </c>
      <c r="J620" s="2">
        <v>203685</v>
      </c>
      <c r="K620" s="2">
        <v>5288</v>
      </c>
      <c r="L620" s="2">
        <v>338</v>
      </c>
      <c r="M620" s="2">
        <v>450.5</v>
      </c>
      <c r="N620" s="2">
        <v>14800</v>
      </c>
      <c r="O620" s="2">
        <v>32.700000000000003</v>
      </c>
    </row>
    <row r="621" spans="1:15" ht="24.95" customHeight="1" x14ac:dyDescent="0.25">
      <c r="A621" s="17" t="s">
        <v>718</v>
      </c>
      <c r="B621" s="2">
        <v>270</v>
      </c>
      <c r="C621" s="2">
        <v>111</v>
      </c>
      <c r="D621" s="2">
        <v>31</v>
      </c>
      <c r="E621" s="2">
        <v>79</v>
      </c>
      <c r="F621" s="2">
        <v>1</v>
      </c>
      <c r="H621" s="2">
        <v>522</v>
      </c>
      <c r="I621" s="2">
        <v>110</v>
      </c>
      <c r="J621" s="2">
        <v>57942</v>
      </c>
      <c r="K621" s="2">
        <v>2593</v>
      </c>
      <c r="L621" s="2">
        <v>72.7</v>
      </c>
      <c r="M621" s="2">
        <v>140.4</v>
      </c>
      <c r="N621" s="2">
        <v>7060</v>
      </c>
      <c r="O621" s="2">
        <v>56.4</v>
      </c>
    </row>
    <row r="622" spans="1:15" ht="24.95" customHeight="1" x14ac:dyDescent="0.25">
      <c r="A622" s="17" t="s">
        <v>719</v>
      </c>
      <c r="B622" s="2">
        <v>269</v>
      </c>
      <c r="C622" s="2">
        <v>111</v>
      </c>
      <c r="D622" s="2">
        <v>31.7</v>
      </c>
      <c r="E622" s="2">
        <v>79</v>
      </c>
      <c r="F622" s="2">
        <v>0.3</v>
      </c>
      <c r="H622" s="2">
        <v>294</v>
      </c>
      <c r="I622" s="2">
        <v>180</v>
      </c>
      <c r="J622" s="2">
        <v>32634</v>
      </c>
      <c r="K622" s="2">
        <v>903</v>
      </c>
      <c r="L622" s="2">
        <v>29.9</v>
      </c>
      <c r="M622" s="2">
        <v>78.5</v>
      </c>
      <c r="N622" s="2">
        <v>2840</v>
      </c>
      <c r="O622" s="2">
        <v>37.4</v>
      </c>
    </row>
    <row r="623" spans="1:15" ht="24.95" customHeight="1" x14ac:dyDescent="0.25">
      <c r="A623" s="17" t="s">
        <v>720</v>
      </c>
      <c r="B623" s="2">
        <v>300</v>
      </c>
      <c r="C623" s="2">
        <v>119</v>
      </c>
      <c r="D623" s="2">
        <v>39.4</v>
      </c>
      <c r="E623" s="2">
        <v>79</v>
      </c>
      <c r="F623" s="2">
        <v>0.7</v>
      </c>
      <c r="H623" s="2">
        <v>5180</v>
      </c>
      <c r="I623" s="2">
        <v>188</v>
      </c>
      <c r="J623" s="2">
        <v>616420</v>
      </c>
      <c r="K623" s="2">
        <v>13771</v>
      </c>
      <c r="L623" s="2">
        <v>793.6</v>
      </c>
      <c r="M623" s="2">
        <v>1366.5</v>
      </c>
      <c r="N623" s="2">
        <v>41820</v>
      </c>
      <c r="O623" s="2">
        <v>27.2</v>
      </c>
    </row>
    <row r="624" spans="1:15" ht="24.95" customHeight="1" x14ac:dyDescent="0.25">
      <c r="A624" s="17" t="s">
        <v>101</v>
      </c>
      <c r="B624" s="2">
        <v>239</v>
      </c>
      <c r="C624" s="2">
        <v>96</v>
      </c>
      <c r="D624" s="2">
        <v>17.100000000000001</v>
      </c>
      <c r="E624" s="2">
        <v>79</v>
      </c>
      <c r="G624" s="2">
        <v>98.7</v>
      </c>
      <c r="H624" s="2">
        <v>1956</v>
      </c>
      <c r="I624" s="2">
        <v>191</v>
      </c>
      <c r="J624" s="2">
        <v>193143</v>
      </c>
      <c r="K624" s="2">
        <v>4658</v>
      </c>
      <c r="L624" s="2">
        <v>270.2</v>
      </c>
      <c r="M624" s="2">
        <v>477.4</v>
      </c>
      <c r="N624" s="2">
        <v>15630</v>
      </c>
      <c r="O624" s="2">
        <v>26.9</v>
      </c>
    </row>
    <row r="625" spans="1:15" ht="24.95" customHeight="1" x14ac:dyDescent="0.25">
      <c r="A625" s="17" t="s">
        <v>109</v>
      </c>
      <c r="B625" s="2">
        <v>251</v>
      </c>
      <c r="C625" s="2">
        <v>104</v>
      </c>
      <c r="D625" s="2">
        <v>25.5</v>
      </c>
      <c r="E625" s="2">
        <v>79</v>
      </c>
      <c r="F625" s="2">
        <v>-0.5</v>
      </c>
      <c r="G625" s="2">
        <v>108.6</v>
      </c>
      <c r="H625" s="2">
        <v>2540</v>
      </c>
      <c r="I625" s="2">
        <v>150</v>
      </c>
      <c r="J625" s="2">
        <v>275732</v>
      </c>
      <c r="K625" s="2">
        <v>6258</v>
      </c>
      <c r="L625" s="2">
        <v>246.9</v>
      </c>
      <c r="M625" s="2">
        <v>699.6</v>
      </c>
      <c r="N625" s="2">
        <v>16090</v>
      </c>
      <c r="O625" s="2">
        <v>4.3</v>
      </c>
    </row>
    <row r="626" spans="1:15" ht="24.95" customHeight="1" x14ac:dyDescent="0.25">
      <c r="A626" s="17" t="s">
        <v>628</v>
      </c>
      <c r="B626" s="2">
        <v>236</v>
      </c>
      <c r="C626" s="2">
        <v>100</v>
      </c>
      <c r="D626" s="2">
        <v>20.8</v>
      </c>
      <c r="E626" s="2">
        <v>79</v>
      </c>
      <c r="F626" s="2">
        <v>0.2</v>
      </c>
      <c r="G626" s="2">
        <v>103.2</v>
      </c>
      <c r="H626" s="2">
        <v>3600</v>
      </c>
      <c r="I626" s="2">
        <v>148</v>
      </c>
      <c r="J626" s="2">
        <v>371468</v>
      </c>
      <c r="K626" s="2">
        <v>9350</v>
      </c>
      <c r="L626" s="2">
        <v>430.9</v>
      </c>
      <c r="M626" s="2">
        <v>812.5</v>
      </c>
      <c r="N626" s="2">
        <v>29110</v>
      </c>
      <c r="O626" s="2">
        <v>25.2</v>
      </c>
    </row>
    <row r="627" spans="1:15" ht="24.95" customHeight="1" x14ac:dyDescent="0.25">
      <c r="A627" s="17" t="s">
        <v>629</v>
      </c>
      <c r="B627" s="2">
        <v>250</v>
      </c>
      <c r="C627" s="2">
        <v>102</v>
      </c>
      <c r="D627" s="2">
        <v>22.2</v>
      </c>
      <c r="E627" s="2">
        <v>79</v>
      </c>
      <c r="F627" s="2">
        <v>0.8</v>
      </c>
      <c r="G627" s="2">
        <v>105.7</v>
      </c>
      <c r="H627" s="2">
        <v>950</v>
      </c>
      <c r="I627" s="2">
        <v>141</v>
      </c>
      <c r="J627" s="2">
        <v>100444</v>
      </c>
      <c r="K627" s="2">
        <v>2061</v>
      </c>
      <c r="L627" s="2">
        <v>107.8</v>
      </c>
      <c r="M627" s="2">
        <v>221.8</v>
      </c>
      <c r="N627" s="2">
        <v>9430</v>
      </c>
      <c r="O627" s="2">
        <v>43</v>
      </c>
    </row>
    <row r="628" spans="1:15" ht="24.95" customHeight="1" x14ac:dyDescent="0.25">
      <c r="A628" s="17" t="s">
        <v>721</v>
      </c>
      <c r="B628" s="2">
        <v>242</v>
      </c>
      <c r="C628" s="2">
        <v>100</v>
      </c>
      <c r="D628" s="2">
        <v>21.6</v>
      </c>
      <c r="E628" s="2">
        <v>79</v>
      </c>
      <c r="F628" s="2">
        <v>-0.6</v>
      </c>
      <c r="G628" s="2">
        <v>100.9</v>
      </c>
      <c r="H628" s="2">
        <v>2885</v>
      </c>
      <c r="I628" s="2">
        <v>250</v>
      </c>
      <c r="J628" s="2">
        <v>291082</v>
      </c>
      <c r="K628" s="2">
        <v>4256</v>
      </c>
      <c r="L628" s="2">
        <v>248</v>
      </c>
      <c r="M628" s="2">
        <v>625.5</v>
      </c>
      <c r="N628" s="2">
        <v>17040</v>
      </c>
    </row>
    <row r="629" spans="1:15" ht="24.95" customHeight="1" x14ac:dyDescent="0.25">
      <c r="A629" s="17" t="s">
        <v>722</v>
      </c>
      <c r="B629" s="2">
        <v>248</v>
      </c>
      <c r="C629" s="2">
        <v>101</v>
      </c>
      <c r="D629" s="2">
        <v>22</v>
      </c>
      <c r="E629" s="2">
        <v>79</v>
      </c>
      <c r="G629" s="2">
        <v>101</v>
      </c>
      <c r="H629" s="2">
        <v>1620</v>
      </c>
      <c r="I629" s="2">
        <v>137</v>
      </c>
      <c r="J629" s="2">
        <v>164085</v>
      </c>
      <c r="K629" s="2">
        <v>4515</v>
      </c>
      <c r="L629" s="2">
        <v>230.6</v>
      </c>
      <c r="M629" s="2">
        <v>412.7</v>
      </c>
      <c r="N629" s="2">
        <v>14620</v>
      </c>
      <c r="O629" s="2">
        <v>37.1</v>
      </c>
    </row>
    <row r="630" spans="1:15" ht="24.95" customHeight="1" x14ac:dyDescent="0.25">
      <c r="A630" s="17" t="s">
        <v>36</v>
      </c>
      <c r="B630" s="2">
        <v>232</v>
      </c>
      <c r="C630" s="2">
        <v>99</v>
      </c>
      <c r="D630" s="2">
        <v>21.2</v>
      </c>
      <c r="E630" s="2">
        <v>79</v>
      </c>
      <c r="F630" s="2">
        <v>-1.2</v>
      </c>
      <c r="G630" s="2">
        <v>101.8</v>
      </c>
      <c r="H630" s="2">
        <v>2707</v>
      </c>
      <c r="I630" s="2">
        <v>197</v>
      </c>
      <c r="J630" s="2">
        <v>2756676</v>
      </c>
      <c r="K630" s="2">
        <v>5024</v>
      </c>
      <c r="L630" s="2">
        <v>321.10000000000002</v>
      </c>
      <c r="M630" s="2">
        <v>685.1</v>
      </c>
      <c r="N630" s="2">
        <v>14450</v>
      </c>
    </row>
    <row r="631" spans="1:15" ht="24.95" customHeight="1" x14ac:dyDescent="0.25">
      <c r="A631" s="17" t="s">
        <v>723</v>
      </c>
      <c r="B631" s="2">
        <v>248</v>
      </c>
      <c r="C631" s="2">
        <v>97</v>
      </c>
      <c r="D631" s="2">
        <v>19.100000000000001</v>
      </c>
      <c r="E631" s="2">
        <v>79</v>
      </c>
      <c r="F631" s="2">
        <v>-1.1000000000000001</v>
      </c>
      <c r="G631" s="2">
        <v>97.4</v>
      </c>
      <c r="H631" s="2">
        <v>1202</v>
      </c>
      <c r="I631" s="2">
        <v>151</v>
      </c>
      <c r="J631" s="2">
        <v>117031</v>
      </c>
      <c r="K631" s="2">
        <v>2851</v>
      </c>
      <c r="L631" s="2">
        <v>152</v>
      </c>
      <c r="M631" s="2">
        <v>302</v>
      </c>
      <c r="N631" s="2">
        <v>8600</v>
      </c>
      <c r="O631" s="2">
        <v>20.9</v>
      </c>
    </row>
    <row r="632" spans="1:15" ht="24.95" customHeight="1" x14ac:dyDescent="0.25">
      <c r="A632" s="17" t="s">
        <v>724</v>
      </c>
      <c r="B632" s="2">
        <v>242</v>
      </c>
      <c r="C632" s="2">
        <v>102</v>
      </c>
      <c r="D632" s="2">
        <v>22.5</v>
      </c>
      <c r="E632" s="2">
        <v>79</v>
      </c>
      <c r="F632" s="2">
        <v>0.5</v>
      </c>
      <c r="G632" s="2">
        <v>103.3</v>
      </c>
      <c r="H632" s="2">
        <v>1470</v>
      </c>
      <c r="I632" s="2">
        <v>151</v>
      </c>
      <c r="J632" s="2">
        <v>151881</v>
      </c>
      <c r="K632" s="2">
        <v>5723</v>
      </c>
      <c r="L632" s="2">
        <v>258.8</v>
      </c>
      <c r="M632" s="2">
        <v>369.7</v>
      </c>
      <c r="N632" s="2">
        <v>16030</v>
      </c>
      <c r="O632" s="2">
        <v>48.8</v>
      </c>
    </row>
    <row r="633" spans="1:15" ht="24.95" customHeight="1" x14ac:dyDescent="0.25">
      <c r="A633" s="17" t="s">
        <v>146</v>
      </c>
      <c r="B633" s="2">
        <v>233</v>
      </c>
      <c r="C633" s="2">
        <v>93</v>
      </c>
      <c r="D633" s="2">
        <v>15.7</v>
      </c>
      <c r="E633" s="2">
        <v>79</v>
      </c>
      <c r="F633" s="2">
        <v>-1.7</v>
      </c>
      <c r="G633" s="2">
        <v>96.3</v>
      </c>
      <c r="H633" s="2">
        <v>6250</v>
      </c>
      <c r="I633" s="2">
        <v>166</v>
      </c>
      <c r="J633" s="2">
        <v>601950</v>
      </c>
      <c r="K633" s="2">
        <v>13528</v>
      </c>
      <c r="L633" s="2">
        <v>938.5</v>
      </c>
      <c r="M633" s="2">
        <v>1518.8</v>
      </c>
      <c r="N633" s="2">
        <v>44510</v>
      </c>
      <c r="O633" s="2">
        <v>21.8</v>
      </c>
    </row>
    <row r="634" spans="1:15" ht="24.95" customHeight="1" x14ac:dyDescent="0.25">
      <c r="A634" s="17" t="s">
        <v>165</v>
      </c>
      <c r="B634" s="2">
        <v>283</v>
      </c>
      <c r="C634" s="2">
        <v>109</v>
      </c>
      <c r="D634" s="2">
        <v>29.8</v>
      </c>
      <c r="E634" s="2">
        <v>79</v>
      </c>
      <c r="F634" s="2">
        <v>0.2</v>
      </c>
      <c r="G634" s="2">
        <v>110.1</v>
      </c>
      <c r="H634" s="2">
        <v>4422</v>
      </c>
      <c r="I634" s="2">
        <v>205</v>
      </c>
      <c r="J634" s="2">
        <v>486789</v>
      </c>
      <c r="K634" s="2">
        <v>9681</v>
      </c>
      <c r="L634" s="2">
        <v>596.79999999999995</v>
      </c>
      <c r="M634" s="2">
        <v>1024.0999999999999</v>
      </c>
      <c r="N634" s="2">
        <v>33230</v>
      </c>
      <c r="O634" s="2">
        <v>25</v>
      </c>
    </row>
    <row r="635" spans="1:15" ht="24.95" customHeight="1" x14ac:dyDescent="0.25">
      <c r="A635" s="17" t="s">
        <v>725</v>
      </c>
      <c r="B635" s="2">
        <v>249</v>
      </c>
      <c r="C635" s="2">
        <v>101</v>
      </c>
      <c r="D635" s="2">
        <v>22.2</v>
      </c>
      <c r="E635" s="2">
        <v>79</v>
      </c>
      <c r="F635" s="2">
        <v>-0.2</v>
      </c>
      <c r="G635" s="2">
        <v>102.5</v>
      </c>
      <c r="H635" s="2">
        <v>7388</v>
      </c>
      <c r="I635" s="2">
        <v>156</v>
      </c>
      <c r="J635" s="2">
        <v>757149</v>
      </c>
      <c r="K635" s="2">
        <v>18516</v>
      </c>
      <c r="L635" s="2">
        <v>1282.5999999999999</v>
      </c>
      <c r="M635" s="2">
        <v>1792.2</v>
      </c>
      <c r="N635" s="2">
        <v>58400</v>
      </c>
      <c r="O635" s="2">
        <v>28.6</v>
      </c>
    </row>
    <row r="636" spans="1:15" ht="24.95" customHeight="1" x14ac:dyDescent="0.25">
      <c r="A636" s="17" t="s">
        <v>726</v>
      </c>
      <c r="B636" s="2">
        <v>248</v>
      </c>
      <c r="C636" s="2">
        <v>106</v>
      </c>
      <c r="D636" s="2">
        <v>26.4</v>
      </c>
      <c r="E636" s="2">
        <v>79</v>
      </c>
      <c r="F636" s="2">
        <v>0.6</v>
      </c>
      <c r="G636" s="2">
        <v>108.7</v>
      </c>
      <c r="H636" s="2">
        <v>6465</v>
      </c>
      <c r="I636" s="2">
        <v>175</v>
      </c>
      <c r="J636" s="2">
        <v>702522</v>
      </c>
      <c r="K636" s="2">
        <v>14000</v>
      </c>
      <c r="L636" s="2">
        <v>949.6</v>
      </c>
      <c r="M636" s="2">
        <v>1601.5</v>
      </c>
      <c r="N636" s="2">
        <v>46200</v>
      </c>
      <c r="O636" s="2">
        <v>27</v>
      </c>
    </row>
    <row r="637" spans="1:15" ht="24.95" customHeight="1" x14ac:dyDescent="0.25">
      <c r="A637" s="17" t="s">
        <v>169</v>
      </c>
      <c r="B637" s="2">
        <v>242</v>
      </c>
      <c r="C637" s="2">
        <v>99</v>
      </c>
      <c r="D637" s="2">
        <v>19.5</v>
      </c>
      <c r="E637" s="2">
        <v>79</v>
      </c>
      <c r="F637" s="2">
        <v>0.5</v>
      </c>
      <c r="G637" s="2">
        <v>99</v>
      </c>
      <c r="H637" s="2">
        <v>1420</v>
      </c>
      <c r="I637" s="2">
        <v>230</v>
      </c>
      <c r="J637" s="2">
        <v>140580</v>
      </c>
      <c r="K637" s="2">
        <v>3314</v>
      </c>
      <c r="L637" s="2">
        <v>193.4</v>
      </c>
      <c r="M637" s="2">
        <v>353.9</v>
      </c>
      <c r="N637" s="2">
        <v>10470</v>
      </c>
      <c r="O637" s="2">
        <v>23.6</v>
      </c>
    </row>
    <row r="638" spans="1:15" ht="24.95" customHeight="1" x14ac:dyDescent="0.25">
      <c r="A638" s="17" t="s">
        <v>6771</v>
      </c>
      <c r="B638" s="2">
        <v>180</v>
      </c>
      <c r="C638" s="2">
        <v>72</v>
      </c>
      <c r="H638" s="2">
        <v>57875</v>
      </c>
      <c r="I638" s="2">
        <v>179</v>
      </c>
      <c r="J638" s="2">
        <v>4167000</v>
      </c>
      <c r="K638" s="2">
        <v>136329</v>
      </c>
      <c r="L638" s="2">
        <v>8432.5</v>
      </c>
      <c r="M638" s="2">
        <v>14411.2</v>
      </c>
      <c r="N638" s="2">
        <v>419030</v>
      </c>
      <c r="O638" s="2">
        <v>22.7</v>
      </c>
    </row>
    <row r="639" spans="1:15" ht="24.95" customHeight="1" x14ac:dyDescent="0.25">
      <c r="A639" s="17" t="s">
        <v>728</v>
      </c>
      <c r="B639" s="2">
        <v>300</v>
      </c>
      <c r="C639" s="2">
        <v>120</v>
      </c>
      <c r="D639" s="2">
        <v>49.3</v>
      </c>
      <c r="E639" s="2">
        <v>72</v>
      </c>
      <c r="F639" s="2">
        <v>-1.3</v>
      </c>
      <c r="H639" s="2">
        <v>6655</v>
      </c>
      <c r="I639" s="2">
        <v>161</v>
      </c>
      <c r="J639" s="2">
        <v>798600</v>
      </c>
      <c r="K639" s="2">
        <v>12488</v>
      </c>
      <c r="L639" s="2">
        <v>784</v>
      </c>
      <c r="M639" s="2">
        <v>1707.1</v>
      </c>
      <c r="N639" s="2">
        <v>38730</v>
      </c>
      <c r="O639" s="2">
        <v>0.4</v>
      </c>
    </row>
    <row r="640" spans="1:15" ht="24.95" customHeight="1" x14ac:dyDescent="0.25">
      <c r="A640" s="17" t="s">
        <v>729</v>
      </c>
      <c r="B640" s="2">
        <v>258</v>
      </c>
      <c r="C640" s="2">
        <v>102</v>
      </c>
      <c r="D640" s="2">
        <v>28</v>
      </c>
      <c r="E640" s="2">
        <v>74</v>
      </c>
      <c r="H640" s="2">
        <v>975</v>
      </c>
      <c r="I640" s="2">
        <v>164</v>
      </c>
      <c r="J640" s="2">
        <v>99450</v>
      </c>
      <c r="K640" s="2">
        <v>2343</v>
      </c>
      <c r="L640" s="2">
        <v>141.30000000000001</v>
      </c>
      <c r="M640" s="2">
        <v>251</v>
      </c>
      <c r="N640" s="2">
        <v>7480</v>
      </c>
      <c r="O640" s="2">
        <v>25.2</v>
      </c>
    </row>
    <row r="641" spans="1:15" ht="24.95" customHeight="1" x14ac:dyDescent="0.25">
      <c r="A641" s="17" t="s">
        <v>730</v>
      </c>
      <c r="B641" s="2">
        <v>271</v>
      </c>
      <c r="C641" s="2">
        <v>104</v>
      </c>
      <c r="D641" s="2">
        <v>31.4</v>
      </c>
      <c r="E641" s="2">
        <v>74</v>
      </c>
      <c r="F641" s="2">
        <v>-1.4</v>
      </c>
      <c r="H641" s="2">
        <v>652</v>
      </c>
      <c r="I641" s="2">
        <v>179</v>
      </c>
      <c r="J641" s="2">
        <v>67808</v>
      </c>
      <c r="K641" s="2">
        <v>1102</v>
      </c>
      <c r="L641" s="2">
        <v>47.2</v>
      </c>
      <c r="M641" s="2">
        <v>161.4</v>
      </c>
      <c r="N641" s="2">
        <v>3370</v>
      </c>
    </row>
    <row r="642" spans="1:15" ht="24.95" customHeight="1" x14ac:dyDescent="0.25">
      <c r="A642" s="17" t="s">
        <v>731</v>
      </c>
      <c r="B642" s="2">
        <v>270</v>
      </c>
      <c r="C642" s="2">
        <v>106</v>
      </c>
      <c r="D642" s="2">
        <v>31.5</v>
      </c>
      <c r="E642" s="2">
        <v>74</v>
      </c>
      <c r="F642" s="2">
        <v>0.5</v>
      </c>
      <c r="H642" s="2">
        <v>3250</v>
      </c>
      <c r="I642" s="2">
        <v>165</v>
      </c>
      <c r="J642" s="2">
        <v>344500</v>
      </c>
      <c r="K642" s="2">
        <v>8325</v>
      </c>
      <c r="L642" s="2">
        <v>436</v>
      </c>
      <c r="M642" s="2">
        <v>809.6</v>
      </c>
      <c r="N642" s="2">
        <v>26510</v>
      </c>
      <c r="O642" s="2">
        <v>32</v>
      </c>
    </row>
    <row r="643" spans="1:15" ht="24.95" customHeight="1" x14ac:dyDescent="0.25">
      <c r="A643" s="17" t="s">
        <v>732</v>
      </c>
      <c r="B643" s="2">
        <v>260</v>
      </c>
      <c r="C643" s="2">
        <v>104</v>
      </c>
      <c r="D643" s="2">
        <v>31.8</v>
      </c>
      <c r="E643" s="2">
        <v>72</v>
      </c>
      <c r="F643" s="2">
        <v>0.2</v>
      </c>
      <c r="H643" s="2">
        <v>6035</v>
      </c>
      <c r="I643" s="2">
        <v>197</v>
      </c>
      <c r="J643" s="2">
        <v>627640</v>
      </c>
      <c r="K643" s="2">
        <v>13812</v>
      </c>
      <c r="L643" s="2">
        <v>836.2</v>
      </c>
      <c r="M643" s="2">
        <v>1493.8</v>
      </c>
      <c r="N643" s="2">
        <v>41840</v>
      </c>
      <c r="O643" s="2">
        <v>20.9</v>
      </c>
    </row>
    <row r="644" spans="1:15" ht="24.95" customHeight="1" x14ac:dyDescent="0.25">
      <c r="A644" s="17" t="s">
        <v>733</v>
      </c>
      <c r="B644" s="2">
        <v>270</v>
      </c>
      <c r="C644" s="2">
        <v>110</v>
      </c>
      <c r="D644" s="2">
        <v>36.799999999999997</v>
      </c>
      <c r="E644" s="2">
        <v>74</v>
      </c>
      <c r="F644" s="2">
        <v>-0.8</v>
      </c>
      <c r="H644" s="2">
        <v>1727</v>
      </c>
      <c r="I644" s="2">
        <v>165</v>
      </c>
      <c r="J644" s="2">
        <v>189970</v>
      </c>
      <c r="K644" s="2">
        <v>4091</v>
      </c>
      <c r="L644" s="2">
        <v>249.3</v>
      </c>
      <c r="M644" s="2">
        <v>433.5</v>
      </c>
      <c r="N644" s="2">
        <v>11800</v>
      </c>
      <c r="O644" s="2">
        <v>17</v>
      </c>
    </row>
    <row r="645" spans="1:15" ht="24.95" customHeight="1" x14ac:dyDescent="0.25">
      <c r="A645" s="17" t="s">
        <v>734</v>
      </c>
      <c r="B645" s="2">
        <v>256</v>
      </c>
      <c r="C645" s="2">
        <v>103</v>
      </c>
      <c r="D645" s="2">
        <v>32.200000000000003</v>
      </c>
      <c r="E645" s="2">
        <v>72</v>
      </c>
      <c r="F645" s="2">
        <v>-1.2</v>
      </c>
      <c r="H645" s="2">
        <v>2560</v>
      </c>
      <c r="I645" s="2">
        <v>175</v>
      </c>
      <c r="J645" s="2">
        <v>263680</v>
      </c>
      <c r="K645" s="2">
        <v>5076</v>
      </c>
      <c r="L645" s="2">
        <v>316.39999999999998</v>
      </c>
      <c r="M645" s="2">
        <v>608.5</v>
      </c>
      <c r="N645" s="2">
        <v>15980</v>
      </c>
      <c r="O645" s="2">
        <v>14</v>
      </c>
    </row>
    <row r="646" spans="1:15" ht="24.95" customHeight="1" x14ac:dyDescent="0.25">
      <c r="A646" s="17" t="s">
        <v>735</v>
      </c>
      <c r="B646" s="2">
        <v>252</v>
      </c>
      <c r="C646" s="2">
        <v>104</v>
      </c>
      <c r="D646" s="2">
        <v>33.200000000000003</v>
      </c>
      <c r="E646" s="2">
        <v>72</v>
      </c>
      <c r="F646" s="2">
        <v>-1.2</v>
      </c>
      <c r="H646" s="2">
        <v>2466</v>
      </c>
      <c r="I646" s="2">
        <v>187</v>
      </c>
      <c r="J646" s="2">
        <v>256464</v>
      </c>
      <c r="K646" s="2">
        <v>4414</v>
      </c>
      <c r="L646" s="2">
        <v>441.2</v>
      </c>
      <c r="M646" s="2">
        <v>601.20000000000005</v>
      </c>
      <c r="N646" s="2">
        <v>13510</v>
      </c>
    </row>
    <row r="647" spans="1:15" ht="24.95" customHeight="1" x14ac:dyDescent="0.25">
      <c r="A647" s="17" t="s">
        <v>736</v>
      </c>
      <c r="B647" s="2">
        <v>254</v>
      </c>
      <c r="C647" s="2">
        <v>98</v>
      </c>
      <c r="D647" s="2">
        <v>23.6</v>
      </c>
      <c r="E647" s="2">
        <v>74</v>
      </c>
      <c r="F647" s="2">
        <v>0.4</v>
      </c>
      <c r="H647" s="2">
        <v>825</v>
      </c>
      <c r="I647" s="2">
        <v>183</v>
      </c>
      <c r="J647" s="2">
        <v>80850</v>
      </c>
      <c r="K647" s="2">
        <v>2382</v>
      </c>
      <c r="L647" s="2">
        <v>119.9</v>
      </c>
      <c r="M647" s="2">
        <v>202.5</v>
      </c>
      <c r="N647" s="2">
        <v>7310</v>
      </c>
      <c r="O647" s="2">
        <v>38.799999999999997</v>
      </c>
    </row>
    <row r="648" spans="1:15" ht="24.95" customHeight="1" x14ac:dyDescent="0.25">
      <c r="A648" s="17" t="s">
        <v>737</v>
      </c>
      <c r="B648" s="2">
        <v>252</v>
      </c>
      <c r="C648" s="2">
        <v>100</v>
      </c>
      <c r="D648" s="2">
        <v>26.2</v>
      </c>
      <c r="E648" s="2">
        <v>74</v>
      </c>
      <c r="F648" s="2">
        <v>-0.2</v>
      </c>
      <c r="H648" s="2">
        <v>3600</v>
      </c>
      <c r="I648" s="2">
        <v>213</v>
      </c>
      <c r="J648" s="2">
        <v>360000</v>
      </c>
      <c r="K648" s="2">
        <v>7493</v>
      </c>
      <c r="L648" s="2">
        <v>509.9</v>
      </c>
      <c r="M648" s="2">
        <v>843.6</v>
      </c>
      <c r="N648" s="2">
        <v>22990</v>
      </c>
      <c r="O648" s="2">
        <v>15.9</v>
      </c>
    </row>
    <row r="649" spans="1:15" ht="24.95" customHeight="1" x14ac:dyDescent="0.25">
      <c r="A649" s="17" t="s">
        <v>729</v>
      </c>
      <c r="B649" s="2">
        <v>242</v>
      </c>
      <c r="C649" s="2">
        <v>99</v>
      </c>
      <c r="D649" s="2">
        <v>23.8</v>
      </c>
      <c r="E649" s="2">
        <v>74</v>
      </c>
      <c r="F649" s="2">
        <v>1.2</v>
      </c>
      <c r="G649" s="2">
        <v>99.8</v>
      </c>
      <c r="H649" s="2">
        <v>1649</v>
      </c>
      <c r="I649" s="2">
        <v>158</v>
      </c>
      <c r="J649" s="2">
        <v>164640</v>
      </c>
      <c r="K649" s="2">
        <v>4370</v>
      </c>
      <c r="L649" s="2">
        <v>198.9</v>
      </c>
      <c r="M649" s="2">
        <v>420.5</v>
      </c>
      <c r="N649" s="2">
        <v>13660</v>
      </c>
      <c r="O649" s="2">
        <v>32.1</v>
      </c>
    </row>
    <row r="650" spans="1:15" ht="24.95" customHeight="1" x14ac:dyDescent="0.25">
      <c r="A650" s="17" t="s">
        <v>739</v>
      </c>
      <c r="B650" s="2">
        <v>224</v>
      </c>
      <c r="C650" s="2">
        <v>88</v>
      </c>
      <c r="D650" s="2">
        <v>13.7</v>
      </c>
      <c r="E650" s="2">
        <v>74</v>
      </c>
      <c r="F650" s="2">
        <v>0.3</v>
      </c>
      <c r="G650" s="2">
        <v>92.5</v>
      </c>
      <c r="H650" s="2">
        <v>7782</v>
      </c>
      <c r="I650" s="2">
        <v>187</v>
      </c>
      <c r="J650" s="2">
        <v>719565</v>
      </c>
      <c r="K650" s="2">
        <v>19483</v>
      </c>
      <c r="L650" s="2">
        <v>1303.3</v>
      </c>
      <c r="M650" s="2">
        <v>1924.6</v>
      </c>
      <c r="N650" s="2">
        <v>58570</v>
      </c>
      <c r="O650" s="2">
        <v>25.7</v>
      </c>
    </row>
    <row r="651" spans="1:15" ht="24.95" customHeight="1" x14ac:dyDescent="0.25">
      <c r="A651" s="17" t="s">
        <v>740</v>
      </c>
      <c r="B651" s="2">
        <v>228</v>
      </c>
      <c r="C651" s="2">
        <v>92</v>
      </c>
      <c r="D651" s="2">
        <v>17.2</v>
      </c>
      <c r="E651" s="2">
        <v>74</v>
      </c>
      <c r="F651" s="2">
        <v>0.8</v>
      </c>
      <c r="G651" s="2">
        <v>94.1</v>
      </c>
      <c r="H651" s="2">
        <v>2250</v>
      </c>
      <c r="I651" s="2">
        <v>200</v>
      </c>
      <c r="J651" s="2">
        <v>211656</v>
      </c>
      <c r="K651" s="2">
        <v>6098</v>
      </c>
      <c r="L651" s="2">
        <v>442.3</v>
      </c>
      <c r="M651" s="2">
        <v>550.1</v>
      </c>
      <c r="N651" s="2">
        <v>19740</v>
      </c>
      <c r="O651" s="2">
        <v>35.9</v>
      </c>
    </row>
    <row r="652" spans="1:15" ht="24.95" customHeight="1" x14ac:dyDescent="0.25">
      <c r="A652" s="17" t="s">
        <v>741</v>
      </c>
      <c r="B652" s="2">
        <v>238</v>
      </c>
      <c r="C652" s="2">
        <v>93</v>
      </c>
      <c r="D652" s="2">
        <v>18.5</v>
      </c>
      <c r="E652" s="2">
        <v>74</v>
      </c>
      <c r="F652" s="2">
        <v>0.5</v>
      </c>
      <c r="G652" s="2">
        <v>97.1</v>
      </c>
      <c r="H652" s="2">
        <v>7400</v>
      </c>
      <c r="I652" s="2">
        <v>205</v>
      </c>
      <c r="J652" s="2">
        <v>718586</v>
      </c>
      <c r="K652" s="2">
        <v>19422</v>
      </c>
      <c r="L652" s="2">
        <v>1387.8</v>
      </c>
      <c r="M652" s="2">
        <v>1889.1</v>
      </c>
      <c r="N652" s="2">
        <v>58490</v>
      </c>
      <c r="O652" s="2">
        <v>30</v>
      </c>
    </row>
    <row r="653" spans="1:15" ht="24.95" customHeight="1" x14ac:dyDescent="0.25">
      <c r="A653" s="17" t="s">
        <v>742</v>
      </c>
      <c r="B653" s="2">
        <v>231</v>
      </c>
      <c r="C653" s="2">
        <v>96</v>
      </c>
      <c r="D653" s="2">
        <v>21.5</v>
      </c>
      <c r="E653" s="2">
        <v>74</v>
      </c>
      <c r="F653" s="2">
        <v>0.5</v>
      </c>
      <c r="G653" s="2">
        <v>96.9</v>
      </c>
      <c r="H653" s="2">
        <v>2154</v>
      </c>
      <c r="I653" s="2">
        <v>111</v>
      </c>
      <c r="J653" s="2">
        <v>208669</v>
      </c>
      <c r="K653" s="2">
        <v>3121</v>
      </c>
      <c r="L653" s="2">
        <v>151.69999999999999</v>
      </c>
      <c r="M653" s="2">
        <v>535.9</v>
      </c>
      <c r="N653" s="2">
        <v>10000</v>
      </c>
    </row>
    <row r="654" spans="1:15" ht="24.95" customHeight="1" x14ac:dyDescent="0.25">
      <c r="A654" s="17" t="s">
        <v>743</v>
      </c>
      <c r="B654" s="2">
        <v>236</v>
      </c>
      <c r="C654" s="2">
        <v>94</v>
      </c>
      <c r="D654" s="2">
        <v>19</v>
      </c>
      <c r="E654" s="2">
        <v>74</v>
      </c>
      <c r="F654" s="2">
        <v>1</v>
      </c>
      <c r="G654" s="2">
        <v>97.7</v>
      </c>
      <c r="H654" s="2">
        <v>1430</v>
      </c>
      <c r="I654" s="2">
        <v>150</v>
      </c>
      <c r="J654" s="2">
        <v>139654</v>
      </c>
      <c r="K654" s="2">
        <v>4161</v>
      </c>
      <c r="L654" s="2">
        <v>190.9</v>
      </c>
      <c r="M654" s="2">
        <v>365.5</v>
      </c>
      <c r="N654" s="2">
        <v>13350</v>
      </c>
      <c r="O654" s="2">
        <v>34.9</v>
      </c>
    </row>
    <row r="655" spans="1:15" ht="24.95" customHeight="1" x14ac:dyDescent="0.25">
      <c r="A655" s="17" t="s">
        <v>744</v>
      </c>
      <c r="B655" s="2">
        <v>232</v>
      </c>
      <c r="C655" s="2">
        <v>96</v>
      </c>
      <c r="D655" s="2">
        <v>21.2</v>
      </c>
      <c r="E655" s="2">
        <v>74</v>
      </c>
      <c r="F655" s="2">
        <v>0.8</v>
      </c>
      <c r="G655" s="2">
        <v>99</v>
      </c>
      <c r="H655" s="2">
        <v>3565</v>
      </c>
      <c r="I655" s="2">
        <v>178</v>
      </c>
      <c r="J655" s="2">
        <v>352834</v>
      </c>
      <c r="K655" s="2">
        <v>8852</v>
      </c>
      <c r="L655" s="2">
        <v>411.5</v>
      </c>
      <c r="M655" s="2">
        <v>886</v>
      </c>
      <c r="N655" s="2">
        <v>27780</v>
      </c>
      <c r="O655" s="2">
        <v>29.5</v>
      </c>
    </row>
    <row r="656" spans="1:15" ht="24.95" customHeight="1" x14ac:dyDescent="0.25">
      <c r="A656" s="17" t="s">
        <v>733</v>
      </c>
      <c r="B656" s="2">
        <v>252</v>
      </c>
      <c r="C656" s="2">
        <v>94</v>
      </c>
      <c r="D656" s="2">
        <v>18.2</v>
      </c>
      <c r="E656" s="2">
        <v>74</v>
      </c>
      <c r="F656" s="2">
        <v>1.8</v>
      </c>
      <c r="G656" s="2">
        <v>97.3</v>
      </c>
      <c r="H656" s="2">
        <v>915</v>
      </c>
      <c r="I656" s="2">
        <v>187</v>
      </c>
      <c r="J656" s="2">
        <v>89067</v>
      </c>
      <c r="K656" s="2">
        <v>3252</v>
      </c>
      <c r="L656" s="2">
        <v>166.7</v>
      </c>
      <c r="M656" s="2">
        <v>236</v>
      </c>
      <c r="N656" s="2">
        <v>9260</v>
      </c>
      <c r="O656" s="2">
        <v>43.6</v>
      </c>
    </row>
    <row r="657" spans="1:15" ht="24.95" customHeight="1" x14ac:dyDescent="0.25">
      <c r="A657" s="17" t="s">
        <v>745</v>
      </c>
      <c r="B657" s="2">
        <v>240</v>
      </c>
      <c r="C657" s="2">
        <v>94</v>
      </c>
      <c r="D657" s="2">
        <v>17.8</v>
      </c>
      <c r="E657" s="2">
        <v>74</v>
      </c>
      <c r="F657" s="2">
        <v>2.2000000000000002</v>
      </c>
      <c r="G657" s="2">
        <v>96.1</v>
      </c>
      <c r="H657" s="2">
        <v>1984</v>
      </c>
      <c r="I657" s="2">
        <v>160</v>
      </c>
      <c r="J657" s="2">
        <v>190598</v>
      </c>
      <c r="K657" s="2">
        <v>6044</v>
      </c>
      <c r="L657" s="2">
        <v>298</v>
      </c>
      <c r="M657" s="2">
        <v>491.3</v>
      </c>
      <c r="N657" s="2">
        <v>18660</v>
      </c>
      <c r="O657" s="2">
        <v>37.299999999999997</v>
      </c>
    </row>
    <row r="658" spans="1:15" ht="24.95" customHeight="1" x14ac:dyDescent="0.25">
      <c r="A658" s="17" t="s">
        <v>6772</v>
      </c>
      <c r="B658" s="2">
        <v>188</v>
      </c>
      <c r="C658" s="2">
        <v>78</v>
      </c>
      <c r="H658" s="2">
        <v>10837</v>
      </c>
      <c r="I658" s="2">
        <v>167</v>
      </c>
      <c r="J658" s="2">
        <v>845286</v>
      </c>
      <c r="K658" s="2">
        <v>34197</v>
      </c>
      <c r="L658" s="2">
        <v>1532.8</v>
      </c>
      <c r="M658" s="2">
        <v>2730.4</v>
      </c>
      <c r="N658" s="2">
        <v>104030</v>
      </c>
      <c r="O658" s="2">
        <v>40.9</v>
      </c>
    </row>
    <row r="659" spans="1:15" ht="24.95" customHeight="1" x14ac:dyDescent="0.25">
      <c r="A659" s="17" t="s">
        <v>747</v>
      </c>
      <c r="B659" s="2">
        <v>285</v>
      </c>
      <c r="C659" s="2">
        <v>122</v>
      </c>
      <c r="D659" s="2">
        <v>43.9</v>
      </c>
      <c r="E659" s="2">
        <v>78</v>
      </c>
      <c r="F659" s="2">
        <v>0.1</v>
      </c>
      <c r="H659" s="2">
        <v>3840</v>
      </c>
      <c r="I659" s="2">
        <v>166</v>
      </c>
      <c r="J659" s="2">
        <v>468480</v>
      </c>
      <c r="K659" s="2">
        <v>8196</v>
      </c>
      <c r="L659" s="2">
        <v>419.8</v>
      </c>
      <c r="M659" s="2">
        <v>953.4</v>
      </c>
      <c r="N659" s="2">
        <v>24930</v>
      </c>
      <c r="O659" s="2">
        <v>13.6</v>
      </c>
    </row>
    <row r="660" spans="1:15" ht="24.95" customHeight="1" x14ac:dyDescent="0.25">
      <c r="A660" s="17" t="s">
        <v>748</v>
      </c>
      <c r="B660" s="2">
        <v>282</v>
      </c>
      <c r="C660" s="2">
        <v>114</v>
      </c>
      <c r="D660" s="2">
        <v>31.8</v>
      </c>
      <c r="E660" s="2">
        <v>82</v>
      </c>
      <c r="F660" s="2">
        <v>0.2</v>
      </c>
      <c r="H660" s="2">
        <v>2450</v>
      </c>
      <c r="I660" s="2">
        <v>160</v>
      </c>
      <c r="J660" s="2">
        <v>279300</v>
      </c>
      <c r="K660" s="2">
        <v>5029</v>
      </c>
      <c r="L660" s="2">
        <v>271.2</v>
      </c>
      <c r="M660" s="2">
        <v>611.5</v>
      </c>
      <c r="N660" s="2">
        <v>14940</v>
      </c>
      <c r="O660" s="2">
        <v>6.2</v>
      </c>
    </row>
    <row r="661" spans="1:15" ht="24.95" customHeight="1" x14ac:dyDescent="0.25">
      <c r="A661" s="17" t="s">
        <v>747</v>
      </c>
      <c r="B661" s="2">
        <v>258</v>
      </c>
      <c r="C661" s="2">
        <v>105</v>
      </c>
      <c r="D661" s="2">
        <v>21.8</v>
      </c>
      <c r="E661" s="2">
        <v>82</v>
      </c>
      <c r="F661" s="2">
        <v>1.3</v>
      </c>
      <c r="G661" s="2">
        <v>106.4</v>
      </c>
      <c r="H661" s="2">
        <v>1646</v>
      </c>
      <c r="I661" s="2">
        <v>172</v>
      </c>
      <c r="J661" s="2">
        <v>175149</v>
      </c>
      <c r="K661" s="2">
        <v>7326</v>
      </c>
      <c r="L661" s="2">
        <v>318.89999999999998</v>
      </c>
      <c r="M661" s="2">
        <v>413</v>
      </c>
      <c r="N661" s="2">
        <v>22630</v>
      </c>
      <c r="O661" s="2">
        <v>59.2</v>
      </c>
    </row>
    <row r="662" spans="1:15" ht="24.95" customHeight="1" x14ac:dyDescent="0.25">
      <c r="A662" s="17" t="s">
        <v>750</v>
      </c>
      <c r="B662" s="2">
        <v>226</v>
      </c>
      <c r="C662" s="2">
        <v>97</v>
      </c>
      <c r="D662" s="2">
        <v>14.3</v>
      </c>
      <c r="E662" s="2">
        <v>82</v>
      </c>
      <c r="F662" s="2">
        <v>0.7</v>
      </c>
      <c r="G662" s="2">
        <v>99.5</v>
      </c>
      <c r="H662" s="2">
        <v>1671</v>
      </c>
      <c r="I662" s="2">
        <v>164</v>
      </c>
      <c r="J662" s="2">
        <v>166317</v>
      </c>
      <c r="K662" s="2">
        <v>7183</v>
      </c>
      <c r="L662" s="2">
        <v>272.89999999999998</v>
      </c>
      <c r="M662" s="2">
        <v>424.9</v>
      </c>
      <c r="N662" s="2">
        <v>22090</v>
      </c>
      <c r="O662" s="2">
        <v>57</v>
      </c>
    </row>
    <row r="663" spans="1:15" ht="24.95" customHeight="1" x14ac:dyDescent="0.25">
      <c r="A663" s="17" t="s">
        <v>748</v>
      </c>
      <c r="B663" s="2">
        <v>214</v>
      </c>
      <c r="C663" s="2">
        <v>97</v>
      </c>
      <c r="D663" s="2">
        <v>14</v>
      </c>
      <c r="E663" s="2">
        <v>82</v>
      </c>
      <c r="F663" s="2">
        <v>1</v>
      </c>
      <c r="G663" s="2">
        <v>98.4</v>
      </c>
      <c r="H663" s="2">
        <v>1230</v>
      </c>
      <c r="I663" s="2">
        <v>181</v>
      </c>
      <c r="J663" s="2">
        <v>120982</v>
      </c>
      <c r="K663" s="2">
        <v>6463</v>
      </c>
      <c r="L663" s="2">
        <v>250</v>
      </c>
      <c r="M663" s="2">
        <v>327.60000000000002</v>
      </c>
      <c r="N663" s="2">
        <v>19440</v>
      </c>
      <c r="O663" s="2">
        <v>63.5</v>
      </c>
    </row>
    <row r="664" spans="1:15" ht="24.95" customHeight="1" x14ac:dyDescent="0.25">
      <c r="A664" s="17" t="s">
        <v>6773</v>
      </c>
      <c r="B664" s="2">
        <v>192</v>
      </c>
      <c r="C664" s="2">
        <v>71</v>
      </c>
      <c r="H664" s="2">
        <v>14728</v>
      </c>
      <c r="I664" s="2">
        <v>146</v>
      </c>
      <c r="J664" s="2">
        <v>1045688</v>
      </c>
      <c r="K664" s="2">
        <v>41889</v>
      </c>
      <c r="L664" s="2">
        <v>1875.7</v>
      </c>
      <c r="M664" s="2">
        <v>3483.3</v>
      </c>
      <c r="N664" s="2">
        <v>140260</v>
      </c>
      <c r="O664" s="2">
        <v>41.5</v>
      </c>
    </row>
    <row r="665" spans="1:15" ht="24.95" customHeight="1" x14ac:dyDescent="0.25">
      <c r="A665" s="17" t="s">
        <v>752</v>
      </c>
      <c r="B665" s="2">
        <v>292</v>
      </c>
      <c r="C665" s="2">
        <v>111</v>
      </c>
      <c r="D665" s="2">
        <v>38.5</v>
      </c>
      <c r="E665" s="2">
        <v>71</v>
      </c>
      <c r="F665" s="2">
        <v>1.5</v>
      </c>
      <c r="H665" s="2">
        <v>3425</v>
      </c>
      <c r="I665" s="2">
        <v>159</v>
      </c>
      <c r="J665" s="2">
        <v>380175</v>
      </c>
      <c r="K665" s="2">
        <v>8208</v>
      </c>
      <c r="L665" s="2">
        <v>441</v>
      </c>
      <c r="M665" s="2">
        <v>849.5</v>
      </c>
      <c r="N665" s="2">
        <v>25170</v>
      </c>
      <c r="O665" s="2">
        <v>22.8</v>
      </c>
    </row>
    <row r="666" spans="1:15" ht="24.95" customHeight="1" x14ac:dyDescent="0.25">
      <c r="A666" s="17" t="s">
        <v>753</v>
      </c>
      <c r="B666" s="2">
        <v>288</v>
      </c>
      <c r="C666" s="2">
        <v>114</v>
      </c>
      <c r="D666" s="2">
        <v>42.9</v>
      </c>
      <c r="E666" s="2">
        <v>72.5</v>
      </c>
      <c r="F666" s="2">
        <v>-1.4</v>
      </c>
      <c r="H666" s="2">
        <v>1550</v>
      </c>
      <c r="I666" s="2">
        <v>131</v>
      </c>
      <c r="J666" s="2">
        <v>176700</v>
      </c>
      <c r="K666" s="2">
        <v>3969</v>
      </c>
      <c r="L666" s="2">
        <v>209.5</v>
      </c>
      <c r="M666" s="2">
        <v>392.9</v>
      </c>
      <c r="N666" s="2">
        <v>12310</v>
      </c>
      <c r="O666" s="2">
        <v>27.7</v>
      </c>
    </row>
    <row r="667" spans="1:15" ht="24.95" customHeight="1" x14ac:dyDescent="0.25">
      <c r="A667" s="17" t="s">
        <v>754</v>
      </c>
      <c r="B667" s="2">
        <v>290</v>
      </c>
      <c r="C667" s="2">
        <v>120</v>
      </c>
      <c r="D667" s="2">
        <v>44.7</v>
      </c>
      <c r="E667" s="2">
        <v>75.5</v>
      </c>
      <c r="F667" s="2">
        <v>-0.2</v>
      </c>
      <c r="H667" s="2">
        <v>587</v>
      </c>
      <c r="I667" s="2">
        <v>149</v>
      </c>
      <c r="J667" s="2">
        <v>70440</v>
      </c>
      <c r="K667" s="2">
        <v>1770</v>
      </c>
      <c r="L667" s="2">
        <v>78.2</v>
      </c>
      <c r="M667" s="2">
        <v>146.80000000000001</v>
      </c>
      <c r="N667" s="2">
        <v>5370</v>
      </c>
      <c r="O667" s="2">
        <v>37.6</v>
      </c>
    </row>
    <row r="668" spans="1:15" ht="24.95" customHeight="1" x14ac:dyDescent="0.25">
      <c r="A668" s="17" t="s">
        <v>755</v>
      </c>
      <c r="B668" s="2">
        <v>292</v>
      </c>
      <c r="C668" s="2">
        <v>114</v>
      </c>
      <c r="D668" s="2">
        <v>38.799999999999997</v>
      </c>
      <c r="E668" s="2">
        <v>75.5</v>
      </c>
      <c r="F668" s="2">
        <v>-0.3</v>
      </c>
      <c r="H668" s="2">
        <v>1050</v>
      </c>
      <c r="I668" s="2">
        <v>133</v>
      </c>
      <c r="J668" s="2">
        <v>119700</v>
      </c>
      <c r="K668" s="2">
        <v>2374</v>
      </c>
      <c r="L668" s="2">
        <v>120.4</v>
      </c>
      <c r="M668" s="2">
        <v>253.5</v>
      </c>
      <c r="N668" s="2">
        <v>7680</v>
      </c>
      <c r="O668" s="2">
        <v>23.3</v>
      </c>
    </row>
    <row r="669" spans="1:15" ht="24.95" customHeight="1" x14ac:dyDescent="0.25">
      <c r="A669" s="17" t="s">
        <v>757</v>
      </c>
      <c r="B669" s="2">
        <v>252</v>
      </c>
      <c r="C669" s="2">
        <v>96</v>
      </c>
      <c r="D669" s="2">
        <v>19.399999999999999</v>
      </c>
      <c r="E669" s="2">
        <v>76</v>
      </c>
      <c r="F669" s="2">
        <v>0.6</v>
      </c>
      <c r="G669" s="2">
        <v>98</v>
      </c>
      <c r="H669" s="2">
        <v>1853</v>
      </c>
      <c r="I669" s="2">
        <v>135</v>
      </c>
      <c r="J669" s="2">
        <v>181644</v>
      </c>
      <c r="K669" s="2">
        <v>5787</v>
      </c>
      <c r="L669" s="2">
        <v>217.7</v>
      </c>
      <c r="M669" s="2">
        <v>388.7</v>
      </c>
      <c r="N669" s="2">
        <v>21020</v>
      </c>
      <c r="O669" s="2">
        <v>52.1</v>
      </c>
    </row>
    <row r="670" spans="1:15" ht="24.95" customHeight="1" x14ac:dyDescent="0.25">
      <c r="A670" s="17" t="s">
        <v>758</v>
      </c>
      <c r="B670" s="2">
        <v>240</v>
      </c>
      <c r="C670" s="2">
        <v>94</v>
      </c>
      <c r="D670" s="2">
        <v>17.600000000000001</v>
      </c>
      <c r="E670" s="2">
        <v>76</v>
      </c>
      <c r="F670" s="2">
        <v>0.4</v>
      </c>
      <c r="G670" s="2">
        <v>95.4</v>
      </c>
      <c r="H670" s="2">
        <v>3360</v>
      </c>
      <c r="I670" s="2">
        <v>142</v>
      </c>
      <c r="J670" s="2">
        <v>320548</v>
      </c>
      <c r="K670" s="2">
        <v>9277</v>
      </c>
      <c r="L670" s="2">
        <v>428.1</v>
      </c>
      <c r="M670" s="2">
        <v>757.9</v>
      </c>
      <c r="N670" s="2">
        <v>35080</v>
      </c>
      <c r="O670" s="2">
        <v>47.5</v>
      </c>
    </row>
    <row r="671" spans="1:15" ht="24.95" customHeight="1" x14ac:dyDescent="0.25">
      <c r="A671" s="17" t="s">
        <v>759</v>
      </c>
      <c r="B671" s="2">
        <v>266</v>
      </c>
      <c r="C671" s="2">
        <v>100</v>
      </c>
      <c r="D671" s="2">
        <v>21.2</v>
      </c>
      <c r="E671" s="2">
        <v>76</v>
      </c>
      <c r="F671" s="2">
        <v>2.8</v>
      </c>
      <c r="G671" s="2">
        <v>101.1</v>
      </c>
      <c r="H671" s="2">
        <v>1103</v>
      </c>
      <c r="I671" s="2">
        <v>142</v>
      </c>
      <c r="J671" s="2">
        <v>111543</v>
      </c>
      <c r="K671" s="2">
        <v>4846</v>
      </c>
      <c r="L671" s="2">
        <v>174.2</v>
      </c>
      <c r="M671" s="2">
        <v>279.10000000000002</v>
      </c>
      <c r="N671" s="2">
        <v>15170</v>
      </c>
      <c r="O671" s="2">
        <v>59.5</v>
      </c>
    </row>
    <row r="672" spans="1:15" ht="24.95" customHeight="1" x14ac:dyDescent="0.25">
      <c r="A672" s="17" t="s">
        <v>6774</v>
      </c>
      <c r="B672" s="2">
        <v>272</v>
      </c>
      <c r="C672" s="2">
        <v>104</v>
      </c>
      <c r="D672" s="2">
        <v>26.8</v>
      </c>
      <c r="E672" s="2">
        <v>76</v>
      </c>
      <c r="F672" s="2">
        <v>1.2</v>
      </c>
      <c r="G672" s="2">
        <v>106.5</v>
      </c>
      <c r="H672" s="2">
        <v>1800</v>
      </c>
      <c r="I672" s="2">
        <v>163</v>
      </c>
      <c r="J672" s="2">
        <v>191622</v>
      </c>
      <c r="K672" s="2">
        <v>5658</v>
      </c>
      <c r="L672" s="2">
        <v>206.6</v>
      </c>
      <c r="M672" s="2">
        <v>414.9</v>
      </c>
      <c r="N672" s="2">
        <v>18460</v>
      </c>
      <c r="O672" s="2">
        <v>47.5</v>
      </c>
    </row>
    <row r="673" spans="1:15" ht="24.95" customHeight="1" x14ac:dyDescent="0.25">
      <c r="A673" s="17" t="s">
        <v>6775</v>
      </c>
      <c r="B673" s="2">
        <v>172</v>
      </c>
      <c r="C673" s="2">
        <v>73.5</v>
      </c>
      <c r="H673" s="2">
        <v>57705</v>
      </c>
      <c r="I673" s="2">
        <v>182</v>
      </c>
      <c r="J673" s="2">
        <v>4241318</v>
      </c>
      <c r="K673" s="2">
        <v>108556</v>
      </c>
      <c r="L673" s="2">
        <v>5514.6</v>
      </c>
      <c r="M673" s="2">
        <v>14060.3</v>
      </c>
      <c r="N673" s="2">
        <v>338500</v>
      </c>
      <c r="O673" s="2">
        <v>3.4</v>
      </c>
    </row>
    <row r="674" spans="1:15" ht="24.95" customHeight="1" x14ac:dyDescent="0.25">
      <c r="A674" s="17" t="s">
        <v>762</v>
      </c>
      <c r="B674" s="2">
        <v>267</v>
      </c>
      <c r="C674" s="2">
        <v>114</v>
      </c>
      <c r="D674" s="2">
        <v>36</v>
      </c>
      <c r="E674" s="2">
        <v>76.900000000000006</v>
      </c>
      <c r="F674" s="2">
        <v>1.1000000000000001</v>
      </c>
      <c r="H674" s="2">
        <v>3743</v>
      </c>
      <c r="I674" s="2">
        <v>160</v>
      </c>
      <c r="J674" s="2">
        <v>426702</v>
      </c>
      <c r="K674" s="2">
        <v>10288</v>
      </c>
      <c r="L674" s="2">
        <v>605.6</v>
      </c>
      <c r="M674" s="2">
        <v>917.6</v>
      </c>
      <c r="N674" s="2">
        <v>32990</v>
      </c>
      <c r="O674" s="2">
        <v>37.5</v>
      </c>
    </row>
    <row r="675" spans="1:15" ht="24.95" customHeight="1" x14ac:dyDescent="0.25">
      <c r="A675" s="17" t="s">
        <v>763</v>
      </c>
      <c r="B675" s="2">
        <v>270</v>
      </c>
      <c r="C675" s="2">
        <v>117</v>
      </c>
      <c r="D675" s="2">
        <v>39.4</v>
      </c>
      <c r="E675" s="2">
        <v>76.8</v>
      </c>
      <c r="F675" s="2">
        <v>0.8</v>
      </c>
      <c r="H675" s="2">
        <v>1400</v>
      </c>
      <c r="I675" s="2">
        <v>141</v>
      </c>
      <c r="J675" s="2">
        <v>163800</v>
      </c>
      <c r="K675" s="2">
        <v>3910</v>
      </c>
      <c r="L675" s="2">
        <v>181.7</v>
      </c>
      <c r="M675" s="2">
        <v>348.7</v>
      </c>
      <c r="N675" s="2">
        <v>11390</v>
      </c>
      <c r="O675" s="2">
        <v>30.2</v>
      </c>
    </row>
    <row r="676" spans="1:15" ht="24.95" customHeight="1" x14ac:dyDescent="0.25">
      <c r="A676" s="17" t="s">
        <v>764</v>
      </c>
      <c r="B676" s="2">
        <v>252</v>
      </c>
      <c r="C676" s="2">
        <v>100</v>
      </c>
      <c r="D676" s="2">
        <v>24.5</v>
      </c>
      <c r="E676" s="2">
        <v>73.8</v>
      </c>
      <c r="F676" s="2">
        <v>1.7</v>
      </c>
      <c r="H676" s="2">
        <v>20977</v>
      </c>
      <c r="I676" s="2">
        <v>191</v>
      </c>
      <c r="J676" s="2">
        <v>2097700</v>
      </c>
      <c r="K676" s="2">
        <v>20226</v>
      </c>
      <c r="L676" s="2">
        <v>1343.3</v>
      </c>
      <c r="M676" s="2">
        <v>5122</v>
      </c>
      <c r="N676" s="2">
        <v>68130</v>
      </c>
    </row>
    <row r="677" spans="1:15" ht="24.95" customHeight="1" x14ac:dyDescent="0.25">
      <c r="A677" s="17" t="s">
        <v>765</v>
      </c>
      <c r="B677" s="2">
        <v>270</v>
      </c>
      <c r="C677" s="2">
        <v>114</v>
      </c>
      <c r="D677" s="2">
        <v>35.4</v>
      </c>
      <c r="E677" s="2">
        <v>77</v>
      </c>
      <c r="F677" s="2">
        <v>1.7</v>
      </c>
      <c r="H677" s="2">
        <v>260</v>
      </c>
      <c r="I677" s="2">
        <v>148</v>
      </c>
      <c r="J677" s="2">
        <v>29640</v>
      </c>
      <c r="K677" s="2">
        <v>816</v>
      </c>
      <c r="L677" s="2">
        <v>33.6</v>
      </c>
      <c r="M677" s="2">
        <v>70.7</v>
      </c>
      <c r="N677" s="2">
        <v>2150</v>
      </c>
      <c r="O677" s="2">
        <v>25.5</v>
      </c>
    </row>
    <row r="678" spans="1:15" ht="24.95" customHeight="1" x14ac:dyDescent="0.25">
      <c r="A678" s="17" t="s">
        <v>766</v>
      </c>
      <c r="B678" s="2">
        <v>252</v>
      </c>
      <c r="C678" s="2">
        <v>103</v>
      </c>
      <c r="D678" s="2">
        <v>24.5</v>
      </c>
      <c r="E678" s="2">
        <v>77</v>
      </c>
      <c r="F678" s="2">
        <v>1.5</v>
      </c>
      <c r="H678" s="2">
        <v>697</v>
      </c>
      <c r="I678" s="2">
        <v>171</v>
      </c>
      <c r="J678" s="2">
        <v>71791</v>
      </c>
      <c r="K678" s="2">
        <v>2257</v>
      </c>
      <c r="L678" s="2">
        <v>95.9</v>
      </c>
      <c r="M678" s="2">
        <v>178.3</v>
      </c>
      <c r="N678" s="2">
        <v>6610</v>
      </c>
      <c r="O678" s="2">
        <v>39.799999999999997</v>
      </c>
    </row>
    <row r="679" spans="1:15" ht="24.95" customHeight="1" x14ac:dyDescent="0.25">
      <c r="A679" s="17" t="s">
        <v>767</v>
      </c>
      <c r="B679" s="2">
        <v>290</v>
      </c>
      <c r="C679" s="2">
        <v>117</v>
      </c>
      <c r="D679" s="2">
        <v>38.799999999999997</v>
      </c>
      <c r="E679" s="2">
        <v>77</v>
      </c>
      <c r="F679" s="2">
        <v>1.2</v>
      </c>
      <c r="H679" s="2">
        <v>600</v>
      </c>
      <c r="I679" s="2">
        <v>153</v>
      </c>
      <c r="J679" s="2">
        <v>70200</v>
      </c>
      <c r="K679" s="2">
        <v>1378</v>
      </c>
      <c r="L679" s="2">
        <v>72.8</v>
      </c>
      <c r="M679" s="2">
        <v>151.19999999999999</v>
      </c>
      <c r="N679" s="2">
        <v>4910</v>
      </c>
      <c r="O679" s="2">
        <v>31.2</v>
      </c>
    </row>
    <row r="680" spans="1:15" ht="24.95" customHeight="1" x14ac:dyDescent="0.25">
      <c r="A680" s="17" t="s">
        <v>768</v>
      </c>
      <c r="B680" s="2">
        <v>288</v>
      </c>
      <c r="C680" s="2">
        <v>120</v>
      </c>
      <c r="D680" s="2">
        <v>43.8</v>
      </c>
      <c r="E680" s="2">
        <v>74.599999999999994</v>
      </c>
      <c r="F680" s="2">
        <v>1.6</v>
      </c>
      <c r="H680" s="2">
        <v>2575</v>
      </c>
      <c r="I680" s="2">
        <v>202</v>
      </c>
      <c r="J680" s="2">
        <v>309000</v>
      </c>
      <c r="K680" s="2">
        <v>5579</v>
      </c>
      <c r="L680" s="2">
        <v>248.7</v>
      </c>
      <c r="M680" s="2">
        <v>620.1</v>
      </c>
      <c r="N680" s="2">
        <v>17210</v>
      </c>
      <c r="O680" s="2">
        <v>17.899999999999999</v>
      </c>
    </row>
    <row r="681" spans="1:15" ht="24.95" customHeight="1" x14ac:dyDescent="0.25">
      <c r="A681" s="17" t="s">
        <v>769</v>
      </c>
      <c r="B681" s="2">
        <v>240</v>
      </c>
      <c r="C681" s="2">
        <v>105</v>
      </c>
      <c r="D681" s="2">
        <v>27.1</v>
      </c>
      <c r="E681" s="2">
        <v>77</v>
      </c>
      <c r="F681" s="2">
        <v>0.9</v>
      </c>
      <c r="H681" s="2">
        <v>418</v>
      </c>
      <c r="I681" s="2">
        <v>155</v>
      </c>
      <c r="J681" s="2">
        <v>43890</v>
      </c>
      <c r="K681" s="2">
        <v>1284</v>
      </c>
      <c r="L681" s="2">
        <v>51.6</v>
      </c>
      <c r="M681" s="2">
        <v>109.5</v>
      </c>
      <c r="N681" s="2">
        <v>3790</v>
      </c>
      <c r="O681" s="2">
        <v>38</v>
      </c>
    </row>
    <row r="682" spans="1:15" ht="24.95" customHeight="1" x14ac:dyDescent="0.25">
      <c r="A682" s="17" t="s">
        <v>770</v>
      </c>
      <c r="B682" s="2">
        <v>286</v>
      </c>
      <c r="C682" s="2">
        <v>117</v>
      </c>
      <c r="D682" s="2">
        <v>39.700000000000003</v>
      </c>
      <c r="E682" s="2">
        <v>77</v>
      </c>
      <c r="F682" s="2">
        <v>0.3</v>
      </c>
      <c r="H682" s="2">
        <v>1057</v>
      </c>
      <c r="I682" s="2">
        <v>170</v>
      </c>
      <c r="J682" s="2">
        <v>123669</v>
      </c>
      <c r="K682" s="2">
        <v>2475</v>
      </c>
      <c r="L682" s="2">
        <v>134.6</v>
      </c>
      <c r="M682" s="2">
        <v>265.89999999999998</v>
      </c>
      <c r="N682" s="2">
        <v>5260</v>
      </c>
    </row>
    <row r="683" spans="1:15" ht="24.95" customHeight="1" x14ac:dyDescent="0.25">
      <c r="A683" s="17" t="s">
        <v>771</v>
      </c>
      <c r="B683" s="2">
        <v>264</v>
      </c>
      <c r="C683" s="2">
        <v>107</v>
      </c>
      <c r="D683" s="2">
        <v>28.8</v>
      </c>
      <c r="E683" s="2">
        <v>77</v>
      </c>
      <c r="F683" s="2">
        <v>1.2</v>
      </c>
      <c r="H683" s="2">
        <v>262</v>
      </c>
      <c r="I683" s="2">
        <v>185</v>
      </c>
      <c r="J683" s="2">
        <v>28034</v>
      </c>
      <c r="K683" s="2">
        <v>756</v>
      </c>
      <c r="L683" s="2">
        <v>31.7</v>
      </c>
      <c r="M683" s="2">
        <v>64.7</v>
      </c>
      <c r="N683" s="2">
        <v>2280</v>
      </c>
      <c r="O683" s="2">
        <v>34.5</v>
      </c>
    </row>
    <row r="684" spans="1:15" ht="24.95" customHeight="1" x14ac:dyDescent="0.25">
      <c r="A684" s="17" t="s">
        <v>772</v>
      </c>
      <c r="B684" s="2">
        <v>276</v>
      </c>
      <c r="C684" s="2">
        <v>116</v>
      </c>
      <c r="D684" s="2">
        <v>38.200000000000003</v>
      </c>
      <c r="E684" s="2">
        <v>77</v>
      </c>
      <c r="F684" s="2">
        <v>0.9</v>
      </c>
      <c r="H684" s="2">
        <v>2700</v>
      </c>
      <c r="I684" s="2">
        <v>138</v>
      </c>
      <c r="J684" s="2">
        <v>313200</v>
      </c>
      <c r="K684" s="2">
        <v>4066</v>
      </c>
      <c r="L684" s="2">
        <v>313.60000000000002</v>
      </c>
      <c r="M684" s="2">
        <v>667.1</v>
      </c>
      <c r="N684" s="2">
        <v>12370</v>
      </c>
    </row>
    <row r="685" spans="1:15" ht="24.95" customHeight="1" x14ac:dyDescent="0.25">
      <c r="A685" s="17" t="s">
        <v>773</v>
      </c>
      <c r="B685" s="2">
        <v>276</v>
      </c>
      <c r="C685" s="2">
        <v>114</v>
      </c>
      <c r="D685" s="2">
        <v>35.1</v>
      </c>
      <c r="E685" s="2">
        <v>77</v>
      </c>
      <c r="F685" s="2">
        <v>1.9</v>
      </c>
      <c r="H685" s="2">
        <v>232</v>
      </c>
      <c r="I685" s="2">
        <v>152</v>
      </c>
      <c r="J685" s="2">
        <v>26448</v>
      </c>
      <c r="K685" s="2">
        <v>633</v>
      </c>
      <c r="L685" s="2">
        <v>38.9</v>
      </c>
      <c r="M685" s="2">
        <v>59.4</v>
      </c>
      <c r="N685" s="2">
        <v>2250</v>
      </c>
      <c r="O685" s="2">
        <v>41.6</v>
      </c>
    </row>
    <row r="686" spans="1:15" ht="24.95" customHeight="1" x14ac:dyDescent="0.25">
      <c r="A686" s="17" t="s">
        <v>774</v>
      </c>
      <c r="B686" s="2">
        <v>240</v>
      </c>
      <c r="C686" s="2">
        <v>103</v>
      </c>
      <c r="D686" s="2">
        <v>23.7</v>
      </c>
      <c r="E686" s="2">
        <v>77</v>
      </c>
      <c r="F686" s="2">
        <v>2.2999999999999998</v>
      </c>
      <c r="G686" s="2">
        <v>105.3</v>
      </c>
      <c r="H686" s="2">
        <v>1222</v>
      </c>
      <c r="I686" s="2">
        <v>191</v>
      </c>
      <c r="J686" s="2">
        <v>128690</v>
      </c>
      <c r="K686" s="2">
        <v>4201</v>
      </c>
      <c r="L686" s="2">
        <v>145</v>
      </c>
      <c r="M686" s="2">
        <v>270.89999999999998</v>
      </c>
      <c r="N686" s="2">
        <v>13710</v>
      </c>
      <c r="O686" s="2">
        <v>44.8</v>
      </c>
    </row>
    <row r="687" spans="1:15" ht="24.95" customHeight="1" x14ac:dyDescent="0.25">
      <c r="A687" s="17" t="s">
        <v>768</v>
      </c>
      <c r="B687" s="2">
        <v>232</v>
      </c>
      <c r="C687" s="2">
        <v>90</v>
      </c>
      <c r="D687" s="2">
        <v>11.1</v>
      </c>
      <c r="E687" s="2">
        <v>77</v>
      </c>
      <c r="F687" s="2">
        <v>1.9</v>
      </c>
      <c r="G687" s="2">
        <v>92</v>
      </c>
      <c r="H687" s="2">
        <v>1172</v>
      </c>
      <c r="I687" s="2">
        <v>159</v>
      </c>
      <c r="J687" s="2">
        <v>107779</v>
      </c>
      <c r="K687" s="2">
        <v>3919</v>
      </c>
      <c r="L687" s="2">
        <v>158.30000000000001</v>
      </c>
      <c r="M687" s="2">
        <v>253.7</v>
      </c>
      <c r="N687" s="2">
        <v>13270</v>
      </c>
      <c r="O687" s="2">
        <v>50.2</v>
      </c>
    </row>
    <row r="688" spans="1:15" ht="24.95" customHeight="1" x14ac:dyDescent="0.25">
      <c r="A688" s="17" t="s">
        <v>775</v>
      </c>
      <c r="B688" s="2">
        <v>248</v>
      </c>
      <c r="C688" s="2">
        <v>101</v>
      </c>
      <c r="D688" s="2">
        <v>22.8</v>
      </c>
      <c r="E688" s="2">
        <v>77</v>
      </c>
      <c r="F688" s="2">
        <v>1.3</v>
      </c>
      <c r="G688" s="2">
        <v>101.5</v>
      </c>
      <c r="H688" s="2">
        <v>5600</v>
      </c>
      <c r="I688" s="2">
        <v>210</v>
      </c>
      <c r="J688" s="2">
        <v>568395</v>
      </c>
      <c r="K688" s="2">
        <v>12082</v>
      </c>
      <c r="L688" s="2">
        <v>566.4</v>
      </c>
      <c r="M688" s="2">
        <v>1384.8</v>
      </c>
      <c r="N688" s="2">
        <v>36090</v>
      </c>
      <c r="O688" s="2">
        <v>8.1999999999999993</v>
      </c>
    </row>
    <row r="689" spans="1:15" ht="24.95" customHeight="1" x14ac:dyDescent="0.25">
      <c r="A689" s="17" t="s">
        <v>128</v>
      </c>
      <c r="B689" s="2">
        <v>244</v>
      </c>
      <c r="C689" s="2">
        <v>94</v>
      </c>
      <c r="D689" s="2">
        <v>16.100000000000001</v>
      </c>
      <c r="E689" s="2">
        <v>77</v>
      </c>
      <c r="F689" s="2">
        <v>0.9</v>
      </c>
      <c r="G689" s="2">
        <v>94.9</v>
      </c>
      <c r="H689" s="2">
        <v>6250</v>
      </c>
      <c r="I689" s="2">
        <v>285</v>
      </c>
      <c r="J689" s="2">
        <v>592850</v>
      </c>
      <c r="K689" s="2">
        <v>6656</v>
      </c>
      <c r="L689" s="2">
        <v>382.7</v>
      </c>
      <c r="M689" s="2">
        <v>1533.4</v>
      </c>
      <c r="N689" s="2">
        <v>18500</v>
      </c>
    </row>
    <row r="690" spans="1:15" ht="24.95" customHeight="1" x14ac:dyDescent="0.25">
      <c r="A690" s="17" t="s">
        <v>769</v>
      </c>
      <c r="B690" s="2">
        <v>216</v>
      </c>
      <c r="C690" s="2">
        <v>88</v>
      </c>
      <c r="D690" s="2">
        <v>10.4</v>
      </c>
      <c r="E690" s="2">
        <v>77</v>
      </c>
      <c r="F690" s="2">
        <v>0.7</v>
      </c>
      <c r="G690" s="2">
        <v>89.5</v>
      </c>
      <c r="H690" s="2">
        <v>1240</v>
      </c>
      <c r="I690" s="2">
        <v>153</v>
      </c>
      <c r="J690" s="2">
        <v>110947</v>
      </c>
      <c r="K690" s="2">
        <v>3875</v>
      </c>
      <c r="L690" s="2">
        <v>133.30000000000001</v>
      </c>
      <c r="M690" s="2">
        <v>250.3</v>
      </c>
      <c r="N690" s="2">
        <v>13830</v>
      </c>
      <c r="O690" s="2">
        <v>52.6</v>
      </c>
    </row>
    <row r="691" spans="1:15" ht="24.95" customHeight="1" x14ac:dyDescent="0.25">
      <c r="A691" s="17" t="s">
        <v>776</v>
      </c>
      <c r="B691" s="2">
        <v>239</v>
      </c>
      <c r="C691" s="2">
        <v>106</v>
      </c>
      <c r="D691" s="2">
        <v>25.1</v>
      </c>
      <c r="E691" s="2">
        <v>77</v>
      </c>
      <c r="F691" s="2">
        <v>3.9</v>
      </c>
      <c r="G691" s="2">
        <v>106.3</v>
      </c>
      <c r="H691" s="2">
        <v>1500</v>
      </c>
      <c r="I691" s="2">
        <v>99</v>
      </c>
      <c r="J691" s="2">
        <v>159480</v>
      </c>
      <c r="K691" s="2">
        <v>4705</v>
      </c>
      <c r="L691" s="2">
        <v>182.6</v>
      </c>
      <c r="M691" s="2">
        <v>428.4</v>
      </c>
      <c r="N691" s="2">
        <v>14160</v>
      </c>
      <c r="O691" s="2">
        <v>32.6</v>
      </c>
    </row>
    <row r="692" spans="1:15" ht="24.95" customHeight="1" x14ac:dyDescent="0.25">
      <c r="A692" s="17" t="s">
        <v>763</v>
      </c>
      <c r="B692" s="2">
        <v>234</v>
      </c>
      <c r="C692" s="2">
        <v>100</v>
      </c>
      <c r="D692" s="2">
        <v>21.1</v>
      </c>
      <c r="E692" s="2">
        <v>77</v>
      </c>
      <c r="F692" s="2">
        <v>1.9</v>
      </c>
      <c r="G692" s="2">
        <v>101</v>
      </c>
      <c r="H692" s="2">
        <v>1570</v>
      </c>
      <c r="I692" s="2">
        <v>142</v>
      </c>
      <c r="J692" s="2">
        <v>158537</v>
      </c>
      <c r="K692" s="2">
        <v>5726</v>
      </c>
      <c r="L692" s="2">
        <v>221.5</v>
      </c>
      <c r="M692" s="2">
        <v>352.8</v>
      </c>
      <c r="N692" s="2">
        <v>18290</v>
      </c>
      <c r="O692" s="2">
        <v>51.2</v>
      </c>
    </row>
    <row r="693" spans="1:15" ht="24.95" customHeight="1" x14ac:dyDescent="0.25">
      <c r="A693" s="17" t="s">
        <v>6776</v>
      </c>
      <c r="B693" s="2">
        <v>240</v>
      </c>
      <c r="C693" s="2">
        <v>100</v>
      </c>
      <c r="D693" s="2">
        <v>20.5</v>
      </c>
      <c r="E693" s="2">
        <v>77</v>
      </c>
      <c r="F693" s="2">
        <v>2.5</v>
      </c>
      <c r="G693" s="2">
        <v>102.9</v>
      </c>
      <c r="H693" s="2">
        <v>2350</v>
      </c>
      <c r="I693" s="2">
        <v>136</v>
      </c>
      <c r="J693" s="2">
        <v>241789</v>
      </c>
      <c r="K693" s="2">
        <v>8333</v>
      </c>
      <c r="L693" s="2">
        <v>324.8</v>
      </c>
      <c r="M693" s="2">
        <v>592.79999999999995</v>
      </c>
      <c r="N693" s="2">
        <v>22180</v>
      </c>
      <c r="O693" s="2">
        <v>40.9</v>
      </c>
    </row>
    <row r="694" spans="1:15" ht="24.95" customHeight="1" x14ac:dyDescent="0.25">
      <c r="A694" s="17" t="s">
        <v>779</v>
      </c>
      <c r="B694" s="2">
        <v>238</v>
      </c>
      <c r="C694" s="2">
        <v>94</v>
      </c>
      <c r="D694" s="2">
        <v>15.2</v>
      </c>
      <c r="E694" s="2">
        <v>77</v>
      </c>
      <c r="F694" s="2">
        <v>1.8</v>
      </c>
      <c r="G694" s="2">
        <v>96.3</v>
      </c>
      <c r="H694" s="2">
        <v>1880</v>
      </c>
      <c r="I694" s="2">
        <v>161</v>
      </c>
      <c r="J694" s="2">
        <v>181122</v>
      </c>
      <c r="K694" s="2">
        <v>5391</v>
      </c>
      <c r="L694" s="2">
        <v>248</v>
      </c>
      <c r="M694" s="2">
        <v>417.9</v>
      </c>
      <c r="N694" s="2">
        <v>19130</v>
      </c>
      <c r="O694" s="2">
        <v>45.5</v>
      </c>
    </row>
    <row r="695" spans="1:15" ht="24.95" customHeight="1" x14ac:dyDescent="0.25">
      <c r="A695" s="17" t="s">
        <v>6777</v>
      </c>
      <c r="B695" s="2">
        <v>143</v>
      </c>
      <c r="C695" s="2">
        <v>48</v>
      </c>
      <c r="H695" s="2">
        <v>571982</v>
      </c>
      <c r="I695" s="2">
        <v>200</v>
      </c>
      <c r="J695" s="2">
        <v>27455136</v>
      </c>
      <c r="K695" s="2">
        <v>667413</v>
      </c>
      <c r="L695" s="2">
        <v>74407.899999999994</v>
      </c>
      <c r="M695" s="2">
        <v>140293.9</v>
      </c>
      <c r="N695" s="2">
        <v>2239770</v>
      </c>
    </row>
    <row r="696" spans="1:15" ht="24.95" customHeight="1" x14ac:dyDescent="0.25">
      <c r="A696" s="17" t="s">
        <v>782</v>
      </c>
      <c r="B696" s="2">
        <v>246</v>
      </c>
      <c r="C696" s="2">
        <v>88</v>
      </c>
      <c r="D696" s="2">
        <v>39.700000000000003</v>
      </c>
      <c r="E696" s="2">
        <v>48</v>
      </c>
      <c r="F696" s="2">
        <v>0.3</v>
      </c>
      <c r="H696" s="2">
        <v>28700</v>
      </c>
      <c r="I696" s="2">
        <v>257</v>
      </c>
      <c r="J696" s="2">
        <v>2525600</v>
      </c>
      <c r="K696" s="2">
        <v>18536</v>
      </c>
      <c r="L696" s="2">
        <v>1909.9</v>
      </c>
      <c r="M696" s="2">
        <v>7175.1</v>
      </c>
      <c r="N696" s="2">
        <v>64960</v>
      </c>
    </row>
    <row r="697" spans="1:15" ht="24.95" customHeight="1" x14ac:dyDescent="0.25">
      <c r="A697" s="17" t="s">
        <v>783</v>
      </c>
      <c r="B697" s="2">
        <v>233</v>
      </c>
      <c r="C697" s="2">
        <v>82</v>
      </c>
      <c r="D697" s="2">
        <v>32.200000000000003</v>
      </c>
      <c r="E697" s="2">
        <v>50.1</v>
      </c>
      <c r="F697" s="2">
        <v>-0.3</v>
      </c>
      <c r="H697" s="2">
        <v>18400</v>
      </c>
      <c r="I697" s="2">
        <v>223</v>
      </c>
      <c r="J697" s="2">
        <v>1508800</v>
      </c>
      <c r="K697" s="2">
        <v>16457</v>
      </c>
      <c r="L697" s="2">
        <v>1650.8</v>
      </c>
      <c r="M697" s="2">
        <v>4451.6000000000004</v>
      </c>
      <c r="N697" s="2">
        <v>55200</v>
      </c>
    </row>
    <row r="698" spans="1:15" ht="24.95" customHeight="1" x14ac:dyDescent="0.25">
      <c r="A698" s="17" t="s">
        <v>784</v>
      </c>
      <c r="B698" s="2">
        <v>234</v>
      </c>
      <c r="C698" s="2">
        <v>82</v>
      </c>
      <c r="D698" s="2">
        <v>33</v>
      </c>
      <c r="E698" s="2">
        <v>50.1</v>
      </c>
      <c r="F698" s="2">
        <v>-1</v>
      </c>
      <c r="H698" s="2">
        <v>50500</v>
      </c>
      <c r="I698" s="2">
        <v>221</v>
      </c>
      <c r="J698" s="2">
        <v>4141000</v>
      </c>
      <c r="K698" s="2">
        <v>54909</v>
      </c>
      <c r="L698" s="2">
        <v>6407.1</v>
      </c>
      <c r="M698" s="2">
        <v>12184.8</v>
      </c>
      <c r="N698" s="2">
        <v>183300</v>
      </c>
    </row>
    <row r="699" spans="1:15" ht="24.95" customHeight="1" x14ac:dyDescent="0.25">
      <c r="A699" s="17" t="s">
        <v>785</v>
      </c>
      <c r="B699" s="2">
        <v>267</v>
      </c>
      <c r="C699" s="2">
        <v>94</v>
      </c>
      <c r="D699" s="2">
        <v>41.8</v>
      </c>
      <c r="E699" s="2">
        <v>53.2</v>
      </c>
      <c r="F699" s="2">
        <v>-1</v>
      </c>
      <c r="H699" s="2">
        <v>21300</v>
      </c>
      <c r="I699" s="2">
        <v>207</v>
      </c>
      <c r="J699" s="2">
        <v>2002200</v>
      </c>
      <c r="K699" s="2">
        <v>28014</v>
      </c>
      <c r="L699" s="2">
        <v>2697.9</v>
      </c>
      <c r="M699" s="2">
        <v>5339.2</v>
      </c>
      <c r="N699" s="2">
        <v>91440</v>
      </c>
    </row>
    <row r="700" spans="1:15" ht="24.95" customHeight="1" x14ac:dyDescent="0.25">
      <c r="A700" s="17" t="s">
        <v>786</v>
      </c>
      <c r="B700" s="2">
        <v>268</v>
      </c>
      <c r="C700" s="2">
        <v>90</v>
      </c>
      <c r="D700" s="2">
        <v>37</v>
      </c>
      <c r="E700" s="2">
        <v>53.2</v>
      </c>
      <c r="F700" s="2">
        <v>-0.2</v>
      </c>
      <c r="H700" s="2">
        <v>28500</v>
      </c>
      <c r="I700" s="2">
        <v>217</v>
      </c>
      <c r="J700" s="2">
        <v>2565000</v>
      </c>
      <c r="K700" s="2">
        <v>34024</v>
      </c>
      <c r="L700" s="2">
        <v>3441.5</v>
      </c>
      <c r="M700" s="2">
        <v>7364.6</v>
      </c>
      <c r="N700" s="2">
        <v>109670</v>
      </c>
    </row>
    <row r="701" spans="1:15" ht="24.95" customHeight="1" x14ac:dyDescent="0.25">
      <c r="A701" s="17" t="s">
        <v>787</v>
      </c>
      <c r="B701" s="2">
        <v>254</v>
      </c>
      <c r="C701" s="2">
        <v>90</v>
      </c>
      <c r="D701" s="2">
        <v>37.9</v>
      </c>
      <c r="E701" s="2">
        <v>53.2</v>
      </c>
      <c r="F701" s="2">
        <v>-1.1000000000000001</v>
      </c>
      <c r="H701" s="2">
        <v>20700</v>
      </c>
      <c r="I701" s="2">
        <v>239</v>
      </c>
      <c r="J701" s="2">
        <v>1863000</v>
      </c>
      <c r="K701" s="2">
        <v>21464</v>
      </c>
      <c r="L701" s="2">
        <v>3593.6</v>
      </c>
      <c r="M701" s="2">
        <v>5101</v>
      </c>
      <c r="N701" s="2">
        <v>69150</v>
      </c>
    </row>
    <row r="702" spans="1:15" ht="24.95" customHeight="1" x14ac:dyDescent="0.25">
      <c r="A702" s="17" t="s">
        <v>788</v>
      </c>
      <c r="B702" s="2">
        <v>238</v>
      </c>
      <c r="C702" s="2">
        <v>88</v>
      </c>
      <c r="D702" s="2">
        <v>38</v>
      </c>
      <c r="E702" s="2">
        <v>52</v>
      </c>
      <c r="F702" s="2">
        <v>-1.9</v>
      </c>
      <c r="H702" s="2">
        <v>43350</v>
      </c>
      <c r="I702" s="2">
        <v>164</v>
      </c>
      <c r="J702" s="2">
        <v>3814800</v>
      </c>
      <c r="K702" s="2">
        <v>65637</v>
      </c>
      <c r="L702" s="2">
        <v>7374.4</v>
      </c>
      <c r="M702" s="2">
        <v>10640.9</v>
      </c>
      <c r="N702" s="2">
        <v>209600</v>
      </c>
    </row>
    <row r="703" spans="1:15" ht="24.95" customHeight="1" x14ac:dyDescent="0.25">
      <c r="A703" s="17" t="s">
        <v>789</v>
      </c>
      <c r="B703" s="2">
        <v>236</v>
      </c>
      <c r="C703" s="2">
        <v>82</v>
      </c>
      <c r="D703" s="2">
        <v>33</v>
      </c>
      <c r="E703" s="2">
        <v>50.1</v>
      </c>
      <c r="F703" s="2">
        <v>-1</v>
      </c>
      <c r="H703" s="2">
        <v>44500</v>
      </c>
      <c r="I703" s="2">
        <v>199</v>
      </c>
      <c r="J703" s="2">
        <v>3649000</v>
      </c>
      <c r="K703" s="2">
        <v>45793</v>
      </c>
      <c r="L703" s="2">
        <v>7201.7</v>
      </c>
      <c r="M703" s="2">
        <v>11060.4</v>
      </c>
      <c r="N703" s="2">
        <v>150720</v>
      </c>
    </row>
    <row r="704" spans="1:15" ht="24.95" customHeight="1" x14ac:dyDescent="0.25">
      <c r="A704" s="17" t="s">
        <v>6778</v>
      </c>
      <c r="B704" s="2">
        <v>233</v>
      </c>
      <c r="C704" s="2">
        <v>83</v>
      </c>
      <c r="D704" s="2">
        <v>33.700000000000003</v>
      </c>
      <c r="E704" s="2">
        <v>50.1</v>
      </c>
      <c r="F704" s="2">
        <v>-0.8</v>
      </c>
      <c r="H704" s="2">
        <v>27400</v>
      </c>
      <c r="I704" s="2">
        <v>187</v>
      </c>
      <c r="J704" s="2">
        <v>2274200</v>
      </c>
      <c r="K704" s="2">
        <v>30816</v>
      </c>
      <c r="L704" s="2">
        <v>3158.2</v>
      </c>
      <c r="M704" s="2">
        <v>6670.5</v>
      </c>
      <c r="N704" s="2">
        <v>102680</v>
      </c>
    </row>
    <row r="705" spans="1:15" ht="24.95" customHeight="1" x14ac:dyDescent="0.25">
      <c r="A705" s="17" t="s">
        <v>791</v>
      </c>
      <c r="B705" s="2">
        <v>240</v>
      </c>
      <c r="C705" s="2">
        <v>88</v>
      </c>
      <c r="D705" s="2">
        <v>42.4</v>
      </c>
      <c r="E705" s="2">
        <v>48</v>
      </c>
      <c r="F705" s="2">
        <v>-2.4</v>
      </c>
      <c r="H705" s="2">
        <v>17070</v>
      </c>
      <c r="I705" s="2">
        <v>166</v>
      </c>
      <c r="J705" s="2">
        <v>1502160</v>
      </c>
      <c r="K705" s="2">
        <v>25604</v>
      </c>
      <c r="L705" s="2">
        <v>3190.1</v>
      </c>
      <c r="M705" s="2">
        <v>4172.1000000000004</v>
      </c>
      <c r="N705" s="2">
        <v>97720</v>
      </c>
      <c r="O705" s="2">
        <v>3</v>
      </c>
    </row>
    <row r="706" spans="1:15" ht="24.95" customHeight="1" x14ac:dyDescent="0.25">
      <c r="A706" s="17" t="s">
        <v>792</v>
      </c>
      <c r="B706" s="2">
        <v>256</v>
      </c>
      <c r="C706" s="2">
        <v>90</v>
      </c>
      <c r="D706" s="2">
        <v>40.700000000000003</v>
      </c>
      <c r="E706" s="2">
        <v>50.1</v>
      </c>
      <c r="F706" s="2">
        <v>-0.7</v>
      </c>
      <c r="H706" s="2">
        <v>13250</v>
      </c>
      <c r="I706" s="2">
        <v>219</v>
      </c>
      <c r="J706" s="2">
        <v>1192500</v>
      </c>
      <c r="K706" s="2">
        <v>14758</v>
      </c>
      <c r="L706" s="2">
        <v>1304.3</v>
      </c>
      <c r="M706" s="2">
        <v>3297</v>
      </c>
      <c r="N706" s="2">
        <v>54120</v>
      </c>
    </row>
    <row r="707" spans="1:15" ht="24.95" customHeight="1" x14ac:dyDescent="0.25">
      <c r="A707" s="17" t="s">
        <v>793</v>
      </c>
      <c r="B707" s="2">
        <v>246</v>
      </c>
      <c r="C707" s="2">
        <v>87</v>
      </c>
      <c r="D707" s="2">
        <v>33.4</v>
      </c>
      <c r="E707" s="2">
        <v>55.2</v>
      </c>
      <c r="F707" s="2">
        <v>-1.5</v>
      </c>
      <c r="H707" s="2">
        <v>17320</v>
      </c>
      <c r="I707" s="2">
        <v>175</v>
      </c>
      <c r="J707" s="2">
        <v>1506840</v>
      </c>
      <c r="K707" s="2">
        <v>23249</v>
      </c>
      <c r="L707" s="2">
        <v>3214.1</v>
      </c>
      <c r="M707" s="2">
        <v>4262.6000000000004</v>
      </c>
      <c r="N707" s="2">
        <v>71370</v>
      </c>
    </row>
    <row r="708" spans="1:15" ht="24.95" customHeight="1" x14ac:dyDescent="0.25">
      <c r="A708" s="17" t="s">
        <v>794</v>
      </c>
      <c r="B708" s="2">
        <v>294</v>
      </c>
      <c r="C708" s="2">
        <v>102</v>
      </c>
      <c r="D708" s="2">
        <v>49.6</v>
      </c>
      <c r="E708" s="2">
        <v>53.2</v>
      </c>
      <c r="F708" s="2">
        <v>-0.9</v>
      </c>
      <c r="H708" s="2">
        <v>25400</v>
      </c>
      <c r="I708" s="2">
        <v>213</v>
      </c>
      <c r="J708" s="2">
        <v>2590800</v>
      </c>
      <c r="K708" s="2">
        <v>30333</v>
      </c>
      <c r="L708" s="2">
        <v>2794</v>
      </c>
      <c r="M708" s="2">
        <v>6368.5</v>
      </c>
      <c r="N708" s="2">
        <v>113020</v>
      </c>
    </row>
    <row r="709" spans="1:15" ht="24.95" customHeight="1" x14ac:dyDescent="0.25">
      <c r="A709" s="17" t="s">
        <v>795</v>
      </c>
      <c r="B709" s="2">
        <v>242</v>
      </c>
      <c r="C709" s="2">
        <v>90</v>
      </c>
      <c r="D709" s="2">
        <v>41.8</v>
      </c>
      <c r="E709" s="2">
        <v>50.1</v>
      </c>
      <c r="F709" s="2">
        <v>-1.8</v>
      </c>
      <c r="H709" s="2">
        <v>20200</v>
      </c>
      <c r="I709" s="2">
        <v>151</v>
      </c>
      <c r="J709" s="2">
        <v>1818000</v>
      </c>
      <c r="K709" s="2">
        <v>31680</v>
      </c>
      <c r="L709" s="2">
        <v>3408.5</v>
      </c>
      <c r="M709" s="2">
        <v>5029.1000000000004</v>
      </c>
      <c r="N709" s="2">
        <v>102500</v>
      </c>
    </row>
    <row r="710" spans="1:15" ht="24.95" customHeight="1" x14ac:dyDescent="0.25">
      <c r="A710" s="17" t="s">
        <v>796</v>
      </c>
      <c r="B710" s="2">
        <v>252</v>
      </c>
      <c r="C710" s="2">
        <v>87</v>
      </c>
      <c r="D710" s="2">
        <v>35.9</v>
      </c>
      <c r="E710" s="2">
        <v>52.1</v>
      </c>
      <c r="F710" s="2">
        <v>-1</v>
      </c>
      <c r="H710" s="2">
        <v>14630</v>
      </c>
      <c r="I710" s="2">
        <v>205</v>
      </c>
      <c r="J710" s="2">
        <v>1272810</v>
      </c>
      <c r="K710" s="2">
        <v>18453</v>
      </c>
      <c r="L710" s="2">
        <v>1809</v>
      </c>
      <c r="M710" s="2">
        <v>3433.7</v>
      </c>
      <c r="N710" s="2">
        <v>64670</v>
      </c>
    </row>
    <row r="711" spans="1:15" ht="24.95" customHeight="1" x14ac:dyDescent="0.25">
      <c r="A711" s="17" t="s">
        <v>797</v>
      </c>
      <c r="B711" s="2">
        <v>230</v>
      </c>
      <c r="C711" s="2">
        <v>81</v>
      </c>
      <c r="D711" s="2">
        <v>29.6</v>
      </c>
      <c r="E711" s="2">
        <v>52</v>
      </c>
      <c r="F711" s="2">
        <v>-0.5</v>
      </c>
      <c r="H711" s="2">
        <v>39000</v>
      </c>
      <c r="I711" s="2">
        <v>207</v>
      </c>
      <c r="J711" s="2">
        <v>3159000</v>
      </c>
      <c r="K711" s="2">
        <v>36639</v>
      </c>
      <c r="L711" s="2">
        <v>4786.3999999999996</v>
      </c>
      <c r="M711" s="2">
        <v>9384.2000000000007</v>
      </c>
      <c r="N711" s="2">
        <v>124900</v>
      </c>
    </row>
    <row r="712" spans="1:15" ht="24.95" customHeight="1" x14ac:dyDescent="0.25">
      <c r="A712" s="17" t="s">
        <v>798</v>
      </c>
      <c r="B712" s="2">
        <v>270</v>
      </c>
      <c r="C712" s="2">
        <v>94</v>
      </c>
      <c r="D712" s="2">
        <v>46.5</v>
      </c>
      <c r="E712" s="2">
        <v>48</v>
      </c>
      <c r="F712" s="2">
        <v>-0.5</v>
      </c>
      <c r="H712" s="2">
        <v>39500</v>
      </c>
      <c r="I712" s="2">
        <v>204</v>
      </c>
      <c r="J712" s="2">
        <v>3713000</v>
      </c>
      <c r="K712" s="2">
        <v>45405</v>
      </c>
      <c r="L712" s="2">
        <v>4253</v>
      </c>
      <c r="M712" s="2">
        <v>9733.7000000000007</v>
      </c>
      <c r="N712" s="2">
        <v>171230</v>
      </c>
    </row>
    <row r="713" spans="1:15" ht="24.95" customHeight="1" x14ac:dyDescent="0.25">
      <c r="A713" s="17" t="s">
        <v>799</v>
      </c>
      <c r="B713" s="2">
        <v>276</v>
      </c>
      <c r="C713" s="2">
        <v>99</v>
      </c>
      <c r="D713" s="2">
        <v>47.5</v>
      </c>
      <c r="E713" s="2">
        <v>53.2</v>
      </c>
      <c r="F713" s="2">
        <v>-1.7</v>
      </c>
      <c r="H713" s="2">
        <v>10200</v>
      </c>
      <c r="I713" s="2">
        <v>183</v>
      </c>
      <c r="J713" s="2">
        <v>1009800</v>
      </c>
      <c r="K713" s="2">
        <v>14453</v>
      </c>
      <c r="L713" s="2">
        <v>1438.2</v>
      </c>
      <c r="M713" s="2">
        <v>2482.1999999999998</v>
      </c>
      <c r="N713" s="2">
        <v>47510</v>
      </c>
    </row>
    <row r="714" spans="1:15" ht="24.95" customHeight="1" x14ac:dyDescent="0.25">
      <c r="A714" s="17" t="s">
        <v>800</v>
      </c>
      <c r="B714" s="2">
        <v>230</v>
      </c>
      <c r="C714" s="2">
        <v>82</v>
      </c>
      <c r="D714" s="2">
        <v>30.3</v>
      </c>
      <c r="E714" s="2">
        <v>52</v>
      </c>
      <c r="F714" s="2">
        <v>-0.3</v>
      </c>
      <c r="H714" s="2">
        <v>15000</v>
      </c>
      <c r="I714" s="2">
        <v>192</v>
      </c>
      <c r="J714" s="2">
        <v>1230000</v>
      </c>
      <c r="K714" s="2">
        <v>15516</v>
      </c>
      <c r="L714" s="2">
        <v>1313.4</v>
      </c>
      <c r="M714" s="2">
        <v>3576.4</v>
      </c>
      <c r="N714" s="2">
        <v>51710</v>
      </c>
    </row>
    <row r="715" spans="1:15" ht="24.95" customHeight="1" x14ac:dyDescent="0.25">
      <c r="A715" s="17" t="s">
        <v>801</v>
      </c>
      <c r="B715" s="2">
        <v>246</v>
      </c>
      <c r="C715" s="2">
        <v>87</v>
      </c>
      <c r="D715" s="2">
        <v>34.200000000000003</v>
      </c>
      <c r="E715" s="2">
        <v>55.1</v>
      </c>
      <c r="F715" s="2">
        <v>-2.2999999999999998</v>
      </c>
      <c r="H715" s="2">
        <v>5225</v>
      </c>
      <c r="I715" s="2">
        <v>176</v>
      </c>
      <c r="J715" s="2">
        <v>454575</v>
      </c>
      <c r="K715" s="2">
        <v>8264</v>
      </c>
      <c r="L715" s="2">
        <v>1020.1</v>
      </c>
      <c r="M715" s="2">
        <v>1264.0999999999999</v>
      </c>
      <c r="N715" s="2">
        <v>28370</v>
      </c>
    </row>
    <row r="716" spans="1:15" ht="24.95" customHeight="1" x14ac:dyDescent="0.25">
      <c r="A716" s="17" t="s">
        <v>802</v>
      </c>
      <c r="B716" s="2">
        <v>268</v>
      </c>
      <c r="C716" s="2">
        <v>90</v>
      </c>
      <c r="D716" s="2">
        <v>38</v>
      </c>
      <c r="E716" s="2">
        <v>52</v>
      </c>
      <c r="H716" s="2">
        <v>17900</v>
      </c>
      <c r="I716" s="2">
        <v>228</v>
      </c>
      <c r="J716" s="2">
        <v>1611000</v>
      </c>
      <c r="K716" s="2">
        <v>20617</v>
      </c>
      <c r="L716" s="2">
        <v>1788.9</v>
      </c>
      <c r="M716" s="2">
        <v>4314.3</v>
      </c>
      <c r="N716" s="2">
        <v>68310</v>
      </c>
    </row>
    <row r="717" spans="1:15" ht="24.95" customHeight="1" x14ac:dyDescent="0.25">
      <c r="A717" s="17" t="s">
        <v>803</v>
      </c>
      <c r="B717" s="2">
        <v>258</v>
      </c>
      <c r="C717" s="2">
        <v>93</v>
      </c>
      <c r="D717" s="2">
        <v>44.3</v>
      </c>
      <c r="E717" s="2">
        <v>49.9</v>
      </c>
      <c r="F717" s="2">
        <v>-1.2</v>
      </c>
      <c r="H717" s="2">
        <v>5010</v>
      </c>
      <c r="I717" s="2">
        <v>186</v>
      </c>
      <c r="J717" s="2">
        <v>465930</v>
      </c>
      <c r="K717" s="2">
        <v>7637</v>
      </c>
      <c r="L717" s="2">
        <v>868.8</v>
      </c>
      <c r="M717" s="2">
        <v>1229.3</v>
      </c>
      <c r="N717" s="2">
        <v>23530</v>
      </c>
    </row>
    <row r="718" spans="1:15" ht="24.95" customHeight="1" x14ac:dyDescent="0.25">
      <c r="A718" s="17" t="s">
        <v>804</v>
      </c>
      <c r="B718" s="2">
        <v>230</v>
      </c>
      <c r="C718" s="2">
        <v>82</v>
      </c>
      <c r="D718" s="2">
        <v>31.7</v>
      </c>
      <c r="E718" s="2">
        <v>52</v>
      </c>
      <c r="F718" s="2">
        <v>-1.7</v>
      </c>
      <c r="H718" s="2">
        <v>17367</v>
      </c>
      <c r="I718" s="2">
        <v>176</v>
      </c>
      <c r="J718" s="2">
        <v>1424094</v>
      </c>
      <c r="K718" s="2">
        <v>22749</v>
      </c>
      <c r="L718" s="2">
        <v>2757.2</v>
      </c>
      <c r="M718" s="2">
        <v>4198.5</v>
      </c>
      <c r="N718" s="2">
        <v>74820</v>
      </c>
    </row>
    <row r="719" spans="1:15" ht="24.95" customHeight="1" x14ac:dyDescent="0.25">
      <c r="A719" s="17" t="s">
        <v>805</v>
      </c>
      <c r="B719" s="2">
        <v>270</v>
      </c>
      <c r="C719" s="2">
        <v>95</v>
      </c>
      <c r="D719" s="2">
        <v>43.4</v>
      </c>
      <c r="E719" s="2">
        <v>52.1</v>
      </c>
      <c r="F719" s="2">
        <v>-0.5</v>
      </c>
      <c r="H719" s="2">
        <v>12050</v>
      </c>
      <c r="I719" s="2">
        <v>204</v>
      </c>
      <c r="J719" s="2">
        <v>1144750</v>
      </c>
      <c r="K719" s="2">
        <v>15569</v>
      </c>
      <c r="L719" s="2">
        <v>1421.1</v>
      </c>
      <c r="M719" s="2">
        <v>2922.2</v>
      </c>
      <c r="N719" s="2">
        <v>51000</v>
      </c>
    </row>
    <row r="720" spans="1:15" ht="24.95" customHeight="1" x14ac:dyDescent="0.25">
      <c r="A720" s="17" t="s">
        <v>806</v>
      </c>
      <c r="B720" s="2">
        <v>253</v>
      </c>
      <c r="C720" s="2">
        <v>92</v>
      </c>
      <c r="D720" s="2">
        <v>40.200000000000003</v>
      </c>
      <c r="E720" s="2">
        <v>52.1</v>
      </c>
      <c r="F720" s="2">
        <v>-0.3</v>
      </c>
      <c r="H720" s="2">
        <v>8230</v>
      </c>
      <c r="I720" s="2">
        <v>180</v>
      </c>
      <c r="J720" s="2">
        <v>757160</v>
      </c>
      <c r="K720" s="2">
        <v>10835</v>
      </c>
      <c r="L720" s="2">
        <v>1025.5</v>
      </c>
      <c r="M720" s="2">
        <v>2061.8000000000002</v>
      </c>
      <c r="N720" s="2">
        <v>34540</v>
      </c>
    </row>
    <row r="721" spans="1:15" ht="24.95" customHeight="1" x14ac:dyDescent="0.25">
      <c r="A721" s="17" t="s">
        <v>807</v>
      </c>
      <c r="B721" s="2">
        <v>218</v>
      </c>
      <c r="C721" s="2">
        <v>75</v>
      </c>
      <c r="D721" s="2">
        <v>22.7</v>
      </c>
      <c r="E721" s="2">
        <v>52.1</v>
      </c>
      <c r="F721" s="2">
        <v>0.2</v>
      </c>
      <c r="H721" s="2">
        <v>11280</v>
      </c>
      <c r="I721" s="2">
        <v>193</v>
      </c>
      <c r="J721" s="2">
        <v>846000</v>
      </c>
      <c r="K721" s="2">
        <v>7002</v>
      </c>
      <c r="L721" s="2">
        <v>580</v>
      </c>
      <c r="M721" s="2">
        <v>2575.8000000000002</v>
      </c>
      <c r="N721" s="2">
        <v>23930</v>
      </c>
    </row>
    <row r="722" spans="1:15" ht="24.95" customHeight="1" x14ac:dyDescent="0.25">
      <c r="A722" s="17" t="s">
        <v>6779</v>
      </c>
      <c r="B722" s="2">
        <v>189</v>
      </c>
      <c r="C722" s="2">
        <v>75</v>
      </c>
      <c r="H722" s="2">
        <v>42359</v>
      </c>
      <c r="I722" s="2">
        <v>176</v>
      </c>
      <c r="J722" s="2">
        <v>3176925</v>
      </c>
      <c r="K722" s="2">
        <v>131386</v>
      </c>
      <c r="L722" s="2">
        <v>6002.8</v>
      </c>
      <c r="M722" s="2">
        <v>10325.5</v>
      </c>
      <c r="N722" s="2">
        <v>396210</v>
      </c>
      <c r="O722" s="2">
        <v>39.299999999999997</v>
      </c>
    </row>
    <row r="723" spans="1:15" ht="24.95" customHeight="1" x14ac:dyDescent="0.25">
      <c r="A723" s="17" t="s">
        <v>809</v>
      </c>
      <c r="B723" s="2">
        <v>282</v>
      </c>
      <c r="C723" s="2">
        <v>108</v>
      </c>
      <c r="D723" s="2">
        <v>34.6</v>
      </c>
      <c r="E723" s="2">
        <v>75</v>
      </c>
      <c r="F723" s="2">
        <v>-1.6</v>
      </c>
      <c r="H723" s="2">
        <v>5877</v>
      </c>
      <c r="I723" s="2">
        <v>221</v>
      </c>
      <c r="J723" s="2">
        <v>634716</v>
      </c>
      <c r="K723" s="2">
        <v>8945</v>
      </c>
      <c r="L723" s="2">
        <v>493.7</v>
      </c>
      <c r="M723" s="2">
        <v>1476</v>
      </c>
      <c r="N723" s="2">
        <v>27460</v>
      </c>
    </row>
    <row r="724" spans="1:15" ht="24.95" customHeight="1" x14ac:dyDescent="0.25">
      <c r="A724" s="17" t="s">
        <v>810</v>
      </c>
      <c r="B724" s="2">
        <v>272</v>
      </c>
      <c r="C724" s="2">
        <v>104</v>
      </c>
      <c r="D724" s="2">
        <v>23.3</v>
      </c>
      <c r="E724" s="2">
        <v>81</v>
      </c>
      <c r="F724" s="2">
        <v>-0.3</v>
      </c>
      <c r="H724" s="2">
        <v>1025</v>
      </c>
      <c r="I724" s="2">
        <v>273</v>
      </c>
      <c r="J724" s="2">
        <v>106600</v>
      </c>
      <c r="K724" s="2">
        <v>2145</v>
      </c>
      <c r="L724" s="2">
        <v>99.1</v>
      </c>
      <c r="M724" s="2">
        <v>231.5</v>
      </c>
      <c r="N724" s="2">
        <v>5920</v>
      </c>
      <c r="O724" s="2">
        <v>8</v>
      </c>
    </row>
    <row r="725" spans="1:15" ht="24.95" customHeight="1" x14ac:dyDescent="0.25">
      <c r="A725" s="17" t="s">
        <v>5327</v>
      </c>
      <c r="B725" s="2">
        <v>282</v>
      </c>
      <c r="C725" s="2">
        <v>118</v>
      </c>
      <c r="D725" s="2">
        <v>41.7</v>
      </c>
      <c r="E725" s="2">
        <v>81</v>
      </c>
      <c r="F725" s="2">
        <v>-4.7</v>
      </c>
      <c r="H725" s="2">
        <v>820</v>
      </c>
      <c r="I725" s="2">
        <v>147</v>
      </c>
      <c r="J725" s="2">
        <v>96760</v>
      </c>
      <c r="K725" s="2">
        <v>1670</v>
      </c>
      <c r="L725" s="2">
        <v>104.3</v>
      </c>
      <c r="M725" s="2">
        <v>194.1</v>
      </c>
      <c r="N725" s="2">
        <v>4780</v>
      </c>
      <c r="O725" s="2">
        <v>7.4</v>
      </c>
    </row>
    <row r="726" spans="1:15" ht="24.95" customHeight="1" x14ac:dyDescent="0.25">
      <c r="A726" s="17" t="s">
        <v>812</v>
      </c>
      <c r="B726" s="2">
        <v>282</v>
      </c>
      <c r="C726" s="2">
        <v>106</v>
      </c>
      <c r="D726" s="2">
        <v>26.9</v>
      </c>
      <c r="E726" s="2">
        <v>81</v>
      </c>
      <c r="F726" s="2">
        <v>-1.9</v>
      </c>
      <c r="H726" s="2">
        <v>540</v>
      </c>
      <c r="I726" s="2">
        <v>169</v>
      </c>
      <c r="J726" s="2">
        <v>57240</v>
      </c>
      <c r="K726" s="2">
        <v>1337</v>
      </c>
      <c r="L726" s="2">
        <v>60.7</v>
      </c>
      <c r="M726" s="2">
        <v>131.1</v>
      </c>
      <c r="N726" s="2">
        <v>3660</v>
      </c>
      <c r="O726" s="2">
        <v>18.8</v>
      </c>
    </row>
    <row r="727" spans="1:15" ht="24.95" customHeight="1" x14ac:dyDescent="0.25">
      <c r="A727" s="17" t="s">
        <v>813</v>
      </c>
      <c r="B727" s="2">
        <v>292</v>
      </c>
      <c r="C727" s="2">
        <v>110</v>
      </c>
      <c r="D727" s="2">
        <v>33</v>
      </c>
      <c r="E727" s="2">
        <v>81</v>
      </c>
      <c r="F727" s="2">
        <v>-4</v>
      </c>
      <c r="H727" s="2">
        <v>427</v>
      </c>
      <c r="I727" s="2">
        <v>139</v>
      </c>
      <c r="J727" s="2">
        <v>46970</v>
      </c>
      <c r="K727" s="2">
        <v>933</v>
      </c>
      <c r="L727" s="2">
        <v>48.9</v>
      </c>
      <c r="M727" s="2">
        <v>105.1</v>
      </c>
      <c r="N727" s="2">
        <v>2850</v>
      </c>
      <c r="O727" s="2">
        <v>17.3</v>
      </c>
    </row>
    <row r="728" spans="1:15" ht="24.95" customHeight="1" x14ac:dyDescent="0.25">
      <c r="A728" s="17" t="s">
        <v>814</v>
      </c>
      <c r="B728" s="2">
        <v>276</v>
      </c>
      <c r="C728" s="2">
        <v>114</v>
      </c>
      <c r="D728" s="2">
        <v>33.200000000000003</v>
      </c>
      <c r="E728" s="2">
        <v>81</v>
      </c>
      <c r="F728" s="2">
        <v>-0.2</v>
      </c>
      <c r="H728" s="2">
        <v>1000</v>
      </c>
      <c r="I728" s="2">
        <v>204</v>
      </c>
      <c r="J728" s="2">
        <v>114000</v>
      </c>
      <c r="K728" s="2">
        <v>2548</v>
      </c>
      <c r="L728" s="2">
        <v>117.7</v>
      </c>
      <c r="M728" s="2">
        <v>242.6</v>
      </c>
      <c r="N728" s="2">
        <v>7250</v>
      </c>
      <c r="O728" s="2">
        <v>24.3</v>
      </c>
    </row>
    <row r="729" spans="1:15" ht="24.95" customHeight="1" x14ac:dyDescent="0.25">
      <c r="A729" s="17" t="s">
        <v>815</v>
      </c>
      <c r="B729" s="2">
        <v>296</v>
      </c>
      <c r="C729" s="2">
        <v>114</v>
      </c>
      <c r="D729" s="2">
        <v>37</v>
      </c>
      <c r="E729" s="2">
        <v>81</v>
      </c>
      <c r="F729" s="2">
        <v>-4</v>
      </c>
      <c r="H729" s="2">
        <v>810</v>
      </c>
      <c r="I729" s="2">
        <v>148</v>
      </c>
      <c r="J729" s="2">
        <v>92340</v>
      </c>
      <c r="K729" s="2">
        <v>1551</v>
      </c>
      <c r="L729" s="2">
        <v>123.3</v>
      </c>
      <c r="M729" s="2">
        <v>206.3</v>
      </c>
      <c r="N729" s="2">
        <v>4900</v>
      </c>
      <c r="O729" s="2">
        <v>5.5</v>
      </c>
    </row>
    <row r="730" spans="1:15" ht="24.95" customHeight="1" x14ac:dyDescent="0.25">
      <c r="A730" s="17" t="s">
        <v>816</v>
      </c>
      <c r="B730" s="2">
        <v>270</v>
      </c>
      <c r="C730" s="2">
        <v>108</v>
      </c>
      <c r="D730" s="2">
        <v>28.3</v>
      </c>
      <c r="E730" s="2">
        <v>81</v>
      </c>
      <c r="F730" s="2">
        <v>-1.3</v>
      </c>
      <c r="H730" s="2">
        <v>640</v>
      </c>
      <c r="I730" s="2">
        <v>154</v>
      </c>
      <c r="J730" s="2">
        <v>69120</v>
      </c>
      <c r="K730" s="2">
        <v>1870</v>
      </c>
      <c r="L730" s="2">
        <v>88.4</v>
      </c>
      <c r="M730" s="2">
        <v>164.6</v>
      </c>
      <c r="N730" s="2">
        <v>5000</v>
      </c>
      <c r="O730" s="2">
        <v>26.1</v>
      </c>
    </row>
    <row r="731" spans="1:15" ht="24.95" customHeight="1" x14ac:dyDescent="0.25">
      <c r="A731" s="17" t="s">
        <v>817</v>
      </c>
      <c r="B731" s="2">
        <v>306</v>
      </c>
      <c r="C731" s="2">
        <v>120</v>
      </c>
      <c r="D731" s="2">
        <v>43.5</v>
      </c>
      <c r="E731" s="2">
        <v>81</v>
      </c>
      <c r="F731" s="2">
        <v>-4.5</v>
      </c>
      <c r="H731" s="2">
        <v>720</v>
      </c>
      <c r="I731" s="2">
        <v>145</v>
      </c>
      <c r="J731" s="2">
        <v>86400</v>
      </c>
      <c r="K731" s="2">
        <v>1800</v>
      </c>
      <c r="L731" s="2">
        <v>116.6</v>
      </c>
      <c r="M731" s="2">
        <v>180.7</v>
      </c>
      <c r="N731" s="2">
        <v>4600</v>
      </c>
      <c r="O731" s="2">
        <v>13.6</v>
      </c>
    </row>
    <row r="732" spans="1:15" ht="24.95" customHeight="1" x14ac:dyDescent="0.25">
      <c r="A732" s="17" t="s">
        <v>818</v>
      </c>
      <c r="B732" s="2">
        <v>276</v>
      </c>
      <c r="C732" s="2">
        <v>104</v>
      </c>
      <c r="D732" s="2">
        <v>24.8</v>
      </c>
      <c r="E732" s="2">
        <v>81</v>
      </c>
      <c r="F732" s="2">
        <v>-1.8</v>
      </c>
      <c r="H732" s="2">
        <v>400</v>
      </c>
      <c r="I732" s="2">
        <v>155</v>
      </c>
      <c r="J732" s="2">
        <v>41600</v>
      </c>
      <c r="K732" s="2">
        <v>1115</v>
      </c>
      <c r="L732" s="2">
        <v>51.6</v>
      </c>
      <c r="M732" s="2">
        <v>96.2</v>
      </c>
      <c r="N732" s="2">
        <v>3220</v>
      </c>
      <c r="O732" s="2">
        <v>32.1</v>
      </c>
    </row>
    <row r="733" spans="1:15" ht="24.95" customHeight="1" x14ac:dyDescent="0.25">
      <c r="A733" s="17" t="s">
        <v>6780</v>
      </c>
      <c r="B733" s="2">
        <v>277</v>
      </c>
      <c r="C733" s="2">
        <v>111</v>
      </c>
      <c r="D733" s="2">
        <v>30</v>
      </c>
      <c r="E733" s="2">
        <v>81</v>
      </c>
      <c r="H733" s="2">
        <v>265</v>
      </c>
      <c r="I733" s="2">
        <v>173</v>
      </c>
      <c r="J733" s="2">
        <v>29415</v>
      </c>
      <c r="K733" s="2">
        <v>902</v>
      </c>
      <c r="L733" s="2">
        <v>34.5</v>
      </c>
      <c r="M733" s="2">
        <v>66.5</v>
      </c>
      <c r="N733" s="2">
        <v>2450</v>
      </c>
      <c r="O733" s="2">
        <v>38.799999999999997</v>
      </c>
    </row>
    <row r="734" spans="1:15" ht="24.95" customHeight="1" x14ac:dyDescent="0.25">
      <c r="A734" s="17" t="s">
        <v>820</v>
      </c>
      <c r="B734" s="2">
        <v>264</v>
      </c>
      <c r="C734" s="2">
        <v>108</v>
      </c>
      <c r="D734" s="2">
        <v>26</v>
      </c>
      <c r="E734" s="2">
        <v>81</v>
      </c>
      <c r="F734" s="2">
        <v>1</v>
      </c>
      <c r="H734" s="2">
        <v>640</v>
      </c>
      <c r="I734" s="2">
        <v>196</v>
      </c>
      <c r="J734" s="2">
        <v>69120</v>
      </c>
      <c r="K734" s="2">
        <v>2035</v>
      </c>
      <c r="L734" s="2">
        <v>86.9</v>
      </c>
      <c r="M734" s="2">
        <v>164.4</v>
      </c>
      <c r="N734" s="2">
        <v>5940</v>
      </c>
      <c r="O734" s="2">
        <v>38.299999999999997</v>
      </c>
    </row>
    <row r="735" spans="1:15" ht="24.95" customHeight="1" x14ac:dyDescent="0.25">
      <c r="A735" s="17" t="s">
        <v>821</v>
      </c>
      <c r="B735" s="2">
        <v>240</v>
      </c>
      <c r="C735" s="2">
        <v>96</v>
      </c>
      <c r="D735" s="2">
        <v>14.8</v>
      </c>
      <c r="E735" s="2">
        <v>81</v>
      </c>
      <c r="F735" s="2">
        <v>0.2</v>
      </c>
      <c r="G735" s="2">
        <v>98.1</v>
      </c>
      <c r="H735" s="2">
        <v>3900</v>
      </c>
      <c r="I735" s="2">
        <v>155</v>
      </c>
      <c r="J735" s="2">
        <v>382726</v>
      </c>
      <c r="K735" s="2">
        <v>12662</v>
      </c>
      <c r="L735" s="2">
        <v>624.29999999999995</v>
      </c>
      <c r="M735" s="2">
        <v>975.8</v>
      </c>
      <c r="N735" s="2">
        <v>35340</v>
      </c>
      <c r="O735" s="2">
        <v>38.6</v>
      </c>
    </row>
    <row r="736" spans="1:15" ht="24.95" customHeight="1" x14ac:dyDescent="0.25">
      <c r="A736" s="17" t="s">
        <v>822</v>
      </c>
      <c r="B736" s="2">
        <v>246</v>
      </c>
      <c r="C736" s="2">
        <v>96</v>
      </c>
      <c r="D736" s="2">
        <v>13.1</v>
      </c>
      <c r="E736" s="2">
        <v>81</v>
      </c>
      <c r="F736" s="2">
        <v>1.9</v>
      </c>
      <c r="G736" s="2">
        <v>99</v>
      </c>
      <c r="H736" s="2">
        <v>1220</v>
      </c>
      <c r="I736" s="2">
        <v>189</v>
      </c>
      <c r="J736" s="2">
        <v>120732</v>
      </c>
      <c r="K736" s="2">
        <v>6045</v>
      </c>
      <c r="L736" s="2">
        <v>207.2</v>
      </c>
      <c r="M736" s="2">
        <v>325.5</v>
      </c>
      <c r="N736" s="2">
        <v>17470</v>
      </c>
      <c r="O736" s="2">
        <v>58.7</v>
      </c>
    </row>
    <row r="737" spans="1:15" ht="24.95" customHeight="1" x14ac:dyDescent="0.25">
      <c r="A737" s="17" t="s">
        <v>823</v>
      </c>
      <c r="B737" s="2">
        <v>238</v>
      </c>
      <c r="C737" s="2">
        <v>96</v>
      </c>
      <c r="D737" s="2">
        <v>14.5</v>
      </c>
      <c r="E737" s="2">
        <v>81</v>
      </c>
      <c r="F737" s="2">
        <v>0.5</v>
      </c>
      <c r="G737" s="2">
        <v>97.5</v>
      </c>
      <c r="H737" s="2">
        <v>1548</v>
      </c>
      <c r="I737" s="2">
        <v>154</v>
      </c>
      <c r="J737" s="2">
        <v>150886</v>
      </c>
      <c r="K737" s="2">
        <v>6368</v>
      </c>
      <c r="L737" s="2">
        <v>270.60000000000002</v>
      </c>
      <c r="M737" s="2">
        <v>385.9</v>
      </c>
      <c r="N737" s="2">
        <v>18500</v>
      </c>
      <c r="O737" s="2">
        <v>48.5</v>
      </c>
    </row>
    <row r="738" spans="1:15" ht="24.95" customHeight="1" x14ac:dyDescent="0.25">
      <c r="A738" s="17" t="s">
        <v>824</v>
      </c>
      <c r="B738" s="2">
        <v>226</v>
      </c>
      <c r="C738" s="2">
        <v>90</v>
      </c>
      <c r="D738" s="2">
        <v>9.4</v>
      </c>
      <c r="E738" s="2">
        <v>81</v>
      </c>
      <c r="F738" s="2">
        <v>-0.4</v>
      </c>
      <c r="G738" s="2">
        <v>92.2</v>
      </c>
      <c r="H738" s="2">
        <v>2150</v>
      </c>
      <c r="I738" s="2">
        <v>151</v>
      </c>
      <c r="J738" s="2">
        <v>198134</v>
      </c>
      <c r="K738" s="2">
        <v>6680</v>
      </c>
      <c r="L738" s="2">
        <v>249.3</v>
      </c>
      <c r="M738" s="2">
        <v>474</v>
      </c>
      <c r="N738" s="2">
        <v>25580</v>
      </c>
      <c r="O738" s="2">
        <v>53.1</v>
      </c>
    </row>
    <row r="739" spans="1:15" ht="24.95" customHeight="1" x14ac:dyDescent="0.25">
      <c r="A739" s="17" t="s">
        <v>825</v>
      </c>
      <c r="B739" s="2">
        <v>246</v>
      </c>
      <c r="C739" s="2">
        <v>97</v>
      </c>
      <c r="D739" s="2">
        <v>15.2</v>
      </c>
      <c r="E739" s="2">
        <v>81</v>
      </c>
      <c r="F739" s="2">
        <v>0.8</v>
      </c>
      <c r="G739" s="2">
        <v>99.3</v>
      </c>
      <c r="H739" s="2">
        <v>1685</v>
      </c>
      <c r="I739" s="2">
        <v>176</v>
      </c>
      <c r="J739" s="2">
        <v>167257</v>
      </c>
      <c r="K739" s="2">
        <v>6637</v>
      </c>
      <c r="L739" s="2">
        <v>279.39999999999998</v>
      </c>
      <c r="M739" s="2">
        <v>415.2</v>
      </c>
      <c r="N739" s="2">
        <v>18660</v>
      </c>
      <c r="O739" s="2">
        <v>48.9</v>
      </c>
    </row>
    <row r="740" spans="1:15" ht="24.95" customHeight="1" x14ac:dyDescent="0.25">
      <c r="A740" s="17" t="s">
        <v>826</v>
      </c>
      <c r="B740" s="2">
        <v>240</v>
      </c>
      <c r="C740" s="2">
        <v>96</v>
      </c>
      <c r="D740" s="2">
        <v>14.4</v>
      </c>
      <c r="E740" s="2">
        <v>81</v>
      </c>
      <c r="F740" s="2">
        <v>0.6</v>
      </c>
      <c r="G740" s="2">
        <v>98.6</v>
      </c>
      <c r="H740" s="2">
        <v>2366</v>
      </c>
      <c r="I740" s="2">
        <v>184</v>
      </c>
      <c r="J740" s="2">
        <v>233370</v>
      </c>
      <c r="K740" s="2">
        <v>8976</v>
      </c>
      <c r="L740" s="2">
        <v>440.7</v>
      </c>
      <c r="M740" s="2">
        <v>607.5</v>
      </c>
      <c r="N740" s="2">
        <v>27270</v>
      </c>
      <c r="O740" s="2">
        <v>50.7</v>
      </c>
    </row>
    <row r="741" spans="1:15" ht="24.95" customHeight="1" x14ac:dyDescent="0.25">
      <c r="A741" s="17" t="s">
        <v>827</v>
      </c>
      <c r="B741" s="2">
        <v>255</v>
      </c>
      <c r="C741" s="2">
        <v>98</v>
      </c>
      <c r="D741" s="2">
        <v>17</v>
      </c>
      <c r="E741" s="2">
        <v>81</v>
      </c>
      <c r="G741" s="2">
        <v>98.4</v>
      </c>
      <c r="H741" s="2">
        <v>1140</v>
      </c>
      <c r="I741" s="2">
        <v>185</v>
      </c>
      <c r="J741" s="2">
        <v>112220</v>
      </c>
      <c r="K741" s="2">
        <v>4174</v>
      </c>
      <c r="L741" s="2">
        <v>201.5</v>
      </c>
      <c r="M741" s="2">
        <v>290.2</v>
      </c>
      <c r="N741" s="2">
        <v>12180</v>
      </c>
      <c r="O741" s="2">
        <v>47.9</v>
      </c>
    </row>
    <row r="742" spans="1:15" ht="24.95" customHeight="1" x14ac:dyDescent="0.25">
      <c r="A742" s="17" t="s">
        <v>828</v>
      </c>
      <c r="B742" s="2">
        <v>240</v>
      </c>
      <c r="C742" s="2">
        <v>98</v>
      </c>
      <c r="D742" s="2">
        <v>14.9</v>
      </c>
      <c r="E742" s="2">
        <v>81</v>
      </c>
      <c r="F742" s="2">
        <v>2.1</v>
      </c>
      <c r="G742" s="2">
        <v>99.1</v>
      </c>
      <c r="H742" s="2">
        <v>931</v>
      </c>
      <c r="I742" s="2">
        <v>164</v>
      </c>
      <c r="J742" s="2">
        <v>92256</v>
      </c>
      <c r="K742" s="2">
        <v>4200</v>
      </c>
      <c r="L742" s="2">
        <v>162.1</v>
      </c>
      <c r="M742" s="2">
        <v>237.6</v>
      </c>
      <c r="N742" s="2">
        <v>12260</v>
      </c>
      <c r="O742" s="2">
        <v>57.2</v>
      </c>
    </row>
    <row r="743" spans="1:15" ht="24.95" customHeight="1" x14ac:dyDescent="0.25">
      <c r="A743" s="17" t="s">
        <v>829</v>
      </c>
      <c r="B743" s="2">
        <v>228</v>
      </c>
      <c r="C743" s="2">
        <v>90</v>
      </c>
      <c r="D743" s="2">
        <v>9.4</v>
      </c>
      <c r="E743" s="2">
        <v>81</v>
      </c>
      <c r="F743" s="2">
        <v>-0.4</v>
      </c>
      <c r="G743" s="2">
        <v>91.8</v>
      </c>
      <c r="H743" s="2">
        <v>1250</v>
      </c>
      <c r="I743" s="2">
        <v>154</v>
      </c>
      <c r="J743" s="2">
        <v>114802</v>
      </c>
      <c r="K743" s="2">
        <v>5491</v>
      </c>
      <c r="L743" s="2">
        <v>256.39999999999998</v>
      </c>
      <c r="M743" s="2">
        <v>324.60000000000002</v>
      </c>
      <c r="N743" s="2">
        <v>17170</v>
      </c>
      <c r="O743" s="2">
        <v>58.1</v>
      </c>
    </row>
    <row r="744" spans="1:15" ht="24.95" customHeight="1" x14ac:dyDescent="0.25">
      <c r="A744" s="17" t="s">
        <v>830</v>
      </c>
      <c r="B744" s="2">
        <v>240</v>
      </c>
      <c r="C744" s="2">
        <v>90</v>
      </c>
      <c r="D744" s="2">
        <v>8</v>
      </c>
      <c r="E744" s="2">
        <v>81</v>
      </c>
      <c r="F744" s="2">
        <v>1</v>
      </c>
      <c r="G744" s="2">
        <v>91.1</v>
      </c>
      <c r="H744" s="2">
        <v>1123</v>
      </c>
      <c r="I744" s="2">
        <v>188</v>
      </c>
      <c r="J744" s="2">
        <v>102254</v>
      </c>
      <c r="K744" s="2">
        <v>5590</v>
      </c>
      <c r="L744" s="2">
        <v>179.2</v>
      </c>
      <c r="M744" s="2">
        <v>254.9</v>
      </c>
      <c r="N744" s="2">
        <v>17970</v>
      </c>
      <c r="O744" s="2">
        <v>64.099999999999994</v>
      </c>
    </row>
    <row r="745" spans="1:15" ht="24.95" customHeight="1" x14ac:dyDescent="0.25">
      <c r="A745" s="17" t="s">
        <v>831</v>
      </c>
      <c r="B745" s="2">
        <v>234</v>
      </c>
      <c r="C745" s="2">
        <v>92</v>
      </c>
      <c r="D745" s="2">
        <v>10.8</v>
      </c>
      <c r="E745" s="2">
        <v>81</v>
      </c>
      <c r="F745" s="2">
        <v>0.2</v>
      </c>
      <c r="G745" s="2">
        <v>95.9</v>
      </c>
      <c r="H745" s="2">
        <v>5750</v>
      </c>
      <c r="I745" s="2">
        <v>198</v>
      </c>
      <c r="J745" s="2">
        <v>551162</v>
      </c>
      <c r="K745" s="2">
        <v>15975</v>
      </c>
      <c r="L745" s="2">
        <v>891.4</v>
      </c>
      <c r="M745" s="2">
        <v>1350.9</v>
      </c>
      <c r="N745" s="2">
        <v>46890</v>
      </c>
      <c r="O745" s="2">
        <v>30.3</v>
      </c>
    </row>
    <row r="746" spans="1:15" ht="24.95" customHeight="1" x14ac:dyDescent="0.25">
      <c r="A746" s="17" t="s">
        <v>832</v>
      </c>
      <c r="B746" s="2">
        <v>264</v>
      </c>
      <c r="C746" s="2">
        <v>104</v>
      </c>
      <c r="D746" s="2">
        <v>22.3</v>
      </c>
      <c r="E746" s="2">
        <v>81</v>
      </c>
      <c r="F746" s="2">
        <v>0.7</v>
      </c>
      <c r="G746" s="2">
        <v>104.3</v>
      </c>
      <c r="H746" s="2">
        <v>1760</v>
      </c>
      <c r="I746" s="2">
        <v>154</v>
      </c>
      <c r="J746" s="2">
        <v>183620</v>
      </c>
      <c r="K746" s="2">
        <v>6647</v>
      </c>
      <c r="L746" s="2">
        <v>256.3</v>
      </c>
      <c r="M746" s="2">
        <v>426.6</v>
      </c>
      <c r="N746" s="2">
        <v>17320</v>
      </c>
      <c r="O746" s="2">
        <v>43.2</v>
      </c>
    </row>
    <row r="747" spans="1:15" ht="24.95" customHeight="1" x14ac:dyDescent="0.25">
      <c r="A747" s="17" t="s">
        <v>818</v>
      </c>
      <c r="B747" s="2">
        <v>236</v>
      </c>
      <c r="C747" s="2">
        <v>92</v>
      </c>
      <c r="D747" s="2">
        <v>10.6</v>
      </c>
      <c r="E747" s="2">
        <v>81</v>
      </c>
      <c r="F747" s="2">
        <v>0.4</v>
      </c>
      <c r="G747" s="2">
        <v>92.8</v>
      </c>
      <c r="H747" s="2">
        <v>700</v>
      </c>
      <c r="I747" s="2">
        <v>175</v>
      </c>
      <c r="J747" s="2">
        <v>64991</v>
      </c>
      <c r="K747" s="2">
        <v>3077</v>
      </c>
      <c r="L747" s="2">
        <v>125.7</v>
      </c>
      <c r="M747" s="2">
        <v>169.9</v>
      </c>
      <c r="N747" s="2">
        <v>9140</v>
      </c>
      <c r="O747" s="2">
        <v>56</v>
      </c>
    </row>
    <row r="748" spans="1:15" ht="24.95" customHeight="1" x14ac:dyDescent="0.25">
      <c r="A748" s="17" t="s">
        <v>833</v>
      </c>
      <c r="B748" s="2">
        <v>240</v>
      </c>
      <c r="C748" s="2">
        <v>95</v>
      </c>
      <c r="D748" s="2">
        <v>13.6</v>
      </c>
      <c r="E748" s="2">
        <v>81</v>
      </c>
      <c r="F748" s="2">
        <v>0.5</v>
      </c>
      <c r="G748" s="2">
        <v>97.7</v>
      </c>
      <c r="H748" s="2">
        <v>2000</v>
      </c>
      <c r="I748" s="2">
        <v>133</v>
      </c>
      <c r="J748" s="2">
        <v>195447</v>
      </c>
      <c r="K748" s="2">
        <v>6090</v>
      </c>
      <c r="L748" s="2">
        <v>227.9</v>
      </c>
      <c r="M748" s="2">
        <v>450.3</v>
      </c>
      <c r="N748" s="2">
        <v>22390</v>
      </c>
      <c r="O748" s="2">
        <v>49.5</v>
      </c>
    </row>
    <row r="749" spans="1:15" ht="24.95" customHeight="1" x14ac:dyDescent="0.25">
      <c r="A749" s="17" t="s">
        <v>834</v>
      </c>
      <c r="B749" s="2">
        <v>236</v>
      </c>
      <c r="C749" s="2">
        <v>94</v>
      </c>
      <c r="D749" s="2">
        <v>12</v>
      </c>
      <c r="E749" s="2">
        <v>81</v>
      </c>
      <c r="F749" s="2">
        <v>1</v>
      </c>
      <c r="G749" s="2">
        <v>96.4</v>
      </c>
      <c r="H749" s="2">
        <v>1690</v>
      </c>
      <c r="I749" s="2">
        <v>162</v>
      </c>
      <c r="J749" s="2">
        <v>162964</v>
      </c>
      <c r="K749" s="2">
        <v>5923</v>
      </c>
      <c r="L749" s="2">
        <v>205.1</v>
      </c>
      <c r="M749" s="2">
        <v>377.3</v>
      </c>
      <c r="N749" s="2">
        <v>20040</v>
      </c>
      <c r="O749" s="2">
        <v>51</v>
      </c>
    </row>
    <row r="750" spans="1:15" ht="24.95" customHeight="1" x14ac:dyDescent="0.25">
      <c r="A750" s="17" t="s">
        <v>6781</v>
      </c>
      <c r="B750" s="2">
        <v>192</v>
      </c>
      <c r="C750" s="2">
        <v>77</v>
      </c>
      <c r="H750" s="2">
        <v>42791</v>
      </c>
      <c r="I750" s="2">
        <v>180</v>
      </c>
      <c r="J750" s="2">
        <v>3294907</v>
      </c>
      <c r="K750" s="2">
        <v>98332</v>
      </c>
      <c r="L750" s="2">
        <v>5515.8</v>
      </c>
      <c r="M750" s="2">
        <v>10480.5</v>
      </c>
      <c r="N750" s="2">
        <v>300960</v>
      </c>
      <c r="O750" s="2">
        <v>20.399999999999999</v>
      </c>
    </row>
    <row r="751" spans="1:15" ht="24.95" customHeight="1" x14ac:dyDescent="0.25">
      <c r="A751" s="17" t="s">
        <v>836</v>
      </c>
      <c r="B751" s="2">
        <v>266</v>
      </c>
      <c r="C751" s="2">
        <v>108</v>
      </c>
      <c r="D751" s="2">
        <v>28.7</v>
      </c>
      <c r="E751" s="2">
        <v>79</v>
      </c>
      <c r="F751" s="2">
        <v>0.3</v>
      </c>
      <c r="H751" s="2">
        <v>421</v>
      </c>
      <c r="I751" s="2">
        <v>166</v>
      </c>
      <c r="J751" s="2">
        <v>45468</v>
      </c>
      <c r="K751" s="2">
        <v>1010</v>
      </c>
      <c r="L751" s="2">
        <v>51.3</v>
      </c>
      <c r="M751" s="2">
        <v>105.1</v>
      </c>
      <c r="N751" s="2">
        <v>3520</v>
      </c>
      <c r="O751" s="2">
        <v>31.5</v>
      </c>
    </row>
    <row r="752" spans="1:15" ht="24.95" customHeight="1" x14ac:dyDescent="0.25">
      <c r="A752" s="17" t="s">
        <v>837</v>
      </c>
      <c r="B752" s="2">
        <v>322</v>
      </c>
      <c r="C752" s="2">
        <v>126</v>
      </c>
      <c r="D752" s="2">
        <v>49.1</v>
      </c>
      <c r="E752" s="2">
        <v>79</v>
      </c>
      <c r="F752" s="2">
        <v>-2.2000000000000002</v>
      </c>
      <c r="H752" s="2">
        <v>1125</v>
      </c>
      <c r="I752" s="2">
        <v>163</v>
      </c>
      <c r="J752" s="2">
        <v>141750</v>
      </c>
      <c r="K752" s="2">
        <v>1871</v>
      </c>
      <c r="L752" s="2">
        <v>106.1</v>
      </c>
      <c r="M752" s="2">
        <v>267.60000000000002</v>
      </c>
      <c r="N752" s="2">
        <v>5980</v>
      </c>
    </row>
    <row r="753" spans="1:15" ht="24.95" customHeight="1" x14ac:dyDescent="0.25">
      <c r="A753" s="17" t="s">
        <v>838</v>
      </c>
      <c r="B753" s="2">
        <v>318</v>
      </c>
      <c r="C753" s="2">
        <v>126</v>
      </c>
      <c r="D753" s="2">
        <v>46.2</v>
      </c>
      <c r="E753" s="2">
        <v>79</v>
      </c>
      <c r="F753" s="2">
        <v>0.8</v>
      </c>
      <c r="H753" s="2">
        <v>550</v>
      </c>
      <c r="I753" s="2">
        <v>242</v>
      </c>
      <c r="J753" s="2">
        <v>69300</v>
      </c>
      <c r="K753" s="2">
        <v>1326</v>
      </c>
      <c r="L753" s="2">
        <v>76.400000000000006</v>
      </c>
      <c r="M753" s="2">
        <v>135.1</v>
      </c>
      <c r="N753" s="2">
        <v>3830</v>
      </c>
      <c r="O753" s="2">
        <v>21.2</v>
      </c>
    </row>
    <row r="754" spans="1:15" ht="24.95" customHeight="1" x14ac:dyDescent="0.25">
      <c r="A754" s="17" t="s">
        <v>839</v>
      </c>
      <c r="B754" s="2">
        <v>336</v>
      </c>
      <c r="C754" s="2">
        <v>136</v>
      </c>
      <c r="D754" s="2">
        <v>57.9</v>
      </c>
      <c r="E754" s="2">
        <v>77</v>
      </c>
      <c r="F754" s="2">
        <v>1.1000000000000001</v>
      </c>
      <c r="H754" s="2">
        <v>5830</v>
      </c>
      <c r="I754" s="2">
        <v>172</v>
      </c>
      <c r="J754" s="2">
        <v>792880</v>
      </c>
      <c r="K754" s="2">
        <v>13178</v>
      </c>
      <c r="L754" s="2">
        <v>833.2</v>
      </c>
      <c r="M754" s="2">
        <v>1433</v>
      </c>
      <c r="N754" s="2">
        <v>38650</v>
      </c>
      <c r="O754" s="2">
        <v>16.2</v>
      </c>
    </row>
    <row r="755" spans="1:15" ht="24.95" customHeight="1" x14ac:dyDescent="0.25">
      <c r="A755" s="17" t="s">
        <v>840</v>
      </c>
      <c r="B755" s="2">
        <v>276</v>
      </c>
      <c r="C755" s="2">
        <v>112</v>
      </c>
      <c r="D755" s="2">
        <v>32.6</v>
      </c>
      <c r="E755" s="2">
        <v>79</v>
      </c>
      <c r="F755" s="2">
        <v>0.3</v>
      </c>
      <c r="H755" s="2">
        <v>610</v>
      </c>
      <c r="I755" s="2">
        <v>207</v>
      </c>
      <c r="J755" s="2">
        <v>68320</v>
      </c>
      <c r="K755" s="2">
        <v>1511</v>
      </c>
      <c r="L755" s="2">
        <v>82.6</v>
      </c>
      <c r="M755" s="2">
        <v>150.30000000000001</v>
      </c>
      <c r="N755" s="2">
        <v>4410</v>
      </c>
      <c r="O755" s="2">
        <v>23.5</v>
      </c>
    </row>
    <row r="756" spans="1:15" ht="24.95" customHeight="1" x14ac:dyDescent="0.25">
      <c r="A756" s="17" t="s">
        <v>841</v>
      </c>
      <c r="B756" s="2">
        <v>323</v>
      </c>
      <c r="C756" s="2">
        <v>120</v>
      </c>
      <c r="D756" s="2">
        <v>40.799999999999997</v>
      </c>
      <c r="E756" s="2">
        <v>79</v>
      </c>
      <c r="F756" s="2">
        <v>0.2</v>
      </c>
      <c r="H756" s="2">
        <v>8200</v>
      </c>
      <c r="I756" s="2">
        <v>214</v>
      </c>
      <c r="J756" s="2">
        <v>984000</v>
      </c>
      <c r="K756" s="2">
        <v>10803</v>
      </c>
      <c r="L756" s="2">
        <v>679.8</v>
      </c>
      <c r="M756" s="2">
        <v>2001.7</v>
      </c>
      <c r="N756" s="2">
        <v>39460</v>
      </c>
    </row>
    <row r="757" spans="1:15" ht="24.95" customHeight="1" x14ac:dyDescent="0.25">
      <c r="A757" s="17" t="s">
        <v>842</v>
      </c>
      <c r="B757" s="2">
        <v>294</v>
      </c>
      <c r="C757" s="2">
        <v>110</v>
      </c>
      <c r="D757" s="2">
        <v>30.7</v>
      </c>
      <c r="E757" s="2">
        <v>79</v>
      </c>
      <c r="F757" s="2">
        <v>0.4</v>
      </c>
      <c r="H757" s="2">
        <v>617</v>
      </c>
      <c r="I757" s="2">
        <v>188</v>
      </c>
      <c r="J757" s="2">
        <v>67870</v>
      </c>
      <c r="K757" s="2">
        <v>1644</v>
      </c>
      <c r="L757" s="2">
        <v>86.7</v>
      </c>
      <c r="M757" s="2">
        <v>154.1</v>
      </c>
      <c r="N757" s="2">
        <v>4620</v>
      </c>
      <c r="O757" s="2">
        <v>25.4</v>
      </c>
    </row>
    <row r="758" spans="1:15" ht="24.95" customHeight="1" x14ac:dyDescent="0.25">
      <c r="A758" s="17" t="s">
        <v>843</v>
      </c>
      <c r="B758" s="2">
        <v>284</v>
      </c>
      <c r="C758" s="2">
        <v>110</v>
      </c>
      <c r="D758" s="2">
        <v>30.6</v>
      </c>
      <c r="E758" s="2">
        <v>79</v>
      </c>
      <c r="F758" s="2">
        <v>0.4</v>
      </c>
      <c r="H758" s="2">
        <v>760</v>
      </c>
      <c r="I758" s="2">
        <v>204</v>
      </c>
      <c r="J758" s="2">
        <v>83600</v>
      </c>
      <c r="K758" s="2">
        <v>1790</v>
      </c>
      <c r="L758" s="2">
        <v>87.7</v>
      </c>
      <c r="M758" s="2">
        <v>188.6</v>
      </c>
      <c r="N758" s="2">
        <v>5210</v>
      </c>
      <c r="O758" s="2">
        <v>18.2</v>
      </c>
    </row>
    <row r="759" spans="1:15" ht="24.95" customHeight="1" x14ac:dyDescent="0.25">
      <c r="A759" s="17" t="s">
        <v>844</v>
      </c>
      <c r="B759" s="2">
        <v>290</v>
      </c>
      <c r="C759" s="2">
        <v>124</v>
      </c>
      <c r="D759" s="2">
        <v>45.9</v>
      </c>
      <c r="E759" s="2">
        <v>79</v>
      </c>
      <c r="F759" s="2">
        <v>-0.9</v>
      </c>
      <c r="H759" s="2">
        <v>302</v>
      </c>
      <c r="I759" s="2">
        <v>154</v>
      </c>
      <c r="J759" s="2">
        <v>37448</v>
      </c>
      <c r="K759" s="2">
        <v>784</v>
      </c>
      <c r="L759" s="2">
        <v>41.3</v>
      </c>
      <c r="M759" s="2">
        <v>89.4</v>
      </c>
      <c r="N759" s="2">
        <v>3350</v>
      </c>
      <c r="O759" s="2">
        <v>40.6</v>
      </c>
    </row>
    <row r="760" spans="1:15" ht="24.95" customHeight="1" x14ac:dyDescent="0.25">
      <c r="A760" s="17" t="s">
        <v>845</v>
      </c>
      <c r="B760" s="2">
        <v>264</v>
      </c>
      <c r="C760" s="2">
        <v>108</v>
      </c>
      <c r="D760" s="2">
        <v>29.1</v>
      </c>
      <c r="E760" s="2">
        <v>79</v>
      </c>
      <c r="F760" s="2">
        <v>0.1</v>
      </c>
      <c r="H760" s="2">
        <v>455</v>
      </c>
      <c r="I760" s="2">
        <v>177</v>
      </c>
      <c r="J760" s="2">
        <v>49140</v>
      </c>
      <c r="K760" s="2">
        <v>1644</v>
      </c>
      <c r="L760" s="2">
        <v>74.400000000000006</v>
      </c>
      <c r="M760" s="2">
        <v>116.6</v>
      </c>
      <c r="N760" s="2">
        <v>4610</v>
      </c>
      <c r="O760" s="2">
        <v>43.5</v>
      </c>
    </row>
    <row r="761" spans="1:15" ht="24.95" customHeight="1" x14ac:dyDescent="0.25">
      <c r="A761" s="17" t="s">
        <v>846</v>
      </c>
      <c r="B761" s="2">
        <v>288</v>
      </c>
      <c r="C761" s="2">
        <v>118</v>
      </c>
      <c r="D761" s="2">
        <v>40.799999999999997</v>
      </c>
      <c r="E761" s="2">
        <v>77</v>
      </c>
      <c r="F761" s="2">
        <v>0.2</v>
      </c>
      <c r="H761" s="2">
        <v>546</v>
      </c>
      <c r="I761" s="2">
        <v>159</v>
      </c>
      <c r="J761" s="2">
        <v>64428</v>
      </c>
      <c r="K761" s="2">
        <v>1697</v>
      </c>
      <c r="L761" s="2">
        <v>84.7</v>
      </c>
      <c r="M761" s="2">
        <v>137.69999999999999</v>
      </c>
      <c r="N761" s="2">
        <v>4790</v>
      </c>
      <c r="O761" s="2">
        <v>35.4</v>
      </c>
    </row>
    <row r="762" spans="1:15" ht="24.95" customHeight="1" x14ac:dyDescent="0.25">
      <c r="A762" s="17" t="s">
        <v>847</v>
      </c>
      <c r="B762" s="2">
        <v>312</v>
      </c>
      <c r="C762" s="2">
        <v>120</v>
      </c>
      <c r="D762" s="2">
        <v>42.8</v>
      </c>
      <c r="E762" s="2">
        <v>77</v>
      </c>
      <c r="F762" s="2">
        <v>0.2</v>
      </c>
      <c r="H762" s="2">
        <v>2660</v>
      </c>
      <c r="I762" s="2">
        <v>202</v>
      </c>
      <c r="J762" s="2">
        <v>319200</v>
      </c>
      <c r="K762" s="2">
        <v>6185</v>
      </c>
      <c r="L762" s="2">
        <v>342.8</v>
      </c>
      <c r="M762" s="2">
        <v>634.70000000000005</v>
      </c>
      <c r="N762" s="2">
        <v>17470</v>
      </c>
      <c r="O762" s="2">
        <v>17.2</v>
      </c>
    </row>
    <row r="763" spans="1:15" ht="24.95" customHeight="1" x14ac:dyDescent="0.25">
      <c r="A763" s="17" t="s">
        <v>848</v>
      </c>
      <c r="B763" s="2">
        <v>314</v>
      </c>
      <c r="C763" s="2">
        <v>124</v>
      </c>
      <c r="D763" s="2">
        <v>47.9</v>
      </c>
      <c r="E763" s="2">
        <v>77</v>
      </c>
      <c r="F763" s="2">
        <v>-0.8</v>
      </c>
      <c r="H763" s="2">
        <v>4250</v>
      </c>
      <c r="I763" s="2">
        <v>162</v>
      </c>
      <c r="J763" s="2">
        <v>527000</v>
      </c>
      <c r="K763" s="2">
        <v>10234</v>
      </c>
      <c r="L763" s="2">
        <v>617.9</v>
      </c>
      <c r="M763" s="2">
        <v>1072.5999999999999</v>
      </c>
      <c r="N763" s="2">
        <v>31050</v>
      </c>
      <c r="O763" s="2">
        <v>22</v>
      </c>
    </row>
    <row r="764" spans="1:15" ht="24.95" customHeight="1" x14ac:dyDescent="0.25">
      <c r="A764" s="17" t="s">
        <v>836</v>
      </c>
      <c r="B764" s="2">
        <v>261</v>
      </c>
      <c r="C764" s="2">
        <v>105</v>
      </c>
      <c r="D764" s="2">
        <v>24.2</v>
      </c>
      <c r="E764" s="2">
        <v>79</v>
      </c>
      <c r="F764" s="2">
        <v>1.8</v>
      </c>
      <c r="G764" s="2">
        <v>107.1</v>
      </c>
      <c r="H764" s="2">
        <v>1043</v>
      </c>
      <c r="I764" s="2">
        <v>167</v>
      </c>
      <c r="J764" s="2">
        <v>111686</v>
      </c>
      <c r="K764" s="2">
        <v>3374</v>
      </c>
      <c r="L764" s="2">
        <v>161.5</v>
      </c>
      <c r="M764" s="2">
        <v>230.5</v>
      </c>
      <c r="N764" s="2">
        <v>11300</v>
      </c>
      <c r="O764" s="2">
        <v>50.8</v>
      </c>
    </row>
    <row r="765" spans="1:15" ht="24.95" customHeight="1" x14ac:dyDescent="0.25">
      <c r="A765" s="17" t="s">
        <v>849</v>
      </c>
      <c r="B765" s="2">
        <v>286</v>
      </c>
      <c r="C765" s="2">
        <v>108</v>
      </c>
      <c r="D765" s="2">
        <v>29</v>
      </c>
      <c r="E765" s="2">
        <v>79</v>
      </c>
      <c r="F765" s="2">
        <v>0.1</v>
      </c>
      <c r="G765" s="2">
        <v>111.3</v>
      </c>
      <c r="H765" s="2">
        <v>2180</v>
      </c>
      <c r="I765" s="2">
        <v>117</v>
      </c>
      <c r="J765" s="2">
        <v>242758</v>
      </c>
      <c r="K765" s="2">
        <v>6167</v>
      </c>
      <c r="L765" s="2">
        <v>368.4</v>
      </c>
      <c r="M765" s="2">
        <v>536.4</v>
      </c>
      <c r="N765" s="2">
        <v>18620</v>
      </c>
      <c r="O765" s="2">
        <v>34.200000000000003</v>
      </c>
    </row>
    <row r="766" spans="1:15" ht="24.95" customHeight="1" x14ac:dyDescent="0.25">
      <c r="A766" s="17" t="s">
        <v>837</v>
      </c>
      <c r="B766" s="2">
        <v>256</v>
      </c>
      <c r="C766" s="2">
        <v>104</v>
      </c>
      <c r="D766" s="2">
        <v>24.4</v>
      </c>
      <c r="E766" s="2">
        <v>79</v>
      </c>
      <c r="F766" s="2">
        <v>0.6</v>
      </c>
      <c r="G766" s="2">
        <v>107.5</v>
      </c>
      <c r="H766" s="2">
        <v>1626</v>
      </c>
      <c r="I766" s="2">
        <v>163</v>
      </c>
      <c r="J766" s="2">
        <v>174834</v>
      </c>
      <c r="K766" s="2">
        <v>5579</v>
      </c>
      <c r="L766" s="2">
        <v>265.3</v>
      </c>
      <c r="M766" s="2">
        <v>386.4</v>
      </c>
      <c r="N766" s="2">
        <v>16050</v>
      </c>
      <c r="O766" s="2">
        <v>41.5</v>
      </c>
    </row>
    <row r="767" spans="1:15" ht="24.95" customHeight="1" x14ac:dyDescent="0.25">
      <c r="A767" s="17" t="s">
        <v>839</v>
      </c>
      <c r="B767" s="2">
        <v>288</v>
      </c>
      <c r="C767" s="2">
        <v>114</v>
      </c>
      <c r="D767" s="2">
        <v>35</v>
      </c>
      <c r="E767" s="2">
        <v>79</v>
      </c>
      <c r="G767" s="2">
        <v>115.5</v>
      </c>
      <c r="H767" s="2">
        <v>2150</v>
      </c>
      <c r="I767" s="2">
        <v>207</v>
      </c>
      <c r="J767" s="2">
        <v>248366</v>
      </c>
      <c r="K767" s="2">
        <v>4059</v>
      </c>
      <c r="L767" s="2">
        <v>210.1</v>
      </c>
      <c r="M767" s="2">
        <v>534</v>
      </c>
      <c r="N767" s="2">
        <v>22670</v>
      </c>
    </row>
    <row r="768" spans="1:15" ht="24.95" customHeight="1" x14ac:dyDescent="0.25">
      <c r="A768" s="17" t="s">
        <v>140</v>
      </c>
      <c r="B768" s="2">
        <v>280</v>
      </c>
      <c r="C768" s="2">
        <v>107</v>
      </c>
      <c r="D768" s="2">
        <v>27.6</v>
      </c>
      <c r="E768" s="2">
        <v>79</v>
      </c>
      <c r="F768" s="2">
        <v>0.4</v>
      </c>
      <c r="G768" s="2">
        <v>109.7</v>
      </c>
      <c r="H768" s="2">
        <v>4448</v>
      </c>
      <c r="I768" s="2">
        <v>182</v>
      </c>
      <c r="J768" s="2">
        <v>487724</v>
      </c>
      <c r="K768" s="2">
        <v>9578</v>
      </c>
      <c r="L768" s="2">
        <v>621.79999999999995</v>
      </c>
      <c r="M768" s="2">
        <v>1077.0999999999999</v>
      </c>
      <c r="N768" s="2">
        <v>28250</v>
      </c>
      <c r="O768" s="2">
        <v>11.1</v>
      </c>
    </row>
    <row r="769" spans="1:15" ht="24.95" customHeight="1" x14ac:dyDescent="0.25">
      <c r="A769" s="17" t="s">
        <v>851</v>
      </c>
      <c r="B769" s="2">
        <v>234</v>
      </c>
      <c r="C769" s="2">
        <v>96</v>
      </c>
      <c r="D769" s="2">
        <v>16</v>
      </c>
      <c r="E769" s="2">
        <v>79</v>
      </c>
      <c r="F769" s="2">
        <v>1</v>
      </c>
      <c r="G769" s="2">
        <v>99</v>
      </c>
      <c r="H769" s="2">
        <v>1610</v>
      </c>
      <c r="I769" s="2">
        <v>152</v>
      </c>
      <c r="J769" s="2">
        <v>159376</v>
      </c>
      <c r="K769" s="2">
        <v>5755</v>
      </c>
      <c r="L769" s="2">
        <v>235</v>
      </c>
      <c r="M769" s="2">
        <v>400.9</v>
      </c>
      <c r="N769" s="2">
        <v>18890</v>
      </c>
      <c r="O769" s="2">
        <v>53.4</v>
      </c>
    </row>
    <row r="770" spans="1:15" ht="24.95" customHeight="1" x14ac:dyDescent="0.25">
      <c r="A770" s="17" t="s">
        <v>852</v>
      </c>
      <c r="B770" s="2">
        <v>282</v>
      </c>
      <c r="C770" s="2">
        <v>106</v>
      </c>
      <c r="D770" s="2">
        <v>25.3</v>
      </c>
      <c r="E770" s="2">
        <v>79</v>
      </c>
      <c r="F770" s="2">
        <v>1.7</v>
      </c>
      <c r="G770" s="2">
        <v>109.2</v>
      </c>
      <c r="H770" s="2">
        <v>1519</v>
      </c>
      <c r="I770" s="2">
        <v>176</v>
      </c>
      <c r="J770" s="2">
        <v>165934</v>
      </c>
      <c r="K770" s="2">
        <v>5185</v>
      </c>
      <c r="L770" s="2">
        <v>239.7</v>
      </c>
      <c r="M770" s="2">
        <v>372.5</v>
      </c>
      <c r="N770" s="2">
        <v>15460</v>
      </c>
      <c r="O770" s="2">
        <v>46.2</v>
      </c>
    </row>
    <row r="771" spans="1:15" ht="24.95" customHeight="1" x14ac:dyDescent="0.25">
      <c r="A771" s="17" t="s">
        <v>848</v>
      </c>
      <c r="B771" s="2">
        <v>283</v>
      </c>
      <c r="C771" s="2">
        <v>106</v>
      </c>
      <c r="D771" s="2">
        <v>25.7</v>
      </c>
      <c r="E771" s="2">
        <v>77</v>
      </c>
      <c r="F771" s="2">
        <v>1.4</v>
      </c>
      <c r="G771" s="2">
        <v>112</v>
      </c>
      <c r="H771" s="2">
        <v>1840</v>
      </c>
      <c r="I771" s="2">
        <v>194</v>
      </c>
      <c r="J771" s="2">
        <v>206722</v>
      </c>
      <c r="K771" s="2">
        <v>4958</v>
      </c>
      <c r="L771" s="2">
        <v>249.4</v>
      </c>
      <c r="M771" s="2">
        <v>456.2</v>
      </c>
      <c r="N771" s="2">
        <v>13770</v>
      </c>
      <c r="O771" s="2">
        <v>26.6</v>
      </c>
    </row>
    <row r="772" spans="1:15" ht="24.95" customHeight="1" x14ac:dyDescent="0.25">
      <c r="A772" s="17" t="s">
        <v>6782</v>
      </c>
      <c r="B772" s="2">
        <v>188.5</v>
      </c>
      <c r="C772" s="2">
        <v>84.5</v>
      </c>
      <c r="H772" s="2">
        <v>57145</v>
      </c>
      <c r="I772" s="2">
        <v>159</v>
      </c>
      <c r="J772" s="2">
        <v>4828753</v>
      </c>
      <c r="K772" s="2">
        <v>157489</v>
      </c>
      <c r="L772" s="2">
        <v>8396.6</v>
      </c>
      <c r="M772" s="2">
        <v>14325.3</v>
      </c>
      <c r="N772" s="2">
        <v>487170</v>
      </c>
      <c r="O772" s="2">
        <v>33.299999999999997</v>
      </c>
    </row>
    <row r="773" spans="1:15" ht="24.95" customHeight="1" x14ac:dyDescent="0.25">
      <c r="A773" s="17" t="s">
        <v>854</v>
      </c>
      <c r="B773" s="2">
        <v>288</v>
      </c>
      <c r="C773" s="2">
        <v>126</v>
      </c>
      <c r="D773" s="2">
        <v>39.799999999999997</v>
      </c>
      <c r="E773" s="2">
        <v>85.8</v>
      </c>
      <c r="F773" s="2">
        <v>0.5</v>
      </c>
      <c r="H773" s="2">
        <v>1360</v>
      </c>
      <c r="I773" s="2">
        <v>148</v>
      </c>
      <c r="J773" s="2">
        <v>171360</v>
      </c>
      <c r="K773" s="2">
        <v>4190</v>
      </c>
      <c r="L773" s="2">
        <v>190.5</v>
      </c>
      <c r="M773" s="2">
        <v>355.3</v>
      </c>
      <c r="N773" s="2">
        <v>12280</v>
      </c>
      <c r="O773" s="2">
        <v>33.799999999999997</v>
      </c>
    </row>
    <row r="774" spans="1:15" ht="24.95" customHeight="1" x14ac:dyDescent="0.25">
      <c r="A774" s="17" t="s">
        <v>855</v>
      </c>
      <c r="B774" s="2">
        <v>258</v>
      </c>
      <c r="C774" s="2">
        <v>115</v>
      </c>
      <c r="D774" s="2">
        <v>29</v>
      </c>
      <c r="E774" s="2">
        <v>85.5</v>
      </c>
      <c r="F774" s="2">
        <v>0.5</v>
      </c>
      <c r="H774" s="2">
        <v>3634</v>
      </c>
      <c r="I774" s="2">
        <v>161</v>
      </c>
      <c r="J774" s="2">
        <v>417910</v>
      </c>
      <c r="K774" s="2">
        <v>11426</v>
      </c>
      <c r="L774" s="2">
        <v>530.79999999999995</v>
      </c>
      <c r="M774" s="2">
        <v>937.6</v>
      </c>
      <c r="N774" s="2">
        <v>36400</v>
      </c>
      <c r="O774" s="2">
        <v>42.5</v>
      </c>
    </row>
    <row r="775" spans="1:15" ht="24.95" customHeight="1" x14ac:dyDescent="0.25">
      <c r="A775" s="17" t="s">
        <v>856</v>
      </c>
      <c r="B775" s="2">
        <v>276</v>
      </c>
      <c r="C775" s="2">
        <v>120</v>
      </c>
      <c r="D775" s="2">
        <v>30.2</v>
      </c>
      <c r="E775" s="2">
        <v>90</v>
      </c>
      <c r="F775" s="2">
        <v>-0.2</v>
      </c>
      <c r="H775" s="2">
        <v>1650</v>
      </c>
      <c r="I775" s="2">
        <v>169</v>
      </c>
      <c r="J775" s="2">
        <v>198000</v>
      </c>
      <c r="K775" s="2">
        <v>3942</v>
      </c>
      <c r="L775" s="2">
        <v>239.3</v>
      </c>
      <c r="M775" s="2">
        <v>396.6</v>
      </c>
      <c r="N775" s="2">
        <v>13160</v>
      </c>
      <c r="O775" s="2">
        <v>30</v>
      </c>
    </row>
    <row r="776" spans="1:15" ht="24.95" customHeight="1" x14ac:dyDescent="0.25">
      <c r="A776" s="17" t="s">
        <v>857</v>
      </c>
      <c r="B776" s="2">
        <v>284</v>
      </c>
      <c r="C776" s="2">
        <v>114</v>
      </c>
      <c r="D776" s="2">
        <v>28.6</v>
      </c>
      <c r="E776" s="2">
        <v>84.8</v>
      </c>
      <c r="F776" s="2">
        <v>0.6</v>
      </c>
      <c r="H776" s="2">
        <v>6700</v>
      </c>
      <c r="I776" s="2">
        <v>167</v>
      </c>
      <c r="J776" s="2">
        <v>763800</v>
      </c>
      <c r="K776" s="2">
        <v>15624</v>
      </c>
      <c r="L776" s="2">
        <v>679</v>
      </c>
      <c r="M776" s="2">
        <v>1708.1</v>
      </c>
      <c r="N776" s="2">
        <v>49690</v>
      </c>
      <c r="O776" s="2">
        <v>22.4</v>
      </c>
    </row>
    <row r="777" spans="1:15" ht="24.95" customHeight="1" x14ac:dyDescent="0.25">
      <c r="A777" s="17" t="s">
        <v>858</v>
      </c>
      <c r="B777" s="2">
        <v>280</v>
      </c>
      <c r="C777" s="2">
        <v>116</v>
      </c>
      <c r="D777" s="2">
        <v>30.4</v>
      </c>
      <c r="E777" s="2">
        <v>85.5</v>
      </c>
      <c r="F777" s="2">
        <v>0.1</v>
      </c>
      <c r="H777" s="2">
        <v>5600</v>
      </c>
      <c r="I777" s="2">
        <v>180</v>
      </c>
      <c r="J777" s="2">
        <v>649600</v>
      </c>
      <c r="K777" s="2">
        <v>12510</v>
      </c>
      <c r="L777" s="2">
        <v>1035.8</v>
      </c>
      <c r="M777" s="2">
        <v>1387.6</v>
      </c>
      <c r="N777" s="2">
        <v>36730</v>
      </c>
      <c r="O777" s="2">
        <v>15.8</v>
      </c>
    </row>
    <row r="778" spans="1:15" ht="24.95" customHeight="1" x14ac:dyDescent="0.25">
      <c r="A778" s="17" t="s">
        <v>859</v>
      </c>
      <c r="B778" s="2">
        <v>264</v>
      </c>
      <c r="C778" s="2">
        <v>114</v>
      </c>
      <c r="D778" s="2">
        <v>25.2</v>
      </c>
      <c r="E778" s="2">
        <v>90</v>
      </c>
      <c r="F778" s="2">
        <v>-1.5</v>
      </c>
      <c r="H778" s="2">
        <v>920</v>
      </c>
      <c r="I778" s="2">
        <v>157</v>
      </c>
      <c r="J778" s="2">
        <v>104880</v>
      </c>
      <c r="K778" s="2">
        <v>2426</v>
      </c>
      <c r="L778" s="2">
        <v>125.1</v>
      </c>
      <c r="M778" s="2">
        <v>225.2</v>
      </c>
      <c r="N778" s="2">
        <v>7600</v>
      </c>
      <c r="O778" s="2">
        <v>32.5</v>
      </c>
    </row>
    <row r="779" spans="1:15" ht="24.95" customHeight="1" x14ac:dyDescent="0.25">
      <c r="A779" s="17" t="s">
        <v>860</v>
      </c>
      <c r="B779" s="2">
        <v>240</v>
      </c>
      <c r="C779" s="2">
        <v>96</v>
      </c>
      <c r="D779" s="2">
        <v>5.2</v>
      </c>
      <c r="E779" s="2">
        <v>90</v>
      </c>
      <c r="F779" s="2">
        <v>0.8</v>
      </c>
      <c r="H779" s="2">
        <v>455</v>
      </c>
      <c r="I779" s="2">
        <v>153</v>
      </c>
      <c r="J779" s="2">
        <v>43680</v>
      </c>
      <c r="K779" s="2">
        <v>1621</v>
      </c>
      <c r="L779" s="2">
        <v>72.099999999999994</v>
      </c>
      <c r="M779" s="2">
        <v>111.5</v>
      </c>
      <c r="N779" s="2">
        <v>4920</v>
      </c>
      <c r="O779" s="2">
        <v>48.9</v>
      </c>
    </row>
    <row r="780" spans="1:15" ht="24.95" customHeight="1" x14ac:dyDescent="0.25">
      <c r="A780" s="17" t="s">
        <v>861</v>
      </c>
      <c r="B780" s="2">
        <v>284</v>
      </c>
      <c r="C780" s="2">
        <v>126</v>
      </c>
      <c r="D780" s="2">
        <v>35.1</v>
      </c>
      <c r="E780" s="2">
        <v>90</v>
      </c>
      <c r="F780" s="2">
        <v>0.9</v>
      </c>
      <c r="H780" s="2">
        <v>2650</v>
      </c>
      <c r="I780" s="2">
        <v>128</v>
      </c>
      <c r="J780" s="2">
        <v>333900</v>
      </c>
      <c r="K780" s="2">
        <v>8662</v>
      </c>
      <c r="L780" s="2">
        <v>343.6</v>
      </c>
      <c r="M780" s="2">
        <v>693.2</v>
      </c>
      <c r="N780" s="2">
        <v>27170</v>
      </c>
      <c r="O780" s="2">
        <v>44.1</v>
      </c>
    </row>
    <row r="781" spans="1:15" ht="24.95" customHeight="1" x14ac:dyDescent="0.25">
      <c r="A781" s="17" t="s">
        <v>862</v>
      </c>
      <c r="B781" s="2">
        <v>272</v>
      </c>
      <c r="C781" s="2">
        <v>126</v>
      </c>
      <c r="D781" s="2">
        <v>35.799999999999997</v>
      </c>
      <c r="E781" s="2">
        <v>89.5</v>
      </c>
      <c r="F781" s="2">
        <v>0.7</v>
      </c>
      <c r="H781" s="2">
        <v>3725</v>
      </c>
      <c r="I781" s="2">
        <v>127</v>
      </c>
      <c r="J781" s="2">
        <v>469350</v>
      </c>
      <c r="K781" s="2">
        <v>9527</v>
      </c>
      <c r="L781" s="2">
        <v>418.8</v>
      </c>
      <c r="M781" s="2">
        <v>942.9</v>
      </c>
      <c r="N781" s="2">
        <v>30110</v>
      </c>
      <c r="O781" s="2">
        <v>31</v>
      </c>
    </row>
    <row r="782" spans="1:15" ht="24.95" customHeight="1" x14ac:dyDescent="0.25">
      <c r="A782" s="17" t="s">
        <v>863</v>
      </c>
      <c r="B782" s="2">
        <v>236</v>
      </c>
      <c r="C782" s="2">
        <v>106</v>
      </c>
      <c r="D782" s="2">
        <v>22.3</v>
      </c>
      <c r="E782" s="2">
        <v>85.5</v>
      </c>
      <c r="F782" s="2">
        <v>-1.8</v>
      </c>
      <c r="H782" s="2">
        <v>3968</v>
      </c>
      <c r="I782" s="2">
        <v>156</v>
      </c>
      <c r="J782" s="2">
        <v>420608</v>
      </c>
      <c r="K782" s="2">
        <v>8826</v>
      </c>
      <c r="L782" s="2">
        <v>701.8</v>
      </c>
      <c r="M782" s="2">
        <v>964.9</v>
      </c>
      <c r="N782" s="2">
        <v>26780</v>
      </c>
      <c r="O782" s="2">
        <v>17</v>
      </c>
    </row>
    <row r="783" spans="1:15" ht="24.95" customHeight="1" x14ac:dyDescent="0.25">
      <c r="A783" s="17" t="s">
        <v>864</v>
      </c>
      <c r="B783" s="2">
        <v>294</v>
      </c>
      <c r="C783" s="2">
        <v>129</v>
      </c>
      <c r="D783" s="2">
        <v>39.5</v>
      </c>
      <c r="E783" s="2">
        <v>90</v>
      </c>
      <c r="F783" s="2">
        <v>-0.5</v>
      </c>
      <c r="H783" s="2">
        <v>1392</v>
      </c>
      <c r="I783" s="2">
        <v>145</v>
      </c>
      <c r="J783" s="2">
        <v>179568</v>
      </c>
      <c r="K783" s="2">
        <v>3137</v>
      </c>
      <c r="L783" s="2">
        <v>198.5</v>
      </c>
      <c r="M783" s="2">
        <v>363.9</v>
      </c>
      <c r="N783" s="2">
        <v>9690</v>
      </c>
      <c r="O783" s="2">
        <v>13.5</v>
      </c>
    </row>
    <row r="784" spans="1:15" ht="24.95" customHeight="1" x14ac:dyDescent="0.25">
      <c r="A784" s="17" t="s">
        <v>865</v>
      </c>
      <c r="B784" s="2">
        <v>264</v>
      </c>
      <c r="C784" s="2">
        <v>114</v>
      </c>
      <c r="D784" s="2">
        <v>24</v>
      </c>
      <c r="E784" s="2">
        <v>89.5</v>
      </c>
      <c r="F784" s="2">
        <v>0.5</v>
      </c>
      <c r="H784" s="2">
        <v>4450</v>
      </c>
      <c r="I784" s="2">
        <v>154</v>
      </c>
      <c r="J784" s="2">
        <v>507300</v>
      </c>
      <c r="K784" s="2">
        <v>14524</v>
      </c>
      <c r="L784" s="2">
        <v>809</v>
      </c>
      <c r="M784" s="2">
        <v>1118.5999999999999</v>
      </c>
      <c r="N784" s="2">
        <v>47460</v>
      </c>
      <c r="O784" s="2">
        <v>47</v>
      </c>
    </row>
    <row r="785" spans="1:15" ht="24.95" customHeight="1" x14ac:dyDescent="0.25">
      <c r="A785" s="17" t="s">
        <v>866</v>
      </c>
      <c r="B785" s="2">
        <v>270</v>
      </c>
      <c r="C785" s="2">
        <v>118</v>
      </c>
      <c r="D785" s="2">
        <v>26.6</v>
      </c>
      <c r="E785" s="2">
        <v>90</v>
      </c>
      <c r="F785" s="2">
        <v>1.4</v>
      </c>
      <c r="H785" s="2">
        <v>775</v>
      </c>
      <c r="I785" s="2">
        <v>177</v>
      </c>
      <c r="J785" s="2">
        <v>91450</v>
      </c>
      <c r="K785" s="2">
        <v>3051</v>
      </c>
      <c r="L785" s="2">
        <v>138.80000000000001</v>
      </c>
      <c r="M785" s="2">
        <v>195.5</v>
      </c>
      <c r="N785" s="2">
        <v>10040</v>
      </c>
      <c r="O785" s="2">
        <v>57.1</v>
      </c>
    </row>
    <row r="786" spans="1:15" ht="24.95" customHeight="1" x14ac:dyDescent="0.25">
      <c r="A786" s="17" t="s">
        <v>867</v>
      </c>
      <c r="B786" s="2">
        <v>266</v>
      </c>
      <c r="C786" s="2">
        <v>110</v>
      </c>
      <c r="D786" s="2">
        <v>24.5</v>
      </c>
      <c r="E786" s="2">
        <v>85.5</v>
      </c>
      <c r="H786" s="2">
        <v>3770</v>
      </c>
      <c r="I786" s="2">
        <v>163</v>
      </c>
      <c r="J786" s="2">
        <v>414700</v>
      </c>
      <c r="K786" s="2">
        <v>9283</v>
      </c>
      <c r="L786" s="2">
        <v>500.1</v>
      </c>
      <c r="M786" s="2">
        <v>891.9</v>
      </c>
      <c r="N786" s="2">
        <v>29000</v>
      </c>
      <c r="O786" s="2">
        <v>31.8</v>
      </c>
    </row>
    <row r="787" spans="1:15" ht="24.95" customHeight="1" x14ac:dyDescent="0.25">
      <c r="A787" s="17" t="s">
        <v>868</v>
      </c>
      <c r="B787" s="2">
        <v>308</v>
      </c>
      <c r="C787" s="2">
        <v>128</v>
      </c>
      <c r="D787" s="2">
        <v>36.1</v>
      </c>
      <c r="E787" s="2">
        <v>90</v>
      </c>
      <c r="F787" s="2">
        <v>1.9</v>
      </c>
      <c r="H787" s="2">
        <v>1250</v>
      </c>
      <c r="I787" s="2">
        <v>187</v>
      </c>
      <c r="J787" s="2">
        <v>160000</v>
      </c>
      <c r="K787" s="2">
        <v>2996</v>
      </c>
      <c r="L787" s="2">
        <v>135.19999999999999</v>
      </c>
      <c r="M787" s="2">
        <v>292</v>
      </c>
      <c r="N787" s="2">
        <v>10180</v>
      </c>
      <c r="O787" s="2">
        <v>29</v>
      </c>
    </row>
    <row r="788" spans="1:15" ht="24.95" customHeight="1" x14ac:dyDescent="0.25">
      <c r="A788" s="17" t="s">
        <v>869</v>
      </c>
      <c r="B788" s="2">
        <v>266</v>
      </c>
      <c r="C788" s="2">
        <v>114</v>
      </c>
      <c r="D788" s="2">
        <v>23.1</v>
      </c>
      <c r="E788" s="2">
        <v>89.5</v>
      </c>
      <c r="F788" s="2">
        <v>1.4</v>
      </c>
      <c r="H788" s="2">
        <v>2085</v>
      </c>
      <c r="I788" s="2">
        <v>184</v>
      </c>
      <c r="J788" s="2">
        <v>237690</v>
      </c>
      <c r="K788" s="2">
        <v>8741</v>
      </c>
      <c r="L788" s="2">
        <v>373.6</v>
      </c>
      <c r="M788" s="2">
        <v>561</v>
      </c>
      <c r="N788" s="2">
        <v>25950</v>
      </c>
      <c r="O788" s="2">
        <v>53.6</v>
      </c>
    </row>
    <row r="789" spans="1:15" ht="24.95" customHeight="1" x14ac:dyDescent="0.25">
      <c r="A789" s="17" t="s">
        <v>859</v>
      </c>
      <c r="B789" s="2">
        <v>276</v>
      </c>
      <c r="C789" s="2">
        <v>113</v>
      </c>
      <c r="D789" s="2">
        <v>22</v>
      </c>
      <c r="E789" s="2">
        <v>90</v>
      </c>
      <c r="F789" s="2">
        <v>1</v>
      </c>
      <c r="G789" s="2">
        <v>115.6</v>
      </c>
      <c r="H789" s="2">
        <v>1194</v>
      </c>
      <c r="I789" s="2">
        <v>160</v>
      </c>
      <c r="J789" s="2">
        <v>138041</v>
      </c>
      <c r="K789" s="2">
        <v>4089</v>
      </c>
      <c r="L789" s="2">
        <v>178.1</v>
      </c>
      <c r="M789" s="2">
        <v>288.89999999999998</v>
      </c>
      <c r="N789" s="2">
        <v>12290</v>
      </c>
      <c r="O789" s="2">
        <v>44.2</v>
      </c>
    </row>
    <row r="790" spans="1:15" ht="24.95" customHeight="1" x14ac:dyDescent="0.25">
      <c r="A790" s="17" t="s">
        <v>870</v>
      </c>
      <c r="B790" s="2">
        <v>243</v>
      </c>
      <c r="C790" s="2">
        <v>111</v>
      </c>
      <c r="D790" s="2">
        <v>20.8</v>
      </c>
      <c r="E790" s="2">
        <v>90</v>
      </c>
      <c r="F790" s="2">
        <v>0.3</v>
      </c>
      <c r="G790" s="2">
        <v>112.8</v>
      </c>
      <c r="H790" s="2">
        <v>588</v>
      </c>
      <c r="I790" s="2">
        <v>167</v>
      </c>
      <c r="J790" s="2">
        <v>66329</v>
      </c>
      <c r="K790" s="2">
        <v>1954</v>
      </c>
      <c r="L790" s="2">
        <v>100.8</v>
      </c>
      <c r="M790" s="2">
        <v>153.30000000000001</v>
      </c>
      <c r="N790" s="2">
        <v>4790</v>
      </c>
      <c r="O790" s="2">
        <v>30</v>
      </c>
    </row>
    <row r="791" spans="1:15" ht="24.95" customHeight="1" x14ac:dyDescent="0.25">
      <c r="A791" s="17" t="s">
        <v>871</v>
      </c>
      <c r="B791" s="2">
        <v>274</v>
      </c>
      <c r="C791" s="2">
        <v>120</v>
      </c>
      <c r="D791" s="2">
        <v>26.8</v>
      </c>
      <c r="E791" s="2">
        <v>90</v>
      </c>
      <c r="F791" s="2">
        <v>3.2</v>
      </c>
      <c r="G791" s="2">
        <v>122.1</v>
      </c>
      <c r="H791" s="2">
        <v>620</v>
      </c>
      <c r="I791" s="2">
        <v>94</v>
      </c>
      <c r="J791" s="2">
        <v>75698</v>
      </c>
      <c r="K791" s="2">
        <v>1751</v>
      </c>
      <c r="L791" s="2">
        <v>64</v>
      </c>
      <c r="M791" s="2">
        <v>151.80000000000001</v>
      </c>
      <c r="N791" s="2">
        <v>5380</v>
      </c>
      <c r="O791" s="2">
        <v>33</v>
      </c>
    </row>
    <row r="792" spans="1:15" ht="24.95" customHeight="1" x14ac:dyDescent="0.25">
      <c r="A792" s="17" t="s">
        <v>5431</v>
      </c>
      <c r="B792" s="2">
        <v>273</v>
      </c>
      <c r="C792" s="2">
        <v>116</v>
      </c>
      <c r="D792" s="2">
        <v>23.9</v>
      </c>
      <c r="E792" s="2">
        <v>90</v>
      </c>
      <c r="F792" s="2">
        <v>2.2000000000000002</v>
      </c>
      <c r="G792" s="2">
        <v>118.6</v>
      </c>
      <c r="H792" s="2">
        <v>3835</v>
      </c>
      <c r="I792" s="2">
        <v>176</v>
      </c>
      <c r="J792" s="2">
        <v>454971</v>
      </c>
      <c r="K792" s="2">
        <v>8169</v>
      </c>
      <c r="L792" s="2">
        <v>628.20000000000005</v>
      </c>
      <c r="M792" s="2">
        <v>922.2</v>
      </c>
      <c r="N792" s="2">
        <v>26590</v>
      </c>
      <c r="O792" s="2">
        <v>17.600000000000001</v>
      </c>
    </row>
    <row r="793" spans="1:15" ht="24.95" customHeight="1" x14ac:dyDescent="0.25">
      <c r="A793" s="17" t="s">
        <v>873</v>
      </c>
      <c r="B793" s="2">
        <v>272</v>
      </c>
      <c r="C793" s="2">
        <v>120</v>
      </c>
      <c r="D793" s="2">
        <v>28.5</v>
      </c>
      <c r="E793" s="2">
        <v>90</v>
      </c>
      <c r="F793" s="2">
        <v>1.5</v>
      </c>
      <c r="G793" s="2">
        <v>121.8</v>
      </c>
      <c r="H793" s="2">
        <v>600</v>
      </c>
      <c r="I793" s="2">
        <v>163</v>
      </c>
      <c r="J793" s="2">
        <v>73104</v>
      </c>
      <c r="K793" s="2">
        <v>2540</v>
      </c>
      <c r="L793" s="2">
        <v>105.8</v>
      </c>
      <c r="M793" s="2">
        <v>154.1</v>
      </c>
      <c r="N793" s="2">
        <v>6930</v>
      </c>
      <c r="O793" s="2">
        <v>50.9</v>
      </c>
    </row>
    <row r="794" spans="1:15" ht="24.95" customHeight="1" x14ac:dyDescent="0.25">
      <c r="A794" s="17" t="s">
        <v>874</v>
      </c>
      <c r="B794" s="2">
        <v>256</v>
      </c>
      <c r="C794" s="2">
        <v>110</v>
      </c>
      <c r="D794" s="2">
        <v>19.100000000000001</v>
      </c>
      <c r="E794" s="2">
        <v>90</v>
      </c>
      <c r="F794" s="2">
        <v>0.9</v>
      </c>
      <c r="G794" s="2">
        <v>115.4</v>
      </c>
      <c r="H794" s="2">
        <v>675</v>
      </c>
      <c r="I794" s="2">
        <v>170</v>
      </c>
      <c r="J794" s="2">
        <v>77891</v>
      </c>
      <c r="K794" s="2">
        <v>2399</v>
      </c>
      <c r="L794" s="2">
        <v>93.8</v>
      </c>
      <c r="M794" s="2">
        <v>176.9</v>
      </c>
      <c r="N794" s="2">
        <v>6850</v>
      </c>
      <c r="O794" s="2">
        <v>42.4</v>
      </c>
    </row>
    <row r="795" spans="1:15" ht="24.95" customHeight="1" x14ac:dyDescent="0.25">
      <c r="A795" s="17" t="s">
        <v>864</v>
      </c>
      <c r="B795" s="2">
        <v>267</v>
      </c>
      <c r="C795" s="2">
        <v>115</v>
      </c>
      <c r="D795" s="2">
        <v>22.8</v>
      </c>
      <c r="E795" s="2">
        <v>90</v>
      </c>
      <c r="F795" s="2">
        <v>2.2000000000000002</v>
      </c>
      <c r="G795" s="2">
        <v>117.7</v>
      </c>
      <c r="H795" s="2">
        <v>2280</v>
      </c>
      <c r="I795" s="2">
        <v>146</v>
      </c>
      <c r="J795" s="2">
        <v>268256</v>
      </c>
      <c r="K795" s="2">
        <v>7548</v>
      </c>
      <c r="L795" s="2">
        <v>381.2</v>
      </c>
      <c r="M795" s="2">
        <v>601.9</v>
      </c>
      <c r="N795" s="2">
        <v>20240</v>
      </c>
      <c r="O795" s="2">
        <v>32.799999999999997</v>
      </c>
    </row>
    <row r="796" spans="1:15" ht="24.95" customHeight="1" x14ac:dyDescent="0.25">
      <c r="A796" s="17" t="s">
        <v>856</v>
      </c>
      <c r="B796" s="2">
        <v>254</v>
      </c>
      <c r="C796" s="2">
        <v>109</v>
      </c>
      <c r="D796" s="2">
        <v>17.5</v>
      </c>
      <c r="E796" s="2">
        <v>90</v>
      </c>
      <c r="F796" s="2">
        <v>1.6</v>
      </c>
      <c r="G796" s="2">
        <v>112.5</v>
      </c>
      <c r="H796" s="2">
        <v>2058</v>
      </c>
      <c r="I796" s="2">
        <v>146</v>
      </c>
      <c r="J796" s="2">
        <v>231582</v>
      </c>
      <c r="K796" s="2">
        <v>5090</v>
      </c>
      <c r="L796" s="2">
        <v>211</v>
      </c>
      <c r="M796" s="2">
        <v>497.4</v>
      </c>
      <c r="N796" s="2">
        <v>17510</v>
      </c>
      <c r="O796" s="2">
        <v>34.799999999999997</v>
      </c>
    </row>
    <row r="797" spans="1:15" ht="24.95" customHeight="1" x14ac:dyDescent="0.25">
      <c r="A797" s="17" t="s">
        <v>875</v>
      </c>
      <c r="B797" s="2">
        <v>246</v>
      </c>
      <c r="C797" s="2">
        <v>112</v>
      </c>
      <c r="D797" s="2">
        <v>20.6</v>
      </c>
      <c r="E797" s="2">
        <v>90</v>
      </c>
      <c r="F797" s="2">
        <v>1.4</v>
      </c>
      <c r="G797" s="2">
        <v>114.3</v>
      </c>
      <c r="H797" s="2">
        <v>324</v>
      </c>
      <c r="I797" s="2">
        <v>163</v>
      </c>
      <c r="J797" s="2">
        <v>37028</v>
      </c>
      <c r="K797" s="2">
        <v>1425</v>
      </c>
      <c r="L797" s="2">
        <v>54.8</v>
      </c>
      <c r="M797" s="2">
        <v>85.8</v>
      </c>
      <c r="N797" s="2">
        <v>4100</v>
      </c>
      <c r="O797" s="2">
        <v>53.7</v>
      </c>
    </row>
    <row r="798" spans="1:15" ht="24.95" customHeight="1" x14ac:dyDescent="0.25">
      <c r="A798" s="17" t="s">
        <v>876</v>
      </c>
      <c r="B798" s="2">
        <v>220</v>
      </c>
      <c r="C798" s="2">
        <v>102</v>
      </c>
      <c r="D798" s="2">
        <v>12.3</v>
      </c>
      <c r="E798" s="2">
        <v>90</v>
      </c>
      <c r="F798" s="2">
        <v>-0.3</v>
      </c>
      <c r="G798" s="2">
        <v>103.4</v>
      </c>
      <c r="H798" s="2">
        <v>587</v>
      </c>
      <c r="I798" s="2">
        <v>122</v>
      </c>
      <c r="J798" s="2">
        <v>60703</v>
      </c>
      <c r="K798" s="2">
        <v>2038</v>
      </c>
      <c r="L798" s="2">
        <v>87</v>
      </c>
      <c r="M798" s="2">
        <v>147.19999999999999</v>
      </c>
      <c r="N798" s="2">
        <v>5330</v>
      </c>
      <c r="O798" s="2">
        <v>34.4</v>
      </c>
    </row>
    <row r="799" spans="1:15" ht="24.95" customHeight="1" x14ac:dyDescent="0.25">
      <c r="A799" s="17" t="s">
        <v>6783</v>
      </c>
      <c r="B799" s="2">
        <v>185</v>
      </c>
      <c r="C799" s="2">
        <v>70</v>
      </c>
      <c r="H799" s="2">
        <v>80051</v>
      </c>
      <c r="I799" s="2">
        <v>165</v>
      </c>
      <c r="J799" s="2">
        <v>5603570</v>
      </c>
      <c r="K799" s="2">
        <v>193352</v>
      </c>
      <c r="L799" s="2">
        <v>9997.2000000000007</v>
      </c>
      <c r="M799" s="2">
        <v>19677.2</v>
      </c>
      <c r="N799" s="2">
        <v>602160</v>
      </c>
      <c r="O799" s="2">
        <v>25.5</v>
      </c>
    </row>
    <row r="800" spans="1:15" ht="24.95" customHeight="1" x14ac:dyDescent="0.25">
      <c r="A800" s="17" t="s">
        <v>878</v>
      </c>
      <c r="B800" s="2">
        <v>270</v>
      </c>
      <c r="C800" s="2">
        <v>106</v>
      </c>
      <c r="D800" s="2">
        <v>33.200000000000003</v>
      </c>
      <c r="E800" s="2">
        <v>71.099999999999994</v>
      </c>
      <c r="F800" s="2">
        <v>-1.3</v>
      </c>
      <c r="H800" s="2">
        <v>4050</v>
      </c>
      <c r="I800" s="2">
        <v>123</v>
      </c>
      <c r="J800" s="2">
        <v>209032</v>
      </c>
      <c r="K800" s="2">
        <v>5902</v>
      </c>
      <c r="L800" s="2">
        <v>242.9</v>
      </c>
      <c r="M800" s="2">
        <v>494.7</v>
      </c>
      <c r="N800" s="2">
        <v>18020</v>
      </c>
      <c r="O800" s="2">
        <v>38.200000000000003</v>
      </c>
    </row>
    <row r="801" spans="1:15" ht="24.95" customHeight="1" x14ac:dyDescent="0.25">
      <c r="A801" s="17" t="s">
        <v>879</v>
      </c>
      <c r="B801" s="2">
        <v>288</v>
      </c>
      <c r="C801" s="2">
        <v>112</v>
      </c>
      <c r="D801" s="2">
        <v>42.6</v>
      </c>
      <c r="E801" s="2">
        <v>70.7</v>
      </c>
      <c r="F801" s="2">
        <v>-1.2</v>
      </c>
      <c r="H801" s="2">
        <v>7625</v>
      </c>
      <c r="I801" s="2">
        <v>158</v>
      </c>
      <c r="J801" s="2">
        <v>854000</v>
      </c>
      <c r="K801" s="2">
        <v>17657</v>
      </c>
      <c r="L801" s="2">
        <v>826.7</v>
      </c>
      <c r="M801" s="2">
        <v>1871.2</v>
      </c>
      <c r="N801" s="2">
        <v>53610</v>
      </c>
      <c r="O801" s="2">
        <v>19.8</v>
      </c>
    </row>
    <row r="802" spans="1:15" ht="24.95" customHeight="1" x14ac:dyDescent="0.25">
      <c r="A802" s="17" t="s">
        <v>880</v>
      </c>
      <c r="B802" s="2">
        <v>286</v>
      </c>
      <c r="C802" s="2">
        <v>108</v>
      </c>
      <c r="D802" s="2">
        <v>39.9</v>
      </c>
      <c r="E802" s="2">
        <v>70.2</v>
      </c>
      <c r="F802" s="2">
        <v>-2</v>
      </c>
      <c r="H802" s="2">
        <v>3530</v>
      </c>
      <c r="I802" s="2">
        <v>161</v>
      </c>
      <c r="J802" s="2">
        <v>381240</v>
      </c>
      <c r="K802" s="2">
        <v>7742</v>
      </c>
      <c r="L802" s="2">
        <v>407.6</v>
      </c>
      <c r="M802" s="2">
        <v>862.8</v>
      </c>
      <c r="N802" s="2">
        <v>24580</v>
      </c>
      <c r="O802" s="2">
        <v>20.100000000000001</v>
      </c>
    </row>
    <row r="803" spans="1:15" ht="24.95" customHeight="1" x14ac:dyDescent="0.25">
      <c r="A803" s="17" t="s">
        <v>882</v>
      </c>
      <c r="B803" s="2">
        <v>270</v>
      </c>
      <c r="C803" s="2">
        <v>108</v>
      </c>
      <c r="D803" s="2">
        <v>37.799999999999997</v>
      </c>
      <c r="E803" s="2">
        <v>71.099999999999994</v>
      </c>
      <c r="F803" s="2">
        <v>-0.8</v>
      </c>
      <c r="H803" s="2">
        <v>4313</v>
      </c>
      <c r="I803" s="2">
        <v>153</v>
      </c>
      <c r="J803" s="2">
        <v>465804</v>
      </c>
      <c r="K803" s="2">
        <v>10914</v>
      </c>
      <c r="L803" s="2">
        <v>446.2</v>
      </c>
      <c r="M803" s="2">
        <v>1103.4000000000001</v>
      </c>
      <c r="N803" s="2">
        <v>34840</v>
      </c>
      <c r="O803" s="2">
        <v>29.1</v>
      </c>
    </row>
    <row r="804" spans="1:15" ht="24.95" customHeight="1" x14ac:dyDescent="0.25">
      <c r="A804" s="17" t="s">
        <v>883</v>
      </c>
      <c r="B804" s="2">
        <v>272</v>
      </c>
      <c r="C804" s="2">
        <v>103</v>
      </c>
      <c r="D804" s="2">
        <v>33.200000000000003</v>
      </c>
      <c r="E804" s="2">
        <v>71.099999999999994</v>
      </c>
      <c r="F804" s="2">
        <v>-1.3</v>
      </c>
      <c r="H804" s="2">
        <v>4050</v>
      </c>
      <c r="I804" s="2">
        <v>179</v>
      </c>
      <c r="J804" s="2">
        <v>417150</v>
      </c>
      <c r="K804" s="2">
        <v>9431</v>
      </c>
      <c r="L804" s="2">
        <v>667</v>
      </c>
      <c r="M804" s="2">
        <v>1007.8</v>
      </c>
      <c r="N804" s="2">
        <v>27940</v>
      </c>
      <c r="O804" s="2">
        <v>19</v>
      </c>
    </row>
    <row r="805" spans="1:15" ht="24.95" customHeight="1" x14ac:dyDescent="0.25">
      <c r="A805" s="17" t="s">
        <v>884</v>
      </c>
      <c r="B805" s="2">
        <v>270</v>
      </c>
      <c r="C805" s="2">
        <v>99</v>
      </c>
      <c r="D805" s="2">
        <v>26.6</v>
      </c>
      <c r="E805" s="2">
        <v>74.7</v>
      </c>
      <c r="F805" s="2">
        <v>-2.2999999999999998</v>
      </c>
      <c r="H805" s="2">
        <v>9800</v>
      </c>
      <c r="I805" s="2">
        <v>207</v>
      </c>
      <c r="J805" s="2">
        <v>970200</v>
      </c>
      <c r="K805" s="2">
        <v>18676</v>
      </c>
      <c r="L805" s="2">
        <v>1216.5999999999999</v>
      </c>
      <c r="M805" s="2">
        <v>2316.6999999999998</v>
      </c>
      <c r="N805" s="2">
        <v>57380</v>
      </c>
      <c r="O805" s="2">
        <v>6.3</v>
      </c>
    </row>
    <row r="806" spans="1:15" ht="24.95" customHeight="1" x14ac:dyDescent="0.25">
      <c r="A806" s="17" t="s">
        <v>885</v>
      </c>
      <c r="B806" s="2">
        <v>252</v>
      </c>
      <c r="C806" s="2">
        <v>98</v>
      </c>
      <c r="D806" s="2">
        <v>28.2</v>
      </c>
      <c r="E806" s="2">
        <v>71.099999999999994</v>
      </c>
      <c r="F806" s="2">
        <v>-1.3</v>
      </c>
      <c r="H806" s="2">
        <v>5568</v>
      </c>
      <c r="I806" s="2">
        <v>210</v>
      </c>
      <c r="J806" s="2">
        <v>545664</v>
      </c>
      <c r="K806" s="2">
        <v>13086</v>
      </c>
      <c r="L806" s="2">
        <v>818.2</v>
      </c>
      <c r="M806" s="2">
        <v>1406.3</v>
      </c>
      <c r="N806" s="2">
        <v>38950</v>
      </c>
      <c r="O806" s="2">
        <v>19.3</v>
      </c>
    </row>
    <row r="807" spans="1:15" ht="24.95" customHeight="1" x14ac:dyDescent="0.25">
      <c r="A807" s="17" t="s">
        <v>886</v>
      </c>
      <c r="B807" s="2">
        <v>264</v>
      </c>
      <c r="C807" s="2">
        <v>100</v>
      </c>
      <c r="D807" s="2">
        <v>24.3</v>
      </c>
      <c r="E807" s="2">
        <v>74.900000000000006</v>
      </c>
      <c r="F807" s="2">
        <v>0.8</v>
      </c>
      <c r="H807" s="2">
        <v>1128</v>
      </c>
      <c r="I807" s="2">
        <v>175</v>
      </c>
      <c r="J807" s="2">
        <v>112800</v>
      </c>
      <c r="K807" s="2">
        <v>3352</v>
      </c>
      <c r="L807" s="2">
        <v>143.1</v>
      </c>
      <c r="M807" s="2">
        <v>275.3</v>
      </c>
      <c r="N807" s="2">
        <v>10770</v>
      </c>
      <c r="O807" s="2">
        <v>42.5</v>
      </c>
    </row>
    <row r="808" spans="1:15" ht="24.95" customHeight="1" x14ac:dyDescent="0.25">
      <c r="A808" s="17" t="s">
        <v>6784</v>
      </c>
      <c r="B808" s="2">
        <v>268</v>
      </c>
      <c r="C808" s="2">
        <v>99</v>
      </c>
      <c r="D808" s="2">
        <v>27.9</v>
      </c>
      <c r="E808" s="2">
        <v>71.099999999999994</v>
      </c>
      <c r="H808" s="2">
        <v>2915</v>
      </c>
      <c r="I808" s="2">
        <v>202</v>
      </c>
      <c r="J808" s="2">
        <v>288585</v>
      </c>
      <c r="K808" s="2">
        <v>7820</v>
      </c>
      <c r="L808" s="2">
        <v>361.3</v>
      </c>
      <c r="M808" s="2">
        <v>723.1</v>
      </c>
      <c r="N808" s="2">
        <v>23800</v>
      </c>
      <c r="O808" s="2">
        <v>31.1</v>
      </c>
    </row>
    <row r="809" spans="1:15" ht="24.95" customHeight="1" x14ac:dyDescent="0.25">
      <c r="A809" s="17" t="s">
        <v>888</v>
      </c>
      <c r="B809" s="2">
        <v>257</v>
      </c>
      <c r="C809" s="2">
        <v>106</v>
      </c>
      <c r="D809" s="2">
        <v>30.9</v>
      </c>
      <c r="E809" s="2">
        <v>74.900000000000006</v>
      </c>
      <c r="F809" s="2">
        <v>0.2</v>
      </c>
      <c r="H809" s="2">
        <v>2146</v>
      </c>
      <c r="I809" s="2">
        <v>148</v>
      </c>
      <c r="J809" s="2">
        <v>227476</v>
      </c>
      <c r="K809" s="2">
        <v>7038</v>
      </c>
      <c r="L809" s="2">
        <v>302.5</v>
      </c>
      <c r="M809" s="2">
        <v>541.79999999999995</v>
      </c>
      <c r="N809" s="2">
        <v>21820</v>
      </c>
      <c r="O809" s="2">
        <v>45.1</v>
      </c>
    </row>
    <row r="810" spans="1:15" ht="24.95" customHeight="1" x14ac:dyDescent="0.25">
      <c r="A810" s="17" t="s">
        <v>5432</v>
      </c>
      <c r="B810" s="2">
        <v>258</v>
      </c>
      <c r="C810" s="2">
        <v>102</v>
      </c>
      <c r="D810" s="2">
        <v>26.7</v>
      </c>
      <c r="E810" s="2">
        <v>74.900000000000006</v>
      </c>
      <c r="F810" s="2">
        <v>0.4</v>
      </c>
      <c r="H810" s="2">
        <v>1960</v>
      </c>
      <c r="I810" s="2">
        <v>144</v>
      </c>
      <c r="J810" s="2">
        <v>199920</v>
      </c>
      <c r="K810" s="2">
        <v>6644</v>
      </c>
      <c r="L810" s="2">
        <v>302.2</v>
      </c>
      <c r="M810" s="2">
        <v>489.3</v>
      </c>
      <c r="N810" s="2">
        <v>21220</v>
      </c>
      <c r="O810" s="2">
        <v>48.6</v>
      </c>
    </row>
    <row r="811" spans="1:15" ht="24.95" customHeight="1" x14ac:dyDescent="0.25">
      <c r="A811" s="17" t="s">
        <v>890</v>
      </c>
      <c r="B811" s="2">
        <v>282</v>
      </c>
      <c r="C811" s="2">
        <v>110</v>
      </c>
      <c r="D811" s="2">
        <v>38.6</v>
      </c>
      <c r="E811" s="2">
        <v>70.900000000000006</v>
      </c>
      <c r="F811" s="2">
        <v>0.5</v>
      </c>
      <c r="H811" s="2">
        <v>4140</v>
      </c>
      <c r="I811" s="2">
        <v>144</v>
      </c>
      <c r="J811" s="2">
        <v>455400</v>
      </c>
      <c r="K811" s="2">
        <v>12995</v>
      </c>
      <c r="L811" s="2">
        <v>532.6</v>
      </c>
      <c r="M811" s="2">
        <v>1043.7</v>
      </c>
      <c r="N811" s="2">
        <v>40540</v>
      </c>
      <c r="O811" s="2">
        <v>41.8</v>
      </c>
    </row>
    <row r="812" spans="1:15" ht="24.95" customHeight="1" x14ac:dyDescent="0.25">
      <c r="A812" s="17" t="s">
        <v>891</v>
      </c>
      <c r="B812" s="2">
        <v>254</v>
      </c>
      <c r="C812" s="2">
        <v>102</v>
      </c>
      <c r="D812" s="2">
        <v>25.7</v>
      </c>
      <c r="E812" s="2">
        <v>74.900000000000006</v>
      </c>
      <c r="F812" s="2">
        <v>1.4</v>
      </c>
      <c r="H812" s="2">
        <v>940</v>
      </c>
      <c r="I812" s="2">
        <v>124</v>
      </c>
      <c r="J812" s="2">
        <v>95880</v>
      </c>
      <c r="K812" s="2">
        <v>3527</v>
      </c>
      <c r="L812" s="2">
        <v>141.5</v>
      </c>
      <c r="M812" s="2">
        <v>236.8</v>
      </c>
      <c r="N812" s="2">
        <v>11700</v>
      </c>
      <c r="O812" s="2">
        <v>55.1</v>
      </c>
    </row>
    <row r="813" spans="1:15" ht="24.95" customHeight="1" x14ac:dyDescent="0.25">
      <c r="A813" s="17" t="s">
        <v>892</v>
      </c>
      <c r="B813" s="2">
        <v>270</v>
      </c>
      <c r="C813" s="2">
        <v>102</v>
      </c>
      <c r="D813" s="2">
        <v>31.4</v>
      </c>
      <c r="E813" s="2">
        <v>74.900000000000006</v>
      </c>
      <c r="F813" s="2">
        <v>-4.3</v>
      </c>
      <c r="H813" s="2">
        <v>4650</v>
      </c>
      <c r="I813" s="2">
        <v>170</v>
      </c>
      <c r="J813" s="2">
        <v>474300</v>
      </c>
      <c r="K813" s="2">
        <v>9526</v>
      </c>
      <c r="L813" s="2">
        <v>830.6</v>
      </c>
      <c r="M813" s="2">
        <v>1147</v>
      </c>
      <c r="N813" s="2">
        <v>26950</v>
      </c>
      <c r="O813" s="2">
        <v>1.4</v>
      </c>
    </row>
    <row r="814" spans="1:15" ht="24.95" customHeight="1" x14ac:dyDescent="0.25">
      <c r="A814" s="17" t="s">
        <v>893</v>
      </c>
      <c r="B814" s="2">
        <v>234</v>
      </c>
      <c r="C814" s="2">
        <v>90</v>
      </c>
      <c r="D814" s="2">
        <v>15</v>
      </c>
      <c r="E814" s="2">
        <v>75</v>
      </c>
      <c r="G814" s="2">
        <v>93.9</v>
      </c>
      <c r="H814" s="2">
        <v>8450</v>
      </c>
      <c r="I814" s="2">
        <v>173</v>
      </c>
      <c r="J814" s="2">
        <v>793868</v>
      </c>
      <c r="K814" s="2">
        <v>20017</v>
      </c>
      <c r="L814" s="2">
        <v>1010.8</v>
      </c>
      <c r="M814" s="2">
        <v>2076.6999999999998</v>
      </c>
      <c r="N814" s="2">
        <v>61530</v>
      </c>
      <c r="O814" s="2">
        <v>23.5</v>
      </c>
    </row>
    <row r="815" spans="1:15" ht="24.95" customHeight="1" x14ac:dyDescent="0.25">
      <c r="A815" s="17" t="s">
        <v>894</v>
      </c>
      <c r="B815" s="2">
        <v>268</v>
      </c>
      <c r="C815" s="2">
        <v>90</v>
      </c>
      <c r="D815" s="2">
        <v>14.8</v>
      </c>
      <c r="E815" s="2">
        <v>75</v>
      </c>
      <c r="F815" s="2">
        <v>0.2</v>
      </c>
      <c r="G815" s="2">
        <v>93.7</v>
      </c>
      <c r="H815" s="2">
        <v>3207</v>
      </c>
      <c r="I815" s="2">
        <v>167</v>
      </c>
      <c r="J815" s="2">
        <v>300655</v>
      </c>
      <c r="K815" s="2">
        <v>7869</v>
      </c>
      <c r="L815" s="2">
        <v>478.8</v>
      </c>
      <c r="M815" s="2">
        <v>735.9</v>
      </c>
      <c r="N815" s="2">
        <v>26430</v>
      </c>
      <c r="O815" s="2">
        <v>33.700000000000003</v>
      </c>
    </row>
    <row r="816" spans="1:15" ht="24.95" customHeight="1" x14ac:dyDescent="0.25">
      <c r="A816" s="17" t="s">
        <v>878</v>
      </c>
      <c r="B816" s="2">
        <v>246</v>
      </c>
      <c r="C816" s="2">
        <v>102</v>
      </c>
      <c r="D816" s="2">
        <v>27.4</v>
      </c>
      <c r="E816" s="2">
        <v>75</v>
      </c>
      <c r="F816" s="2">
        <v>-0.4</v>
      </c>
      <c r="G816" s="2">
        <v>103.5</v>
      </c>
      <c r="H816" s="2">
        <v>3435</v>
      </c>
      <c r="I816" s="2">
        <v>129</v>
      </c>
      <c r="J816" s="2">
        <v>355625</v>
      </c>
      <c r="K816" s="2">
        <v>6514</v>
      </c>
      <c r="L816" s="2">
        <v>222.4</v>
      </c>
      <c r="M816" s="2">
        <v>818.3</v>
      </c>
      <c r="N816" s="2">
        <v>22720</v>
      </c>
      <c r="O816" s="2">
        <v>15.4</v>
      </c>
    </row>
    <row r="817" spans="1:15" ht="24.95" customHeight="1" x14ac:dyDescent="0.25">
      <c r="A817" s="17" t="s">
        <v>880</v>
      </c>
      <c r="B817" s="2">
        <v>264</v>
      </c>
      <c r="C817" s="2">
        <v>100</v>
      </c>
      <c r="D817" s="2">
        <v>23.9</v>
      </c>
      <c r="E817" s="2">
        <v>75</v>
      </c>
      <c r="F817" s="2">
        <v>1.1000000000000001</v>
      </c>
      <c r="G817" s="2">
        <v>105.1</v>
      </c>
      <c r="H817" s="2">
        <v>1400</v>
      </c>
      <c r="I817" s="2">
        <v>159</v>
      </c>
      <c r="J817" s="2">
        <v>147127</v>
      </c>
      <c r="K817" s="2">
        <v>4483</v>
      </c>
      <c r="L817" s="2">
        <v>203.3</v>
      </c>
      <c r="M817" s="2">
        <v>343.4</v>
      </c>
      <c r="N817" s="2">
        <v>14320</v>
      </c>
      <c r="O817" s="2">
        <v>43</v>
      </c>
    </row>
    <row r="818" spans="1:15" ht="24.95" customHeight="1" x14ac:dyDescent="0.25">
      <c r="A818" s="17" t="s">
        <v>895</v>
      </c>
      <c r="B818" s="2">
        <v>244</v>
      </c>
      <c r="C818" s="2">
        <v>92</v>
      </c>
      <c r="D818" s="2">
        <v>16.600000000000001</v>
      </c>
      <c r="E818" s="2">
        <v>75</v>
      </c>
      <c r="F818" s="2">
        <v>0.4</v>
      </c>
      <c r="G818" s="2">
        <v>92.8</v>
      </c>
      <c r="H818" s="2">
        <v>6815</v>
      </c>
      <c r="I818" s="2">
        <v>141</v>
      </c>
      <c r="J818" s="2">
        <v>632270</v>
      </c>
      <c r="K818" s="2">
        <v>14953</v>
      </c>
      <c r="L818" s="2">
        <v>634</v>
      </c>
      <c r="M818" s="2">
        <v>1673.2</v>
      </c>
      <c r="N818" s="2">
        <v>46980</v>
      </c>
      <c r="O818" s="2">
        <v>20.7</v>
      </c>
    </row>
    <row r="819" spans="1:15" ht="24.95" customHeight="1" x14ac:dyDescent="0.25">
      <c r="A819" s="17" t="s">
        <v>882</v>
      </c>
      <c r="B819" s="2">
        <v>248</v>
      </c>
      <c r="C819" s="2">
        <v>100</v>
      </c>
      <c r="D819" s="2">
        <v>24</v>
      </c>
      <c r="E819" s="2">
        <v>75</v>
      </c>
      <c r="F819" s="2">
        <v>1</v>
      </c>
      <c r="G819" s="2">
        <v>104.3</v>
      </c>
      <c r="H819" s="2">
        <v>2008</v>
      </c>
      <c r="I819" s="2">
        <v>145</v>
      </c>
      <c r="J819" s="2">
        <v>209404</v>
      </c>
      <c r="K819" s="2">
        <v>5206</v>
      </c>
      <c r="L819" s="2">
        <v>209</v>
      </c>
      <c r="M819" s="2">
        <v>510.1</v>
      </c>
      <c r="N819" s="2">
        <v>18060</v>
      </c>
      <c r="O819" s="2">
        <v>38</v>
      </c>
    </row>
    <row r="820" spans="1:15" ht="24.95" customHeight="1" x14ac:dyDescent="0.25">
      <c r="A820" s="17" t="s">
        <v>896</v>
      </c>
      <c r="B820" s="2">
        <v>192</v>
      </c>
      <c r="C820" s="2">
        <v>82</v>
      </c>
      <c r="H820" s="2">
        <v>29427</v>
      </c>
      <c r="I820" s="2">
        <v>185</v>
      </c>
      <c r="J820" s="2">
        <v>2413014</v>
      </c>
      <c r="K820" s="2">
        <v>60986</v>
      </c>
      <c r="L820" s="2">
        <v>3859.2</v>
      </c>
      <c r="M820" s="2">
        <v>6846.6</v>
      </c>
      <c r="N820" s="2">
        <v>211320</v>
      </c>
      <c r="O820" s="2">
        <v>23.1</v>
      </c>
    </row>
    <row r="821" spans="1:15" ht="24.95" customHeight="1" x14ac:dyDescent="0.25">
      <c r="A821" s="17" t="s">
        <v>897</v>
      </c>
      <c r="B821" s="2">
        <v>308</v>
      </c>
      <c r="C821" s="2">
        <v>126</v>
      </c>
      <c r="D821" s="2">
        <v>47.6</v>
      </c>
      <c r="E821" s="2">
        <v>82</v>
      </c>
      <c r="F821" s="2">
        <v>-3.6</v>
      </c>
      <c r="H821" s="2">
        <v>4360</v>
      </c>
      <c r="I821" s="2">
        <v>189</v>
      </c>
      <c r="J821" s="2">
        <v>549360</v>
      </c>
      <c r="K821" s="2">
        <v>6883</v>
      </c>
      <c r="L821" s="2">
        <v>425.5</v>
      </c>
      <c r="M821" s="2">
        <v>1057.2</v>
      </c>
      <c r="N821" s="2">
        <v>21410</v>
      </c>
    </row>
    <row r="822" spans="1:15" ht="24.95" customHeight="1" x14ac:dyDescent="0.25">
      <c r="A822" s="17" t="s">
        <v>898</v>
      </c>
      <c r="B822" s="2">
        <v>284</v>
      </c>
      <c r="C822" s="2">
        <v>124</v>
      </c>
      <c r="D822" s="2">
        <v>40.799999999999997</v>
      </c>
      <c r="E822" s="2">
        <v>86</v>
      </c>
      <c r="F822" s="2">
        <v>-2.8</v>
      </c>
      <c r="H822" s="2">
        <v>520</v>
      </c>
      <c r="I822" s="2">
        <v>144</v>
      </c>
      <c r="J822" s="2">
        <v>64480</v>
      </c>
      <c r="K822" s="2">
        <v>1296</v>
      </c>
      <c r="L822" s="2">
        <v>62.5</v>
      </c>
      <c r="M822" s="2">
        <v>130.69999999999999</v>
      </c>
      <c r="N822" s="2">
        <v>4200</v>
      </c>
      <c r="O822" s="2">
        <v>31.2</v>
      </c>
    </row>
    <row r="823" spans="1:15" ht="24.95" customHeight="1" x14ac:dyDescent="0.25">
      <c r="A823" s="17" t="s">
        <v>899</v>
      </c>
      <c r="B823" s="2">
        <v>282</v>
      </c>
      <c r="C823" s="2">
        <v>118</v>
      </c>
      <c r="D823" s="2">
        <v>37.5</v>
      </c>
      <c r="E823" s="2">
        <v>83.5</v>
      </c>
      <c r="F823" s="2">
        <v>-3</v>
      </c>
      <c r="H823" s="2">
        <v>1635</v>
      </c>
      <c r="I823" s="2">
        <v>217</v>
      </c>
      <c r="J823" s="2">
        <v>192930</v>
      </c>
      <c r="K823" s="2">
        <v>2964</v>
      </c>
      <c r="L823" s="2">
        <v>240.7</v>
      </c>
      <c r="M823" s="2">
        <v>389</v>
      </c>
      <c r="N823" s="2">
        <v>9270</v>
      </c>
      <c r="O823" s="2">
        <v>4.7</v>
      </c>
    </row>
    <row r="824" spans="1:15" ht="24.95" customHeight="1" x14ac:dyDescent="0.25">
      <c r="A824" s="17" t="s">
        <v>900</v>
      </c>
      <c r="B824" s="2">
        <v>270</v>
      </c>
      <c r="C824" s="2">
        <v>118</v>
      </c>
      <c r="D824" s="2">
        <v>34</v>
      </c>
      <c r="E824" s="2">
        <v>86</v>
      </c>
      <c r="F824" s="2">
        <v>-2</v>
      </c>
      <c r="H824" s="2">
        <v>210</v>
      </c>
      <c r="I824" s="2">
        <v>144</v>
      </c>
      <c r="J824" s="2">
        <v>24780</v>
      </c>
      <c r="K824" s="2">
        <v>515</v>
      </c>
      <c r="L824" s="2">
        <v>29</v>
      </c>
      <c r="M824" s="2">
        <v>54.5</v>
      </c>
      <c r="N824" s="2">
        <v>1820</v>
      </c>
      <c r="O824" s="2">
        <v>33.700000000000003</v>
      </c>
    </row>
    <row r="825" spans="1:15" ht="24.95" customHeight="1" x14ac:dyDescent="0.25">
      <c r="A825" s="17" t="s">
        <v>901</v>
      </c>
      <c r="B825" s="2">
        <v>264</v>
      </c>
      <c r="C825" s="2">
        <v>110</v>
      </c>
      <c r="D825" s="2">
        <v>25</v>
      </c>
      <c r="E825" s="2">
        <v>86</v>
      </c>
      <c r="F825" s="2">
        <v>-1</v>
      </c>
      <c r="H825" s="2">
        <v>875</v>
      </c>
      <c r="I825" s="2">
        <v>192</v>
      </c>
      <c r="J825" s="2">
        <v>96250</v>
      </c>
      <c r="K825" s="2">
        <v>1948</v>
      </c>
      <c r="L825" s="2">
        <v>110.7</v>
      </c>
      <c r="M825" s="2">
        <v>216.9</v>
      </c>
      <c r="N825" s="2">
        <v>6240</v>
      </c>
      <c r="O825" s="2">
        <v>19.100000000000001</v>
      </c>
    </row>
    <row r="826" spans="1:15" ht="24.95" customHeight="1" x14ac:dyDescent="0.25">
      <c r="A826" s="17" t="s">
        <v>902</v>
      </c>
      <c r="B826" s="2">
        <v>264</v>
      </c>
      <c r="C826" s="2">
        <v>102</v>
      </c>
      <c r="D826" s="2">
        <v>18.2</v>
      </c>
      <c r="E826" s="2">
        <v>86</v>
      </c>
      <c r="F826" s="2">
        <v>-2.2000000000000002</v>
      </c>
      <c r="H826" s="2">
        <v>665</v>
      </c>
      <c r="I826" s="2">
        <v>259</v>
      </c>
      <c r="J826" s="2">
        <v>67830</v>
      </c>
      <c r="K826" s="2">
        <v>1426</v>
      </c>
      <c r="L826" s="2">
        <v>90.1</v>
      </c>
      <c r="M826" s="2">
        <v>155.69999999999999</v>
      </c>
      <c r="N826" s="2">
        <v>4500</v>
      </c>
      <c r="O826" s="2">
        <v>21.8</v>
      </c>
    </row>
    <row r="827" spans="1:15" ht="24.95" customHeight="1" x14ac:dyDescent="0.25">
      <c r="A827" s="17" t="s">
        <v>903</v>
      </c>
      <c r="B827" s="2">
        <v>290</v>
      </c>
      <c r="C827" s="2">
        <v>122</v>
      </c>
      <c r="D827" s="2">
        <v>37.200000000000003</v>
      </c>
      <c r="E827" s="2">
        <v>86</v>
      </c>
      <c r="F827" s="2">
        <v>-1.2</v>
      </c>
      <c r="H827" s="2">
        <v>1460</v>
      </c>
      <c r="I827" s="2">
        <v>215</v>
      </c>
      <c r="J827" s="2">
        <v>178120</v>
      </c>
      <c r="K827" s="2">
        <v>2858</v>
      </c>
      <c r="L827" s="2">
        <v>168.8</v>
      </c>
      <c r="M827" s="2">
        <v>361.7</v>
      </c>
      <c r="N827" s="2">
        <v>9320</v>
      </c>
      <c r="O827" s="2">
        <v>14</v>
      </c>
    </row>
    <row r="828" spans="1:15" ht="24.95" customHeight="1" x14ac:dyDescent="0.25">
      <c r="A828" s="17" t="s">
        <v>897</v>
      </c>
      <c r="B828" s="2">
        <v>250</v>
      </c>
      <c r="C828" s="2">
        <v>104</v>
      </c>
      <c r="D828" s="2">
        <v>17.399999999999999</v>
      </c>
      <c r="E828" s="2">
        <v>86</v>
      </c>
      <c r="F828" s="2">
        <v>0.6</v>
      </c>
      <c r="G828" s="2">
        <v>106.4</v>
      </c>
      <c r="H828" s="2">
        <v>1537</v>
      </c>
      <c r="I828" s="2">
        <v>177</v>
      </c>
      <c r="J828" s="2">
        <v>163464</v>
      </c>
      <c r="K828" s="2">
        <v>5099</v>
      </c>
      <c r="L828" s="2">
        <v>272.60000000000002</v>
      </c>
      <c r="M828" s="2">
        <v>402.2</v>
      </c>
      <c r="N828" s="2">
        <v>15750</v>
      </c>
      <c r="O828" s="2">
        <v>42.6</v>
      </c>
    </row>
    <row r="829" spans="1:15" ht="24.95" customHeight="1" x14ac:dyDescent="0.25">
      <c r="A829" s="17" t="s">
        <v>904</v>
      </c>
      <c r="B829" s="2">
        <v>252</v>
      </c>
      <c r="C829" s="2">
        <v>108</v>
      </c>
      <c r="D829" s="2">
        <v>22.1</v>
      </c>
      <c r="E829" s="2">
        <v>86</v>
      </c>
      <c r="F829" s="2">
        <v>-0.1</v>
      </c>
      <c r="G829" s="2">
        <v>109.5</v>
      </c>
      <c r="H829" s="2">
        <v>5330</v>
      </c>
      <c r="I829" s="2">
        <v>188</v>
      </c>
      <c r="J829" s="2">
        <v>583884</v>
      </c>
      <c r="K829" s="2">
        <v>11666</v>
      </c>
      <c r="L829" s="2">
        <v>802.6</v>
      </c>
      <c r="M829" s="2">
        <v>1297.5</v>
      </c>
      <c r="N829" s="2">
        <v>42910</v>
      </c>
      <c r="O829" s="2">
        <v>28.2</v>
      </c>
    </row>
    <row r="830" spans="1:15" ht="24.95" customHeight="1" x14ac:dyDescent="0.25">
      <c r="A830" s="17" t="s">
        <v>898</v>
      </c>
      <c r="B830" s="2">
        <v>228</v>
      </c>
      <c r="C830" s="2">
        <v>100</v>
      </c>
      <c r="D830" s="2">
        <v>14.4</v>
      </c>
      <c r="E830" s="2">
        <v>86</v>
      </c>
      <c r="F830" s="2">
        <v>-0.4</v>
      </c>
      <c r="G830" s="2">
        <v>102</v>
      </c>
      <c r="H830" s="2">
        <v>1460</v>
      </c>
      <c r="I830" s="2">
        <v>175</v>
      </c>
      <c r="J830" s="2">
        <v>149601</v>
      </c>
      <c r="K830" s="2">
        <v>5238</v>
      </c>
      <c r="L830" s="2">
        <v>271</v>
      </c>
      <c r="M830" s="2">
        <v>389.8</v>
      </c>
      <c r="N830" s="2">
        <v>16230</v>
      </c>
      <c r="O830" s="2">
        <v>47.3</v>
      </c>
    </row>
    <row r="831" spans="1:15" ht="24.95" customHeight="1" x14ac:dyDescent="0.25">
      <c r="A831" s="17" t="s">
        <v>6785</v>
      </c>
      <c r="B831" s="2">
        <v>225</v>
      </c>
      <c r="C831" s="2">
        <v>98</v>
      </c>
      <c r="D831" s="2">
        <v>14.5</v>
      </c>
      <c r="E831" s="2">
        <v>86</v>
      </c>
      <c r="F831" s="2">
        <v>-2.5</v>
      </c>
      <c r="G831" s="2">
        <v>99.7</v>
      </c>
      <c r="H831" s="2">
        <v>3100</v>
      </c>
      <c r="I831" s="2">
        <v>192</v>
      </c>
      <c r="J831" s="2">
        <v>309171</v>
      </c>
      <c r="K831" s="2">
        <v>6853</v>
      </c>
      <c r="L831" s="2">
        <v>537</v>
      </c>
      <c r="M831" s="2">
        <v>722.6</v>
      </c>
      <c r="N831" s="2">
        <v>22990</v>
      </c>
      <c r="O831" s="2">
        <v>27.1</v>
      </c>
    </row>
    <row r="832" spans="1:15" ht="24.95" customHeight="1" x14ac:dyDescent="0.25">
      <c r="A832" s="17" t="s">
        <v>906</v>
      </c>
      <c r="B832" s="2">
        <v>222</v>
      </c>
      <c r="C832" s="2">
        <v>94</v>
      </c>
      <c r="D832" s="2">
        <v>12.2</v>
      </c>
      <c r="E832" s="2">
        <v>96</v>
      </c>
      <c r="F832" s="2">
        <v>-4.2</v>
      </c>
      <c r="G832" s="2">
        <v>95.7</v>
      </c>
      <c r="H832" s="2">
        <v>4936</v>
      </c>
      <c r="I832" s="2">
        <v>164</v>
      </c>
      <c r="J832" s="2">
        <v>472546</v>
      </c>
      <c r="K832" s="2">
        <v>7070</v>
      </c>
      <c r="L832" s="2">
        <v>484.1</v>
      </c>
      <c r="M832" s="2">
        <v>942.3</v>
      </c>
      <c r="N832" s="2">
        <v>30750</v>
      </c>
      <c r="O832" s="2">
        <v>14.4</v>
      </c>
    </row>
    <row r="833" spans="1:15" ht="24.95" customHeight="1" x14ac:dyDescent="0.25">
      <c r="A833" s="17" t="s">
        <v>903</v>
      </c>
      <c r="B833" s="2">
        <v>246</v>
      </c>
      <c r="C833" s="2">
        <v>102</v>
      </c>
      <c r="D833" s="2">
        <v>16.8</v>
      </c>
      <c r="E833" s="2">
        <v>86</v>
      </c>
      <c r="F833" s="2">
        <v>-0.8</v>
      </c>
      <c r="G833" s="2">
        <v>103.9</v>
      </c>
      <c r="H833" s="2">
        <v>3213</v>
      </c>
      <c r="I833" s="2">
        <v>175</v>
      </c>
      <c r="J833" s="2">
        <v>333675</v>
      </c>
      <c r="K833" s="2">
        <v>7170</v>
      </c>
      <c r="L833" s="2">
        <v>364.6</v>
      </c>
      <c r="M833" s="2">
        <v>726.5</v>
      </c>
      <c r="N833" s="2">
        <v>25930</v>
      </c>
      <c r="O833" s="2">
        <v>31.7</v>
      </c>
    </row>
    <row r="834" spans="1:15" ht="24.95" customHeight="1" x14ac:dyDescent="0.25">
      <c r="A834" s="17" t="s">
        <v>6786</v>
      </c>
      <c r="B834" s="2">
        <v>163</v>
      </c>
      <c r="C834" s="2">
        <v>68</v>
      </c>
      <c r="H834" s="2">
        <v>2920</v>
      </c>
      <c r="I834" s="2">
        <v>147</v>
      </c>
      <c r="J834" s="2">
        <v>198560</v>
      </c>
      <c r="K834" s="2">
        <v>6442</v>
      </c>
      <c r="L834" s="2">
        <v>285.8</v>
      </c>
      <c r="M834" s="2">
        <v>670.7</v>
      </c>
      <c r="N834" s="2">
        <v>26390</v>
      </c>
      <c r="O834" s="2">
        <v>36.1</v>
      </c>
    </row>
    <row r="835" spans="1:15" ht="24.95" customHeight="1" x14ac:dyDescent="0.25">
      <c r="A835" s="17" t="s">
        <v>909</v>
      </c>
      <c r="B835" s="2">
        <v>234</v>
      </c>
      <c r="C835" s="2">
        <v>96</v>
      </c>
      <c r="D835" s="2">
        <v>27.4</v>
      </c>
      <c r="E835" s="2">
        <v>68</v>
      </c>
      <c r="F835" s="2">
        <v>0.6</v>
      </c>
      <c r="H835" s="2">
        <v>550</v>
      </c>
      <c r="I835" s="2">
        <v>129</v>
      </c>
      <c r="J835" s="2">
        <v>52800</v>
      </c>
      <c r="K835" s="2">
        <v>1388</v>
      </c>
      <c r="L835" s="2">
        <v>71.8</v>
      </c>
      <c r="M835" s="2">
        <v>137.1</v>
      </c>
      <c r="N835" s="2">
        <v>4440</v>
      </c>
      <c r="O835" s="2">
        <v>26.6</v>
      </c>
    </row>
    <row r="836" spans="1:15" ht="24.95" customHeight="1" x14ac:dyDescent="0.25">
      <c r="A836" s="17" t="s">
        <v>910</v>
      </c>
      <c r="B836" s="2">
        <v>252</v>
      </c>
      <c r="C836" s="2">
        <v>94</v>
      </c>
      <c r="D836" s="2">
        <v>24.3</v>
      </c>
      <c r="E836" s="2">
        <v>68</v>
      </c>
      <c r="F836" s="2">
        <v>1.7</v>
      </c>
      <c r="G836" s="2">
        <v>96.3</v>
      </c>
      <c r="H836" s="2">
        <v>650</v>
      </c>
      <c r="I836" s="2">
        <v>306</v>
      </c>
      <c r="J836" s="2">
        <v>62574</v>
      </c>
      <c r="K836" s="2">
        <v>1105</v>
      </c>
      <c r="L836" s="2">
        <v>47.8</v>
      </c>
      <c r="M836" s="2">
        <v>159.9</v>
      </c>
      <c r="N836" s="2">
        <v>3460</v>
      </c>
    </row>
    <row r="837" spans="1:15" ht="24.95" customHeight="1" x14ac:dyDescent="0.25">
      <c r="A837" s="17" t="s">
        <v>909</v>
      </c>
      <c r="B837" s="2">
        <v>206</v>
      </c>
      <c r="C837" s="2">
        <v>84</v>
      </c>
      <c r="D837" s="2">
        <v>14.7</v>
      </c>
      <c r="E837" s="2">
        <v>68</v>
      </c>
      <c r="F837" s="2">
        <v>1.3</v>
      </c>
      <c r="G837" s="2">
        <v>85.8</v>
      </c>
      <c r="H837" s="2">
        <v>1145</v>
      </c>
      <c r="I837" s="2">
        <v>108</v>
      </c>
      <c r="J837" s="2">
        <v>98252</v>
      </c>
      <c r="K837" s="2">
        <v>2060</v>
      </c>
      <c r="L837" s="2">
        <v>86.4</v>
      </c>
      <c r="M837" s="2">
        <v>230.6</v>
      </c>
      <c r="N837" s="2">
        <v>12350</v>
      </c>
      <c r="O837" s="2">
        <v>46.4</v>
      </c>
    </row>
    <row r="838" spans="1:15" ht="24.95" customHeight="1" x14ac:dyDescent="0.25">
      <c r="A838" s="17" t="s">
        <v>911</v>
      </c>
      <c r="B838" s="2">
        <v>236</v>
      </c>
      <c r="C838" s="2">
        <v>98</v>
      </c>
      <c r="D838" s="2">
        <v>27.7</v>
      </c>
      <c r="E838" s="2">
        <v>68</v>
      </c>
      <c r="F838" s="2">
        <v>2.2999999999999998</v>
      </c>
      <c r="G838" s="2">
        <v>102.5</v>
      </c>
      <c r="H838" s="2">
        <v>570</v>
      </c>
      <c r="I838" s="2">
        <v>148</v>
      </c>
      <c r="J838" s="2">
        <v>58440</v>
      </c>
      <c r="K838" s="2">
        <v>1889</v>
      </c>
      <c r="L838" s="2">
        <v>79.8</v>
      </c>
      <c r="M838" s="2">
        <v>143.1</v>
      </c>
      <c r="N838" s="2">
        <v>6140</v>
      </c>
      <c r="O838" s="2">
        <v>45.5</v>
      </c>
    </row>
    <row r="839" spans="1:15" ht="24.95" customHeight="1" x14ac:dyDescent="0.25">
      <c r="A839" s="17" t="s">
        <v>6787</v>
      </c>
      <c r="B839" s="2">
        <v>208</v>
      </c>
      <c r="C839" s="2">
        <v>83.5</v>
      </c>
      <c r="H839" s="2">
        <v>39593</v>
      </c>
      <c r="I839" s="2">
        <v>179</v>
      </c>
      <c r="J839" s="2">
        <v>3306016</v>
      </c>
      <c r="K839" s="2">
        <v>93283</v>
      </c>
      <c r="L839" s="2">
        <v>4813.3999999999996</v>
      </c>
      <c r="M839" s="2">
        <v>9515.9</v>
      </c>
      <c r="N839" s="2">
        <v>306150</v>
      </c>
      <c r="O839" s="2">
        <v>27.9</v>
      </c>
    </row>
    <row r="840" spans="1:15" ht="24.95" customHeight="1" x14ac:dyDescent="0.25">
      <c r="A840" s="17" t="s">
        <v>914</v>
      </c>
      <c r="B840" s="2">
        <v>306</v>
      </c>
      <c r="C840" s="2">
        <v>138</v>
      </c>
      <c r="D840" s="2">
        <v>53.8</v>
      </c>
      <c r="E840" s="2">
        <v>83.5</v>
      </c>
      <c r="F840" s="2">
        <v>0.7</v>
      </c>
      <c r="H840" s="2">
        <v>115</v>
      </c>
      <c r="I840" s="2">
        <v>113</v>
      </c>
      <c r="J840" s="2">
        <v>15870</v>
      </c>
      <c r="K840" s="2">
        <v>389</v>
      </c>
      <c r="L840" s="2">
        <v>15.1</v>
      </c>
      <c r="M840" s="2">
        <v>32</v>
      </c>
      <c r="N840" s="2">
        <v>1220</v>
      </c>
      <c r="O840" s="2">
        <v>43.1</v>
      </c>
    </row>
    <row r="841" spans="1:15" ht="24.95" customHeight="1" x14ac:dyDescent="0.25">
      <c r="A841" s="17" t="s">
        <v>915</v>
      </c>
      <c r="B841" s="2">
        <v>300</v>
      </c>
      <c r="C841" s="2">
        <v>122</v>
      </c>
      <c r="D841" s="2">
        <v>34.200000000000003</v>
      </c>
      <c r="E841" s="2">
        <v>89</v>
      </c>
      <c r="F841" s="2">
        <v>-1.2</v>
      </c>
      <c r="H841" s="2">
        <v>1270</v>
      </c>
      <c r="I841" s="2">
        <v>189</v>
      </c>
      <c r="J841" s="2">
        <v>154940</v>
      </c>
      <c r="K841" s="2">
        <v>2606</v>
      </c>
      <c r="L841" s="2">
        <v>140.6</v>
      </c>
      <c r="M841" s="2">
        <v>311.39999999999998</v>
      </c>
      <c r="N841" s="2">
        <v>7840</v>
      </c>
      <c r="O841" s="2">
        <v>12.8</v>
      </c>
    </row>
    <row r="842" spans="1:15" ht="24.95" customHeight="1" x14ac:dyDescent="0.25">
      <c r="A842" s="17" t="s">
        <v>916</v>
      </c>
      <c r="B842" s="2">
        <v>318</v>
      </c>
      <c r="C842" s="2">
        <v>132</v>
      </c>
      <c r="D842" s="2">
        <v>47.8</v>
      </c>
      <c r="E842" s="2">
        <v>83.5</v>
      </c>
      <c r="F842" s="2">
        <v>0.7</v>
      </c>
      <c r="H842" s="2">
        <v>792</v>
      </c>
      <c r="I842" s="2">
        <v>167</v>
      </c>
      <c r="J842" s="2">
        <v>104544</v>
      </c>
      <c r="K842" s="2">
        <v>2216</v>
      </c>
      <c r="L842" s="2">
        <v>102.2</v>
      </c>
      <c r="M842" s="2">
        <v>204.1</v>
      </c>
      <c r="N842" s="2">
        <v>6760</v>
      </c>
      <c r="O842" s="2">
        <v>31.6</v>
      </c>
    </row>
    <row r="843" spans="1:15" ht="24.95" customHeight="1" x14ac:dyDescent="0.25">
      <c r="A843" s="17" t="s">
        <v>919</v>
      </c>
      <c r="B843" s="2">
        <v>314</v>
      </c>
      <c r="C843" s="2">
        <v>118</v>
      </c>
      <c r="D843" s="2">
        <v>33.700000000000003</v>
      </c>
      <c r="E843" s="2">
        <v>85</v>
      </c>
      <c r="F843" s="2">
        <v>-0.7</v>
      </c>
      <c r="H843" s="2">
        <v>1850</v>
      </c>
      <c r="I843" s="2">
        <v>174</v>
      </c>
      <c r="J843" s="2">
        <v>218300</v>
      </c>
      <c r="K843" s="2">
        <v>3714</v>
      </c>
      <c r="L843" s="2">
        <v>203.9</v>
      </c>
      <c r="M843" s="2">
        <v>444.8</v>
      </c>
      <c r="N843" s="2">
        <v>11520</v>
      </c>
      <c r="O843" s="2">
        <v>14</v>
      </c>
    </row>
    <row r="844" spans="1:15" ht="24.95" customHeight="1" x14ac:dyDescent="0.25">
      <c r="A844" s="17" t="s">
        <v>920</v>
      </c>
      <c r="B844" s="2">
        <v>318</v>
      </c>
      <c r="C844" s="2">
        <v>129</v>
      </c>
      <c r="D844" s="2">
        <v>46.4</v>
      </c>
      <c r="E844" s="2">
        <v>83.5</v>
      </c>
      <c r="F844" s="2">
        <v>-0.9</v>
      </c>
      <c r="H844" s="2">
        <v>9270</v>
      </c>
      <c r="I844" s="2">
        <v>203</v>
      </c>
      <c r="J844" s="2">
        <v>1195830</v>
      </c>
      <c r="K844" s="2">
        <v>15785</v>
      </c>
      <c r="L844" s="2">
        <v>1037.2</v>
      </c>
      <c r="M844" s="2">
        <v>2187.6999999999998</v>
      </c>
      <c r="N844" s="2">
        <v>50120</v>
      </c>
    </row>
    <row r="845" spans="1:15" ht="24.95" customHeight="1" x14ac:dyDescent="0.25">
      <c r="A845" s="17" t="s">
        <v>921</v>
      </c>
      <c r="B845" s="2">
        <v>305</v>
      </c>
      <c r="C845" s="2">
        <v>124</v>
      </c>
      <c r="D845" s="2">
        <v>34</v>
      </c>
      <c r="E845" s="2">
        <v>89</v>
      </c>
      <c r="F845" s="2">
        <v>1</v>
      </c>
      <c r="H845" s="2">
        <v>1543</v>
      </c>
      <c r="I845" s="2">
        <v>203</v>
      </c>
      <c r="J845" s="2">
        <v>191332</v>
      </c>
      <c r="K845" s="2">
        <v>4636</v>
      </c>
      <c r="L845" s="2">
        <v>188.1</v>
      </c>
      <c r="M845" s="2">
        <v>381.1</v>
      </c>
      <c r="N845" s="2">
        <v>14970</v>
      </c>
      <c r="O845" s="2">
        <v>43.1</v>
      </c>
    </row>
    <row r="846" spans="1:15" ht="24.95" customHeight="1" x14ac:dyDescent="0.25">
      <c r="A846" s="17" t="s">
        <v>922</v>
      </c>
      <c r="B846" s="2">
        <v>312</v>
      </c>
      <c r="C846" s="2">
        <v>124</v>
      </c>
      <c r="D846" s="2">
        <v>35.6</v>
      </c>
      <c r="E846" s="2">
        <v>89</v>
      </c>
      <c r="F846" s="2">
        <v>-0.6</v>
      </c>
      <c r="H846" s="2">
        <v>403</v>
      </c>
      <c r="I846" s="2">
        <v>160</v>
      </c>
      <c r="J846" s="2">
        <v>49972</v>
      </c>
      <c r="K846" s="2">
        <v>966</v>
      </c>
      <c r="L846" s="2">
        <v>70</v>
      </c>
      <c r="M846" s="2">
        <v>102</v>
      </c>
      <c r="N846" s="2">
        <v>2760</v>
      </c>
      <c r="O846" s="2">
        <v>18.5</v>
      </c>
    </row>
    <row r="847" spans="1:15" ht="24.95" customHeight="1" x14ac:dyDescent="0.25">
      <c r="A847" s="17" t="s">
        <v>923</v>
      </c>
      <c r="B847" s="2">
        <v>300</v>
      </c>
      <c r="C847" s="2">
        <v>120</v>
      </c>
      <c r="D847" s="2">
        <v>30.1</v>
      </c>
      <c r="E847" s="2">
        <v>89</v>
      </c>
      <c r="F847" s="2">
        <v>0.9</v>
      </c>
      <c r="H847" s="2">
        <v>1112</v>
      </c>
      <c r="I847" s="2">
        <v>241</v>
      </c>
      <c r="J847" s="2">
        <v>133440</v>
      </c>
      <c r="K847" s="2">
        <v>3262</v>
      </c>
      <c r="L847" s="2">
        <v>141</v>
      </c>
      <c r="M847" s="2">
        <v>278</v>
      </c>
      <c r="N847" s="2">
        <v>9870</v>
      </c>
      <c r="O847" s="2">
        <v>38.6</v>
      </c>
    </row>
    <row r="848" spans="1:15" ht="24.95" customHeight="1" x14ac:dyDescent="0.25">
      <c r="A848" s="17" t="s">
        <v>924</v>
      </c>
      <c r="B848" s="2">
        <v>306</v>
      </c>
      <c r="C848" s="2">
        <v>126</v>
      </c>
      <c r="D848" s="2">
        <v>37.5</v>
      </c>
      <c r="E848" s="2">
        <v>89</v>
      </c>
      <c r="F848" s="2">
        <v>-0.5</v>
      </c>
      <c r="H848" s="2">
        <v>293</v>
      </c>
      <c r="I848" s="2">
        <v>166</v>
      </c>
      <c r="J848" s="2">
        <v>36918</v>
      </c>
      <c r="K848" s="2">
        <v>744</v>
      </c>
      <c r="L848" s="2">
        <v>36.5</v>
      </c>
      <c r="M848" s="2">
        <v>73.400000000000006</v>
      </c>
      <c r="N848" s="2">
        <v>2290</v>
      </c>
      <c r="O848" s="2">
        <v>28.9</v>
      </c>
    </row>
    <row r="849" spans="1:15" ht="24.95" customHeight="1" x14ac:dyDescent="0.25">
      <c r="A849" s="17" t="s">
        <v>925</v>
      </c>
      <c r="B849" s="2">
        <v>306</v>
      </c>
      <c r="C849" s="2">
        <v>120</v>
      </c>
      <c r="D849" s="2">
        <v>32.799999999999997</v>
      </c>
      <c r="E849" s="2">
        <v>89</v>
      </c>
      <c r="F849" s="2">
        <v>-1.8</v>
      </c>
      <c r="H849" s="2">
        <v>839</v>
      </c>
      <c r="I849" s="2">
        <v>143</v>
      </c>
      <c r="J849" s="2">
        <v>100680</v>
      </c>
      <c r="K849" s="2">
        <v>1960</v>
      </c>
      <c r="L849" s="2">
        <v>106.1</v>
      </c>
      <c r="M849" s="2">
        <v>201.7</v>
      </c>
      <c r="N849" s="2">
        <v>5920</v>
      </c>
      <c r="O849" s="2">
        <v>23.4</v>
      </c>
    </row>
    <row r="850" spans="1:15" ht="24.95" customHeight="1" x14ac:dyDescent="0.25">
      <c r="A850" s="17" t="s">
        <v>566</v>
      </c>
      <c r="B850" s="2">
        <v>281</v>
      </c>
      <c r="C850" s="2">
        <v>128</v>
      </c>
      <c r="D850" s="2">
        <v>40.200000000000003</v>
      </c>
      <c r="E850" s="2">
        <v>89</v>
      </c>
      <c r="F850" s="2">
        <v>-1.2</v>
      </c>
      <c r="H850" s="2">
        <v>740</v>
      </c>
      <c r="I850" s="2">
        <v>164</v>
      </c>
      <c r="J850" s="2">
        <v>94720</v>
      </c>
      <c r="K850" s="2">
        <v>1529</v>
      </c>
      <c r="L850" s="2">
        <v>81.3</v>
      </c>
      <c r="M850" s="2">
        <v>176.9</v>
      </c>
      <c r="N850" s="2">
        <v>4710</v>
      </c>
      <c r="O850" s="2">
        <v>13.4</v>
      </c>
    </row>
    <row r="851" spans="1:15" ht="24.95" customHeight="1" x14ac:dyDescent="0.25">
      <c r="A851" s="17" t="s">
        <v>926</v>
      </c>
      <c r="B851" s="2">
        <v>316</v>
      </c>
      <c r="C851" s="2">
        <v>130</v>
      </c>
      <c r="D851" s="2">
        <v>40.6</v>
      </c>
      <c r="E851" s="2">
        <v>89</v>
      </c>
      <c r="F851" s="2">
        <v>0.4</v>
      </c>
      <c r="H851" s="2">
        <v>1680</v>
      </c>
      <c r="I851" s="2">
        <v>200</v>
      </c>
      <c r="J851" s="2">
        <v>218400</v>
      </c>
      <c r="K851" s="2">
        <v>4207</v>
      </c>
      <c r="L851" s="2">
        <v>202.8</v>
      </c>
      <c r="M851" s="2">
        <v>394</v>
      </c>
      <c r="N851" s="2">
        <v>12380</v>
      </c>
      <c r="O851" s="2">
        <v>23.7</v>
      </c>
    </row>
    <row r="852" spans="1:15" ht="24.95" customHeight="1" x14ac:dyDescent="0.25">
      <c r="A852" s="17" t="s">
        <v>927</v>
      </c>
      <c r="B852" s="2">
        <v>306</v>
      </c>
      <c r="C852" s="2">
        <v>126</v>
      </c>
      <c r="D852" s="2">
        <v>38.5</v>
      </c>
      <c r="E852" s="2">
        <v>89</v>
      </c>
      <c r="F852" s="2">
        <v>-1.4</v>
      </c>
      <c r="H852" s="2">
        <v>2410</v>
      </c>
      <c r="I852" s="2">
        <v>177</v>
      </c>
      <c r="J852" s="2">
        <v>303660</v>
      </c>
      <c r="K852" s="2">
        <v>4746</v>
      </c>
      <c r="L852" s="2">
        <v>305.10000000000002</v>
      </c>
      <c r="M852" s="2">
        <v>617.70000000000005</v>
      </c>
      <c r="N852" s="2">
        <v>14430</v>
      </c>
      <c r="O852" s="2">
        <v>5.4</v>
      </c>
    </row>
    <row r="853" spans="1:15" ht="24.95" customHeight="1" x14ac:dyDescent="0.25">
      <c r="A853" s="17" t="s">
        <v>928</v>
      </c>
      <c r="B853" s="2">
        <v>318</v>
      </c>
      <c r="C853" s="2">
        <v>132</v>
      </c>
      <c r="D853" s="2">
        <v>48.7</v>
      </c>
      <c r="E853" s="2">
        <v>85</v>
      </c>
      <c r="F853" s="2">
        <v>-1.7</v>
      </c>
      <c r="H853" s="2">
        <v>357</v>
      </c>
      <c r="I853" s="2">
        <v>151</v>
      </c>
      <c r="J853" s="2">
        <v>47124</v>
      </c>
      <c r="K853" s="2">
        <v>876</v>
      </c>
      <c r="L853" s="2">
        <v>44.8</v>
      </c>
      <c r="M853" s="2">
        <v>92.1</v>
      </c>
      <c r="N853" s="2">
        <v>2600</v>
      </c>
      <c r="O853" s="2">
        <v>20.5</v>
      </c>
    </row>
    <row r="854" spans="1:15" ht="24.95" customHeight="1" x14ac:dyDescent="0.25">
      <c r="A854" s="17" t="s">
        <v>1270</v>
      </c>
      <c r="B854" s="2">
        <v>296</v>
      </c>
      <c r="C854" s="2">
        <v>124</v>
      </c>
      <c r="D854" s="2">
        <v>39.200000000000003</v>
      </c>
      <c r="E854" s="2">
        <v>85</v>
      </c>
      <c r="F854" s="2">
        <v>-0.2</v>
      </c>
      <c r="H854" s="2">
        <v>972</v>
      </c>
      <c r="I854" s="2">
        <v>156</v>
      </c>
      <c r="J854" s="2">
        <v>120528</v>
      </c>
      <c r="K854" s="2">
        <v>2322</v>
      </c>
      <c r="L854" s="2">
        <v>122.8</v>
      </c>
      <c r="M854" s="2">
        <v>244.1</v>
      </c>
      <c r="N854" s="2">
        <v>7150</v>
      </c>
      <c r="O854" s="2">
        <v>23.1</v>
      </c>
    </row>
    <row r="855" spans="1:15" ht="24.95" customHeight="1" x14ac:dyDescent="0.25">
      <c r="A855" s="17" t="s">
        <v>5328</v>
      </c>
      <c r="B855" s="2">
        <v>264</v>
      </c>
      <c r="C855" s="2">
        <v>107</v>
      </c>
      <c r="D855" s="2">
        <v>18</v>
      </c>
      <c r="E855" s="2">
        <v>89</v>
      </c>
      <c r="F855" s="2">
        <v>1</v>
      </c>
      <c r="G855" s="2">
        <v>109.1</v>
      </c>
      <c r="H855" s="2">
        <v>2200</v>
      </c>
      <c r="I855" s="2">
        <v>161</v>
      </c>
      <c r="J855" s="2">
        <v>240102</v>
      </c>
      <c r="K855" s="2">
        <v>7254</v>
      </c>
      <c r="L855" s="2">
        <v>368.5</v>
      </c>
      <c r="M855" s="2">
        <v>575.1</v>
      </c>
      <c r="N855" s="2">
        <v>22950</v>
      </c>
      <c r="O855" s="2">
        <v>44.1</v>
      </c>
    </row>
    <row r="856" spans="1:15" ht="24.95" customHeight="1" x14ac:dyDescent="0.25">
      <c r="A856" s="17" t="s">
        <v>915</v>
      </c>
      <c r="B856" s="2">
        <v>252</v>
      </c>
      <c r="C856" s="2">
        <v>106</v>
      </c>
      <c r="D856" s="2">
        <v>15.9</v>
      </c>
      <c r="E856" s="2">
        <v>89</v>
      </c>
      <c r="F856" s="2">
        <v>1.1000000000000001</v>
      </c>
      <c r="G856" s="2">
        <v>106.8</v>
      </c>
      <c r="H856" s="2">
        <v>1290</v>
      </c>
      <c r="I856" s="2">
        <v>32</v>
      </c>
      <c r="J856" s="2">
        <v>137793</v>
      </c>
      <c r="K856" s="2">
        <v>4244</v>
      </c>
      <c r="L856" s="2">
        <v>187.6</v>
      </c>
      <c r="M856" s="2">
        <v>319.2</v>
      </c>
      <c r="N856" s="2">
        <v>16130</v>
      </c>
      <c r="O856" s="2">
        <v>53.6</v>
      </c>
    </row>
    <row r="857" spans="1:15" ht="24.95" customHeight="1" x14ac:dyDescent="0.25">
      <c r="A857" s="17" t="s">
        <v>1272</v>
      </c>
      <c r="B857" s="2">
        <v>268</v>
      </c>
      <c r="C857" s="2">
        <v>106</v>
      </c>
      <c r="D857" s="2">
        <v>16.100000000000001</v>
      </c>
      <c r="E857" s="2">
        <v>89</v>
      </c>
      <c r="F857" s="2">
        <v>0.9</v>
      </c>
      <c r="G857" s="2">
        <v>108.1</v>
      </c>
      <c r="H857" s="2">
        <v>467</v>
      </c>
      <c r="I857" s="2">
        <v>161</v>
      </c>
      <c r="J857" s="2">
        <v>50484</v>
      </c>
      <c r="K857" s="2">
        <v>3031</v>
      </c>
      <c r="L857" s="2">
        <v>97.6</v>
      </c>
      <c r="M857" s="2">
        <v>124.5</v>
      </c>
      <c r="N857" s="2">
        <v>8690</v>
      </c>
      <c r="O857" s="2">
        <v>69.099999999999994</v>
      </c>
    </row>
    <row r="858" spans="1:15" ht="24.95" customHeight="1" x14ac:dyDescent="0.25">
      <c r="A858" s="17" t="s">
        <v>1273</v>
      </c>
      <c r="B858" s="2">
        <v>251</v>
      </c>
      <c r="C858" s="2">
        <v>99</v>
      </c>
      <c r="D858" s="2">
        <v>9.4</v>
      </c>
      <c r="E858" s="2">
        <v>89</v>
      </c>
      <c r="F858" s="2">
        <v>0.6</v>
      </c>
      <c r="G858" s="2">
        <v>99.4</v>
      </c>
      <c r="H858" s="2">
        <v>910</v>
      </c>
      <c r="I858" s="2">
        <v>130</v>
      </c>
      <c r="J858" s="2">
        <v>90490</v>
      </c>
      <c r="K858" s="2">
        <v>2358</v>
      </c>
      <c r="L858" s="2">
        <v>112</v>
      </c>
      <c r="M858" s="2">
        <v>191.8</v>
      </c>
      <c r="N858" s="2">
        <v>9650</v>
      </c>
      <c r="O858" s="2">
        <v>47.2</v>
      </c>
    </row>
    <row r="859" spans="1:15" ht="24.95" customHeight="1" x14ac:dyDescent="0.25">
      <c r="A859" s="17" t="s">
        <v>924</v>
      </c>
      <c r="B859" s="2">
        <v>264</v>
      </c>
      <c r="C859" s="2">
        <v>100</v>
      </c>
      <c r="D859" s="2">
        <v>8.8000000000000007</v>
      </c>
      <c r="E859" s="2">
        <v>89</v>
      </c>
      <c r="F859" s="2">
        <v>2.2000000000000002</v>
      </c>
      <c r="G859" s="2">
        <v>101.2</v>
      </c>
      <c r="H859" s="2">
        <v>590</v>
      </c>
      <c r="I859" s="2">
        <v>159</v>
      </c>
      <c r="J859" s="2">
        <v>59689</v>
      </c>
      <c r="K859" s="2">
        <v>2059</v>
      </c>
      <c r="L859" s="2">
        <v>87.3</v>
      </c>
      <c r="M859" s="2">
        <v>149.19999999999999</v>
      </c>
      <c r="N859" s="2">
        <v>7620</v>
      </c>
      <c r="O859" s="2">
        <v>56.2</v>
      </c>
    </row>
    <row r="860" spans="1:15" ht="24.95" customHeight="1" x14ac:dyDescent="0.25">
      <c r="A860" s="17" t="s">
        <v>916</v>
      </c>
      <c r="B860" s="2">
        <v>280</v>
      </c>
      <c r="C860" s="2">
        <v>112</v>
      </c>
      <c r="D860" s="2">
        <v>22</v>
      </c>
      <c r="E860" s="2">
        <v>89</v>
      </c>
      <c r="F860" s="2">
        <v>1</v>
      </c>
      <c r="G860" s="2">
        <v>112</v>
      </c>
      <c r="H860" s="2">
        <v>1220</v>
      </c>
      <c r="I860" s="2">
        <v>163</v>
      </c>
      <c r="J860" s="2">
        <v>136640</v>
      </c>
      <c r="K860" s="2">
        <v>4332</v>
      </c>
      <c r="L860" s="2">
        <v>165.2</v>
      </c>
      <c r="M860" s="2">
        <v>314.5</v>
      </c>
      <c r="N860" s="2">
        <v>13420</v>
      </c>
      <c r="O860" s="2">
        <v>48.1</v>
      </c>
    </row>
    <row r="861" spans="1:15" ht="24.95" customHeight="1" x14ac:dyDescent="0.25">
      <c r="A861" s="17" t="s">
        <v>919</v>
      </c>
      <c r="B861" s="2">
        <v>271</v>
      </c>
      <c r="C861" s="2">
        <v>106</v>
      </c>
      <c r="D861" s="2">
        <v>15.9</v>
      </c>
      <c r="E861" s="2">
        <v>89</v>
      </c>
      <c r="F861" s="2">
        <v>1.1000000000000001</v>
      </c>
      <c r="G861" s="2">
        <v>108.1</v>
      </c>
      <c r="H861" s="2">
        <v>1685</v>
      </c>
      <c r="I861" s="2">
        <v>163</v>
      </c>
      <c r="J861" s="2">
        <v>182198</v>
      </c>
      <c r="K861" s="2">
        <v>5432</v>
      </c>
      <c r="L861" s="2">
        <v>242.7</v>
      </c>
      <c r="M861" s="2">
        <v>400.5</v>
      </c>
      <c r="N861" s="2">
        <v>20090</v>
      </c>
      <c r="O861" s="2">
        <v>51.4</v>
      </c>
    </row>
    <row r="862" spans="1:15" ht="24.95" customHeight="1" x14ac:dyDescent="0.25">
      <c r="A862" s="17" t="s">
        <v>1274</v>
      </c>
      <c r="B862" s="2">
        <v>254</v>
      </c>
      <c r="C862" s="2">
        <v>105</v>
      </c>
      <c r="D862" s="2">
        <v>15.9</v>
      </c>
      <c r="E862" s="2">
        <v>89</v>
      </c>
      <c r="F862" s="2">
        <v>0.1</v>
      </c>
      <c r="G862" s="2">
        <v>107.3</v>
      </c>
      <c r="H862" s="2">
        <v>1744</v>
      </c>
      <c r="I862" s="2">
        <v>159</v>
      </c>
      <c r="J862" s="2">
        <v>187065</v>
      </c>
      <c r="K862" s="2">
        <v>3583</v>
      </c>
      <c r="L862" s="2">
        <v>208.6</v>
      </c>
      <c r="M862" s="2">
        <v>381.1</v>
      </c>
      <c r="N862" s="2">
        <v>15140</v>
      </c>
      <c r="O862" s="2">
        <v>37.1</v>
      </c>
    </row>
    <row r="863" spans="1:15" ht="24.95" customHeight="1" x14ac:dyDescent="0.25">
      <c r="A863" s="17" t="s">
        <v>927</v>
      </c>
      <c r="B863" s="2">
        <v>264</v>
      </c>
      <c r="C863" s="2">
        <v>112</v>
      </c>
      <c r="D863" s="2">
        <v>22.8</v>
      </c>
      <c r="E863" s="2">
        <v>89</v>
      </c>
      <c r="F863" s="2">
        <v>0.3</v>
      </c>
      <c r="G863" s="2">
        <v>115.4</v>
      </c>
      <c r="H863" s="2">
        <v>4579</v>
      </c>
      <c r="I863" s="2">
        <v>204</v>
      </c>
      <c r="J863" s="2">
        <v>528355</v>
      </c>
      <c r="K863" s="2">
        <v>7737</v>
      </c>
      <c r="L863" s="2">
        <v>398.7</v>
      </c>
      <c r="M863" s="2">
        <v>1056</v>
      </c>
      <c r="N863" s="2">
        <v>26200</v>
      </c>
      <c r="O863" s="2">
        <v>2.5</v>
      </c>
    </row>
    <row r="864" spans="1:15" ht="24.95" customHeight="1" x14ac:dyDescent="0.25">
      <c r="A864" s="17" t="s">
        <v>928</v>
      </c>
      <c r="B864" s="2">
        <v>250</v>
      </c>
      <c r="C864" s="2">
        <v>106</v>
      </c>
      <c r="D864" s="2">
        <v>17</v>
      </c>
      <c r="E864" s="2">
        <v>89</v>
      </c>
      <c r="F864" s="2">
        <v>0.1</v>
      </c>
      <c r="G864" s="2">
        <v>106.6</v>
      </c>
      <c r="H864" s="2">
        <v>1239</v>
      </c>
      <c r="I864" s="2">
        <v>142</v>
      </c>
      <c r="J864" s="2">
        <v>132067</v>
      </c>
      <c r="K864" s="2">
        <v>3295</v>
      </c>
      <c r="L864" s="2">
        <v>147.6</v>
      </c>
      <c r="M864" s="2">
        <v>262.8</v>
      </c>
      <c r="N864" s="2">
        <v>11720</v>
      </c>
      <c r="O864" s="2">
        <v>41.4</v>
      </c>
    </row>
    <row r="865" spans="1:15" ht="24.95" customHeight="1" x14ac:dyDescent="0.25">
      <c r="A865" s="17" t="s">
        <v>6788</v>
      </c>
      <c r="B865" s="2">
        <v>150</v>
      </c>
      <c r="C865" s="2">
        <v>60</v>
      </c>
      <c r="H865" s="2">
        <v>11224</v>
      </c>
      <c r="I865" s="2">
        <v>151</v>
      </c>
      <c r="J865" s="2">
        <v>673440</v>
      </c>
      <c r="K865" s="2">
        <v>23503</v>
      </c>
      <c r="L865" s="2">
        <v>1452.6</v>
      </c>
      <c r="M865" s="2">
        <v>2675.7</v>
      </c>
      <c r="N865" s="2">
        <v>77400</v>
      </c>
      <c r="O865" s="2">
        <v>20</v>
      </c>
    </row>
    <row r="866" spans="1:15" ht="24.95" customHeight="1" x14ac:dyDescent="0.25">
      <c r="A866" s="17" t="s">
        <v>930</v>
      </c>
      <c r="B866" s="2">
        <v>294</v>
      </c>
      <c r="C866" s="2">
        <v>120</v>
      </c>
      <c r="D866" s="2">
        <v>60</v>
      </c>
      <c r="E866" s="2">
        <v>60</v>
      </c>
      <c r="H866" s="2">
        <v>9940</v>
      </c>
      <c r="I866" s="2">
        <v>152</v>
      </c>
      <c r="J866" s="2">
        <v>1192800</v>
      </c>
      <c r="K866" s="2">
        <v>19926</v>
      </c>
      <c r="L866" s="2">
        <v>1282.3</v>
      </c>
      <c r="M866" s="2">
        <v>2378.6</v>
      </c>
      <c r="N866" s="2">
        <v>63430</v>
      </c>
      <c r="O866" s="2">
        <v>14.1</v>
      </c>
    </row>
    <row r="867" spans="1:15" ht="24.95" customHeight="1" x14ac:dyDescent="0.25">
      <c r="A867" s="17" t="s">
        <v>5437</v>
      </c>
      <c r="B867" s="2">
        <v>242</v>
      </c>
      <c r="C867" s="2">
        <v>88</v>
      </c>
      <c r="D867" s="2">
        <v>13.8</v>
      </c>
      <c r="E867" s="2">
        <v>73</v>
      </c>
      <c r="F867" s="2">
        <v>1.2</v>
      </c>
      <c r="G867" s="2">
        <v>93.8</v>
      </c>
      <c r="H867" s="2">
        <v>515</v>
      </c>
      <c r="I867" s="2">
        <v>122</v>
      </c>
      <c r="J867" s="2">
        <v>72519</v>
      </c>
      <c r="K867" s="2">
        <v>855</v>
      </c>
      <c r="L867" s="2">
        <v>39.299999999999997</v>
      </c>
      <c r="M867" s="2">
        <v>97.9</v>
      </c>
      <c r="N867" s="2">
        <v>5740</v>
      </c>
      <c r="O867" s="2">
        <v>50.9</v>
      </c>
    </row>
    <row r="868" spans="1:15" ht="24.95" customHeight="1" x14ac:dyDescent="0.25">
      <c r="A868" s="17" t="s">
        <v>930</v>
      </c>
      <c r="B868" s="2">
        <v>258</v>
      </c>
      <c r="C868" s="2">
        <v>96</v>
      </c>
      <c r="D868" s="2">
        <v>21.2</v>
      </c>
      <c r="E868" s="2">
        <v>73</v>
      </c>
      <c r="F868" s="2">
        <v>1.8</v>
      </c>
      <c r="G868" s="2">
        <v>97.5</v>
      </c>
      <c r="H868" s="2">
        <v>809</v>
      </c>
      <c r="I868" s="2">
        <v>164</v>
      </c>
      <c r="J868" s="2">
        <v>78894</v>
      </c>
      <c r="K868" s="2">
        <v>2722</v>
      </c>
      <c r="L868" s="2">
        <v>131.1</v>
      </c>
      <c r="M868" s="2">
        <v>199.2</v>
      </c>
      <c r="N868" s="2">
        <v>8230</v>
      </c>
      <c r="O868" s="2">
        <v>46.3</v>
      </c>
    </row>
    <row r="869" spans="1:15" ht="24.95" customHeight="1" x14ac:dyDescent="0.25">
      <c r="A869" s="17" t="s">
        <v>6789</v>
      </c>
      <c r="B869" s="2">
        <v>185</v>
      </c>
      <c r="C869" s="2">
        <v>81</v>
      </c>
      <c r="H869" s="2">
        <v>69893</v>
      </c>
      <c r="I869" s="2">
        <v>160</v>
      </c>
      <c r="J869" s="2">
        <v>5661333</v>
      </c>
      <c r="K869" s="2">
        <v>166248</v>
      </c>
      <c r="L869" s="2">
        <v>9968</v>
      </c>
      <c r="M869" s="2">
        <v>17337.7</v>
      </c>
      <c r="N869" s="2">
        <v>527240</v>
      </c>
      <c r="O869" s="2">
        <v>24.1</v>
      </c>
    </row>
    <row r="870" spans="1:15" ht="24.95" customHeight="1" x14ac:dyDescent="0.25">
      <c r="A870" s="17" t="s">
        <v>933</v>
      </c>
      <c r="B870" s="2">
        <v>302</v>
      </c>
      <c r="C870" s="2">
        <v>132</v>
      </c>
      <c r="D870" s="2">
        <v>50.7</v>
      </c>
      <c r="E870" s="2">
        <v>81.3</v>
      </c>
      <c r="H870" s="2">
        <v>4100</v>
      </c>
      <c r="I870" s="2">
        <v>162</v>
      </c>
      <c r="J870" s="2">
        <v>541200</v>
      </c>
      <c r="K870" s="2">
        <v>7818</v>
      </c>
      <c r="L870" s="2">
        <v>415.7</v>
      </c>
      <c r="M870" s="2">
        <v>1003.9</v>
      </c>
      <c r="N870" s="2">
        <v>25930</v>
      </c>
      <c r="O870" s="2">
        <v>10.3</v>
      </c>
    </row>
    <row r="871" spans="1:15" ht="24.95" customHeight="1" x14ac:dyDescent="0.25">
      <c r="A871" s="17" t="s">
        <v>934</v>
      </c>
      <c r="B871" s="2">
        <v>280</v>
      </c>
      <c r="C871" s="2">
        <v>124</v>
      </c>
      <c r="D871" s="2">
        <v>37.6</v>
      </c>
      <c r="E871" s="2">
        <v>86</v>
      </c>
      <c r="F871" s="2">
        <v>0.4</v>
      </c>
      <c r="H871" s="2">
        <v>810</v>
      </c>
      <c r="I871" s="2">
        <v>145</v>
      </c>
      <c r="J871" s="2">
        <v>100440</v>
      </c>
      <c r="K871" s="2">
        <v>1932</v>
      </c>
      <c r="L871" s="2">
        <v>102.8</v>
      </c>
      <c r="M871" s="2">
        <v>208.1</v>
      </c>
      <c r="N871" s="2">
        <v>6020</v>
      </c>
      <c r="O871" s="2">
        <v>20.8</v>
      </c>
    </row>
    <row r="872" spans="1:15" ht="24.95" customHeight="1" x14ac:dyDescent="0.25">
      <c r="A872" s="17" t="s">
        <v>935</v>
      </c>
      <c r="B872" s="2">
        <v>288</v>
      </c>
      <c r="C872" s="2">
        <v>118</v>
      </c>
      <c r="D872" s="2">
        <v>32</v>
      </c>
      <c r="E872" s="2">
        <v>86</v>
      </c>
      <c r="H872" s="2">
        <v>875</v>
      </c>
      <c r="I872" s="2">
        <v>192</v>
      </c>
      <c r="J872" s="2">
        <v>103250</v>
      </c>
      <c r="K872" s="2">
        <v>1907</v>
      </c>
      <c r="L872" s="2">
        <v>116.1</v>
      </c>
      <c r="M872" s="2">
        <v>221.8</v>
      </c>
      <c r="N872" s="2">
        <v>5940</v>
      </c>
      <c r="O872" s="2">
        <v>16</v>
      </c>
    </row>
    <row r="873" spans="1:15" ht="24.95" customHeight="1" x14ac:dyDescent="0.25">
      <c r="A873" s="17" t="s">
        <v>936</v>
      </c>
      <c r="B873" s="2">
        <v>318</v>
      </c>
      <c r="C873" s="2">
        <v>138</v>
      </c>
      <c r="D873" s="2">
        <v>57.8</v>
      </c>
      <c r="E873" s="2">
        <v>82.5</v>
      </c>
      <c r="F873" s="2">
        <v>-2.2999999999999998</v>
      </c>
      <c r="H873" s="2">
        <v>5460</v>
      </c>
      <c r="I873" s="2">
        <v>136</v>
      </c>
      <c r="J873" s="2">
        <v>753480</v>
      </c>
      <c r="K873" s="2">
        <v>11033</v>
      </c>
      <c r="L873" s="2">
        <v>673.1</v>
      </c>
      <c r="M873" s="2">
        <v>1352.7</v>
      </c>
      <c r="N873" s="2">
        <v>36230</v>
      </c>
      <c r="O873" s="2">
        <v>13.1</v>
      </c>
    </row>
    <row r="874" spans="1:15" ht="24.95" customHeight="1" x14ac:dyDescent="0.25">
      <c r="A874" s="17" t="s">
        <v>6780</v>
      </c>
      <c r="B874" s="2">
        <v>302</v>
      </c>
      <c r="C874" s="2">
        <v>130</v>
      </c>
      <c r="D874" s="2">
        <v>44.4</v>
      </c>
      <c r="E874" s="2">
        <v>86</v>
      </c>
      <c r="F874" s="2">
        <v>-0.4</v>
      </c>
      <c r="H874" s="2">
        <v>1091</v>
      </c>
      <c r="I874" s="2">
        <v>157</v>
      </c>
      <c r="J874" s="2">
        <v>141830</v>
      </c>
      <c r="K874" s="2">
        <v>2239</v>
      </c>
      <c r="L874" s="2">
        <v>135.5</v>
      </c>
      <c r="M874" s="2">
        <v>269</v>
      </c>
      <c r="N874" s="2">
        <v>6960</v>
      </c>
      <c r="O874" s="2">
        <v>10.1</v>
      </c>
    </row>
    <row r="875" spans="1:15" ht="24.95" customHeight="1" x14ac:dyDescent="0.25">
      <c r="A875" s="17" t="s">
        <v>6790</v>
      </c>
      <c r="B875" s="2">
        <v>310</v>
      </c>
      <c r="C875" s="2">
        <v>142</v>
      </c>
      <c r="D875" s="2">
        <v>61.3</v>
      </c>
      <c r="E875" s="2">
        <v>82.3</v>
      </c>
      <c r="F875" s="2">
        <v>-1.5</v>
      </c>
      <c r="H875" s="2">
        <v>7415</v>
      </c>
      <c r="I875" s="2">
        <v>134</v>
      </c>
      <c r="J875" s="2">
        <v>1052930</v>
      </c>
      <c r="K875" s="2">
        <v>14075</v>
      </c>
      <c r="L875" s="2">
        <v>1111</v>
      </c>
      <c r="M875" s="2">
        <v>1852</v>
      </c>
      <c r="N875" s="2">
        <v>42750</v>
      </c>
      <c r="O875" s="2">
        <v>2.1</v>
      </c>
    </row>
    <row r="876" spans="1:15" ht="24.95" customHeight="1" x14ac:dyDescent="0.25">
      <c r="A876" s="17" t="s">
        <v>939</v>
      </c>
      <c r="B876" s="2">
        <v>284</v>
      </c>
      <c r="C876" s="2">
        <v>126</v>
      </c>
      <c r="D876" s="2">
        <v>44.5</v>
      </c>
      <c r="E876" s="2">
        <v>82.5</v>
      </c>
      <c r="F876" s="2">
        <v>-1</v>
      </c>
      <c r="H876" s="2">
        <v>4509</v>
      </c>
      <c r="I876" s="2">
        <v>147</v>
      </c>
      <c r="J876" s="2">
        <v>568134</v>
      </c>
      <c r="K876" s="2">
        <v>7994</v>
      </c>
      <c r="L876" s="2">
        <v>510</v>
      </c>
      <c r="M876" s="2">
        <v>1111</v>
      </c>
      <c r="N876" s="2">
        <v>24550</v>
      </c>
    </row>
    <row r="877" spans="1:15" ht="24.95" customHeight="1" x14ac:dyDescent="0.25">
      <c r="A877" s="17" t="s">
        <v>940</v>
      </c>
      <c r="B877" s="2">
        <v>286</v>
      </c>
      <c r="C877" s="2">
        <v>122</v>
      </c>
      <c r="D877" s="2">
        <v>36</v>
      </c>
      <c r="E877" s="2">
        <v>86</v>
      </c>
      <c r="H877" s="2">
        <v>1328</v>
      </c>
      <c r="I877" s="2">
        <v>135</v>
      </c>
      <c r="J877" s="2">
        <v>162016</v>
      </c>
      <c r="K877" s="2">
        <v>3209</v>
      </c>
      <c r="L877" s="2">
        <v>216.4</v>
      </c>
      <c r="M877" s="2">
        <v>340.9</v>
      </c>
      <c r="N877" s="2">
        <v>10240</v>
      </c>
      <c r="O877" s="2">
        <v>26.3</v>
      </c>
    </row>
    <row r="878" spans="1:15" ht="24.95" customHeight="1" x14ac:dyDescent="0.25">
      <c r="A878" s="17" t="s">
        <v>941</v>
      </c>
      <c r="B878" s="2">
        <v>292</v>
      </c>
      <c r="C878" s="2">
        <v>130</v>
      </c>
      <c r="D878" s="2">
        <v>45.7</v>
      </c>
      <c r="E878" s="2">
        <v>86</v>
      </c>
      <c r="F878" s="2">
        <v>-1.7</v>
      </c>
      <c r="H878" s="2">
        <v>1610</v>
      </c>
      <c r="I878" s="2">
        <v>154</v>
      </c>
      <c r="J878" s="2">
        <v>209300</v>
      </c>
      <c r="K878" s="2">
        <v>3562</v>
      </c>
      <c r="L878" s="2">
        <v>274.2</v>
      </c>
      <c r="M878" s="2">
        <v>408.3</v>
      </c>
      <c r="N878" s="2">
        <v>11080</v>
      </c>
      <c r="O878" s="2">
        <v>16.899999999999999</v>
      </c>
    </row>
    <row r="879" spans="1:15" ht="24.95" customHeight="1" x14ac:dyDescent="0.25">
      <c r="A879" s="17" t="s">
        <v>942</v>
      </c>
      <c r="B879" s="2">
        <v>262</v>
      </c>
      <c r="C879" s="2">
        <v>116</v>
      </c>
      <c r="D879" s="2">
        <v>30</v>
      </c>
      <c r="E879" s="2">
        <v>86</v>
      </c>
      <c r="F879" s="2">
        <v>0.1</v>
      </c>
      <c r="H879" s="2">
        <v>595</v>
      </c>
      <c r="I879" s="2">
        <v>170</v>
      </c>
      <c r="J879" s="2">
        <v>69020</v>
      </c>
      <c r="K879" s="2">
        <v>1545</v>
      </c>
      <c r="L879" s="2">
        <v>77.3</v>
      </c>
      <c r="M879" s="2">
        <v>149.80000000000001</v>
      </c>
      <c r="N879" s="2">
        <v>4350</v>
      </c>
      <c r="O879" s="2">
        <v>23.6</v>
      </c>
    </row>
    <row r="880" spans="1:15" ht="24.95" customHeight="1" x14ac:dyDescent="0.25">
      <c r="A880" s="17" t="s">
        <v>943</v>
      </c>
      <c r="B880" s="2">
        <v>270</v>
      </c>
      <c r="C880" s="2">
        <v>112</v>
      </c>
      <c r="D880" s="2">
        <v>25.4</v>
      </c>
      <c r="E880" s="2">
        <v>86</v>
      </c>
      <c r="F880" s="2">
        <v>0.6</v>
      </c>
      <c r="H880" s="2">
        <v>1510</v>
      </c>
      <c r="I880" s="2">
        <v>158</v>
      </c>
      <c r="J880" s="2">
        <v>169120</v>
      </c>
      <c r="K880" s="2">
        <v>3883</v>
      </c>
      <c r="L880" s="2">
        <v>186.9</v>
      </c>
      <c r="M880" s="2">
        <v>388</v>
      </c>
      <c r="N880" s="2">
        <v>11570</v>
      </c>
      <c r="O880" s="2">
        <v>24.4</v>
      </c>
    </row>
    <row r="881" spans="1:15" ht="24.95" customHeight="1" x14ac:dyDescent="0.25">
      <c r="A881" s="17" t="s">
        <v>5440</v>
      </c>
      <c r="B881" s="2">
        <v>304</v>
      </c>
      <c r="C881" s="2">
        <v>120</v>
      </c>
      <c r="D881" s="2">
        <v>34.6</v>
      </c>
      <c r="E881" s="2">
        <v>86</v>
      </c>
      <c r="F881" s="2">
        <v>-0.6</v>
      </c>
      <c r="H881" s="2">
        <v>352</v>
      </c>
      <c r="I881" s="2">
        <v>171</v>
      </c>
      <c r="J881" s="2">
        <v>42240</v>
      </c>
      <c r="K881" s="2">
        <v>973</v>
      </c>
      <c r="L881" s="2">
        <v>48.6</v>
      </c>
      <c r="M881" s="2">
        <v>90.6</v>
      </c>
      <c r="N881" s="2">
        <v>2790</v>
      </c>
      <c r="O881" s="2">
        <v>27.7</v>
      </c>
    </row>
    <row r="882" spans="1:15" ht="24.95" customHeight="1" x14ac:dyDescent="0.25">
      <c r="A882" s="17" t="s">
        <v>945</v>
      </c>
      <c r="B882" s="2">
        <v>267</v>
      </c>
      <c r="C882" s="2">
        <v>116</v>
      </c>
      <c r="D882" s="2">
        <v>30.4</v>
      </c>
      <c r="E882" s="2">
        <v>86</v>
      </c>
      <c r="F882" s="2">
        <v>-0.4</v>
      </c>
      <c r="H882" s="2">
        <v>2854</v>
      </c>
      <c r="I882" s="2">
        <v>189</v>
      </c>
      <c r="J882" s="2">
        <v>330600</v>
      </c>
      <c r="K882" s="2">
        <v>5006</v>
      </c>
      <c r="L882" s="2">
        <v>385.7</v>
      </c>
      <c r="M882" s="2">
        <v>690</v>
      </c>
      <c r="N882" s="2">
        <v>15650</v>
      </c>
    </row>
    <row r="883" spans="1:15" ht="24.95" customHeight="1" x14ac:dyDescent="0.25">
      <c r="A883" s="17" t="s">
        <v>946</v>
      </c>
      <c r="B883" s="2">
        <v>259</v>
      </c>
      <c r="C883" s="2">
        <v>111</v>
      </c>
      <c r="D883" s="2">
        <v>26.2</v>
      </c>
      <c r="E883" s="2">
        <v>86</v>
      </c>
      <c r="F883" s="2">
        <v>-1.2</v>
      </c>
      <c r="H883" s="2">
        <v>1700</v>
      </c>
      <c r="I883" s="2">
        <v>158</v>
      </c>
      <c r="J883" s="2">
        <v>188700</v>
      </c>
      <c r="K883" s="2">
        <v>2588</v>
      </c>
      <c r="L883" s="2">
        <v>213.1</v>
      </c>
      <c r="M883" s="2">
        <v>425.8</v>
      </c>
      <c r="N883" s="2">
        <v>7520</v>
      </c>
    </row>
    <row r="884" spans="1:15" ht="24.95" customHeight="1" x14ac:dyDescent="0.25">
      <c r="A884" s="17" t="s">
        <v>947</v>
      </c>
      <c r="B884" s="2">
        <v>264</v>
      </c>
      <c r="C884" s="2">
        <v>112</v>
      </c>
      <c r="D884" s="2">
        <v>25.2</v>
      </c>
      <c r="E884" s="2">
        <v>86</v>
      </c>
      <c r="F884" s="2">
        <v>0.8</v>
      </c>
      <c r="H884" s="2">
        <v>1365</v>
      </c>
      <c r="I884" s="2">
        <v>187</v>
      </c>
      <c r="J884" s="2">
        <v>152880</v>
      </c>
      <c r="K884" s="2">
        <v>4277</v>
      </c>
      <c r="L884" s="2">
        <v>201.1</v>
      </c>
      <c r="M884" s="2">
        <v>347.8</v>
      </c>
      <c r="N884" s="2">
        <v>12850</v>
      </c>
      <c r="O884" s="2">
        <v>39.200000000000003</v>
      </c>
    </row>
    <row r="885" spans="1:15" ht="24.95" customHeight="1" x14ac:dyDescent="0.25">
      <c r="A885" s="17" t="s">
        <v>948</v>
      </c>
      <c r="B885" s="2">
        <v>252</v>
      </c>
      <c r="C885" s="2">
        <v>112</v>
      </c>
      <c r="D885" s="2">
        <v>24.9</v>
      </c>
      <c r="E885" s="2">
        <v>86</v>
      </c>
      <c r="F885" s="2">
        <v>1.1000000000000001</v>
      </c>
      <c r="H885" s="2">
        <v>2250</v>
      </c>
      <c r="I885" s="2">
        <v>125</v>
      </c>
      <c r="J885" s="2">
        <v>252000</v>
      </c>
      <c r="K885" s="2">
        <v>2075</v>
      </c>
      <c r="L885" s="2">
        <v>149.4</v>
      </c>
      <c r="M885" s="2">
        <v>549.9</v>
      </c>
      <c r="N885" s="2">
        <v>6730</v>
      </c>
    </row>
    <row r="886" spans="1:15" ht="24.95" customHeight="1" x14ac:dyDescent="0.25">
      <c r="A886" s="17" t="s">
        <v>949</v>
      </c>
      <c r="B886" s="2">
        <v>272</v>
      </c>
      <c r="C886" s="2">
        <v>120</v>
      </c>
      <c r="D886" s="2">
        <v>33.700000000000003</v>
      </c>
      <c r="E886" s="2">
        <v>86</v>
      </c>
      <c r="F886" s="2">
        <v>0.3</v>
      </c>
      <c r="H886" s="2">
        <v>795</v>
      </c>
      <c r="I886" s="2">
        <v>184</v>
      </c>
      <c r="J886" s="2">
        <v>95400</v>
      </c>
      <c r="K886" s="2">
        <v>1603</v>
      </c>
      <c r="L886" s="2">
        <v>86.3</v>
      </c>
      <c r="M886" s="2">
        <v>199.1</v>
      </c>
      <c r="N886" s="2">
        <v>5570</v>
      </c>
      <c r="O886" s="2">
        <v>14</v>
      </c>
    </row>
    <row r="887" spans="1:15" ht="24.95" customHeight="1" x14ac:dyDescent="0.25">
      <c r="A887" s="17" t="s">
        <v>950</v>
      </c>
      <c r="B887" s="2">
        <v>260</v>
      </c>
      <c r="C887" s="2">
        <v>110</v>
      </c>
      <c r="D887" s="2">
        <v>24.7</v>
      </c>
      <c r="E887" s="2">
        <v>86</v>
      </c>
      <c r="F887" s="2">
        <v>-0.7</v>
      </c>
      <c r="H887" s="2">
        <v>1060</v>
      </c>
      <c r="I887" s="2">
        <v>194</v>
      </c>
      <c r="J887" s="2">
        <v>116600</v>
      </c>
      <c r="K887" s="2">
        <v>2195</v>
      </c>
      <c r="L887" s="2">
        <v>135.1</v>
      </c>
      <c r="M887" s="2">
        <v>261.8</v>
      </c>
      <c r="N887" s="2">
        <v>6940</v>
      </c>
      <c r="O887" s="2">
        <v>18.5</v>
      </c>
    </row>
    <row r="888" spans="1:15" ht="24.95" customHeight="1" x14ac:dyDescent="0.25">
      <c r="A888" s="17" t="s">
        <v>951</v>
      </c>
      <c r="B888" s="2">
        <v>264</v>
      </c>
      <c r="C888" s="2">
        <v>110</v>
      </c>
      <c r="D888" s="2">
        <v>24</v>
      </c>
      <c r="E888" s="2">
        <v>86</v>
      </c>
      <c r="H888" s="2">
        <v>285</v>
      </c>
      <c r="I888" s="2">
        <v>159</v>
      </c>
      <c r="J888" s="2">
        <v>31350</v>
      </c>
      <c r="K888" s="2">
        <v>856</v>
      </c>
      <c r="L888" s="2">
        <v>39.299999999999997</v>
      </c>
      <c r="M888" s="2">
        <v>73.5</v>
      </c>
      <c r="N888" s="2">
        <v>2600</v>
      </c>
      <c r="O888" s="2">
        <v>36.700000000000003</v>
      </c>
    </row>
    <row r="889" spans="1:15" ht="24.95" customHeight="1" x14ac:dyDescent="0.25">
      <c r="A889" s="17" t="s">
        <v>927</v>
      </c>
      <c r="B889" s="2">
        <v>264</v>
      </c>
      <c r="C889" s="2">
        <v>118</v>
      </c>
      <c r="D889" s="2">
        <v>31.6</v>
      </c>
      <c r="E889" s="2">
        <v>86</v>
      </c>
      <c r="F889" s="2">
        <v>0.4</v>
      </c>
      <c r="H889" s="2">
        <v>903</v>
      </c>
      <c r="I889" s="2">
        <v>145</v>
      </c>
      <c r="J889" s="2">
        <v>106554</v>
      </c>
      <c r="K889" s="2">
        <v>2504</v>
      </c>
      <c r="L889" s="2">
        <v>121.3</v>
      </c>
      <c r="M889" s="2">
        <v>230.1</v>
      </c>
      <c r="N889" s="2">
        <v>7680</v>
      </c>
      <c r="O889" s="2">
        <v>33.299999999999997</v>
      </c>
    </row>
    <row r="890" spans="1:15" ht="24.95" customHeight="1" x14ac:dyDescent="0.25">
      <c r="A890" s="17" t="s">
        <v>952</v>
      </c>
      <c r="B890" s="2">
        <v>230</v>
      </c>
      <c r="C890" s="2">
        <v>99</v>
      </c>
      <c r="D890" s="2">
        <v>12.7</v>
      </c>
      <c r="E890" s="2">
        <v>86</v>
      </c>
      <c r="F890" s="2">
        <v>0.3</v>
      </c>
      <c r="G890" s="2">
        <v>101</v>
      </c>
      <c r="H890" s="2">
        <v>4275</v>
      </c>
      <c r="I890" s="2">
        <v>174</v>
      </c>
      <c r="J890" s="2">
        <v>431621</v>
      </c>
      <c r="K890" s="2">
        <v>9306</v>
      </c>
      <c r="L890" s="2">
        <v>617.70000000000005</v>
      </c>
      <c r="M890" s="2">
        <v>1060.7</v>
      </c>
      <c r="N890" s="2">
        <v>31620</v>
      </c>
      <c r="O890" s="2">
        <v>21.4</v>
      </c>
    </row>
    <row r="891" spans="1:15" ht="24.95" customHeight="1" x14ac:dyDescent="0.25">
      <c r="A891" s="17" t="s">
        <v>953</v>
      </c>
      <c r="B891" s="2">
        <v>244</v>
      </c>
      <c r="C891" s="2">
        <v>100</v>
      </c>
      <c r="D891" s="2">
        <v>12.6</v>
      </c>
      <c r="E891" s="2">
        <v>86</v>
      </c>
      <c r="F891" s="2">
        <v>1.4</v>
      </c>
      <c r="G891" s="2">
        <v>102.3</v>
      </c>
      <c r="H891" s="2">
        <v>2130</v>
      </c>
      <c r="I891" s="2">
        <v>173</v>
      </c>
      <c r="J891" s="2">
        <v>217834</v>
      </c>
      <c r="K891" s="2">
        <v>6509</v>
      </c>
      <c r="L891" s="2">
        <v>396.8</v>
      </c>
      <c r="M891" s="2">
        <v>530.5</v>
      </c>
      <c r="N891" s="2">
        <v>20910</v>
      </c>
      <c r="O891" s="2">
        <v>42.1</v>
      </c>
    </row>
    <row r="892" spans="1:15" ht="24.95" customHeight="1" x14ac:dyDescent="0.25">
      <c r="A892" s="17" t="s">
        <v>933</v>
      </c>
      <c r="B892" s="2">
        <v>236</v>
      </c>
      <c r="C892" s="2">
        <v>98</v>
      </c>
      <c r="D892" s="2">
        <v>11.3</v>
      </c>
      <c r="E892" s="2">
        <v>86</v>
      </c>
      <c r="F892" s="2">
        <v>0.7</v>
      </c>
      <c r="G892" s="2">
        <v>99.7</v>
      </c>
      <c r="H892" s="2">
        <v>2150</v>
      </c>
      <c r="I892" s="2">
        <v>180</v>
      </c>
      <c r="J892" s="2">
        <v>214430</v>
      </c>
      <c r="K892" s="2">
        <v>7125</v>
      </c>
      <c r="L892" s="2">
        <v>364.8</v>
      </c>
      <c r="M892" s="2">
        <v>503.6</v>
      </c>
      <c r="N892" s="2">
        <v>22500</v>
      </c>
      <c r="O892" s="2">
        <v>45.9</v>
      </c>
    </row>
    <row r="893" spans="1:15" ht="24.95" customHeight="1" x14ac:dyDescent="0.25">
      <c r="A893" s="17" t="s">
        <v>934</v>
      </c>
      <c r="B893" s="2">
        <v>229</v>
      </c>
      <c r="C893" s="2">
        <v>97</v>
      </c>
      <c r="D893" s="2">
        <v>10.1</v>
      </c>
      <c r="E893" s="2">
        <v>86</v>
      </c>
      <c r="F893" s="2">
        <v>0.9</v>
      </c>
      <c r="G893" s="2">
        <v>98.4</v>
      </c>
      <c r="H893" s="2">
        <v>1045</v>
      </c>
      <c r="I893" s="2">
        <v>185</v>
      </c>
      <c r="J893" s="2">
        <v>102856</v>
      </c>
      <c r="K893" s="2">
        <v>4209</v>
      </c>
      <c r="L893" s="2">
        <v>197.7</v>
      </c>
      <c r="M893" s="2">
        <v>267.60000000000002</v>
      </c>
      <c r="N893" s="2">
        <v>12410</v>
      </c>
      <c r="O893" s="2">
        <v>51.9</v>
      </c>
    </row>
    <row r="894" spans="1:15" ht="24.95" customHeight="1" x14ac:dyDescent="0.25">
      <c r="A894" s="17" t="s">
        <v>956</v>
      </c>
      <c r="B894" s="2">
        <v>234</v>
      </c>
      <c r="C894" s="2">
        <v>102</v>
      </c>
      <c r="D894" s="2">
        <v>15.6</v>
      </c>
      <c r="E894" s="2">
        <v>86</v>
      </c>
      <c r="F894" s="2">
        <v>0.4</v>
      </c>
      <c r="G894" s="2">
        <v>105</v>
      </c>
      <c r="H894" s="2">
        <v>1925</v>
      </c>
      <c r="I894" s="2">
        <v>175</v>
      </c>
      <c r="J894" s="2">
        <v>101083</v>
      </c>
      <c r="K894" s="2">
        <v>5856</v>
      </c>
      <c r="L894" s="2">
        <v>280.89999999999998</v>
      </c>
      <c r="M894" s="2">
        <v>470.3</v>
      </c>
      <c r="N894" s="2">
        <v>18020</v>
      </c>
      <c r="O894" s="2">
        <v>41.8</v>
      </c>
    </row>
    <row r="895" spans="1:15" ht="24.95" customHeight="1" x14ac:dyDescent="0.25">
      <c r="A895" s="17" t="s">
        <v>957</v>
      </c>
      <c r="B895" s="2">
        <v>242</v>
      </c>
      <c r="C895" s="2">
        <v>92</v>
      </c>
      <c r="D895" s="2">
        <v>5</v>
      </c>
      <c r="E895" s="2">
        <v>86</v>
      </c>
      <c r="F895" s="2">
        <v>1</v>
      </c>
      <c r="G895" s="2">
        <v>94.4</v>
      </c>
      <c r="H895" s="2">
        <v>305</v>
      </c>
      <c r="I895" s="2">
        <v>136</v>
      </c>
      <c r="J895" s="2">
        <v>28792</v>
      </c>
      <c r="K895" s="2">
        <v>1380</v>
      </c>
      <c r="L895" s="2">
        <v>58.6</v>
      </c>
      <c r="M895" s="2">
        <v>80.2</v>
      </c>
      <c r="N895" s="2">
        <v>4320</v>
      </c>
      <c r="O895" s="2">
        <v>58.9</v>
      </c>
    </row>
    <row r="896" spans="1:15" ht="24.95" customHeight="1" x14ac:dyDescent="0.25">
      <c r="A896" s="17" t="s">
        <v>943</v>
      </c>
      <c r="B896" s="2">
        <v>240</v>
      </c>
      <c r="C896" s="2">
        <v>104</v>
      </c>
      <c r="D896" s="2">
        <v>17</v>
      </c>
      <c r="E896" s="2">
        <v>86</v>
      </c>
      <c r="F896" s="2">
        <v>1</v>
      </c>
      <c r="G896" s="2">
        <v>105.4</v>
      </c>
      <c r="H896" s="2">
        <v>1070</v>
      </c>
      <c r="I896" s="2">
        <v>189</v>
      </c>
      <c r="J896" s="2">
        <v>112786</v>
      </c>
      <c r="K896" s="2">
        <v>3684</v>
      </c>
      <c r="L896" s="2">
        <v>171.8</v>
      </c>
      <c r="M896" s="2">
        <v>270.7</v>
      </c>
      <c r="N896" s="2">
        <v>10970</v>
      </c>
      <c r="O896" s="2">
        <v>44.9</v>
      </c>
    </row>
    <row r="897" spans="1:15" ht="24.95" customHeight="1" x14ac:dyDescent="0.25">
      <c r="A897" s="17" t="s">
        <v>5489</v>
      </c>
      <c r="B897" s="2">
        <v>233</v>
      </c>
      <c r="C897" s="2">
        <v>101</v>
      </c>
      <c r="D897" s="2">
        <v>13.9</v>
      </c>
      <c r="E897" s="2">
        <v>86</v>
      </c>
      <c r="F897" s="2">
        <v>1.1000000000000001</v>
      </c>
      <c r="G897" s="2">
        <v>103.2</v>
      </c>
      <c r="H897" s="2">
        <v>1215</v>
      </c>
      <c r="I897" s="2">
        <v>176</v>
      </c>
      <c r="J897" s="2">
        <v>125393</v>
      </c>
      <c r="K897" s="2">
        <v>4362</v>
      </c>
      <c r="L897" s="2">
        <v>230.5</v>
      </c>
      <c r="M897" s="2">
        <v>312.39999999999998</v>
      </c>
      <c r="N897" s="2">
        <v>13380</v>
      </c>
      <c r="O897" s="2">
        <v>46.8</v>
      </c>
    </row>
    <row r="898" spans="1:15" ht="24.95" customHeight="1" x14ac:dyDescent="0.25">
      <c r="A898" s="17" t="s">
        <v>958</v>
      </c>
      <c r="B898" s="2">
        <v>240</v>
      </c>
      <c r="C898" s="2">
        <v>102</v>
      </c>
      <c r="D898" s="2">
        <v>15.8</v>
      </c>
      <c r="E898" s="2">
        <v>86</v>
      </c>
      <c r="F898" s="2">
        <v>0.2</v>
      </c>
      <c r="G898" s="2">
        <v>103.4</v>
      </c>
      <c r="H898" s="2">
        <v>4360</v>
      </c>
      <c r="I898" s="2">
        <v>202</v>
      </c>
      <c r="J898" s="2">
        <v>450887</v>
      </c>
      <c r="K898" s="2">
        <v>9716</v>
      </c>
      <c r="L898" s="2">
        <v>702.5</v>
      </c>
      <c r="M898" s="2">
        <v>1043.3</v>
      </c>
      <c r="N898" s="2">
        <v>30610</v>
      </c>
      <c r="O898" s="2">
        <v>19.3</v>
      </c>
    </row>
    <row r="899" spans="1:15" ht="24.95" customHeight="1" x14ac:dyDescent="0.25">
      <c r="A899" s="17" t="s">
        <v>949</v>
      </c>
      <c r="B899" s="2">
        <v>238</v>
      </c>
      <c r="C899" s="2">
        <v>108</v>
      </c>
      <c r="D899" s="2">
        <v>20.6</v>
      </c>
      <c r="E899" s="2">
        <v>86</v>
      </c>
      <c r="F899" s="2">
        <v>1.4</v>
      </c>
      <c r="G899" s="2">
        <v>109.9</v>
      </c>
      <c r="H899" s="2">
        <v>961</v>
      </c>
      <c r="I899" s="2">
        <v>210</v>
      </c>
      <c r="J899" s="2">
        <v>105614</v>
      </c>
      <c r="K899" s="2">
        <v>3169</v>
      </c>
      <c r="L899" s="2">
        <v>158.30000000000001</v>
      </c>
      <c r="M899" s="2">
        <v>261.39999999999998</v>
      </c>
      <c r="N899" s="2">
        <v>10510</v>
      </c>
      <c r="O899" s="2">
        <v>44.6</v>
      </c>
    </row>
    <row r="900" spans="1:15" ht="24.95" customHeight="1" x14ac:dyDescent="0.25">
      <c r="A900" s="17" t="s">
        <v>936</v>
      </c>
      <c r="B900" s="2">
        <v>216</v>
      </c>
      <c r="C900" s="2">
        <v>96</v>
      </c>
      <c r="D900" s="2">
        <v>9.6999999999999993</v>
      </c>
      <c r="E900" s="2">
        <v>86</v>
      </c>
      <c r="F900" s="2">
        <v>0.3</v>
      </c>
      <c r="G900" s="2">
        <v>96.9</v>
      </c>
      <c r="H900" s="2">
        <v>2500</v>
      </c>
      <c r="I900" s="2">
        <v>166</v>
      </c>
      <c r="J900" s="2">
        <v>242284</v>
      </c>
      <c r="K900" s="2">
        <v>6698</v>
      </c>
      <c r="L900" s="2">
        <v>385.9</v>
      </c>
      <c r="M900" s="2">
        <v>537</v>
      </c>
      <c r="N900" s="2">
        <v>22390</v>
      </c>
      <c r="O900" s="2">
        <v>40.299999999999997</v>
      </c>
    </row>
    <row r="901" spans="1:15" ht="24.95" customHeight="1" x14ac:dyDescent="0.25">
      <c r="A901" s="17" t="s">
        <v>927</v>
      </c>
      <c r="B901" s="2">
        <v>262</v>
      </c>
      <c r="C901" s="2">
        <v>104</v>
      </c>
      <c r="D901" s="2">
        <v>16.600000000000001</v>
      </c>
      <c r="E901" s="2">
        <v>86</v>
      </c>
      <c r="F901" s="2">
        <v>1.4</v>
      </c>
      <c r="G901" s="2">
        <v>105.1</v>
      </c>
      <c r="H901" s="2">
        <v>627</v>
      </c>
      <c r="I901" s="2">
        <v>144</v>
      </c>
      <c r="J901" s="2">
        <v>65927</v>
      </c>
      <c r="K901" s="2">
        <v>2628</v>
      </c>
      <c r="L901" s="2">
        <v>116.9</v>
      </c>
      <c r="M901" s="2">
        <v>160.69999999999999</v>
      </c>
      <c r="N901" s="2">
        <v>8190</v>
      </c>
      <c r="O901" s="2">
        <v>56.6</v>
      </c>
    </row>
    <row r="902" spans="1:15" ht="24.95" customHeight="1" x14ac:dyDescent="0.25">
      <c r="A902" s="17" t="s">
        <v>937</v>
      </c>
      <c r="B902" s="2">
        <v>227</v>
      </c>
      <c r="C902" s="2">
        <v>98</v>
      </c>
      <c r="D902" s="2">
        <v>10.9</v>
      </c>
      <c r="E902" s="2">
        <v>86</v>
      </c>
      <c r="F902" s="2">
        <v>1.1000000000000001</v>
      </c>
      <c r="G902" s="2">
        <v>99.4</v>
      </c>
      <c r="H902" s="2">
        <v>920</v>
      </c>
      <c r="I902" s="2">
        <v>188</v>
      </c>
      <c r="J902" s="2">
        <v>91461</v>
      </c>
      <c r="K902" s="2">
        <v>3040</v>
      </c>
      <c r="L902" s="2">
        <v>150.69999999999999</v>
      </c>
      <c r="M902" s="2">
        <v>229.9</v>
      </c>
      <c r="N902" s="2">
        <v>10650</v>
      </c>
      <c r="O902" s="2">
        <v>49</v>
      </c>
    </row>
    <row r="903" spans="1:15" ht="24.95" customHeight="1" x14ac:dyDescent="0.25">
      <c r="A903" s="17" t="s">
        <v>959</v>
      </c>
      <c r="B903" s="2">
        <v>252</v>
      </c>
      <c r="C903" s="2">
        <v>96</v>
      </c>
      <c r="D903" s="2">
        <v>9</v>
      </c>
      <c r="E903" s="2">
        <v>86</v>
      </c>
      <c r="F903" s="2">
        <v>1</v>
      </c>
      <c r="G903" s="2">
        <v>98.3</v>
      </c>
      <c r="H903" s="2">
        <v>1360</v>
      </c>
      <c r="I903" s="2">
        <v>137</v>
      </c>
      <c r="J903" s="2">
        <v>133636</v>
      </c>
      <c r="K903" s="2">
        <v>4524</v>
      </c>
      <c r="L903" s="2">
        <v>230.1</v>
      </c>
      <c r="M903" s="2">
        <v>354.6</v>
      </c>
      <c r="N903" s="2">
        <v>13650</v>
      </c>
      <c r="O903" s="2">
        <v>40.799999999999997</v>
      </c>
    </row>
    <row r="904" spans="1:15" ht="24.95" customHeight="1" x14ac:dyDescent="0.25">
      <c r="A904" s="17" t="s">
        <v>960</v>
      </c>
      <c r="B904" s="2">
        <v>236</v>
      </c>
      <c r="C904" s="2">
        <v>102</v>
      </c>
      <c r="D904" s="2">
        <v>14.5</v>
      </c>
      <c r="E904" s="2">
        <v>86</v>
      </c>
      <c r="F904" s="2">
        <v>1.5</v>
      </c>
      <c r="G904" s="2">
        <v>107.5</v>
      </c>
      <c r="H904" s="2">
        <v>1830</v>
      </c>
      <c r="I904" s="2">
        <v>177</v>
      </c>
      <c r="J904" s="2">
        <v>196792</v>
      </c>
      <c r="K904" s="2">
        <v>5360</v>
      </c>
      <c r="L904" s="2">
        <v>278.7</v>
      </c>
      <c r="M904" s="2">
        <v>465.3</v>
      </c>
      <c r="N904" s="2">
        <v>16650</v>
      </c>
      <c r="O904" s="2">
        <v>36.799999999999997</v>
      </c>
    </row>
    <row r="905" spans="1:15" ht="24.95" customHeight="1" x14ac:dyDescent="0.25">
      <c r="A905" s="17" t="s">
        <v>939</v>
      </c>
      <c r="B905" s="2">
        <v>233</v>
      </c>
      <c r="C905" s="2">
        <v>100</v>
      </c>
      <c r="D905" s="2">
        <v>13.4</v>
      </c>
      <c r="E905" s="2">
        <v>86</v>
      </c>
      <c r="F905" s="2">
        <v>0.6</v>
      </c>
      <c r="G905" s="2">
        <v>102.7</v>
      </c>
      <c r="H905" s="2">
        <v>2500</v>
      </c>
      <c r="I905" s="2">
        <v>163</v>
      </c>
      <c r="J905" s="2">
        <v>256782</v>
      </c>
      <c r="K905" s="2">
        <v>7408</v>
      </c>
      <c r="L905" s="2">
        <v>427</v>
      </c>
      <c r="M905" s="2">
        <v>615</v>
      </c>
      <c r="N905" s="2">
        <v>26510</v>
      </c>
      <c r="O905" s="2">
        <v>42.7</v>
      </c>
    </row>
    <row r="906" spans="1:15" ht="24.95" customHeight="1" x14ac:dyDescent="0.25">
      <c r="A906" s="17" t="s">
        <v>6791</v>
      </c>
      <c r="B906" s="2">
        <v>179</v>
      </c>
      <c r="C906" s="2">
        <v>74.5</v>
      </c>
      <c r="H906" s="2">
        <v>143313</v>
      </c>
      <c r="I906" s="2">
        <v>201</v>
      </c>
      <c r="J906" s="2">
        <v>10676819</v>
      </c>
      <c r="K906" s="2">
        <v>311948</v>
      </c>
      <c r="L906" s="2">
        <v>17394.599999999999</v>
      </c>
      <c r="M906" s="2">
        <v>35635.1</v>
      </c>
      <c r="N906" s="2">
        <v>1013670</v>
      </c>
      <c r="O906" s="2">
        <v>20</v>
      </c>
    </row>
    <row r="907" spans="1:15" ht="24.95" customHeight="1" x14ac:dyDescent="0.25">
      <c r="A907" s="17" t="s">
        <v>6792</v>
      </c>
      <c r="B907" s="2">
        <v>282</v>
      </c>
      <c r="C907" s="2">
        <v>114</v>
      </c>
      <c r="D907" s="2">
        <v>38.5</v>
      </c>
      <c r="E907" s="2">
        <v>76</v>
      </c>
      <c r="F907" s="2">
        <v>-0.5</v>
      </c>
      <c r="H907" s="2">
        <v>5900</v>
      </c>
      <c r="I907" s="2">
        <v>228</v>
      </c>
      <c r="J907" s="2">
        <v>672600</v>
      </c>
      <c r="K907" s="2">
        <v>9514</v>
      </c>
      <c r="L907" s="2">
        <v>479.4</v>
      </c>
      <c r="M907" s="2">
        <v>1495.7</v>
      </c>
      <c r="N907" s="2">
        <v>33340</v>
      </c>
    </row>
    <row r="908" spans="1:15" ht="24.95" customHeight="1" x14ac:dyDescent="0.25">
      <c r="A908" s="17" t="s">
        <v>963</v>
      </c>
      <c r="B908" s="2">
        <v>306</v>
      </c>
      <c r="C908" s="2">
        <v>118</v>
      </c>
      <c r="D908" s="2">
        <v>42.8</v>
      </c>
      <c r="E908" s="2">
        <v>76.5</v>
      </c>
      <c r="F908" s="2">
        <v>-1.3</v>
      </c>
      <c r="H908" s="2">
        <v>2300</v>
      </c>
      <c r="I908" s="2">
        <v>207</v>
      </c>
      <c r="J908" s="2">
        <v>271400</v>
      </c>
      <c r="K908" s="2">
        <v>4646</v>
      </c>
      <c r="L908" s="2">
        <v>305.10000000000002</v>
      </c>
      <c r="M908" s="2">
        <v>555.1</v>
      </c>
      <c r="N908" s="2">
        <v>15350</v>
      </c>
      <c r="O908" s="2">
        <v>19.600000000000001</v>
      </c>
    </row>
    <row r="909" spans="1:15" ht="24.95" customHeight="1" x14ac:dyDescent="0.25">
      <c r="A909" s="17" t="s">
        <v>988</v>
      </c>
      <c r="B909" s="2">
        <v>282</v>
      </c>
      <c r="C909" s="2">
        <v>119</v>
      </c>
      <c r="D909" s="2">
        <v>44.5</v>
      </c>
      <c r="E909" s="2">
        <v>74.5</v>
      </c>
      <c r="H909" s="2">
        <v>9000</v>
      </c>
      <c r="I909" s="2">
        <v>163</v>
      </c>
      <c r="J909" s="2">
        <v>1071000</v>
      </c>
      <c r="K909" s="2">
        <v>24810</v>
      </c>
      <c r="L909" s="2">
        <v>1342.4</v>
      </c>
      <c r="M909" s="2">
        <v>2222.6</v>
      </c>
      <c r="N909" s="2">
        <v>77210</v>
      </c>
      <c r="O909" s="2">
        <v>35.200000000000003</v>
      </c>
    </row>
    <row r="910" spans="1:15" ht="24.95" customHeight="1" x14ac:dyDescent="0.25">
      <c r="A910" s="17" t="s">
        <v>965</v>
      </c>
      <c r="B910" s="2">
        <v>282</v>
      </c>
      <c r="C910" s="2">
        <v>112</v>
      </c>
      <c r="D910" s="2">
        <v>36.6</v>
      </c>
      <c r="E910" s="2">
        <v>75.8</v>
      </c>
      <c r="F910" s="2">
        <v>-0.3</v>
      </c>
      <c r="H910" s="2">
        <v>8450</v>
      </c>
      <c r="I910" s="2">
        <v>245</v>
      </c>
      <c r="J910" s="2">
        <v>946400</v>
      </c>
      <c r="K910" s="2">
        <v>15894</v>
      </c>
      <c r="L910" s="2">
        <v>811.9</v>
      </c>
      <c r="M910" s="2">
        <v>2154.1999999999998</v>
      </c>
      <c r="N910" s="2">
        <v>49030</v>
      </c>
      <c r="O910" s="2">
        <v>1.2</v>
      </c>
    </row>
    <row r="911" spans="1:15" ht="24.95" customHeight="1" x14ac:dyDescent="0.25">
      <c r="A911" s="17" t="s">
        <v>966</v>
      </c>
      <c r="B911" s="2">
        <v>266</v>
      </c>
      <c r="C911" s="2">
        <v>112</v>
      </c>
      <c r="D911" s="2">
        <v>37.6</v>
      </c>
      <c r="E911" s="2">
        <v>76.3</v>
      </c>
      <c r="F911" s="2">
        <v>-1.9</v>
      </c>
      <c r="H911" s="2">
        <v>8543</v>
      </c>
      <c r="I911" s="2">
        <v>170</v>
      </c>
      <c r="J911" s="2">
        <v>956816</v>
      </c>
      <c r="K911" s="2">
        <v>14403</v>
      </c>
      <c r="L911" s="2">
        <v>903.4</v>
      </c>
      <c r="M911" s="2">
        <v>2051.5</v>
      </c>
      <c r="N911" s="2">
        <v>48280</v>
      </c>
      <c r="O911" s="2">
        <v>0.3</v>
      </c>
    </row>
    <row r="912" spans="1:15" ht="24.95" customHeight="1" x14ac:dyDescent="0.25">
      <c r="A912" s="17" t="s">
        <v>967</v>
      </c>
      <c r="B912" s="2">
        <v>300</v>
      </c>
      <c r="C912" s="2">
        <v>126</v>
      </c>
      <c r="D912" s="2">
        <v>49.5</v>
      </c>
      <c r="E912" s="2">
        <v>76.5</v>
      </c>
      <c r="H912" s="2">
        <v>2400</v>
      </c>
      <c r="I912" s="2">
        <v>194</v>
      </c>
      <c r="J912" s="2">
        <v>302400</v>
      </c>
      <c r="K912" s="2">
        <v>4651</v>
      </c>
      <c r="L912" s="2">
        <v>257.8</v>
      </c>
      <c r="M912" s="2">
        <v>597.1</v>
      </c>
      <c r="N912" s="2">
        <v>13780</v>
      </c>
    </row>
    <row r="913" spans="1:15" ht="24.95" customHeight="1" x14ac:dyDescent="0.25">
      <c r="A913" s="17" t="s">
        <v>968</v>
      </c>
      <c r="B913" s="2">
        <v>292</v>
      </c>
      <c r="C913" s="2">
        <v>114</v>
      </c>
      <c r="D913" s="2">
        <v>37.4</v>
      </c>
      <c r="E913" s="2">
        <v>76</v>
      </c>
      <c r="F913" s="2">
        <v>0.6</v>
      </c>
      <c r="H913" s="2">
        <v>6950</v>
      </c>
      <c r="I913" s="2">
        <v>262</v>
      </c>
      <c r="J913" s="2">
        <v>792300</v>
      </c>
      <c r="K913" s="2">
        <v>10511</v>
      </c>
      <c r="L913" s="2">
        <v>502</v>
      </c>
      <c r="M913" s="2">
        <v>1728</v>
      </c>
      <c r="N913" s="2">
        <v>38300</v>
      </c>
    </row>
    <row r="914" spans="1:15" ht="24.95" customHeight="1" x14ac:dyDescent="0.25">
      <c r="A914" s="17" t="s">
        <v>969</v>
      </c>
      <c r="B914" s="2">
        <v>276</v>
      </c>
      <c r="C914" s="2">
        <v>106</v>
      </c>
      <c r="D914" s="2">
        <v>30.3</v>
      </c>
      <c r="E914" s="2">
        <v>76</v>
      </c>
      <c r="F914" s="2">
        <v>-0.3</v>
      </c>
      <c r="H914" s="2">
        <v>5670</v>
      </c>
      <c r="I914" s="2">
        <v>213</v>
      </c>
      <c r="J914" s="2">
        <v>601020</v>
      </c>
      <c r="K914" s="2">
        <v>10280</v>
      </c>
      <c r="L914" s="2">
        <v>516.29999999999995</v>
      </c>
      <c r="M914" s="2">
        <v>1439.7</v>
      </c>
      <c r="N914" s="2">
        <v>34930</v>
      </c>
      <c r="O914" s="2">
        <v>7.5</v>
      </c>
    </row>
    <row r="915" spans="1:15" ht="24.95" customHeight="1" x14ac:dyDescent="0.25">
      <c r="A915" s="1" t="s">
        <v>970</v>
      </c>
      <c r="B915" s="2">
        <v>274</v>
      </c>
      <c r="C915" s="2">
        <v>108</v>
      </c>
      <c r="D915" s="2">
        <v>28.4</v>
      </c>
      <c r="E915" s="2">
        <v>79.5</v>
      </c>
      <c r="H915" s="2">
        <v>7334</v>
      </c>
      <c r="I915" s="2">
        <v>199</v>
      </c>
      <c r="J915" s="2">
        <v>792072</v>
      </c>
      <c r="K915" s="2">
        <v>16570</v>
      </c>
      <c r="L915" s="2">
        <v>1146.9000000000001</v>
      </c>
      <c r="M915" s="2">
        <v>1742.2</v>
      </c>
      <c r="N915" s="2">
        <v>54480</v>
      </c>
      <c r="O915" s="2">
        <v>25.9</v>
      </c>
    </row>
    <row r="916" spans="1:15" ht="24.95" customHeight="1" x14ac:dyDescent="0.25">
      <c r="A916" s="1" t="s">
        <v>971</v>
      </c>
      <c r="B916" s="2">
        <v>246</v>
      </c>
      <c r="C916" s="2">
        <v>96</v>
      </c>
      <c r="D916" s="2">
        <v>18.100000000000001</v>
      </c>
      <c r="E916" s="2">
        <v>80</v>
      </c>
      <c r="F916" s="2">
        <v>-2.1</v>
      </c>
      <c r="H916" s="2">
        <v>721</v>
      </c>
      <c r="I916" s="2">
        <v>228</v>
      </c>
      <c r="J916" s="2">
        <v>69216</v>
      </c>
      <c r="K916" s="2">
        <v>959</v>
      </c>
      <c r="L916" s="2">
        <v>47.3</v>
      </c>
      <c r="M916" s="2">
        <v>197.9</v>
      </c>
      <c r="N916" s="2">
        <v>3060</v>
      </c>
    </row>
    <row r="917" spans="1:15" ht="24.95" customHeight="1" x14ac:dyDescent="0.25">
      <c r="A917" s="1" t="s">
        <v>972</v>
      </c>
      <c r="B917" s="2">
        <v>272</v>
      </c>
      <c r="C917" s="2">
        <v>114</v>
      </c>
      <c r="D917" s="2">
        <v>33.200000000000003</v>
      </c>
      <c r="E917" s="2">
        <v>80</v>
      </c>
      <c r="F917" s="2">
        <v>0.8</v>
      </c>
      <c r="H917" s="2">
        <v>1299</v>
      </c>
      <c r="I917" s="2">
        <v>204</v>
      </c>
      <c r="J917" s="2">
        <v>148086</v>
      </c>
      <c r="K917" s="2">
        <v>4281</v>
      </c>
      <c r="L917" s="2">
        <v>197.9</v>
      </c>
      <c r="M917" s="2">
        <v>313.2</v>
      </c>
      <c r="N917" s="2">
        <v>14140</v>
      </c>
      <c r="O917" s="2">
        <v>49</v>
      </c>
    </row>
    <row r="918" spans="1:15" ht="24.95" customHeight="1" x14ac:dyDescent="0.25">
      <c r="A918" s="1" t="s">
        <v>973</v>
      </c>
      <c r="B918" s="2">
        <v>282</v>
      </c>
      <c r="C918" s="2">
        <v>100</v>
      </c>
      <c r="D918" s="2">
        <v>23.5</v>
      </c>
      <c r="E918" s="2">
        <v>76.3</v>
      </c>
      <c r="F918" s="2">
        <v>0.2</v>
      </c>
      <c r="H918" s="2">
        <v>9950</v>
      </c>
      <c r="I918" s="2">
        <v>252</v>
      </c>
      <c r="J918" s="2">
        <v>995000</v>
      </c>
      <c r="K918" s="2">
        <v>18739</v>
      </c>
      <c r="L918" s="2">
        <v>1062.4000000000001</v>
      </c>
      <c r="M918" s="2">
        <v>2471.8000000000002</v>
      </c>
      <c r="N918" s="2">
        <v>57430</v>
      </c>
      <c r="O918" s="2">
        <v>3.7</v>
      </c>
    </row>
    <row r="919" spans="1:15" ht="24.95" customHeight="1" x14ac:dyDescent="0.25">
      <c r="A919" s="1" t="s">
        <v>974</v>
      </c>
      <c r="B919" s="2">
        <v>285</v>
      </c>
      <c r="C919" s="2">
        <v>90</v>
      </c>
      <c r="D919" s="2">
        <v>9.9</v>
      </c>
      <c r="E919" s="2">
        <v>79.5</v>
      </c>
      <c r="F919" s="2">
        <v>0.6</v>
      </c>
      <c r="H919" s="2">
        <v>2808</v>
      </c>
      <c r="I919" s="2">
        <v>255</v>
      </c>
      <c r="J919" s="2">
        <v>252720</v>
      </c>
      <c r="K919" s="2">
        <v>8650</v>
      </c>
      <c r="L919" s="2">
        <v>448.2</v>
      </c>
      <c r="M919" s="2">
        <v>694.8</v>
      </c>
      <c r="N919" s="2">
        <v>27450</v>
      </c>
      <c r="O919" s="2">
        <v>46.2</v>
      </c>
    </row>
    <row r="920" spans="1:15" ht="24.95" customHeight="1" x14ac:dyDescent="0.25">
      <c r="A920" s="1" t="s">
        <v>975</v>
      </c>
      <c r="B920" s="2">
        <v>282</v>
      </c>
      <c r="C920" s="2">
        <v>116</v>
      </c>
      <c r="D920" s="2">
        <v>39.799999999999997</v>
      </c>
      <c r="E920" s="2">
        <v>76.3</v>
      </c>
      <c r="F920" s="2">
        <v>-0.1</v>
      </c>
      <c r="H920" s="2">
        <v>5017</v>
      </c>
      <c r="I920" s="2">
        <v>163</v>
      </c>
      <c r="J920" s="2">
        <v>581972</v>
      </c>
      <c r="K920" s="2">
        <v>13060</v>
      </c>
      <c r="L920" s="2">
        <v>652.4</v>
      </c>
      <c r="M920" s="2">
        <v>1275.0999999999999</v>
      </c>
      <c r="N920" s="2">
        <v>43160</v>
      </c>
      <c r="O920" s="2">
        <v>35.1</v>
      </c>
    </row>
    <row r="921" spans="1:15" ht="24.95" customHeight="1" x14ac:dyDescent="0.25">
      <c r="A921" s="1" t="s">
        <v>976</v>
      </c>
      <c r="B921" s="2">
        <v>270</v>
      </c>
      <c r="C921" s="2">
        <v>106</v>
      </c>
      <c r="D921" s="2">
        <v>27.3</v>
      </c>
      <c r="E921" s="2">
        <v>79.5</v>
      </c>
      <c r="F921" s="2">
        <v>-0.8</v>
      </c>
      <c r="H921" s="2">
        <v>7417</v>
      </c>
      <c r="I921" s="2">
        <v>238</v>
      </c>
      <c r="J921" s="2">
        <v>786202</v>
      </c>
      <c r="K921" s="2">
        <v>12774</v>
      </c>
      <c r="L921" s="2">
        <v>729.8</v>
      </c>
      <c r="M921" s="2">
        <v>1819.7</v>
      </c>
      <c r="N921" s="2">
        <v>40620</v>
      </c>
    </row>
    <row r="922" spans="1:15" ht="24.95" customHeight="1" x14ac:dyDescent="0.25">
      <c r="A922" s="1" t="s">
        <v>977</v>
      </c>
      <c r="B922" s="2">
        <v>288</v>
      </c>
      <c r="C922" s="2">
        <v>114</v>
      </c>
      <c r="D922" s="2">
        <v>37.9</v>
      </c>
      <c r="E922" s="2">
        <v>76</v>
      </c>
      <c r="F922" s="2">
        <v>0.1</v>
      </c>
      <c r="H922" s="2">
        <v>3421</v>
      </c>
      <c r="I922" s="2">
        <v>218</v>
      </c>
      <c r="J922" s="2">
        <v>389994</v>
      </c>
      <c r="K922" s="2">
        <v>6404</v>
      </c>
      <c r="L922" s="2">
        <v>313.7</v>
      </c>
      <c r="M922" s="2">
        <v>904.8</v>
      </c>
      <c r="N922" s="2">
        <v>21920</v>
      </c>
      <c r="O922" s="2">
        <v>7.5</v>
      </c>
    </row>
    <row r="923" spans="1:15" ht="24.95" customHeight="1" x14ac:dyDescent="0.25">
      <c r="A923" s="1" t="s">
        <v>978</v>
      </c>
      <c r="B923" s="2">
        <v>286</v>
      </c>
      <c r="C923" s="2">
        <v>114</v>
      </c>
      <c r="D923" s="2">
        <v>36.5</v>
      </c>
      <c r="E923" s="2">
        <v>76.5</v>
      </c>
      <c r="F923" s="2">
        <v>1</v>
      </c>
      <c r="H923" s="2">
        <v>1775</v>
      </c>
      <c r="I923" s="2">
        <v>174</v>
      </c>
      <c r="J923" s="2">
        <v>202350</v>
      </c>
      <c r="K923" s="2">
        <v>6288</v>
      </c>
      <c r="L923" s="2">
        <v>259.10000000000002</v>
      </c>
      <c r="M923" s="2">
        <v>453.9</v>
      </c>
      <c r="N923" s="2">
        <v>20150</v>
      </c>
      <c r="O923" s="2">
        <v>51.1</v>
      </c>
    </row>
    <row r="924" spans="1:15" ht="24.95" customHeight="1" x14ac:dyDescent="0.25">
      <c r="A924" s="1" t="s">
        <v>979</v>
      </c>
      <c r="B924" s="2">
        <v>278</v>
      </c>
      <c r="C924" s="2">
        <v>114</v>
      </c>
      <c r="D924" s="2">
        <v>36.5</v>
      </c>
      <c r="E924" s="2">
        <v>76.5</v>
      </c>
      <c r="F924" s="2">
        <v>1</v>
      </c>
      <c r="H924" s="2">
        <v>2500</v>
      </c>
      <c r="I924" s="2">
        <v>175</v>
      </c>
      <c r="J924" s="2">
        <v>285000</v>
      </c>
      <c r="K924" s="2">
        <v>6659</v>
      </c>
      <c r="L924" s="2">
        <v>301.89999999999998</v>
      </c>
      <c r="M924" s="2">
        <v>650.70000000000005</v>
      </c>
      <c r="N924" s="2">
        <v>19310</v>
      </c>
      <c r="O924" s="2">
        <v>23.8</v>
      </c>
    </row>
    <row r="925" spans="1:15" ht="24.95" customHeight="1" x14ac:dyDescent="0.25">
      <c r="A925" s="1" t="s">
        <v>980</v>
      </c>
      <c r="B925" s="2">
        <v>302</v>
      </c>
      <c r="C925" s="2">
        <v>124</v>
      </c>
      <c r="D925" s="2">
        <v>43.9</v>
      </c>
      <c r="E925" s="2">
        <v>80</v>
      </c>
      <c r="F925" s="2">
        <v>0.1</v>
      </c>
      <c r="H925" s="2">
        <v>1576</v>
      </c>
      <c r="I925" s="2">
        <v>183</v>
      </c>
      <c r="J925" s="2">
        <v>195424</v>
      </c>
      <c r="K925" s="2">
        <v>4146</v>
      </c>
      <c r="L925" s="2">
        <v>219.4</v>
      </c>
      <c r="M925" s="2">
        <v>412.3</v>
      </c>
      <c r="N925" s="2">
        <v>13650</v>
      </c>
      <c r="O925" s="2">
        <v>34.200000000000003</v>
      </c>
    </row>
    <row r="926" spans="1:15" ht="24.95" customHeight="1" x14ac:dyDescent="0.25">
      <c r="A926" s="1" t="s">
        <v>981</v>
      </c>
      <c r="B926" s="2">
        <v>270</v>
      </c>
      <c r="C926" s="2">
        <v>102</v>
      </c>
      <c r="D926" s="2">
        <v>22.9</v>
      </c>
      <c r="E926" s="2">
        <v>79.5</v>
      </c>
      <c r="F926" s="2">
        <v>-0.4</v>
      </c>
      <c r="H926" s="2">
        <v>3584</v>
      </c>
      <c r="I926" s="2">
        <v>212</v>
      </c>
      <c r="J926" s="2">
        <v>365568</v>
      </c>
      <c r="K926" s="2">
        <v>9664</v>
      </c>
      <c r="L926" s="2">
        <v>628.5</v>
      </c>
      <c r="M926" s="2">
        <v>915.8</v>
      </c>
      <c r="N926" s="2">
        <v>29940</v>
      </c>
      <c r="O926" s="2">
        <v>34.9</v>
      </c>
    </row>
    <row r="927" spans="1:15" ht="24.95" customHeight="1" x14ac:dyDescent="0.25">
      <c r="A927" s="1" t="s">
        <v>982</v>
      </c>
      <c r="B927" s="2">
        <v>272</v>
      </c>
      <c r="C927" s="2">
        <v>112</v>
      </c>
      <c r="D927" s="2">
        <v>34.5</v>
      </c>
      <c r="E927" s="2">
        <v>80</v>
      </c>
      <c r="F927" s="2">
        <v>-2.5</v>
      </c>
      <c r="H927" s="2">
        <v>1180</v>
      </c>
      <c r="I927" s="2">
        <v>181</v>
      </c>
      <c r="J927" s="2">
        <v>132160</v>
      </c>
      <c r="K927" s="2">
        <v>3081</v>
      </c>
      <c r="L927" s="2">
        <v>157</v>
      </c>
      <c r="M927" s="2">
        <v>306.39999999999998</v>
      </c>
      <c r="N927" s="2">
        <v>9290</v>
      </c>
      <c r="O927" s="2">
        <v>26.3</v>
      </c>
    </row>
    <row r="928" spans="1:15" ht="24.95" customHeight="1" x14ac:dyDescent="0.25">
      <c r="A928" s="1" t="s">
        <v>983</v>
      </c>
      <c r="B928" s="2">
        <v>276</v>
      </c>
      <c r="C928" s="2">
        <v>112</v>
      </c>
      <c r="D928" s="2">
        <v>34.700000000000003</v>
      </c>
      <c r="E928" s="2">
        <v>80</v>
      </c>
      <c r="F928" s="2">
        <v>-2.7</v>
      </c>
      <c r="H928" s="2">
        <v>2161</v>
      </c>
      <c r="I928" s="2">
        <v>174</v>
      </c>
      <c r="J928" s="2">
        <v>242032</v>
      </c>
      <c r="K928" s="2">
        <v>4837</v>
      </c>
      <c r="L928" s="2">
        <v>430.5</v>
      </c>
      <c r="M928" s="2">
        <v>548.5</v>
      </c>
      <c r="N928" s="2">
        <v>15360</v>
      </c>
      <c r="O928" s="2">
        <v>19</v>
      </c>
    </row>
    <row r="929" spans="1:15" ht="24.95" customHeight="1" x14ac:dyDescent="0.25">
      <c r="A929" s="1" t="s">
        <v>984</v>
      </c>
      <c r="B929" s="2">
        <v>276</v>
      </c>
      <c r="C929" s="2">
        <v>108</v>
      </c>
      <c r="D929" s="2">
        <v>31.3</v>
      </c>
      <c r="E929" s="2">
        <v>80</v>
      </c>
      <c r="F929" s="2">
        <v>-3.3</v>
      </c>
      <c r="H929" s="2">
        <v>1128</v>
      </c>
      <c r="I929" s="2">
        <v>165</v>
      </c>
      <c r="J929" s="2">
        <v>121824</v>
      </c>
      <c r="K929" s="2">
        <v>2569</v>
      </c>
      <c r="L929" s="2">
        <v>132.6</v>
      </c>
      <c r="M929" s="2">
        <v>304.8</v>
      </c>
      <c r="N929" s="2">
        <v>8290</v>
      </c>
      <c r="O929" s="2">
        <v>18.100000000000001</v>
      </c>
    </row>
    <row r="930" spans="1:15" ht="24.95" customHeight="1" x14ac:dyDescent="0.25">
      <c r="A930" s="1" t="s">
        <v>985</v>
      </c>
      <c r="B930" s="2">
        <v>272</v>
      </c>
      <c r="C930" s="2">
        <v>112</v>
      </c>
      <c r="D930" s="2">
        <v>31.8</v>
      </c>
      <c r="E930" s="2">
        <v>80</v>
      </c>
      <c r="F930" s="2">
        <v>0.2</v>
      </c>
      <c r="H930" s="2">
        <v>4736</v>
      </c>
      <c r="I930" s="2">
        <v>173</v>
      </c>
      <c r="J930" s="2">
        <v>530432</v>
      </c>
      <c r="K930" s="2">
        <v>10305</v>
      </c>
      <c r="L930" s="2">
        <v>619.1</v>
      </c>
      <c r="M930" s="2">
        <v>1231.5</v>
      </c>
      <c r="N930" s="2">
        <v>34200</v>
      </c>
      <c r="O930" s="2">
        <v>18</v>
      </c>
    </row>
    <row r="931" spans="1:15" ht="24.95" customHeight="1" x14ac:dyDescent="0.25">
      <c r="A931" s="1" t="s">
        <v>986</v>
      </c>
      <c r="B931" s="2">
        <v>272</v>
      </c>
      <c r="C931" s="2">
        <v>108</v>
      </c>
      <c r="D931" s="2">
        <v>32.700000000000003</v>
      </c>
      <c r="E931" s="2">
        <v>76</v>
      </c>
      <c r="F931" s="2">
        <v>-0.7</v>
      </c>
      <c r="H931" s="2">
        <v>5375</v>
      </c>
      <c r="I931" s="2">
        <v>216</v>
      </c>
      <c r="J931" s="2">
        <v>580400</v>
      </c>
      <c r="K931" s="2">
        <v>10619</v>
      </c>
      <c r="L931" s="2">
        <v>565.4</v>
      </c>
      <c r="M931" s="2">
        <v>1345.3</v>
      </c>
      <c r="N931" s="2">
        <v>33750</v>
      </c>
      <c r="O931" s="2">
        <v>10.7</v>
      </c>
    </row>
    <row r="932" spans="1:15" ht="24.95" customHeight="1" x14ac:dyDescent="0.25">
      <c r="A932" s="1" t="s">
        <v>975</v>
      </c>
      <c r="B932" s="2">
        <v>258</v>
      </c>
      <c r="C932" s="2">
        <v>102</v>
      </c>
      <c r="D932" s="2">
        <v>21.5</v>
      </c>
      <c r="E932" s="2">
        <v>80</v>
      </c>
      <c r="F932" s="2">
        <v>0.5</v>
      </c>
      <c r="G932" s="2">
        <v>105.4</v>
      </c>
      <c r="H932" s="2">
        <v>3470</v>
      </c>
      <c r="I932" s="2">
        <v>172</v>
      </c>
      <c r="J932" s="2">
        <v>365824</v>
      </c>
      <c r="K932" s="2">
        <v>9339</v>
      </c>
      <c r="L932" s="2">
        <v>495</v>
      </c>
      <c r="M932" s="2">
        <v>877.2</v>
      </c>
      <c r="N932" s="2">
        <v>31540</v>
      </c>
      <c r="O932" s="2">
        <v>36</v>
      </c>
    </row>
    <row r="933" spans="1:15" ht="24.95" customHeight="1" x14ac:dyDescent="0.25">
      <c r="A933" s="1" t="s">
        <v>987</v>
      </c>
      <c r="B933" s="2">
        <v>234</v>
      </c>
      <c r="C933" s="2">
        <v>100</v>
      </c>
      <c r="D933" s="2">
        <v>20</v>
      </c>
      <c r="E933" s="2">
        <v>80</v>
      </c>
      <c r="G933" s="2">
        <v>103.4</v>
      </c>
      <c r="H933" s="2">
        <v>4319</v>
      </c>
      <c r="I933" s="2">
        <v>215</v>
      </c>
      <c r="J933" s="2">
        <v>446774</v>
      </c>
      <c r="K933" s="2">
        <v>11887</v>
      </c>
      <c r="L933" s="2">
        <v>559.4</v>
      </c>
      <c r="M933" s="2">
        <v>1104.3</v>
      </c>
      <c r="N933" s="2">
        <v>40130</v>
      </c>
      <c r="O933" s="2">
        <v>37.299999999999997</v>
      </c>
    </row>
    <row r="934" spans="1:15" ht="24.95" customHeight="1" x14ac:dyDescent="0.25">
      <c r="A934" s="1" t="s">
        <v>979</v>
      </c>
      <c r="B934" s="2">
        <v>264</v>
      </c>
      <c r="C934" s="2">
        <v>96</v>
      </c>
      <c r="D934" s="2">
        <v>15</v>
      </c>
      <c r="E934" s="2">
        <v>80</v>
      </c>
      <c r="F934" s="2">
        <v>1</v>
      </c>
      <c r="G934" s="2">
        <v>98.4</v>
      </c>
      <c r="H934" s="2">
        <v>1669</v>
      </c>
      <c r="I934" s="2">
        <v>195</v>
      </c>
      <c r="J934" s="2">
        <v>164201</v>
      </c>
      <c r="K934" s="2">
        <v>6422</v>
      </c>
      <c r="L934" s="2">
        <v>316.8</v>
      </c>
      <c r="M934" s="2">
        <v>428.6</v>
      </c>
      <c r="N934" s="2">
        <v>19940</v>
      </c>
      <c r="O934" s="2">
        <v>51.7</v>
      </c>
    </row>
    <row r="935" spans="1:15" ht="24.95" customHeight="1" x14ac:dyDescent="0.25">
      <c r="A935" s="1" t="s">
        <v>963</v>
      </c>
      <c r="B935" s="2">
        <v>238</v>
      </c>
      <c r="C935" s="2">
        <v>100</v>
      </c>
      <c r="D935" s="2">
        <v>20.100000000000001</v>
      </c>
      <c r="E935" s="2">
        <v>80</v>
      </c>
      <c r="F935" s="2">
        <v>-0.1</v>
      </c>
      <c r="G935" s="2">
        <v>102</v>
      </c>
      <c r="H935" s="2">
        <v>5797</v>
      </c>
      <c r="I935" s="2">
        <v>230</v>
      </c>
      <c r="J935" s="2">
        <v>591468</v>
      </c>
      <c r="K935" s="2">
        <v>12195</v>
      </c>
      <c r="L935" s="2">
        <v>713.9</v>
      </c>
      <c r="M935" s="2">
        <v>1384.7</v>
      </c>
      <c r="N935" s="2">
        <v>40710</v>
      </c>
      <c r="O935" s="2">
        <v>21.2</v>
      </c>
    </row>
    <row r="936" spans="1:15" ht="24.95" customHeight="1" x14ac:dyDescent="0.25">
      <c r="A936" s="1" t="s">
        <v>988</v>
      </c>
      <c r="B936" s="2">
        <v>255</v>
      </c>
      <c r="C936" s="2">
        <v>104</v>
      </c>
      <c r="D936" s="2">
        <v>22.6</v>
      </c>
      <c r="E936" s="2">
        <v>80</v>
      </c>
      <c r="F936" s="2">
        <v>1.4</v>
      </c>
      <c r="G936" s="2">
        <v>109</v>
      </c>
      <c r="H936" s="2">
        <v>1770</v>
      </c>
      <c r="I936" s="2">
        <v>181</v>
      </c>
      <c r="J936" s="2">
        <v>192982</v>
      </c>
      <c r="K936" s="2">
        <v>5851</v>
      </c>
      <c r="L936" s="2">
        <v>269.89999999999998</v>
      </c>
      <c r="M936" s="2">
        <v>453</v>
      </c>
      <c r="N936" s="2">
        <v>18340</v>
      </c>
      <c r="O936" s="2">
        <v>43.8</v>
      </c>
    </row>
    <row r="937" spans="1:15" ht="24.95" customHeight="1" x14ac:dyDescent="0.25">
      <c r="A937" s="1" t="s">
        <v>989</v>
      </c>
      <c r="B937" s="2">
        <v>248</v>
      </c>
      <c r="C937" s="2">
        <v>97</v>
      </c>
      <c r="D937" s="2">
        <v>18.100000000000001</v>
      </c>
      <c r="E937" s="2">
        <v>80</v>
      </c>
      <c r="F937" s="2">
        <v>-1.1000000000000001</v>
      </c>
      <c r="G937" s="2">
        <v>99.5</v>
      </c>
      <c r="H937" s="2">
        <v>5670</v>
      </c>
      <c r="I937" s="2">
        <v>191</v>
      </c>
      <c r="J937" s="2">
        <v>564266</v>
      </c>
      <c r="K937" s="2">
        <v>12316</v>
      </c>
      <c r="L937" s="2">
        <v>905.6</v>
      </c>
      <c r="M937" s="2">
        <v>1389.6</v>
      </c>
      <c r="N937" s="2">
        <v>38860</v>
      </c>
      <c r="O937" s="2">
        <v>19.899999999999999</v>
      </c>
    </row>
    <row r="938" spans="1:15" ht="24.95" customHeight="1" x14ac:dyDescent="0.25">
      <c r="A938" s="1" t="s">
        <v>966</v>
      </c>
      <c r="B938" s="2">
        <v>238</v>
      </c>
      <c r="C938" s="2">
        <v>98</v>
      </c>
      <c r="D938" s="2">
        <v>18.7</v>
      </c>
      <c r="E938" s="2">
        <v>80</v>
      </c>
      <c r="F938" s="2">
        <v>-0.7</v>
      </c>
      <c r="G938" s="2">
        <v>99.2</v>
      </c>
      <c r="H938" s="2">
        <v>2393</v>
      </c>
      <c r="I938" s="2">
        <v>156</v>
      </c>
      <c r="J938" s="2">
        <v>237372</v>
      </c>
      <c r="K938" s="2">
        <v>5560</v>
      </c>
      <c r="L938" s="2">
        <v>308.3</v>
      </c>
      <c r="M938" s="2">
        <v>506.1</v>
      </c>
      <c r="N938" s="2">
        <v>19030</v>
      </c>
      <c r="O938" s="2">
        <v>33.299999999999997</v>
      </c>
    </row>
    <row r="939" spans="1:15" ht="24.95" customHeight="1" x14ac:dyDescent="0.25">
      <c r="A939" s="1" t="s">
        <v>990</v>
      </c>
      <c r="B939" s="2">
        <v>240</v>
      </c>
      <c r="C939" s="2">
        <v>98</v>
      </c>
      <c r="D939" s="2">
        <v>18.8</v>
      </c>
      <c r="E939" s="2">
        <v>80</v>
      </c>
      <c r="F939" s="2">
        <v>-0.8</v>
      </c>
      <c r="G939" s="2">
        <v>98.5</v>
      </c>
      <c r="H939" s="2">
        <v>2991</v>
      </c>
      <c r="I939" s="2">
        <v>132</v>
      </c>
      <c r="J939" s="2">
        <v>294512</v>
      </c>
      <c r="K939" s="2">
        <v>5081</v>
      </c>
      <c r="L939" s="2">
        <v>308.39999999999998</v>
      </c>
      <c r="M939" s="2">
        <v>733.4</v>
      </c>
      <c r="N939" s="2">
        <v>18890</v>
      </c>
      <c r="O939" s="2">
        <v>6.8</v>
      </c>
    </row>
    <row r="940" spans="1:15" ht="24.95" customHeight="1" x14ac:dyDescent="0.25">
      <c r="A940" s="1" t="s">
        <v>991</v>
      </c>
      <c r="B940" s="2">
        <v>236</v>
      </c>
      <c r="C940" s="2">
        <v>94</v>
      </c>
      <c r="D940" s="2">
        <v>15.8</v>
      </c>
      <c r="E940" s="2">
        <v>80</v>
      </c>
      <c r="F940" s="2">
        <v>-1.8</v>
      </c>
      <c r="G940" s="2">
        <v>97.1</v>
      </c>
      <c r="H940" s="2">
        <v>2744</v>
      </c>
      <c r="I940" s="2">
        <v>178</v>
      </c>
      <c r="J940" s="2">
        <v>266379</v>
      </c>
      <c r="K940" s="2">
        <v>5837</v>
      </c>
      <c r="L940" s="2">
        <v>357.2</v>
      </c>
      <c r="M940" s="2">
        <v>624.4</v>
      </c>
      <c r="N940" s="2">
        <v>18100</v>
      </c>
      <c r="O940" s="2">
        <v>17.8</v>
      </c>
    </row>
    <row r="941" spans="1:15" ht="24.95" customHeight="1" x14ac:dyDescent="0.25">
      <c r="A941" s="1" t="s">
        <v>984</v>
      </c>
      <c r="B941" s="2">
        <v>254</v>
      </c>
      <c r="C941" s="2">
        <v>104</v>
      </c>
      <c r="D941" s="2">
        <v>25.1</v>
      </c>
      <c r="E941" s="2">
        <v>80</v>
      </c>
      <c r="F941" s="2">
        <v>-1.1000000000000001</v>
      </c>
      <c r="G941" s="2">
        <v>106</v>
      </c>
      <c r="H941" s="2">
        <v>1417</v>
      </c>
      <c r="I941" s="2">
        <v>139</v>
      </c>
      <c r="J941" s="2">
        <v>150188</v>
      </c>
      <c r="K941" s="2">
        <v>3146</v>
      </c>
      <c r="L941" s="2">
        <v>129.80000000000001</v>
      </c>
      <c r="M941" s="2">
        <v>301.39999999999998</v>
      </c>
      <c r="N941" s="2">
        <v>11710</v>
      </c>
      <c r="O941" s="2">
        <v>31.8</v>
      </c>
    </row>
    <row r="942" spans="1:15" ht="24.95" customHeight="1" x14ac:dyDescent="0.25">
      <c r="A942" s="1" t="s">
        <v>6793</v>
      </c>
      <c r="B942" s="2">
        <v>210</v>
      </c>
      <c r="C942" s="2">
        <v>86</v>
      </c>
      <c r="H942" s="2">
        <v>26190</v>
      </c>
      <c r="I942" s="2">
        <v>149</v>
      </c>
      <c r="J942" s="2">
        <v>2252340</v>
      </c>
      <c r="K942" s="2">
        <v>76157</v>
      </c>
      <c r="L942" s="2">
        <v>3600.7</v>
      </c>
      <c r="M942" s="2">
        <v>6443.2</v>
      </c>
      <c r="N942" s="2">
        <v>234880</v>
      </c>
      <c r="O942" s="2">
        <v>37.4</v>
      </c>
    </row>
    <row r="943" spans="1:15" ht="24.95" customHeight="1" x14ac:dyDescent="0.25">
      <c r="A943" s="1" t="s">
        <v>993</v>
      </c>
      <c r="B943" s="2">
        <v>296</v>
      </c>
      <c r="C943" s="2">
        <v>124</v>
      </c>
      <c r="D943" s="2">
        <v>39.6</v>
      </c>
      <c r="E943" s="2">
        <v>89</v>
      </c>
      <c r="F943" s="2">
        <v>-4.5999999999999996</v>
      </c>
      <c r="H943" s="2">
        <v>440</v>
      </c>
      <c r="I943" s="2">
        <v>123</v>
      </c>
      <c r="J943" s="2">
        <v>54560</v>
      </c>
      <c r="K943" s="2">
        <v>1187</v>
      </c>
      <c r="L943" s="2">
        <v>81.599999999999994</v>
      </c>
      <c r="M943" s="2">
        <v>110</v>
      </c>
      <c r="N943" s="2">
        <v>2920</v>
      </c>
      <c r="O943" s="2">
        <v>15</v>
      </c>
    </row>
    <row r="944" spans="1:15" ht="24.95" customHeight="1" x14ac:dyDescent="0.25">
      <c r="A944" s="1" t="s">
        <v>994</v>
      </c>
      <c r="B944" s="2">
        <v>303</v>
      </c>
      <c r="C944" s="2">
        <v>130</v>
      </c>
      <c r="D944" s="2">
        <v>41.8</v>
      </c>
      <c r="E944" s="2">
        <v>89</v>
      </c>
      <c r="F944" s="2">
        <v>-0.8</v>
      </c>
      <c r="H944" s="2">
        <v>950</v>
      </c>
      <c r="I944" s="2">
        <v>141</v>
      </c>
      <c r="J944" s="2">
        <v>123500</v>
      </c>
      <c r="K944" s="2">
        <v>2634</v>
      </c>
      <c r="L944" s="2">
        <v>122.8</v>
      </c>
      <c r="M944" s="2">
        <v>234.2</v>
      </c>
      <c r="N944" s="2">
        <v>7400</v>
      </c>
      <c r="O944" s="2">
        <v>28.4</v>
      </c>
    </row>
    <row r="945" spans="1:15" ht="24.95" customHeight="1" x14ac:dyDescent="0.25">
      <c r="A945" s="1" t="s">
        <v>995</v>
      </c>
      <c r="B945" s="2">
        <v>258</v>
      </c>
      <c r="C945" s="2">
        <v>108</v>
      </c>
      <c r="D945" s="2">
        <v>23.9</v>
      </c>
      <c r="E945" s="2">
        <v>89</v>
      </c>
      <c r="F945" s="2">
        <v>-4.9000000000000004</v>
      </c>
      <c r="H945" s="2">
        <v>160</v>
      </c>
      <c r="I945" s="2">
        <v>105</v>
      </c>
      <c r="J945" s="2">
        <v>17280</v>
      </c>
      <c r="K945" s="2">
        <v>512</v>
      </c>
      <c r="L945" s="2">
        <v>20.399999999999999</v>
      </c>
      <c r="M945" s="2">
        <v>40.5</v>
      </c>
      <c r="N945" s="2">
        <v>1550</v>
      </c>
      <c r="O945" s="2">
        <v>39.299999999999997</v>
      </c>
    </row>
    <row r="946" spans="1:15" ht="24.95" customHeight="1" x14ac:dyDescent="0.25">
      <c r="A946" s="1" t="s">
        <v>998</v>
      </c>
      <c r="B946" s="2">
        <v>294</v>
      </c>
      <c r="C946" s="2">
        <v>126</v>
      </c>
      <c r="D946" s="2">
        <v>41.4</v>
      </c>
      <c r="E946" s="2">
        <v>86</v>
      </c>
      <c r="F946" s="2">
        <v>-1.4</v>
      </c>
      <c r="H946" s="2">
        <v>6500</v>
      </c>
      <c r="I946" s="2">
        <v>165</v>
      </c>
      <c r="J946" s="2">
        <v>819000</v>
      </c>
      <c r="K946" s="2">
        <v>15412</v>
      </c>
      <c r="L946" s="2">
        <v>762.5</v>
      </c>
      <c r="M946" s="2">
        <v>1629.9</v>
      </c>
      <c r="N946" s="2">
        <v>46340</v>
      </c>
      <c r="O946" s="2">
        <v>23.6</v>
      </c>
    </row>
    <row r="947" spans="1:15" ht="24.95" customHeight="1" x14ac:dyDescent="0.25">
      <c r="A947" s="1" t="s">
        <v>999</v>
      </c>
      <c r="B947" s="2">
        <v>280</v>
      </c>
      <c r="C947" s="2">
        <v>118</v>
      </c>
      <c r="D947" s="2">
        <v>33.200000000000003</v>
      </c>
      <c r="E947" s="2">
        <v>89</v>
      </c>
      <c r="F947" s="2">
        <v>-4.2</v>
      </c>
      <c r="H947" s="2">
        <v>417</v>
      </c>
      <c r="I947" s="2">
        <v>145</v>
      </c>
      <c r="J947" s="2">
        <v>49206</v>
      </c>
      <c r="K947" s="2">
        <v>1036</v>
      </c>
      <c r="L947" s="2">
        <v>65.2</v>
      </c>
      <c r="M947" s="2">
        <v>103.8</v>
      </c>
      <c r="N947" s="2">
        <v>2200</v>
      </c>
    </row>
    <row r="948" spans="1:15" ht="24.95" customHeight="1" x14ac:dyDescent="0.25">
      <c r="A948" s="1" t="s">
        <v>1001</v>
      </c>
      <c r="B948" s="2">
        <v>291</v>
      </c>
      <c r="C948" s="2">
        <v>114</v>
      </c>
      <c r="D948" s="2">
        <v>26</v>
      </c>
      <c r="E948" s="2">
        <v>89</v>
      </c>
      <c r="F948" s="2">
        <v>-1</v>
      </c>
      <c r="H948" s="2">
        <v>454</v>
      </c>
      <c r="I948" s="2">
        <v>156</v>
      </c>
      <c r="J948" s="2">
        <v>51756</v>
      </c>
      <c r="K948" s="2">
        <v>1201</v>
      </c>
      <c r="L948" s="2">
        <v>50.4</v>
      </c>
      <c r="M948" s="2">
        <v>113.7</v>
      </c>
      <c r="N948" s="2">
        <v>3630</v>
      </c>
      <c r="O948" s="2">
        <v>30.1</v>
      </c>
    </row>
    <row r="949" spans="1:15" ht="24.95" customHeight="1" x14ac:dyDescent="0.25">
      <c r="A949" s="1" t="s">
        <v>1002</v>
      </c>
      <c r="B949" s="2">
        <v>315</v>
      </c>
      <c r="C949" s="2">
        <v>130</v>
      </c>
      <c r="D949" s="2">
        <v>45.5</v>
      </c>
      <c r="E949" s="2">
        <v>89</v>
      </c>
      <c r="F949" s="2">
        <v>-4.5</v>
      </c>
      <c r="H949" s="2">
        <v>2550</v>
      </c>
      <c r="I949" s="2">
        <v>116</v>
      </c>
      <c r="J949" s="2">
        <v>331500</v>
      </c>
      <c r="K949" s="2">
        <v>5559</v>
      </c>
      <c r="L949" s="2">
        <v>395.4</v>
      </c>
      <c r="M949" s="2">
        <v>620.5</v>
      </c>
      <c r="N949" s="2">
        <v>17440</v>
      </c>
      <c r="O949" s="2">
        <v>18</v>
      </c>
    </row>
    <row r="950" spans="1:15" ht="24.95" customHeight="1" x14ac:dyDescent="0.25">
      <c r="A950" s="1" t="s">
        <v>1003</v>
      </c>
      <c r="B950" s="2">
        <v>280</v>
      </c>
      <c r="C950" s="2">
        <v>114</v>
      </c>
      <c r="D950" s="2">
        <v>27.7</v>
      </c>
      <c r="E950" s="2">
        <v>89</v>
      </c>
      <c r="F950" s="2">
        <v>-2.7</v>
      </c>
      <c r="H950" s="2">
        <v>266</v>
      </c>
      <c r="I950" s="2">
        <v>113</v>
      </c>
      <c r="J950" s="2">
        <v>30324</v>
      </c>
      <c r="K950" s="2">
        <v>842</v>
      </c>
      <c r="L950" s="2">
        <v>36.9</v>
      </c>
      <c r="M950" s="2">
        <v>68.900000000000006</v>
      </c>
      <c r="N950" s="2">
        <v>2290</v>
      </c>
      <c r="O950" s="2">
        <v>32</v>
      </c>
    </row>
    <row r="951" spans="1:15" ht="24.95" customHeight="1" x14ac:dyDescent="0.25">
      <c r="A951" s="1" t="s">
        <v>1004</v>
      </c>
      <c r="B951" s="2">
        <v>270</v>
      </c>
      <c r="C951" s="2">
        <v>110</v>
      </c>
      <c r="D951" s="2">
        <v>23.9</v>
      </c>
      <c r="E951" s="2">
        <v>89</v>
      </c>
      <c r="F951" s="2">
        <v>-2.9</v>
      </c>
      <c r="H951" s="2">
        <v>520</v>
      </c>
      <c r="I951" s="2">
        <v>180</v>
      </c>
      <c r="J951" s="2">
        <v>57200</v>
      </c>
      <c r="K951" s="2">
        <v>1548</v>
      </c>
      <c r="L951" s="2">
        <v>61.1</v>
      </c>
      <c r="M951" s="2">
        <v>142.69999999999999</v>
      </c>
      <c r="N951" s="2">
        <v>4770</v>
      </c>
      <c r="O951" s="2">
        <v>33.299999999999997</v>
      </c>
    </row>
    <row r="952" spans="1:15" ht="24.95" customHeight="1" x14ac:dyDescent="0.25">
      <c r="A952" s="1" t="s">
        <v>1005</v>
      </c>
      <c r="B952" s="2">
        <v>280</v>
      </c>
      <c r="C952" s="2">
        <v>110</v>
      </c>
      <c r="D952" s="2">
        <v>26.3</v>
      </c>
      <c r="E952" s="2">
        <v>89</v>
      </c>
      <c r="F952" s="2">
        <v>-5.3</v>
      </c>
      <c r="H952" s="2">
        <v>206</v>
      </c>
      <c r="I952" s="2">
        <v>98</v>
      </c>
      <c r="J952" s="2">
        <v>22600</v>
      </c>
      <c r="K952" s="2">
        <v>525</v>
      </c>
      <c r="L952" s="2">
        <v>23.4</v>
      </c>
      <c r="M952" s="2">
        <v>50.6</v>
      </c>
      <c r="N952" s="2">
        <v>1510</v>
      </c>
      <c r="O952" s="2">
        <v>22.2</v>
      </c>
    </row>
    <row r="953" spans="1:15" ht="24.95" customHeight="1" x14ac:dyDescent="0.25">
      <c r="A953" s="1" t="s">
        <v>1006</v>
      </c>
      <c r="B953" s="2">
        <v>270</v>
      </c>
      <c r="C953" s="2">
        <v>114</v>
      </c>
      <c r="D953" s="2">
        <v>28</v>
      </c>
      <c r="E953" s="2">
        <v>89</v>
      </c>
      <c r="F953" s="2">
        <v>-3</v>
      </c>
      <c r="H953" s="2">
        <v>1500</v>
      </c>
      <c r="I953" s="2">
        <v>180</v>
      </c>
      <c r="J953" s="2">
        <v>171000</v>
      </c>
      <c r="K953" s="2">
        <v>2592</v>
      </c>
      <c r="L953" s="2">
        <v>130.5</v>
      </c>
      <c r="M953" s="2">
        <v>371</v>
      </c>
      <c r="N953" s="2">
        <v>7870</v>
      </c>
    </row>
    <row r="954" spans="1:15" ht="24.95" customHeight="1" x14ac:dyDescent="0.25">
      <c r="A954" s="1" t="s">
        <v>1007</v>
      </c>
      <c r="B954" s="2">
        <v>273</v>
      </c>
      <c r="C954" s="2">
        <v>116</v>
      </c>
      <c r="D954" s="2">
        <v>29.6</v>
      </c>
      <c r="E954" s="2">
        <v>89</v>
      </c>
      <c r="F954" s="2">
        <v>-2.6</v>
      </c>
      <c r="H954" s="2">
        <v>695</v>
      </c>
      <c r="I954" s="2">
        <v>116</v>
      </c>
      <c r="J954" s="2">
        <v>80620</v>
      </c>
      <c r="K954" s="2">
        <v>2104</v>
      </c>
      <c r="L954" s="2">
        <v>111.2</v>
      </c>
      <c r="M954" s="2">
        <v>175.3</v>
      </c>
      <c r="N954" s="2">
        <v>6070</v>
      </c>
      <c r="O954" s="2">
        <v>35.299999999999997</v>
      </c>
    </row>
    <row r="955" spans="1:15" ht="24.95" customHeight="1" x14ac:dyDescent="0.25">
      <c r="A955" s="1" t="s">
        <v>855</v>
      </c>
      <c r="B955" s="2">
        <v>264</v>
      </c>
      <c r="C955" s="2">
        <v>112</v>
      </c>
      <c r="D955" s="2">
        <v>21.5</v>
      </c>
      <c r="E955" s="2">
        <v>89</v>
      </c>
      <c r="F955" s="2">
        <v>1.5</v>
      </c>
      <c r="G955" s="2">
        <v>113.9</v>
      </c>
      <c r="H955" s="2">
        <v>1275</v>
      </c>
      <c r="I955" s="2">
        <v>130</v>
      </c>
      <c r="J955" s="2">
        <v>145226</v>
      </c>
      <c r="K955" s="2">
        <v>6584</v>
      </c>
      <c r="L955" s="2">
        <v>251</v>
      </c>
      <c r="M955" s="2">
        <v>335</v>
      </c>
      <c r="N955" s="2">
        <v>18920</v>
      </c>
      <c r="O955" s="2">
        <v>61</v>
      </c>
    </row>
    <row r="956" spans="1:15" ht="24.95" customHeight="1" x14ac:dyDescent="0.25">
      <c r="A956" s="1" t="s">
        <v>1008</v>
      </c>
      <c r="B956" s="2">
        <v>250</v>
      </c>
      <c r="C956" s="2">
        <v>104</v>
      </c>
      <c r="D956" s="2">
        <v>15.2</v>
      </c>
      <c r="E956" s="2">
        <v>89</v>
      </c>
      <c r="F956" s="2">
        <v>-0.2</v>
      </c>
      <c r="G956" s="2">
        <v>104.9</v>
      </c>
      <c r="H956" s="2">
        <v>3200</v>
      </c>
      <c r="I956" s="2">
        <v>132</v>
      </c>
      <c r="J956" s="2">
        <v>335582</v>
      </c>
      <c r="K956" s="2">
        <v>9745</v>
      </c>
      <c r="L956" s="2">
        <v>501.7</v>
      </c>
      <c r="M956" s="2">
        <v>721.2</v>
      </c>
      <c r="N956" s="2">
        <v>34300</v>
      </c>
      <c r="O956" s="2">
        <v>48.2</v>
      </c>
    </row>
    <row r="957" spans="1:15" ht="24.95" customHeight="1" x14ac:dyDescent="0.25">
      <c r="A957" s="1" t="s">
        <v>1009</v>
      </c>
      <c r="B957" s="2">
        <v>256</v>
      </c>
      <c r="C957" s="2">
        <v>104</v>
      </c>
      <c r="D957" s="2">
        <v>14.3</v>
      </c>
      <c r="E957" s="2">
        <v>89</v>
      </c>
      <c r="F957" s="2">
        <v>0.7</v>
      </c>
      <c r="G957" s="2">
        <v>106.2</v>
      </c>
      <c r="H957" s="2">
        <v>1890</v>
      </c>
      <c r="I957" s="2">
        <v>178</v>
      </c>
      <c r="J957" s="2">
        <v>200702</v>
      </c>
      <c r="K957" s="2">
        <v>6207</v>
      </c>
      <c r="L957" s="2">
        <v>250.7</v>
      </c>
      <c r="M957" s="2">
        <v>439.2</v>
      </c>
      <c r="N957" s="2">
        <v>20160</v>
      </c>
      <c r="O957" s="2">
        <v>48.7</v>
      </c>
    </row>
    <row r="958" spans="1:15" ht="24.95" customHeight="1" x14ac:dyDescent="0.25">
      <c r="A958" s="1" t="s">
        <v>5445</v>
      </c>
      <c r="B958" s="2">
        <v>270</v>
      </c>
      <c r="C958" s="2">
        <v>109</v>
      </c>
      <c r="D958" s="2">
        <v>18.5</v>
      </c>
      <c r="E958" s="2">
        <v>89</v>
      </c>
      <c r="F958" s="2">
        <v>1.6</v>
      </c>
      <c r="G958" s="2">
        <v>110</v>
      </c>
      <c r="H958" s="2">
        <v>1078</v>
      </c>
      <c r="I958" s="2">
        <v>140</v>
      </c>
      <c r="J958" s="2">
        <v>118560</v>
      </c>
      <c r="K958" s="2">
        <v>5602</v>
      </c>
      <c r="L958" s="2">
        <v>196.4</v>
      </c>
      <c r="M958" s="2">
        <v>278.10000000000002</v>
      </c>
      <c r="N958" s="2">
        <v>16240</v>
      </c>
      <c r="O958" s="2">
        <v>62.8</v>
      </c>
    </row>
    <row r="959" spans="1:15" ht="24.95" customHeight="1" x14ac:dyDescent="0.25">
      <c r="A959" s="1" t="s">
        <v>1011</v>
      </c>
      <c r="B959" s="2">
        <v>270</v>
      </c>
      <c r="C959" s="2">
        <v>112</v>
      </c>
      <c r="D959" s="2">
        <v>22.5</v>
      </c>
      <c r="E959" s="2">
        <v>89</v>
      </c>
      <c r="F959" s="2">
        <v>0.5</v>
      </c>
      <c r="G959" s="2">
        <v>115.1</v>
      </c>
      <c r="H959" s="2">
        <v>1650</v>
      </c>
      <c r="I959" s="2">
        <v>170</v>
      </c>
      <c r="J959" s="2">
        <v>189890</v>
      </c>
      <c r="K959" s="2">
        <v>6016</v>
      </c>
      <c r="L959" s="2">
        <v>244.6</v>
      </c>
      <c r="M959" s="2">
        <v>432.5</v>
      </c>
      <c r="N959" s="2">
        <v>16600</v>
      </c>
      <c r="O959" s="2">
        <v>41.7</v>
      </c>
    </row>
    <row r="960" spans="1:15" ht="24.95" customHeight="1" x14ac:dyDescent="0.25">
      <c r="A960" s="1" t="s">
        <v>1012</v>
      </c>
      <c r="B960" s="2">
        <v>260</v>
      </c>
      <c r="C960" s="2">
        <v>104</v>
      </c>
      <c r="D960" s="2">
        <v>14.7</v>
      </c>
      <c r="E960" s="2">
        <v>89</v>
      </c>
      <c r="F960" s="2">
        <v>0.3</v>
      </c>
      <c r="G960" s="2">
        <v>104.7</v>
      </c>
      <c r="H960" s="2">
        <v>2010</v>
      </c>
      <c r="I960" s="2">
        <v>161</v>
      </c>
      <c r="J960" s="2">
        <v>210481</v>
      </c>
      <c r="K960" s="2">
        <v>4728</v>
      </c>
      <c r="L960" s="2">
        <v>220.9</v>
      </c>
      <c r="M960" s="2">
        <v>465.9</v>
      </c>
      <c r="N960" s="2">
        <v>18380</v>
      </c>
      <c r="O960" s="2">
        <v>37.1</v>
      </c>
    </row>
    <row r="961" spans="1:15" ht="24.95" customHeight="1" x14ac:dyDescent="0.25">
      <c r="A961" s="1" t="s">
        <v>1013</v>
      </c>
      <c r="B961" s="2">
        <v>252</v>
      </c>
      <c r="C961" s="2">
        <v>102</v>
      </c>
      <c r="D961" s="2">
        <v>11.4</v>
      </c>
      <c r="E961" s="2">
        <v>89</v>
      </c>
      <c r="F961" s="2">
        <v>1.6</v>
      </c>
      <c r="G961" s="2">
        <v>102.6</v>
      </c>
      <c r="H961" s="2">
        <v>420</v>
      </c>
      <c r="I961" s="2">
        <v>163</v>
      </c>
      <c r="J961" s="2">
        <v>43106</v>
      </c>
      <c r="K961" s="2">
        <v>2122</v>
      </c>
      <c r="L961" s="2">
        <v>74.099999999999994</v>
      </c>
      <c r="M961" s="2">
        <v>110</v>
      </c>
      <c r="N961" s="2">
        <v>6290</v>
      </c>
      <c r="O961" s="2">
        <v>61.1</v>
      </c>
    </row>
    <row r="962" spans="1:15" ht="24.95" customHeight="1" x14ac:dyDescent="0.25">
      <c r="A962" s="1" t="s">
        <v>6794</v>
      </c>
      <c r="B962" s="2">
        <v>172</v>
      </c>
      <c r="C962" s="2">
        <v>77</v>
      </c>
      <c r="H962" s="2">
        <v>13814</v>
      </c>
      <c r="I962" s="2">
        <v>154</v>
      </c>
      <c r="J962" s="2">
        <v>1063678</v>
      </c>
      <c r="K962" s="2">
        <v>41201</v>
      </c>
      <c r="L962" s="2">
        <v>1809.5</v>
      </c>
      <c r="M962" s="2">
        <v>3345.6</v>
      </c>
      <c r="N962" s="2">
        <v>135080</v>
      </c>
      <c r="O962" s="2">
        <v>41</v>
      </c>
    </row>
    <row r="963" spans="1:15" ht="24.95" customHeight="1" x14ac:dyDescent="0.25">
      <c r="A963" s="1" t="s">
        <v>1015</v>
      </c>
      <c r="B963" s="2">
        <v>298</v>
      </c>
      <c r="C963" s="2">
        <v>124</v>
      </c>
      <c r="D963" s="2">
        <v>47</v>
      </c>
      <c r="E963" s="2">
        <v>77</v>
      </c>
      <c r="H963" s="2">
        <v>3540</v>
      </c>
      <c r="I963" s="2">
        <v>178</v>
      </c>
      <c r="J963" s="2">
        <v>438960</v>
      </c>
      <c r="K963" s="2">
        <v>6746</v>
      </c>
      <c r="L963" s="2">
        <v>405.5</v>
      </c>
      <c r="M963" s="2">
        <v>891.4</v>
      </c>
      <c r="N963" s="2">
        <v>21680</v>
      </c>
      <c r="O963" s="2">
        <v>6.6</v>
      </c>
    </row>
    <row r="964" spans="1:15" ht="24.95" customHeight="1" x14ac:dyDescent="0.25">
      <c r="A964" s="1" t="s">
        <v>1016</v>
      </c>
      <c r="B964" s="2">
        <v>270</v>
      </c>
      <c r="C964" s="2">
        <v>116</v>
      </c>
      <c r="D964" s="2">
        <v>34.299999999999997</v>
      </c>
      <c r="E964" s="2">
        <v>82</v>
      </c>
      <c r="F964" s="2">
        <v>-0.3</v>
      </c>
      <c r="H964" s="2">
        <v>912</v>
      </c>
      <c r="I964" s="2">
        <v>151</v>
      </c>
      <c r="J964" s="2">
        <v>105792</v>
      </c>
      <c r="K964" s="2">
        <v>2344</v>
      </c>
      <c r="L964" s="2">
        <v>106.1</v>
      </c>
      <c r="M964" s="2">
        <v>231.4</v>
      </c>
      <c r="N964" s="2">
        <v>6550</v>
      </c>
      <c r="O964" s="2">
        <v>20.100000000000001</v>
      </c>
    </row>
    <row r="965" spans="1:15" ht="24.95" customHeight="1" x14ac:dyDescent="0.25">
      <c r="A965" s="1" t="s">
        <v>1275</v>
      </c>
      <c r="B965" s="2">
        <v>266</v>
      </c>
      <c r="C965" s="2">
        <v>118</v>
      </c>
      <c r="D965" s="2">
        <v>35.4</v>
      </c>
      <c r="E965" s="2">
        <v>82</v>
      </c>
      <c r="F965" s="2">
        <v>0.6</v>
      </c>
      <c r="H965" s="2">
        <v>357</v>
      </c>
      <c r="I965" s="2">
        <v>164</v>
      </c>
      <c r="J965" s="2">
        <v>42126</v>
      </c>
      <c r="K965" s="2">
        <v>1186</v>
      </c>
      <c r="L965" s="2">
        <v>52</v>
      </c>
      <c r="M965" s="2">
        <v>87.8</v>
      </c>
      <c r="N965" s="2">
        <v>3450</v>
      </c>
      <c r="O965" s="2">
        <v>41.1</v>
      </c>
    </row>
    <row r="966" spans="1:15" ht="24.95" customHeight="1" x14ac:dyDescent="0.25">
      <c r="A966" s="1" t="s">
        <v>1276</v>
      </c>
      <c r="B966" s="2">
        <v>286</v>
      </c>
      <c r="C966" s="2">
        <v>114</v>
      </c>
      <c r="D966" s="2">
        <v>31.5</v>
      </c>
      <c r="E966" s="2">
        <v>82</v>
      </c>
      <c r="F966" s="2">
        <v>0.5</v>
      </c>
      <c r="H966" s="2">
        <v>785</v>
      </c>
      <c r="I966" s="2">
        <v>243</v>
      </c>
      <c r="J966" s="2">
        <v>89490</v>
      </c>
      <c r="K966" s="2">
        <v>2188</v>
      </c>
      <c r="L966" s="2">
        <v>93.6</v>
      </c>
      <c r="M966" s="2">
        <v>193</v>
      </c>
      <c r="N966" s="2">
        <v>6040</v>
      </c>
      <c r="O966" s="2">
        <v>29.8</v>
      </c>
    </row>
    <row r="967" spans="1:15" ht="24.95" customHeight="1" x14ac:dyDescent="0.25">
      <c r="A967" s="1" t="s">
        <v>221</v>
      </c>
      <c r="B967" s="2">
        <v>274</v>
      </c>
      <c r="C967" s="2">
        <v>126</v>
      </c>
      <c r="D967" s="2">
        <v>43.8</v>
      </c>
      <c r="E967" s="2">
        <v>82</v>
      </c>
      <c r="F967" s="2">
        <v>0.3</v>
      </c>
      <c r="H967" s="2">
        <v>1454</v>
      </c>
      <c r="I967" s="2">
        <v>152</v>
      </c>
      <c r="J967" s="2">
        <v>183204</v>
      </c>
      <c r="K967" s="2">
        <v>3566</v>
      </c>
      <c r="L967" s="2">
        <v>186.3</v>
      </c>
      <c r="M967" s="2">
        <v>359.6</v>
      </c>
      <c r="N967" s="2">
        <v>11200</v>
      </c>
      <c r="O967" s="2">
        <v>27.2</v>
      </c>
    </row>
    <row r="968" spans="1:15" ht="24.95" customHeight="1" x14ac:dyDescent="0.25">
      <c r="A968" s="1" t="s">
        <v>1017</v>
      </c>
      <c r="B968" s="2">
        <v>268</v>
      </c>
      <c r="C968" s="2">
        <v>108</v>
      </c>
      <c r="D968" s="2">
        <v>25</v>
      </c>
      <c r="E968" s="2">
        <v>82</v>
      </c>
      <c r="F968" s="2">
        <v>1</v>
      </c>
      <c r="G968" s="2">
        <v>111.8</v>
      </c>
      <c r="H968" s="2">
        <v>754</v>
      </c>
      <c r="I968" s="2">
        <v>121</v>
      </c>
      <c r="J968" s="2">
        <v>84260</v>
      </c>
      <c r="K968" s="2">
        <v>2919</v>
      </c>
      <c r="L968" s="2">
        <v>93.5</v>
      </c>
      <c r="M968" s="2">
        <v>163.1</v>
      </c>
      <c r="N968" s="2">
        <v>9380</v>
      </c>
      <c r="O968" s="2">
        <v>55.3</v>
      </c>
    </row>
    <row r="969" spans="1:15" ht="24.95" customHeight="1" x14ac:dyDescent="0.25">
      <c r="A969" s="1" t="s">
        <v>1018</v>
      </c>
      <c r="B969" s="2">
        <v>230</v>
      </c>
      <c r="C969" s="2">
        <v>99</v>
      </c>
      <c r="D969" s="2">
        <v>15.3</v>
      </c>
      <c r="E969" s="2">
        <v>82</v>
      </c>
      <c r="F969" s="2">
        <v>1.7</v>
      </c>
      <c r="G969" s="2">
        <v>100.7</v>
      </c>
      <c r="H969" s="2">
        <v>750</v>
      </c>
      <c r="I969" s="2">
        <v>155</v>
      </c>
      <c r="J969" s="2">
        <v>75500</v>
      </c>
      <c r="K969" s="2">
        <v>3414</v>
      </c>
      <c r="L969" s="2">
        <v>145.80000000000001</v>
      </c>
      <c r="M969" s="2">
        <v>189.7</v>
      </c>
      <c r="N969" s="2">
        <v>9060</v>
      </c>
      <c r="O969" s="2">
        <v>52.6</v>
      </c>
    </row>
    <row r="970" spans="1:15" ht="24.95" customHeight="1" x14ac:dyDescent="0.25">
      <c r="A970" s="1" t="s">
        <v>1019</v>
      </c>
      <c r="B970" s="2">
        <v>272</v>
      </c>
      <c r="C970" s="2">
        <v>116</v>
      </c>
      <c r="D970" s="2">
        <v>32.5</v>
      </c>
      <c r="E970" s="2">
        <v>82</v>
      </c>
      <c r="F970" s="2">
        <v>1.5</v>
      </c>
      <c r="G970" s="2">
        <v>118.8</v>
      </c>
      <c r="H970" s="2">
        <v>1190</v>
      </c>
      <c r="I970" s="2">
        <v>167</v>
      </c>
      <c r="J970" s="2">
        <v>141375</v>
      </c>
      <c r="K970" s="2">
        <v>4827</v>
      </c>
      <c r="L970" s="2">
        <v>216.2</v>
      </c>
      <c r="M970" s="2">
        <v>307.60000000000002</v>
      </c>
      <c r="N970" s="2">
        <v>13650</v>
      </c>
      <c r="O970" s="2">
        <v>49.7</v>
      </c>
    </row>
    <row r="971" spans="1:15" ht="24.95" customHeight="1" x14ac:dyDescent="0.25">
      <c r="A971" s="1" t="s">
        <v>1020</v>
      </c>
      <c r="B971" s="2">
        <v>200</v>
      </c>
      <c r="C971" s="2">
        <v>90</v>
      </c>
      <c r="D971" s="2">
        <v>7.6</v>
      </c>
      <c r="E971" s="2">
        <v>82</v>
      </c>
      <c r="F971" s="2">
        <v>0.4</v>
      </c>
      <c r="G971" s="2">
        <v>92.7</v>
      </c>
      <c r="H971" s="2">
        <v>1932</v>
      </c>
      <c r="I971" s="2">
        <v>119</v>
      </c>
      <c r="J971" s="2">
        <v>179058</v>
      </c>
      <c r="K971" s="2">
        <v>5126</v>
      </c>
      <c r="L971" s="2">
        <v>190.7</v>
      </c>
      <c r="M971" s="2">
        <v>460.2</v>
      </c>
      <c r="N971" s="2">
        <v>23070</v>
      </c>
      <c r="O971" s="2">
        <v>54.1</v>
      </c>
    </row>
    <row r="972" spans="1:15" ht="24.95" customHeight="1" x14ac:dyDescent="0.25">
      <c r="A972" s="1" t="s">
        <v>1021</v>
      </c>
      <c r="B972" s="2">
        <v>236</v>
      </c>
      <c r="C972" s="2">
        <v>108</v>
      </c>
      <c r="D972" s="2">
        <v>25</v>
      </c>
      <c r="E972" s="2">
        <v>82</v>
      </c>
      <c r="F972" s="2">
        <v>1</v>
      </c>
      <c r="G972" s="2">
        <v>109.6</v>
      </c>
      <c r="H972" s="2">
        <v>590</v>
      </c>
      <c r="I972" s="2">
        <v>150</v>
      </c>
      <c r="J972" s="2">
        <v>64650</v>
      </c>
      <c r="K972" s="2">
        <v>3141</v>
      </c>
      <c r="L972" s="2">
        <v>111.9</v>
      </c>
      <c r="M972" s="2">
        <v>155.6</v>
      </c>
      <c r="N972" s="2">
        <v>9380</v>
      </c>
      <c r="O972" s="2">
        <v>63</v>
      </c>
    </row>
    <row r="973" spans="1:15" ht="24.95" customHeight="1" x14ac:dyDescent="0.25">
      <c r="A973" s="1" t="s">
        <v>1022</v>
      </c>
      <c r="B973" s="2">
        <v>208</v>
      </c>
      <c r="C973" s="2">
        <v>96</v>
      </c>
      <c r="D973" s="2">
        <v>12.6</v>
      </c>
      <c r="E973" s="2">
        <v>82</v>
      </c>
      <c r="F973" s="2">
        <v>1.4</v>
      </c>
      <c r="G973" s="2">
        <v>97.5</v>
      </c>
      <c r="H973" s="2">
        <v>1550</v>
      </c>
      <c r="I973" s="2">
        <v>135</v>
      </c>
      <c r="J973" s="2">
        <v>151198</v>
      </c>
      <c r="K973" s="2">
        <v>5744</v>
      </c>
      <c r="L973" s="2">
        <v>207.9</v>
      </c>
      <c r="M973" s="2">
        <v>360.1</v>
      </c>
      <c r="N973" s="2">
        <v>21620</v>
      </c>
      <c r="O973" s="2">
        <v>53.1</v>
      </c>
    </row>
    <row r="974" spans="1:15" ht="24.95" customHeight="1" x14ac:dyDescent="0.25">
      <c r="A974" s="1" t="s">
        <v>6795</v>
      </c>
      <c r="B974" s="2">
        <v>144</v>
      </c>
      <c r="C974" s="2">
        <v>57</v>
      </c>
      <c r="H974" s="2">
        <v>322072</v>
      </c>
      <c r="I974" s="2">
        <v>172</v>
      </c>
      <c r="J974" s="2">
        <v>18358104</v>
      </c>
      <c r="K974" s="2">
        <v>454560</v>
      </c>
      <c r="L974" s="2">
        <v>50921.599999999999</v>
      </c>
      <c r="M974" s="2">
        <v>79273.8</v>
      </c>
      <c r="N974" s="2">
        <v>1491000</v>
      </c>
    </row>
    <row r="975" spans="1:15" ht="24.95" customHeight="1" x14ac:dyDescent="0.25">
      <c r="A975" s="1" t="s">
        <v>1024</v>
      </c>
      <c r="B975" s="2">
        <v>254</v>
      </c>
      <c r="C975" s="2">
        <v>102</v>
      </c>
      <c r="D975" s="2">
        <v>45.1</v>
      </c>
      <c r="E975" s="2">
        <v>57</v>
      </c>
      <c r="F975" s="2">
        <v>-0.1</v>
      </c>
      <c r="H975" s="2">
        <v>9800</v>
      </c>
      <c r="I975" s="2">
        <v>168</v>
      </c>
      <c r="J975" s="2">
        <v>999600</v>
      </c>
      <c r="K975" s="2">
        <v>12734</v>
      </c>
      <c r="L975" s="2">
        <v>1745.8</v>
      </c>
      <c r="M975" s="2">
        <v>2408</v>
      </c>
      <c r="N975" s="2">
        <v>38950</v>
      </c>
    </row>
    <row r="976" spans="1:15" ht="24.95" customHeight="1" x14ac:dyDescent="0.25">
      <c r="A976" s="1" t="s">
        <v>1025</v>
      </c>
      <c r="B976" s="2">
        <v>256</v>
      </c>
      <c r="C976" s="2">
        <v>98</v>
      </c>
      <c r="D976" s="2">
        <v>40.799999999999997</v>
      </c>
      <c r="E976" s="2">
        <v>57</v>
      </c>
      <c r="F976" s="2">
        <v>0.2</v>
      </c>
      <c r="H976" s="2">
        <v>9130</v>
      </c>
      <c r="I976" s="2">
        <v>205</v>
      </c>
      <c r="J976" s="2">
        <v>894740</v>
      </c>
      <c r="K976" s="2">
        <v>10395</v>
      </c>
      <c r="L976" s="2">
        <v>1226.7</v>
      </c>
      <c r="M976" s="2">
        <v>2253.4</v>
      </c>
      <c r="N976" s="2">
        <v>32600</v>
      </c>
    </row>
    <row r="977" spans="1:15" ht="24.95" customHeight="1" x14ac:dyDescent="0.25">
      <c r="A977" s="1" t="s">
        <v>1026</v>
      </c>
      <c r="B977" s="2">
        <v>260</v>
      </c>
      <c r="C977" s="2">
        <v>106</v>
      </c>
      <c r="D977" s="2">
        <v>47</v>
      </c>
      <c r="E977" s="2">
        <v>59.8</v>
      </c>
      <c r="F977" s="2">
        <v>-0.8</v>
      </c>
      <c r="H977" s="2">
        <v>15167</v>
      </c>
      <c r="I977" s="2">
        <v>162</v>
      </c>
      <c r="J977" s="2">
        <v>1607702</v>
      </c>
      <c r="K977" s="2">
        <v>20807</v>
      </c>
      <c r="L977" s="2">
        <v>2558.6</v>
      </c>
      <c r="M977" s="2">
        <v>3554.3</v>
      </c>
      <c r="N977" s="2">
        <v>70380</v>
      </c>
    </row>
    <row r="978" spans="1:15" ht="24.95" customHeight="1" x14ac:dyDescent="0.25">
      <c r="A978" s="1" t="s">
        <v>1027</v>
      </c>
      <c r="B978" s="2">
        <v>270</v>
      </c>
      <c r="C978" s="2">
        <v>108</v>
      </c>
      <c r="D978" s="2">
        <v>42.7</v>
      </c>
      <c r="E978" s="2">
        <v>65.900000000000006</v>
      </c>
      <c r="F978" s="2">
        <v>-0.6</v>
      </c>
      <c r="H978" s="2">
        <v>3077</v>
      </c>
      <c r="I978" s="2">
        <v>155</v>
      </c>
      <c r="J978" s="2">
        <v>332316</v>
      </c>
      <c r="K978" s="2">
        <v>5245</v>
      </c>
      <c r="L978" s="2">
        <v>460.5</v>
      </c>
      <c r="M978" s="2">
        <v>766.9</v>
      </c>
      <c r="N978" s="2">
        <v>16940</v>
      </c>
    </row>
    <row r="979" spans="1:15" ht="24.95" customHeight="1" x14ac:dyDescent="0.25">
      <c r="A979" s="1" t="s">
        <v>1028</v>
      </c>
      <c r="B979" s="2">
        <v>248</v>
      </c>
      <c r="C979" s="2">
        <v>96</v>
      </c>
      <c r="D979" s="2">
        <v>32.799999999999997</v>
      </c>
      <c r="E979" s="2">
        <v>63.3</v>
      </c>
      <c r="F979" s="2">
        <v>-0.1</v>
      </c>
      <c r="H979" s="2">
        <v>14350</v>
      </c>
      <c r="I979" s="2">
        <v>179</v>
      </c>
      <c r="J979" s="2">
        <v>1377600</v>
      </c>
      <c r="K979" s="2">
        <v>16880</v>
      </c>
      <c r="L979" s="2">
        <v>1867.8</v>
      </c>
      <c r="M979" s="2">
        <v>3603.3</v>
      </c>
      <c r="N979" s="2">
        <v>54100</v>
      </c>
    </row>
    <row r="980" spans="1:15" ht="24.95" customHeight="1" x14ac:dyDescent="0.25">
      <c r="A980" s="1" t="s">
        <v>1029</v>
      </c>
      <c r="B980" s="2">
        <v>266</v>
      </c>
      <c r="C980" s="2">
        <v>98</v>
      </c>
      <c r="D980" s="2">
        <v>40.700000000000003</v>
      </c>
      <c r="E980" s="2">
        <v>50.7</v>
      </c>
      <c r="F980" s="2">
        <v>0.3</v>
      </c>
      <c r="H980" s="2">
        <v>13800</v>
      </c>
      <c r="I980" s="2">
        <v>189</v>
      </c>
      <c r="J980" s="2">
        <v>1352400</v>
      </c>
      <c r="K980" s="2">
        <v>11728</v>
      </c>
      <c r="L980" s="2">
        <v>1119.3</v>
      </c>
      <c r="M980" s="2">
        <v>3398.5</v>
      </c>
      <c r="N980" s="2">
        <v>35990</v>
      </c>
    </row>
    <row r="981" spans="1:15" ht="24.95" customHeight="1" x14ac:dyDescent="0.25">
      <c r="A981" s="1" t="s">
        <v>1030</v>
      </c>
      <c r="B981" s="2">
        <v>254</v>
      </c>
      <c r="C981" s="2">
        <v>102</v>
      </c>
      <c r="D981" s="2">
        <v>43.5</v>
      </c>
      <c r="E981" s="2">
        <v>59.5</v>
      </c>
      <c r="F981" s="2">
        <v>-1</v>
      </c>
      <c r="H981" s="2">
        <v>9300</v>
      </c>
      <c r="I981" s="2">
        <v>157</v>
      </c>
      <c r="J981" s="2">
        <v>948600</v>
      </c>
      <c r="K981" s="2">
        <v>14406</v>
      </c>
      <c r="L981" s="2">
        <v>1795.5</v>
      </c>
      <c r="M981" s="2">
        <v>2312</v>
      </c>
      <c r="N981" s="2">
        <v>46750</v>
      </c>
    </row>
    <row r="982" spans="1:15" ht="24.95" customHeight="1" x14ac:dyDescent="0.25">
      <c r="A982" s="1" t="s">
        <v>1031</v>
      </c>
      <c r="B982" s="2">
        <v>275</v>
      </c>
      <c r="C982" s="2">
        <v>106</v>
      </c>
      <c r="D982" s="2">
        <v>49.3</v>
      </c>
      <c r="E982" s="2">
        <v>57</v>
      </c>
      <c r="F982" s="2">
        <v>-0.3</v>
      </c>
      <c r="H982" s="2">
        <v>13200</v>
      </c>
      <c r="I982" s="2">
        <v>197</v>
      </c>
      <c r="J982" s="2">
        <v>1399200</v>
      </c>
      <c r="K982" s="2">
        <v>19989</v>
      </c>
      <c r="L982" s="2">
        <v>1851.3</v>
      </c>
      <c r="M982" s="2">
        <v>3264.5</v>
      </c>
      <c r="N982" s="2">
        <v>63660</v>
      </c>
    </row>
    <row r="983" spans="1:15" ht="24.95" customHeight="1" x14ac:dyDescent="0.25">
      <c r="A983" s="1" t="s">
        <v>1032</v>
      </c>
      <c r="B983" s="2">
        <v>252</v>
      </c>
      <c r="C983" s="2">
        <v>98</v>
      </c>
      <c r="D983" s="2">
        <v>33.1</v>
      </c>
      <c r="E983" s="2">
        <v>65.8</v>
      </c>
      <c r="F983" s="2">
        <v>-0.8</v>
      </c>
      <c r="H983" s="2">
        <v>10600</v>
      </c>
      <c r="I983" s="2">
        <v>165</v>
      </c>
      <c r="J983" s="2">
        <v>1038800</v>
      </c>
      <c r="K983" s="2">
        <v>16120</v>
      </c>
      <c r="L983" s="2">
        <v>1584.4</v>
      </c>
      <c r="M983" s="2">
        <v>2667.8</v>
      </c>
      <c r="N983" s="2">
        <v>54680</v>
      </c>
    </row>
    <row r="984" spans="1:15" ht="24.95" customHeight="1" x14ac:dyDescent="0.25">
      <c r="A984" s="1" t="s">
        <v>1033</v>
      </c>
      <c r="B984" s="2">
        <v>259</v>
      </c>
      <c r="C984" s="2">
        <v>108</v>
      </c>
      <c r="D984" s="2">
        <v>51.4</v>
      </c>
      <c r="E984" s="2">
        <v>57</v>
      </c>
      <c r="F984" s="2">
        <v>-0.3</v>
      </c>
      <c r="H984" s="2">
        <v>10147</v>
      </c>
      <c r="I984" s="2">
        <v>144</v>
      </c>
      <c r="J984" s="2">
        <v>1095876</v>
      </c>
      <c r="K984" s="2">
        <v>12585</v>
      </c>
      <c r="L984" s="2">
        <v>1578.6</v>
      </c>
      <c r="M984" s="2">
        <v>2550.3000000000002</v>
      </c>
      <c r="N984" s="2">
        <v>40680</v>
      </c>
    </row>
    <row r="985" spans="1:15" ht="24.95" customHeight="1" x14ac:dyDescent="0.25">
      <c r="A985" s="1" t="s">
        <v>1034</v>
      </c>
      <c r="B985" s="2">
        <v>252</v>
      </c>
      <c r="C985" s="2">
        <v>103</v>
      </c>
      <c r="D985" s="2">
        <v>46.6</v>
      </c>
      <c r="E985" s="2">
        <v>57</v>
      </c>
      <c r="F985" s="2">
        <v>-0.6</v>
      </c>
      <c r="H985" s="2">
        <v>14500</v>
      </c>
      <c r="I985" s="2">
        <v>177</v>
      </c>
      <c r="J985" s="2">
        <v>1493500</v>
      </c>
      <c r="K985" s="2">
        <v>20171</v>
      </c>
      <c r="L985" s="2">
        <v>2176.1999999999998</v>
      </c>
      <c r="M985" s="2">
        <v>3538</v>
      </c>
      <c r="N985" s="2">
        <v>63170</v>
      </c>
    </row>
    <row r="986" spans="1:15" ht="24.95" customHeight="1" x14ac:dyDescent="0.25">
      <c r="A986" s="1" t="s">
        <v>1035</v>
      </c>
      <c r="B986" s="2">
        <v>262</v>
      </c>
      <c r="C986" s="2">
        <v>108</v>
      </c>
      <c r="D986" s="2">
        <v>51.7</v>
      </c>
      <c r="E986" s="2">
        <v>57</v>
      </c>
      <c r="F986" s="2">
        <v>-0.7</v>
      </c>
      <c r="H986" s="2">
        <v>17830</v>
      </c>
      <c r="I986" s="2">
        <v>158</v>
      </c>
      <c r="J986" s="2">
        <v>1925640</v>
      </c>
      <c r="K986" s="2">
        <v>25676</v>
      </c>
      <c r="L986" s="2">
        <v>3004.7</v>
      </c>
      <c r="M986" s="2">
        <v>4443.1000000000004</v>
      </c>
      <c r="N986" s="2">
        <v>78430</v>
      </c>
    </row>
    <row r="987" spans="1:15" ht="24.95" customHeight="1" x14ac:dyDescent="0.25">
      <c r="A987" s="1" t="s">
        <v>1036</v>
      </c>
      <c r="B987" s="2">
        <v>272</v>
      </c>
      <c r="C987" s="2">
        <v>105</v>
      </c>
      <c r="D987" s="2">
        <v>48</v>
      </c>
      <c r="E987" s="2">
        <v>57</v>
      </c>
      <c r="H987" s="2">
        <v>14478</v>
      </c>
      <c r="I987" s="2">
        <v>164</v>
      </c>
      <c r="J987" s="2">
        <v>1520190</v>
      </c>
      <c r="K987" s="2">
        <v>17625</v>
      </c>
      <c r="L987" s="2">
        <v>2272.3000000000002</v>
      </c>
      <c r="M987" s="2">
        <v>3567.4</v>
      </c>
      <c r="N987" s="2">
        <v>56850</v>
      </c>
    </row>
    <row r="988" spans="1:15" ht="24.95" customHeight="1" x14ac:dyDescent="0.25">
      <c r="A988" s="1" t="s">
        <v>1038</v>
      </c>
      <c r="B988" s="2">
        <v>248</v>
      </c>
      <c r="C988" s="2">
        <v>104</v>
      </c>
      <c r="D988" s="2">
        <v>45</v>
      </c>
      <c r="E988" s="2">
        <v>59.8</v>
      </c>
      <c r="F988" s="2">
        <v>-0.8</v>
      </c>
      <c r="H988" s="2">
        <v>8550</v>
      </c>
      <c r="I988" s="2">
        <v>160</v>
      </c>
      <c r="J988" s="2">
        <v>889200</v>
      </c>
      <c r="K988" s="2">
        <v>12237</v>
      </c>
      <c r="L988" s="2">
        <v>1583.8</v>
      </c>
      <c r="M988" s="2">
        <v>2046.2</v>
      </c>
      <c r="N988" s="2">
        <v>41370</v>
      </c>
    </row>
    <row r="989" spans="1:15" ht="24.95" customHeight="1" x14ac:dyDescent="0.25">
      <c r="A989" s="1" t="s">
        <v>1039</v>
      </c>
      <c r="B989" s="2">
        <v>276</v>
      </c>
      <c r="C989" s="2">
        <v>105</v>
      </c>
      <c r="D989" s="2">
        <v>48.9</v>
      </c>
      <c r="E989" s="2">
        <v>57.3</v>
      </c>
      <c r="F989" s="2">
        <v>-1.1000000000000001</v>
      </c>
      <c r="H989" s="2">
        <v>9344</v>
      </c>
      <c r="I989" s="2">
        <v>159</v>
      </c>
      <c r="J989" s="2">
        <v>981120</v>
      </c>
      <c r="K989" s="2">
        <v>17390</v>
      </c>
      <c r="L989" s="2">
        <v>1734</v>
      </c>
      <c r="M989" s="2">
        <v>2220.8000000000002</v>
      </c>
      <c r="N989" s="2">
        <v>56380</v>
      </c>
      <c r="O989" s="2">
        <v>7.6</v>
      </c>
    </row>
    <row r="990" spans="1:15" ht="24.95" customHeight="1" x14ac:dyDescent="0.25">
      <c r="A990" s="1" t="s">
        <v>1040</v>
      </c>
      <c r="B990" s="2">
        <v>236</v>
      </c>
      <c r="C990" s="2">
        <v>98</v>
      </c>
      <c r="D990" s="2">
        <v>33.6</v>
      </c>
      <c r="E990" s="2">
        <v>65.8</v>
      </c>
      <c r="F990" s="2">
        <v>-1.4</v>
      </c>
      <c r="H990" s="2">
        <v>5600</v>
      </c>
      <c r="I990" s="2">
        <v>162</v>
      </c>
      <c r="J990" s="2">
        <v>548800</v>
      </c>
      <c r="K990" s="2">
        <v>9641</v>
      </c>
      <c r="L990" s="2">
        <v>1021.6</v>
      </c>
      <c r="M990" s="2">
        <v>1348.4</v>
      </c>
      <c r="N990" s="2">
        <v>35110</v>
      </c>
      <c r="O990" s="2">
        <v>9.9</v>
      </c>
    </row>
    <row r="991" spans="1:15" ht="24.95" customHeight="1" x14ac:dyDescent="0.25">
      <c r="A991" s="1" t="s">
        <v>1041</v>
      </c>
      <c r="B991" s="2">
        <v>260</v>
      </c>
      <c r="C991" s="2">
        <v>100</v>
      </c>
      <c r="D991" s="2">
        <v>36.799999999999997</v>
      </c>
      <c r="E991" s="2">
        <v>63.3</v>
      </c>
      <c r="F991" s="2">
        <v>0.1</v>
      </c>
      <c r="H991" s="2">
        <v>6500</v>
      </c>
      <c r="I991" s="2">
        <v>188</v>
      </c>
      <c r="J991" s="2">
        <v>650000</v>
      </c>
      <c r="K991" s="2">
        <v>10427</v>
      </c>
      <c r="L991" s="2">
        <v>859</v>
      </c>
      <c r="M991" s="2">
        <v>1600.6</v>
      </c>
      <c r="N991" s="2">
        <v>41790</v>
      </c>
      <c r="O991" s="2">
        <v>10.7</v>
      </c>
    </row>
    <row r="992" spans="1:15" ht="24.95" customHeight="1" x14ac:dyDescent="0.25">
      <c r="A992" s="1" t="s">
        <v>1042</v>
      </c>
      <c r="B992" s="2">
        <v>254</v>
      </c>
      <c r="C992" s="2">
        <v>102</v>
      </c>
      <c r="D992" s="2">
        <v>45.4</v>
      </c>
      <c r="E992" s="2">
        <v>57.3</v>
      </c>
      <c r="F992" s="2">
        <v>-0.7</v>
      </c>
      <c r="H992" s="2">
        <v>15480</v>
      </c>
      <c r="I992" s="2">
        <v>166</v>
      </c>
      <c r="J992" s="2">
        <v>1578960</v>
      </c>
      <c r="K992" s="2">
        <v>22019</v>
      </c>
      <c r="L992" s="2">
        <v>3158</v>
      </c>
      <c r="M992" s="2">
        <v>3739.2</v>
      </c>
      <c r="N992" s="2">
        <v>74260</v>
      </c>
    </row>
    <row r="993" spans="1:15" ht="24.95" customHeight="1" x14ac:dyDescent="0.25">
      <c r="A993" s="1" t="s">
        <v>1045</v>
      </c>
      <c r="B993" s="2">
        <v>256</v>
      </c>
      <c r="C993" s="2">
        <v>105</v>
      </c>
      <c r="D993" s="2">
        <v>40.1</v>
      </c>
      <c r="E993" s="2">
        <v>65.900000000000006</v>
      </c>
      <c r="F993" s="2">
        <v>-0.9</v>
      </c>
      <c r="H993" s="2">
        <v>4320</v>
      </c>
      <c r="I993" s="2">
        <v>163</v>
      </c>
      <c r="J993" s="2">
        <v>453600</v>
      </c>
      <c r="K993" s="2">
        <v>6883</v>
      </c>
      <c r="L993" s="2">
        <v>681.1</v>
      </c>
      <c r="M993" s="2">
        <v>1051.0999999999999</v>
      </c>
      <c r="N993" s="2">
        <v>22540</v>
      </c>
    </row>
    <row r="994" spans="1:15" ht="24.95" customHeight="1" x14ac:dyDescent="0.25">
      <c r="A994" s="1" t="s">
        <v>1046</v>
      </c>
      <c r="B994" s="2">
        <v>274</v>
      </c>
      <c r="C994" s="2">
        <v>108</v>
      </c>
      <c r="D994" s="2">
        <v>42.7</v>
      </c>
      <c r="E994" s="2">
        <v>65.900000000000006</v>
      </c>
      <c r="F994" s="2">
        <v>-0.6</v>
      </c>
      <c r="H994" s="2">
        <v>5520</v>
      </c>
      <c r="I994" s="2">
        <v>163</v>
      </c>
      <c r="J994" s="2">
        <v>596160</v>
      </c>
      <c r="K994" s="2">
        <v>8721</v>
      </c>
      <c r="L994" s="2">
        <v>878.5</v>
      </c>
      <c r="M994" s="2">
        <v>1503.3</v>
      </c>
      <c r="N994" s="2">
        <v>31150</v>
      </c>
    </row>
    <row r="995" spans="1:15" ht="24.95" customHeight="1" x14ac:dyDescent="0.25">
      <c r="A995" s="1" t="s">
        <v>1047</v>
      </c>
      <c r="B995" s="2">
        <v>246</v>
      </c>
      <c r="C995" s="2">
        <v>97</v>
      </c>
      <c r="D995" s="2">
        <v>37.5</v>
      </c>
      <c r="E995" s="2">
        <v>59.8</v>
      </c>
      <c r="F995" s="2">
        <v>-0.2</v>
      </c>
      <c r="H995" s="2">
        <v>15500</v>
      </c>
      <c r="I995" s="2">
        <v>180</v>
      </c>
      <c r="J995" s="2">
        <v>1503500</v>
      </c>
      <c r="K995" s="2">
        <v>19227</v>
      </c>
      <c r="L995" s="2">
        <v>2605.1</v>
      </c>
      <c r="M995" s="2">
        <v>3756.6</v>
      </c>
      <c r="N995" s="2">
        <v>60970</v>
      </c>
    </row>
    <row r="996" spans="1:15" ht="24.95" customHeight="1" x14ac:dyDescent="0.25">
      <c r="A996" s="1" t="s">
        <v>1048</v>
      </c>
      <c r="B996" s="2">
        <v>242</v>
      </c>
      <c r="C996" s="2">
        <v>96</v>
      </c>
      <c r="D996" s="2">
        <v>30.3</v>
      </c>
      <c r="E996" s="2">
        <v>66.400000000000006</v>
      </c>
      <c r="F996" s="2">
        <v>-0.7</v>
      </c>
      <c r="H996" s="2">
        <v>5846</v>
      </c>
      <c r="I996" s="2">
        <v>185</v>
      </c>
      <c r="J996" s="2">
        <v>561216</v>
      </c>
      <c r="K996" s="2">
        <v>9335</v>
      </c>
      <c r="L996" s="2">
        <v>977.5</v>
      </c>
      <c r="M996" s="2">
        <v>1507.3</v>
      </c>
      <c r="N996" s="2">
        <v>27520</v>
      </c>
    </row>
    <row r="997" spans="1:15" ht="24.95" customHeight="1" x14ac:dyDescent="0.25">
      <c r="A997" s="1" t="s">
        <v>1049</v>
      </c>
      <c r="B997" s="2">
        <v>256</v>
      </c>
      <c r="C997" s="2">
        <v>106</v>
      </c>
      <c r="D997" s="2">
        <v>40.799999999999997</v>
      </c>
      <c r="E997" s="2">
        <v>65.8</v>
      </c>
      <c r="F997" s="2">
        <v>-0.6</v>
      </c>
      <c r="H997" s="2">
        <v>6710</v>
      </c>
      <c r="I997" s="2">
        <v>181</v>
      </c>
      <c r="J997" s="2">
        <v>711260</v>
      </c>
      <c r="K997" s="2">
        <v>8783</v>
      </c>
      <c r="L997" s="2">
        <v>937.9</v>
      </c>
      <c r="M997" s="2">
        <v>1628.1</v>
      </c>
      <c r="N997" s="2">
        <v>31650</v>
      </c>
    </row>
    <row r="998" spans="1:15" ht="24.95" customHeight="1" x14ac:dyDescent="0.25">
      <c r="A998" s="1" t="s">
        <v>1050</v>
      </c>
      <c r="B998" s="2">
        <v>256</v>
      </c>
      <c r="C998" s="2">
        <v>107</v>
      </c>
      <c r="D998" s="2">
        <v>41.9</v>
      </c>
      <c r="E998" s="2">
        <v>65.900000000000006</v>
      </c>
      <c r="F998" s="2">
        <v>-0.7</v>
      </c>
      <c r="H998" s="2">
        <v>2615</v>
      </c>
      <c r="I998" s="2">
        <v>156</v>
      </c>
      <c r="J998" s="2">
        <v>279805</v>
      </c>
      <c r="K998" s="2">
        <v>3710</v>
      </c>
      <c r="L998" s="2">
        <v>438.3</v>
      </c>
      <c r="M998" s="2">
        <v>651.9</v>
      </c>
      <c r="N998" s="2">
        <v>12990</v>
      </c>
    </row>
    <row r="999" spans="1:15" ht="24.95" customHeight="1" x14ac:dyDescent="0.25">
      <c r="A999" s="1" t="s">
        <v>1051</v>
      </c>
      <c r="B999" s="2">
        <v>258</v>
      </c>
      <c r="C999" s="2">
        <v>99</v>
      </c>
      <c r="D999" s="2">
        <v>33.9</v>
      </c>
      <c r="E999" s="2">
        <v>65.8</v>
      </c>
      <c r="F999" s="2">
        <v>-0.6</v>
      </c>
      <c r="H999" s="2">
        <v>8000</v>
      </c>
      <c r="I999" s="2">
        <v>184</v>
      </c>
      <c r="J999" s="2">
        <v>792000</v>
      </c>
      <c r="K999" s="2">
        <v>11328</v>
      </c>
      <c r="L999" s="2">
        <v>1349.5</v>
      </c>
      <c r="M999" s="2">
        <v>1946.9</v>
      </c>
      <c r="N999" s="2">
        <v>36650</v>
      </c>
    </row>
    <row r="1000" spans="1:15" ht="24.95" customHeight="1" x14ac:dyDescent="0.25">
      <c r="A1000" s="1" t="s">
        <v>1052</v>
      </c>
      <c r="B1000" s="2">
        <v>240</v>
      </c>
      <c r="C1000" s="2">
        <v>92</v>
      </c>
      <c r="D1000" s="2">
        <v>33</v>
      </c>
      <c r="E1000" s="2">
        <v>59.5</v>
      </c>
      <c r="F1000" s="2">
        <v>-0.5</v>
      </c>
      <c r="H1000" s="2">
        <v>15920</v>
      </c>
      <c r="I1000" s="2">
        <v>184</v>
      </c>
      <c r="J1000" s="2">
        <v>1464640</v>
      </c>
      <c r="K1000" s="2">
        <v>22618</v>
      </c>
      <c r="L1000" s="2">
        <v>2370.3000000000002</v>
      </c>
      <c r="M1000" s="2">
        <v>3949.7</v>
      </c>
      <c r="N1000" s="2">
        <v>67560</v>
      </c>
    </row>
    <row r="1001" spans="1:15" ht="24.95" customHeight="1" x14ac:dyDescent="0.25">
      <c r="A1001" s="1" t="s">
        <v>1053</v>
      </c>
      <c r="B1001" s="2">
        <v>240</v>
      </c>
      <c r="C1001" s="2">
        <v>94</v>
      </c>
      <c r="D1001" s="2">
        <v>28.1</v>
      </c>
      <c r="E1001" s="2">
        <v>65.900000000000006</v>
      </c>
      <c r="H1001" s="2">
        <v>12000</v>
      </c>
      <c r="I1001" s="2">
        <v>197</v>
      </c>
      <c r="J1001" s="2">
        <v>1128000</v>
      </c>
      <c r="K1001" s="2">
        <v>13925</v>
      </c>
      <c r="L1001" s="2">
        <v>1575.1</v>
      </c>
      <c r="M1001" s="2">
        <v>2915.1</v>
      </c>
      <c r="N1001" s="2">
        <v>45910</v>
      </c>
    </row>
    <row r="1002" spans="1:15" ht="24.95" customHeight="1" x14ac:dyDescent="0.25">
      <c r="A1002" s="1" t="s">
        <v>192</v>
      </c>
      <c r="B1002" s="2">
        <v>254</v>
      </c>
      <c r="C1002" s="2">
        <v>102</v>
      </c>
      <c r="D1002" s="2">
        <v>37</v>
      </c>
      <c r="E1002" s="2">
        <v>65.8</v>
      </c>
      <c r="F1002" s="2">
        <v>-0.8</v>
      </c>
      <c r="H1002" s="2">
        <v>13075</v>
      </c>
      <c r="I1002" s="2">
        <v>179</v>
      </c>
      <c r="J1002" s="2">
        <v>1333650</v>
      </c>
      <c r="K1002" s="2">
        <v>19910</v>
      </c>
      <c r="L1002" s="2">
        <v>2080.6999999999998</v>
      </c>
      <c r="M1002" s="2">
        <v>3168.3</v>
      </c>
      <c r="N1002" s="2">
        <v>70610</v>
      </c>
    </row>
    <row r="1003" spans="1:15" ht="24.95" customHeight="1" x14ac:dyDescent="0.25">
      <c r="A1003" s="1" t="s">
        <v>1054</v>
      </c>
      <c r="B1003" s="2">
        <v>248</v>
      </c>
      <c r="C1003" s="2">
        <v>97</v>
      </c>
      <c r="D1003" s="2">
        <v>30.9</v>
      </c>
      <c r="E1003" s="2">
        <v>65.900000000000006</v>
      </c>
      <c r="F1003" s="2">
        <v>0.3</v>
      </c>
      <c r="G1003" s="2">
        <v>99.8</v>
      </c>
      <c r="H1003" s="2">
        <v>2655</v>
      </c>
      <c r="I1003" s="2">
        <v>171</v>
      </c>
      <c r="J1003" s="2">
        <v>265011</v>
      </c>
      <c r="K1003" s="2">
        <v>5150</v>
      </c>
      <c r="L1003" s="2">
        <v>500.5</v>
      </c>
      <c r="M1003" s="2">
        <v>663.9</v>
      </c>
      <c r="N1003" s="2">
        <v>16610</v>
      </c>
      <c r="O1003" s="2">
        <v>9.4</v>
      </c>
    </row>
    <row r="1004" spans="1:15" ht="24.95" customHeight="1" x14ac:dyDescent="0.25">
      <c r="A1004" s="1" t="s">
        <v>1055</v>
      </c>
      <c r="B1004" s="2">
        <v>227</v>
      </c>
      <c r="C1004" s="2">
        <v>90</v>
      </c>
      <c r="D1004" s="2">
        <v>23.9</v>
      </c>
      <c r="E1004" s="2">
        <v>65.900000000000006</v>
      </c>
      <c r="F1004" s="2">
        <v>0.3</v>
      </c>
      <c r="G1004" s="2">
        <v>91.3</v>
      </c>
      <c r="H1004" s="2">
        <v>6850</v>
      </c>
      <c r="I1004" s="2">
        <v>163</v>
      </c>
      <c r="J1004" s="2">
        <v>625230</v>
      </c>
      <c r="K1004" s="2">
        <v>9816</v>
      </c>
      <c r="L1004" s="2">
        <v>915.8</v>
      </c>
      <c r="M1004" s="2">
        <v>1712.6</v>
      </c>
      <c r="N1004" s="2">
        <v>32400</v>
      </c>
    </row>
    <row r="1005" spans="1:15" ht="24.95" customHeight="1" x14ac:dyDescent="0.25">
      <c r="A1005" s="1" t="s">
        <v>1056</v>
      </c>
      <c r="B1005" s="2">
        <v>224</v>
      </c>
      <c r="C1005" s="2">
        <v>86</v>
      </c>
      <c r="D1005" s="2">
        <v>19.899999999999999</v>
      </c>
      <c r="E1005" s="2">
        <v>65.900000000000006</v>
      </c>
      <c r="F1005" s="2">
        <v>0.2</v>
      </c>
      <c r="G1005" s="2">
        <v>87.3</v>
      </c>
      <c r="H1005" s="2">
        <v>6760</v>
      </c>
      <c r="I1005" s="2">
        <v>161</v>
      </c>
      <c r="J1005" s="2">
        <v>589999</v>
      </c>
      <c r="K1005" s="2">
        <v>11927</v>
      </c>
      <c r="L1005" s="2">
        <v>1229.5</v>
      </c>
      <c r="M1005" s="2">
        <v>1700.7</v>
      </c>
      <c r="N1005" s="2">
        <v>40940</v>
      </c>
      <c r="O1005" s="2">
        <v>4.5</v>
      </c>
    </row>
    <row r="1006" spans="1:15" ht="24.95" customHeight="1" x14ac:dyDescent="0.25">
      <c r="A1006" s="1" t="s">
        <v>1028</v>
      </c>
      <c r="B1006" s="2">
        <v>238</v>
      </c>
      <c r="C1006" s="2">
        <v>96</v>
      </c>
      <c r="D1006" s="2">
        <v>30</v>
      </c>
      <c r="E1006" s="2">
        <v>65.900000000000006</v>
      </c>
      <c r="F1006" s="2">
        <v>0.2</v>
      </c>
      <c r="G1006" s="2">
        <v>97.9</v>
      </c>
      <c r="H1006" s="2">
        <v>9608</v>
      </c>
      <c r="I1006" s="2">
        <v>170</v>
      </c>
      <c r="J1006" s="2">
        <v>940292</v>
      </c>
      <c r="K1006" s="2">
        <v>16539</v>
      </c>
      <c r="L1006" s="2">
        <v>1682.8</v>
      </c>
      <c r="M1006" s="2">
        <v>2378.1</v>
      </c>
      <c r="N1006" s="2">
        <v>55830</v>
      </c>
      <c r="O1006" s="2">
        <v>2.1</v>
      </c>
    </row>
    <row r="1007" spans="1:15" ht="24.95" customHeight="1" x14ac:dyDescent="0.25">
      <c r="A1007" s="1" t="s">
        <v>1057</v>
      </c>
      <c r="B1007" s="2">
        <v>242</v>
      </c>
      <c r="C1007" s="2">
        <v>95</v>
      </c>
      <c r="D1007" s="2">
        <v>28.9</v>
      </c>
      <c r="E1007" s="2">
        <v>65.900000000000006</v>
      </c>
      <c r="F1007" s="2">
        <v>0.2</v>
      </c>
      <c r="G1007" s="2">
        <v>97.3</v>
      </c>
      <c r="H1007" s="2">
        <v>5950</v>
      </c>
      <c r="I1007" s="2">
        <v>158</v>
      </c>
      <c r="J1007" s="2">
        <v>579005</v>
      </c>
      <c r="K1007" s="2">
        <v>10613</v>
      </c>
      <c r="L1007" s="2">
        <v>1100.9000000000001</v>
      </c>
      <c r="M1007" s="2">
        <v>1457.3</v>
      </c>
      <c r="N1007" s="2">
        <v>35580</v>
      </c>
      <c r="O1007" s="2">
        <v>6.7</v>
      </c>
    </row>
    <row r="1008" spans="1:15" ht="24.95" customHeight="1" x14ac:dyDescent="0.25">
      <c r="A1008" s="1" t="s">
        <v>6796</v>
      </c>
      <c r="B1008" s="2">
        <v>186</v>
      </c>
      <c r="C1008" s="2">
        <v>85</v>
      </c>
      <c r="H1008" s="2">
        <v>74756</v>
      </c>
      <c r="I1008" s="2">
        <v>170</v>
      </c>
      <c r="J1008" s="2">
        <v>6354260</v>
      </c>
      <c r="K1008" s="2">
        <v>134609</v>
      </c>
      <c r="L1008" s="2">
        <v>13410.1</v>
      </c>
      <c r="M1008" s="2">
        <v>18605.8</v>
      </c>
      <c r="N1008" s="2">
        <v>383100</v>
      </c>
    </row>
    <row r="1009" spans="1:15" ht="24.95" customHeight="1" x14ac:dyDescent="0.25">
      <c r="A1009" s="1" t="s">
        <v>1059</v>
      </c>
      <c r="B1009" s="2">
        <v>286</v>
      </c>
      <c r="C1009" s="2">
        <v>128</v>
      </c>
      <c r="D1009" s="2">
        <v>40.700000000000003</v>
      </c>
      <c r="E1009" s="2">
        <v>89</v>
      </c>
      <c r="F1009" s="2">
        <v>-1.7</v>
      </c>
      <c r="H1009" s="2">
        <v>6635</v>
      </c>
      <c r="I1009" s="2">
        <v>160</v>
      </c>
      <c r="J1009" s="2">
        <v>849280</v>
      </c>
      <c r="K1009" s="2">
        <v>11359</v>
      </c>
      <c r="L1009" s="2">
        <v>1253.0999999999999</v>
      </c>
      <c r="M1009" s="2">
        <v>1628.6</v>
      </c>
      <c r="N1009" s="2">
        <v>30680</v>
      </c>
    </row>
    <row r="1010" spans="1:15" ht="24.95" customHeight="1" x14ac:dyDescent="0.25">
      <c r="A1010" s="1" t="s">
        <v>1060</v>
      </c>
      <c r="B1010" s="2">
        <v>240</v>
      </c>
      <c r="C1010" s="2">
        <v>108</v>
      </c>
      <c r="D1010" s="2">
        <v>24.4</v>
      </c>
      <c r="E1010" s="2">
        <v>85</v>
      </c>
      <c r="F1010" s="2">
        <v>-1.4</v>
      </c>
      <c r="H1010" s="2">
        <v>22836</v>
      </c>
      <c r="I1010" s="2">
        <v>188</v>
      </c>
      <c r="J1010" s="2">
        <v>2466288</v>
      </c>
      <c r="K1010" s="2">
        <v>27175</v>
      </c>
      <c r="L1010" s="2">
        <v>4130.1000000000004</v>
      </c>
      <c r="M1010" s="2">
        <v>5704.3</v>
      </c>
      <c r="N1010" s="2">
        <v>71980</v>
      </c>
    </row>
    <row r="1011" spans="1:15" ht="24.95" customHeight="1" x14ac:dyDescent="0.25">
      <c r="A1011" s="1" t="s">
        <v>1061</v>
      </c>
      <c r="B1011" s="2">
        <v>279</v>
      </c>
      <c r="C1011" s="2">
        <v>126</v>
      </c>
      <c r="D1011" s="2">
        <v>42</v>
      </c>
      <c r="E1011" s="2">
        <v>86.3</v>
      </c>
      <c r="F1011" s="2">
        <v>-2.2999999999999998</v>
      </c>
      <c r="H1011" s="2">
        <v>2832</v>
      </c>
      <c r="I1011" s="2">
        <v>173</v>
      </c>
      <c r="J1011" s="2">
        <v>356832</v>
      </c>
      <c r="K1011" s="2">
        <v>4467</v>
      </c>
      <c r="L1011" s="2">
        <v>376.2</v>
      </c>
      <c r="M1011" s="2">
        <v>695.1</v>
      </c>
      <c r="N1011" s="2">
        <v>13810</v>
      </c>
    </row>
    <row r="1012" spans="1:15" ht="24.95" customHeight="1" x14ac:dyDescent="0.25">
      <c r="A1012" s="1" t="s">
        <v>1062</v>
      </c>
      <c r="B1012" s="2">
        <v>274</v>
      </c>
      <c r="C1012" s="2">
        <v>150</v>
      </c>
      <c r="D1012" s="2">
        <v>64.7</v>
      </c>
      <c r="E1012" s="2">
        <v>89</v>
      </c>
      <c r="F1012" s="2">
        <v>-3.7</v>
      </c>
      <c r="H1012" s="2">
        <v>656</v>
      </c>
      <c r="I1012" s="2">
        <v>126</v>
      </c>
      <c r="J1012" s="2">
        <v>98400</v>
      </c>
      <c r="K1012" s="2">
        <v>1513</v>
      </c>
      <c r="L1012" s="2">
        <v>102.8</v>
      </c>
      <c r="M1012" s="2">
        <v>170.7</v>
      </c>
      <c r="N1012" s="2">
        <v>4360</v>
      </c>
      <c r="O1012" s="2">
        <v>12.4</v>
      </c>
    </row>
    <row r="1013" spans="1:15" ht="24.95" customHeight="1" x14ac:dyDescent="0.25">
      <c r="A1013" s="1" t="s">
        <v>1063</v>
      </c>
      <c r="B1013" s="2">
        <v>278</v>
      </c>
      <c r="C1013" s="2">
        <v>120</v>
      </c>
      <c r="D1013" s="2">
        <v>32.5</v>
      </c>
      <c r="E1013" s="2">
        <v>89</v>
      </c>
      <c r="F1013" s="2">
        <v>-1.5</v>
      </c>
      <c r="H1013" s="2">
        <v>3000</v>
      </c>
      <c r="I1013" s="2">
        <v>235</v>
      </c>
      <c r="J1013" s="2">
        <v>360000</v>
      </c>
      <c r="K1013" s="2">
        <v>4862</v>
      </c>
      <c r="L1013" s="2">
        <v>479.1</v>
      </c>
      <c r="M1013" s="2">
        <v>754.6</v>
      </c>
      <c r="N1013" s="2">
        <v>14660</v>
      </c>
    </row>
    <row r="1014" spans="1:15" ht="24.95" customHeight="1" x14ac:dyDescent="0.25">
      <c r="A1014" s="1" t="s">
        <v>1064</v>
      </c>
      <c r="B1014" s="2">
        <v>246</v>
      </c>
      <c r="C1014" s="2">
        <v>114</v>
      </c>
      <c r="D1014" s="2">
        <v>27.2</v>
      </c>
      <c r="E1014" s="2">
        <v>89</v>
      </c>
      <c r="F1014" s="2">
        <v>-2.2000000000000002</v>
      </c>
      <c r="H1014" s="2">
        <v>4200</v>
      </c>
      <c r="I1014" s="2">
        <v>177</v>
      </c>
      <c r="J1014" s="2">
        <v>478800</v>
      </c>
      <c r="K1014" s="2">
        <v>6600</v>
      </c>
      <c r="L1014" s="2">
        <v>712.5</v>
      </c>
      <c r="M1014" s="2">
        <v>1011.6</v>
      </c>
      <c r="N1014" s="2">
        <v>20840</v>
      </c>
    </row>
    <row r="1015" spans="1:15" ht="24.95" customHeight="1" x14ac:dyDescent="0.25">
      <c r="A1015" s="1" t="s">
        <v>1065</v>
      </c>
      <c r="B1015" s="2">
        <v>258</v>
      </c>
      <c r="C1015" s="2">
        <v>118</v>
      </c>
      <c r="D1015" s="2">
        <v>31.1</v>
      </c>
      <c r="E1015" s="2">
        <v>89</v>
      </c>
      <c r="F1015" s="2">
        <v>-2.1</v>
      </c>
      <c r="H1015" s="2">
        <v>3063</v>
      </c>
      <c r="I1015" s="2">
        <v>153</v>
      </c>
      <c r="J1015" s="2">
        <v>361434</v>
      </c>
      <c r="K1015" s="2">
        <v>4990</v>
      </c>
      <c r="L1015" s="2">
        <v>471.6</v>
      </c>
      <c r="M1015" s="2">
        <v>757.4</v>
      </c>
      <c r="N1015" s="2">
        <v>15860</v>
      </c>
    </row>
    <row r="1016" spans="1:15" ht="24.95" customHeight="1" x14ac:dyDescent="0.25">
      <c r="A1016" s="1" t="s">
        <v>1066</v>
      </c>
      <c r="B1016" s="2">
        <v>294</v>
      </c>
      <c r="C1016" s="2">
        <v>132</v>
      </c>
      <c r="D1016" s="2">
        <v>43.4</v>
      </c>
      <c r="E1016" s="2">
        <v>89</v>
      </c>
      <c r="F1016" s="2">
        <v>-0.4</v>
      </c>
      <c r="H1016" s="2">
        <v>1385</v>
      </c>
      <c r="I1016" s="2">
        <v>218</v>
      </c>
      <c r="J1016" s="2">
        <v>182820</v>
      </c>
      <c r="K1016" s="2">
        <v>2745</v>
      </c>
      <c r="L1016" s="2">
        <v>193.4</v>
      </c>
      <c r="M1016" s="2">
        <v>360.6</v>
      </c>
      <c r="N1016" s="2">
        <v>8520</v>
      </c>
      <c r="O1016" s="2">
        <v>7.1</v>
      </c>
    </row>
    <row r="1017" spans="1:15" ht="24.95" customHeight="1" x14ac:dyDescent="0.25">
      <c r="A1017" s="1" t="s">
        <v>1067</v>
      </c>
      <c r="B1017" s="2">
        <v>240</v>
      </c>
      <c r="C1017" s="2">
        <v>108</v>
      </c>
      <c r="D1017" s="2">
        <v>20.6</v>
      </c>
      <c r="E1017" s="2">
        <v>89</v>
      </c>
      <c r="F1017" s="2">
        <v>-1.7</v>
      </c>
      <c r="H1017" s="2">
        <v>3791</v>
      </c>
      <c r="I1017" s="2">
        <v>194</v>
      </c>
      <c r="J1017" s="2">
        <v>409428</v>
      </c>
      <c r="K1017" s="2">
        <v>5550</v>
      </c>
      <c r="L1017" s="2">
        <v>542.79999999999995</v>
      </c>
      <c r="M1017" s="2">
        <v>932</v>
      </c>
      <c r="N1017" s="2">
        <v>16650</v>
      </c>
    </row>
    <row r="1018" spans="1:15" ht="24.95" customHeight="1" x14ac:dyDescent="0.25">
      <c r="A1018" s="1" t="s">
        <v>1068</v>
      </c>
      <c r="B1018" s="2">
        <v>264</v>
      </c>
      <c r="C1018" s="2">
        <v>122</v>
      </c>
      <c r="D1018" s="2">
        <v>35.6</v>
      </c>
      <c r="E1018" s="2">
        <v>89</v>
      </c>
      <c r="F1018" s="2">
        <v>-2.6</v>
      </c>
      <c r="H1018" s="2">
        <v>2120</v>
      </c>
      <c r="I1018" s="2">
        <v>147</v>
      </c>
      <c r="J1018" s="2">
        <v>258640</v>
      </c>
      <c r="K1018" s="2">
        <v>4294</v>
      </c>
      <c r="L1018" s="2">
        <v>419.2</v>
      </c>
      <c r="M1018" s="2">
        <v>533.29999999999995</v>
      </c>
      <c r="N1018" s="2">
        <v>12230</v>
      </c>
      <c r="O1018" s="2">
        <v>4.2</v>
      </c>
    </row>
    <row r="1019" spans="1:15" ht="24.95" customHeight="1" x14ac:dyDescent="0.25">
      <c r="A1019" s="1" t="s">
        <v>1069</v>
      </c>
      <c r="B1019" s="2">
        <v>252</v>
      </c>
      <c r="C1019" s="2">
        <v>115</v>
      </c>
      <c r="D1019" s="2">
        <v>25.6</v>
      </c>
      <c r="E1019" s="2">
        <v>89</v>
      </c>
      <c r="F1019" s="2">
        <v>0.4</v>
      </c>
      <c r="G1019" s="2">
        <v>117.4</v>
      </c>
      <c r="H1019" s="2">
        <v>3960</v>
      </c>
      <c r="I1019" s="2">
        <v>150</v>
      </c>
      <c r="J1019" s="2">
        <v>464980</v>
      </c>
      <c r="K1019" s="2">
        <v>11450</v>
      </c>
      <c r="L1019" s="2">
        <v>736.7</v>
      </c>
      <c r="M1019" s="2">
        <v>1007.1</v>
      </c>
      <c r="N1019" s="2">
        <v>30710</v>
      </c>
      <c r="O1019" s="2">
        <v>25.8</v>
      </c>
    </row>
    <row r="1020" spans="1:15" ht="24.95" customHeight="1" x14ac:dyDescent="0.25">
      <c r="A1020" s="1" t="s">
        <v>1070</v>
      </c>
      <c r="B1020" s="2">
        <v>254</v>
      </c>
      <c r="C1020" s="2">
        <v>112</v>
      </c>
      <c r="D1020" s="2">
        <v>23.9</v>
      </c>
      <c r="E1020" s="2">
        <v>89</v>
      </c>
      <c r="F1020" s="2">
        <v>-0.9</v>
      </c>
      <c r="G1020" s="2">
        <v>113.7</v>
      </c>
      <c r="H1020" s="2">
        <v>4450</v>
      </c>
      <c r="I1020" s="2">
        <v>200</v>
      </c>
      <c r="J1020" s="2">
        <v>506124</v>
      </c>
      <c r="K1020" s="2">
        <v>8796</v>
      </c>
      <c r="L1020" s="2">
        <v>921.4</v>
      </c>
      <c r="M1020" s="2">
        <v>1128.0999999999999</v>
      </c>
      <c r="N1020" s="2">
        <v>23500</v>
      </c>
    </row>
    <row r="1021" spans="1:15" ht="24.95" customHeight="1" x14ac:dyDescent="0.25">
      <c r="A1021" s="1" t="s">
        <v>1064</v>
      </c>
      <c r="B1021" s="2">
        <v>236</v>
      </c>
      <c r="C1021" s="2">
        <v>108</v>
      </c>
      <c r="D1021" s="2">
        <v>18.8</v>
      </c>
      <c r="E1021" s="2">
        <v>89</v>
      </c>
      <c r="F1021" s="2">
        <v>0.2</v>
      </c>
      <c r="G1021" s="2">
        <v>110.2</v>
      </c>
      <c r="H1021" s="2">
        <v>4265</v>
      </c>
      <c r="I1021" s="2">
        <v>164</v>
      </c>
      <c r="J1021" s="2">
        <v>469935</v>
      </c>
      <c r="K1021" s="2">
        <v>9898</v>
      </c>
      <c r="L1021" s="2">
        <v>814.8</v>
      </c>
      <c r="M1021" s="2">
        <v>1061.3</v>
      </c>
      <c r="N1021" s="2">
        <v>30770</v>
      </c>
      <c r="O1021" s="2">
        <v>22.3</v>
      </c>
    </row>
    <row r="1022" spans="1:15" ht="24.95" customHeight="1" x14ac:dyDescent="0.25">
      <c r="A1022" s="1" t="s">
        <v>1071</v>
      </c>
      <c r="B1022" s="2">
        <v>231</v>
      </c>
      <c r="C1022" s="2">
        <v>108</v>
      </c>
      <c r="D1022" s="2">
        <v>19.5</v>
      </c>
      <c r="E1022" s="2">
        <v>89</v>
      </c>
      <c r="F1022" s="2">
        <v>-0.5</v>
      </c>
      <c r="G1022" s="2">
        <v>111.6</v>
      </c>
      <c r="H1022" s="2">
        <v>5900</v>
      </c>
      <c r="I1022" s="2">
        <v>138</v>
      </c>
      <c r="J1022" s="2">
        <v>658522</v>
      </c>
      <c r="K1022" s="2">
        <v>15972</v>
      </c>
      <c r="L1022" s="2">
        <v>1161.8</v>
      </c>
      <c r="M1022" s="2">
        <v>1456.2</v>
      </c>
      <c r="N1022" s="2">
        <v>43760</v>
      </c>
      <c r="O1022" s="2">
        <v>24</v>
      </c>
    </row>
    <row r="1023" spans="1:15" ht="24.95" customHeight="1" x14ac:dyDescent="0.25">
      <c r="A1023" s="1" t="s">
        <v>1072</v>
      </c>
      <c r="B1023" s="2">
        <v>240</v>
      </c>
      <c r="C1023" s="2">
        <v>109</v>
      </c>
      <c r="D1023" s="2">
        <v>20.6</v>
      </c>
      <c r="E1023" s="2">
        <v>89</v>
      </c>
      <c r="F1023" s="2">
        <v>-0.6</v>
      </c>
      <c r="G1023" s="2">
        <v>111.5</v>
      </c>
      <c r="H1023" s="2">
        <v>5663</v>
      </c>
      <c r="I1023" s="2">
        <v>120</v>
      </c>
      <c r="J1023" s="2">
        <v>631604</v>
      </c>
      <c r="K1023" s="2">
        <v>14938</v>
      </c>
      <c r="L1023" s="2">
        <v>1094.5999999999999</v>
      </c>
      <c r="M1023" s="2">
        <v>1405.1</v>
      </c>
      <c r="N1023" s="2">
        <v>44770</v>
      </c>
      <c r="O1023" s="2">
        <v>28.6</v>
      </c>
    </row>
    <row r="1024" spans="1:15" ht="24.95" customHeight="1" x14ac:dyDescent="0.25">
      <c r="A1024" s="1" t="s">
        <v>6797</v>
      </c>
      <c r="B1024" s="2">
        <v>156</v>
      </c>
      <c r="C1024" s="2">
        <v>68</v>
      </c>
      <c r="H1024" s="2">
        <v>90153</v>
      </c>
      <c r="I1024" s="2">
        <v>162</v>
      </c>
      <c r="J1024" s="2">
        <v>6220557</v>
      </c>
      <c r="K1024" s="2">
        <v>145770</v>
      </c>
      <c r="L1024" s="2">
        <v>14445.9</v>
      </c>
      <c r="M1024" s="2">
        <v>22002.799999999999</v>
      </c>
      <c r="N1024" s="2">
        <v>418470</v>
      </c>
    </row>
    <row r="1025" spans="1:15" ht="24.95" customHeight="1" x14ac:dyDescent="0.25">
      <c r="A1025" s="1" t="s">
        <v>1074</v>
      </c>
      <c r="B1025" s="2">
        <v>234</v>
      </c>
      <c r="C1025" s="2">
        <v>106</v>
      </c>
      <c r="D1025" s="2">
        <v>35.6</v>
      </c>
      <c r="E1025" s="2">
        <v>71</v>
      </c>
      <c r="F1025" s="2">
        <v>-0.6</v>
      </c>
      <c r="H1025" s="2">
        <v>448</v>
      </c>
      <c r="I1025" s="2">
        <v>140</v>
      </c>
      <c r="J1025" s="2">
        <v>47488</v>
      </c>
      <c r="K1025" s="2">
        <v>941</v>
      </c>
      <c r="L1025" s="2">
        <v>70.7</v>
      </c>
      <c r="M1025" s="2">
        <v>112.7</v>
      </c>
      <c r="N1025" s="2">
        <v>2650</v>
      </c>
      <c r="O1025" s="2">
        <v>4.9000000000000004</v>
      </c>
    </row>
    <row r="1026" spans="1:15" ht="24.95" customHeight="1" x14ac:dyDescent="0.25">
      <c r="A1026" s="1" t="s">
        <v>1075</v>
      </c>
      <c r="B1026" s="2">
        <v>246</v>
      </c>
      <c r="C1026" s="2">
        <v>108</v>
      </c>
      <c r="D1026" s="2">
        <v>36.9</v>
      </c>
      <c r="E1026" s="2">
        <v>71</v>
      </c>
      <c r="F1026" s="2">
        <v>0.1</v>
      </c>
      <c r="H1026" s="2">
        <v>3950</v>
      </c>
      <c r="I1026" s="2">
        <v>138</v>
      </c>
      <c r="J1026" s="2">
        <v>426600</v>
      </c>
      <c r="K1026" s="2">
        <v>6132</v>
      </c>
      <c r="L1026" s="2">
        <v>473.8</v>
      </c>
      <c r="M1026" s="2">
        <v>974</v>
      </c>
      <c r="N1026" s="2">
        <v>19540</v>
      </c>
    </row>
    <row r="1027" spans="1:15" ht="24.95" customHeight="1" x14ac:dyDescent="0.25">
      <c r="A1027" s="1" t="s">
        <v>1076</v>
      </c>
      <c r="B1027" s="2">
        <v>238</v>
      </c>
      <c r="C1027" s="2">
        <v>110</v>
      </c>
      <c r="D1027" s="2">
        <v>40.799999999999997</v>
      </c>
      <c r="E1027" s="2">
        <v>69</v>
      </c>
      <c r="F1027" s="2">
        <v>0.2</v>
      </c>
      <c r="H1027" s="2">
        <v>20200</v>
      </c>
      <c r="I1027" s="2">
        <v>142</v>
      </c>
      <c r="J1027" s="2">
        <v>2222000</v>
      </c>
      <c r="K1027" s="2">
        <v>30982</v>
      </c>
      <c r="L1027" s="2">
        <v>3593</v>
      </c>
      <c r="M1027" s="2">
        <v>4957.3999999999996</v>
      </c>
      <c r="N1027" s="2">
        <v>79750</v>
      </c>
    </row>
    <row r="1028" spans="1:15" ht="24.95" customHeight="1" x14ac:dyDescent="0.25">
      <c r="A1028" s="1" t="s">
        <v>1077</v>
      </c>
      <c r="B1028" s="2">
        <v>248</v>
      </c>
      <c r="C1028" s="2">
        <v>104</v>
      </c>
      <c r="D1028" s="2">
        <v>32.9</v>
      </c>
      <c r="E1028" s="2">
        <v>71</v>
      </c>
      <c r="F1028" s="2">
        <v>0.1</v>
      </c>
      <c r="H1028" s="2">
        <v>7220</v>
      </c>
      <c r="I1028" s="2">
        <v>164</v>
      </c>
      <c r="J1028" s="2">
        <v>750880</v>
      </c>
      <c r="K1028" s="2">
        <v>10514</v>
      </c>
      <c r="L1028" s="2">
        <v>1198.0999999999999</v>
      </c>
      <c r="M1028" s="2">
        <v>1826.3</v>
      </c>
      <c r="N1028" s="2">
        <v>28070</v>
      </c>
    </row>
    <row r="1029" spans="1:15" ht="24.95" customHeight="1" x14ac:dyDescent="0.25">
      <c r="A1029" s="1" t="s">
        <v>1078</v>
      </c>
      <c r="B1029" s="2">
        <v>255</v>
      </c>
      <c r="C1029" s="2">
        <v>109</v>
      </c>
      <c r="D1029" s="2">
        <v>37.6</v>
      </c>
      <c r="E1029" s="2">
        <v>71</v>
      </c>
      <c r="F1029" s="2">
        <v>0.4</v>
      </c>
      <c r="H1029" s="2">
        <v>12975</v>
      </c>
      <c r="I1029" s="2">
        <v>182</v>
      </c>
      <c r="J1029" s="2">
        <v>1414275</v>
      </c>
      <c r="K1029" s="2">
        <v>16436</v>
      </c>
      <c r="L1029" s="2">
        <v>1538</v>
      </c>
      <c r="M1029" s="2">
        <v>3147.8</v>
      </c>
      <c r="N1029" s="2">
        <v>55360</v>
      </c>
    </row>
    <row r="1030" spans="1:15" ht="24.95" customHeight="1" x14ac:dyDescent="0.25">
      <c r="A1030" s="1" t="s">
        <v>1079</v>
      </c>
      <c r="B1030" s="2">
        <v>234</v>
      </c>
      <c r="C1030" s="2">
        <v>98</v>
      </c>
      <c r="D1030" s="2">
        <v>27</v>
      </c>
      <c r="E1030" s="2">
        <v>71</v>
      </c>
      <c r="H1030" s="2">
        <v>5230</v>
      </c>
      <c r="I1030" s="2">
        <v>195</v>
      </c>
      <c r="J1030" s="2">
        <v>512540</v>
      </c>
      <c r="K1030" s="2">
        <v>7235</v>
      </c>
      <c r="L1030" s="2">
        <v>716.9</v>
      </c>
      <c r="M1030" s="2">
        <v>1211.7</v>
      </c>
      <c r="N1030" s="2">
        <v>21950</v>
      </c>
    </row>
    <row r="1031" spans="1:15" ht="24.95" customHeight="1" x14ac:dyDescent="0.25">
      <c r="A1031" s="1" t="s">
        <v>1080</v>
      </c>
      <c r="B1031" s="2">
        <v>240</v>
      </c>
      <c r="C1031" s="2">
        <v>108</v>
      </c>
      <c r="D1031" s="2">
        <v>37.1</v>
      </c>
      <c r="E1031" s="2">
        <v>71</v>
      </c>
      <c r="F1031" s="2">
        <v>-0.1</v>
      </c>
      <c r="H1031" s="2">
        <v>3000</v>
      </c>
      <c r="I1031" s="2">
        <v>140</v>
      </c>
      <c r="J1031" s="2">
        <v>324000</v>
      </c>
      <c r="K1031" s="2">
        <v>5169</v>
      </c>
      <c r="L1031" s="2">
        <v>465</v>
      </c>
      <c r="M1031" s="2">
        <v>733.4</v>
      </c>
      <c r="N1031" s="2">
        <v>15920</v>
      </c>
    </row>
    <row r="1032" spans="1:15" ht="24.95" customHeight="1" x14ac:dyDescent="0.25">
      <c r="A1032" s="1" t="s">
        <v>1081</v>
      </c>
      <c r="B1032" s="2">
        <v>226</v>
      </c>
      <c r="C1032" s="2">
        <v>95</v>
      </c>
      <c r="D1032" s="2">
        <v>23.9</v>
      </c>
      <c r="E1032" s="2">
        <v>71</v>
      </c>
      <c r="F1032" s="2">
        <v>0.1</v>
      </c>
      <c r="H1032" s="2">
        <v>4185</v>
      </c>
      <c r="I1032" s="2">
        <v>192</v>
      </c>
      <c r="J1032" s="2">
        <v>397575</v>
      </c>
      <c r="K1032" s="2">
        <v>5637</v>
      </c>
      <c r="L1032" s="2">
        <v>642.79999999999995</v>
      </c>
      <c r="M1032" s="2">
        <v>1041.5</v>
      </c>
      <c r="N1032" s="2">
        <v>17520</v>
      </c>
    </row>
    <row r="1033" spans="1:15" ht="24.95" customHeight="1" x14ac:dyDescent="0.25">
      <c r="A1033" s="1" t="s">
        <v>1082</v>
      </c>
      <c r="B1033" s="2">
        <v>228</v>
      </c>
      <c r="C1033" s="2">
        <v>98</v>
      </c>
      <c r="D1033" s="2">
        <v>25.7</v>
      </c>
      <c r="E1033" s="2">
        <v>71</v>
      </c>
      <c r="F1033" s="2">
        <v>1.3</v>
      </c>
      <c r="H1033" s="2">
        <v>3575</v>
      </c>
      <c r="I1033" s="2">
        <v>159</v>
      </c>
      <c r="J1033" s="2">
        <v>350350</v>
      </c>
      <c r="K1033" s="2">
        <v>4145</v>
      </c>
      <c r="L1033" s="2">
        <v>450.9</v>
      </c>
      <c r="M1033" s="2">
        <v>878.3</v>
      </c>
      <c r="N1033" s="2">
        <v>11870</v>
      </c>
    </row>
    <row r="1034" spans="1:15" ht="24.95" customHeight="1" x14ac:dyDescent="0.25">
      <c r="A1034" s="1" t="s">
        <v>1084</v>
      </c>
      <c r="B1034" s="2">
        <v>237</v>
      </c>
      <c r="C1034" s="2">
        <v>101</v>
      </c>
      <c r="D1034" s="2">
        <v>29.5</v>
      </c>
      <c r="E1034" s="2">
        <v>71</v>
      </c>
      <c r="F1034" s="2">
        <v>0.5</v>
      </c>
      <c r="G1034" s="2">
        <v>103.3</v>
      </c>
      <c r="H1034" s="2">
        <v>4235</v>
      </c>
      <c r="I1034" s="2">
        <v>180</v>
      </c>
      <c r="J1034" s="2">
        <v>437644</v>
      </c>
      <c r="K1034" s="2">
        <v>8191</v>
      </c>
      <c r="L1034" s="2">
        <v>707.5</v>
      </c>
      <c r="M1034" s="2">
        <v>1061.8</v>
      </c>
      <c r="N1034" s="2">
        <v>23070</v>
      </c>
    </row>
    <row r="1035" spans="1:15" ht="24.95" customHeight="1" x14ac:dyDescent="0.25">
      <c r="A1035" s="1" t="s">
        <v>1075</v>
      </c>
      <c r="B1035" s="2">
        <v>227</v>
      </c>
      <c r="C1035" s="2">
        <v>98</v>
      </c>
      <c r="D1035" s="2">
        <v>26.7</v>
      </c>
      <c r="E1035" s="2">
        <v>71</v>
      </c>
      <c r="F1035" s="2">
        <v>0.3</v>
      </c>
      <c r="G1035" s="2">
        <v>99.1</v>
      </c>
      <c r="H1035" s="2">
        <v>9500</v>
      </c>
      <c r="I1035" s="2">
        <v>162</v>
      </c>
      <c r="J1035" s="2">
        <v>941691</v>
      </c>
      <c r="K1035" s="2">
        <v>17917</v>
      </c>
      <c r="L1035" s="2">
        <v>1617.4</v>
      </c>
      <c r="M1035" s="2">
        <v>2230.6999999999998</v>
      </c>
      <c r="N1035" s="2">
        <v>51520</v>
      </c>
    </row>
    <row r="1036" spans="1:15" ht="24.95" customHeight="1" x14ac:dyDescent="0.25">
      <c r="A1036" s="1" t="s">
        <v>1079</v>
      </c>
      <c r="B1036" s="2">
        <v>216</v>
      </c>
      <c r="C1036" s="2">
        <v>91</v>
      </c>
      <c r="D1036" s="2">
        <v>19.3</v>
      </c>
      <c r="E1036" s="2">
        <v>71</v>
      </c>
      <c r="F1036" s="2">
        <v>0.7</v>
      </c>
      <c r="G1036" s="2">
        <v>92.4</v>
      </c>
      <c r="H1036" s="2">
        <v>3475</v>
      </c>
      <c r="I1036" s="2">
        <v>167</v>
      </c>
      <c r="J1036" s="2">
        <v>321095</v>
      </c>
      <c r="K1036" s="2">
        <v>7259</v>
      </c>
      <c r="L1036" s="2">
        <v>625.9</v>
      </c>
      <c r="M1036" s="2">
        <v>860.4</v>
      </c>
      <c r="N1036" s="2">
        <v>24590</v>
      </c>
      <c r="O1036" s="2">
        <v>21</v>
      </c>
    </row>
    <row r="1037" spans="1:15" ht="24.95" customHeight="1" x14ac:dyDescent="0.25">
      <c r="A1037" s="1" t="s">
        <v>1085</v>
      </c>
      <c r="B1037" s="2">
        <v>222</v>
      </c>
      <c r="C1037" s="2">
        <v>94</v>
      </c>
      <c r="D1037" s="2">
        <v>22.4</v>
      </c>
      <c r="E1037" s="2">
        <v>71</v>
      </c>
      <c r="F1037" s="2">
        <v>0.6</v>
      </c>
      <c r="G1037" s="2">
        <v>95.6</v>
      </c>
      <c r="H1037" s="2">
        <v>2590</v>
      </c>
      <c r="I1037" s="2">
        <v>170</v>
      </c>
      <c r="J1037" s="2">
        <v>247596</v>
      </c>
      <c r="K1037" s="2">
        <v>5741</v>
      </c>
      <c r="L1037" s="2">
        <v>472.9</v>
      </c>
      <c r="M1037" s="2">
        <v>643.5</v>
      </c>
      <c r="N1037" s="2">
        <v>17890</v>
      </c>
      <c r="O1037" s="2">
        <v>20</v>
      </c>
    </row>
    <row r="1038" spans="1:15" ht="24.95" customHeight="1" x14ac:dyDescent="0.25">
      <c r="A1038" s="1" t="s">
        <v>1086</v>
      </c>
      <c r="B1038" s="2">
        <v>224</v>
      </c>
      <c r="C1038" s="2">
        <v>96</v>
      </c>
      <c r="D1038" s="2">
        <v>24.1</v>
      </c>
      <c r="E1038" s="2">
        <v>71</v>
      </c>
      <c r="F1038" s="2">
        <v>0.9</v>
      </c>
      <c r="G1038" s="2">
        <v>97.8</v>
      </c>
      <c r="H1038" s="2">
        <v>1305</v>
      </c>
      <c r="I1038" s="2">
        <v>180</v>
      </c>
      <c r="J1038" s="2">
        <v>127582</v>
      </c>
      <c r="K1038" s="2">
        <v>3314</v>
      </c>
      <c r="L1038" s="2">
        <v>255.1</v>
      </c>
      <c r="M1038" s="2">
        <v>327.3</v>
      </c>
      <c r="N1038" s="2">
        <v>9770</v>
      </c>
      <c r="O1038" s="2">
        <v>26.1</v>
      </c>
    </row>
    <row r="1039" spans="1:15" ht="24.95" customHeight="1" x14ac:dyDescent="0.25">
      <c r="A1039" s="1" t="s">
        <v>1076</v>
      </c>
      <c r="B1039" s="2">
        <v>212</v>
      </c>
      <c r="C1039" s="2">
        <v>91</v>
      </c>
      <c r="D1039" s="2">
        <v>19.600000000000001</v>
      </c>
      <c r="E1039" s="2">
        <v>71</v>
      </c>
      <c r="F1039" s="2">
        <v>0.4</v>
      </c>
      <c r="G1039" s="2">
        <v>93.7</v>
      </c>
      <c r="H1039" s="2">
        <v>8265</v>
      </c>
      <c r="I1039" s="2">
        <v>157</v>
      </c>
      <c r="J1039" s="2">
        <v>774545</v>
      </c>
      <c r="K1039" s="2">
        <v>16157</v>
      </c>
      <c r="L1039" s="2">
        <v>1618.1</v>
      </c>
      <c r="M1039" s="2">
        <v>1996.2</v>
      </c>
      <c r="N1039" s="2">
        <v>39000</v>
      </c>
    </row>
    <row r="1040" spans="1:15" ht="24.95" customHeight="1" x14ac:dyDescent="0.25">
      <c r="A1040" s="1" t="s">
        <v>6798</v>
      </c>
      <c r="B1040" s="2">
        <v>204</v>
      </c>
      <c r="C1040" s="2">
        <v>80</v>
      </c>
      <c r="H1040" s="2">
        <v>99184</v>
      </c>
      <c r="I1040" s="2">
        <v>170</v>
      </c>
      <c r="J1040" s="2">
        <v>7934720</v>
      </c>
      <c r="K1040" s="2">
        <v>194573</v>
      </c>
      <c r="L1040" s="2">
        <v>14279.8</v>
      </c>
      <c r="M1040" s="2">
        <v>24488.2</v>
      </c>
      <c r="N1040" s="2">
        <v>633230</v>
      </c>
      <c r="O1040" s="2">
        <v>12.3</v>
      </c>
    </row>
    <row r="1041" spans="1:15" ht="24.95" customHeight="1" x14ac:dyDescent="0.25">
      <c r="A1041" s="1" t="s">
        <v>1089</v>
      </c>
      <c r="B1041" s="2">
        <v>300</v>
      </c>
      <c r="C1041" s="2">
        <v>118</v>
      </c>
      <c r="D1041" s="2">
        <v>37.6</v>
      </c>
      <c r="E1041" s="2">
        <v>80</v>
      </c>
      <c r="F1041" s="2">
        <v>0.4</v>
      </c>
      <c r="H1041" s="2">
        <v>8290</v>
      </c>
      <c r="I1041" s="2">
        <v>188</v>
      </c>
      <c r="J1041" s="2">
        <v>978220</v>
      </c>
      <c r="K1041" s="2">
        <v>18053</v>
      </c>
      <c r="L1041" s="2">
        <v>1040</v>
      </c>
      <c r="M1041" s="2">
        <v>2025.4</v>
      </c>
      <c r="N1041" s="2">
        <v>58770</v>
      </c>
      <c r="O1041" s="2">
        <v>22.4</v>
      </c>
    </row>
    <row r="1042" spans="1:15" ht="24.95" customHeight="1" x14ac:dyDescent="0.25">
      <c r="A1042" s="1" t="s">
        <v>5448</v>
      </c>
      <c r="B1042" s="2">
        <v>324</v>
      </c>
      <c r="C1042" s="2">
        <v>130</v>
      </c>
      <c r="D1042" s="2">
        <v>52.1</v>
      </c>
      <c r="E1042" s="2">
        <v>80</v>
      </c>
      <c r="F1042" s="2">
        <v>-2.1</v>
      </c>
      <c r="H1042" s="2">
        <v>7200</v>
      </c>
      <c r="I1042" s="2">
        <v>159</v>
      </c>
      <c r="J1042" s="2">
        <v>936000</v>
      </c>
      <c r="K1042" s="2">
        <v>12768</v>
      </c>
      <c r="L1042" s="2">
        <v>924.6</v>
      </c>
      <c r="M1042" s="2">
        <v>1815.6</v>
      </c>
      <c r="N1042" s="2">
        <v>42950</v>
      </c>
      <c r="O1042" s="2">
        <v>3.6</v>
      </c>
    </row>
    <row r="1043" spans="1:15" ht="24.95" customHeight="1" x14ac:dyDescent="0.25">
      <c r="A1043" s="1" t="s">
        <v>1090</v>
      </c>
      <c r="B1043" s="2">
        <v>288</v>
      </c>
      <c r="C1043" s="2">
        <v>120</v>
      </c>
      <c r="D1043" s="2">
        <v>42.3</v>
      </c>
      <c r="E1043" s="2">
        <v>80</v>
      </c>
      <c r="F1043" s="2">
        <v>-2.2999999999999998</v>
      </c>
      <c r="H1043" s="2">
        <v>8000</v>
      </c>
      <c r="I1043" s="2">
        <v>133</v>
      </c>
      <c r="J1043" s="2">
        <v>960000</v>
      </c>
      <c r="K1043" s="2">
        <v>16369</v>
      </c>
      <c r="L1043" s="2">
        <v>1078.7</v>
      </c>
      <c r="M1043" s="2">
        <v>2065.9</v>
      </c>
      <c r="N1043" s="2">
        <v>53510</v>
      </c>
      <c r="O1043" s="2">
        <v>12</v>
      </c>
    </row>
    <row r="1044" spans="1:15" ht="24.95" customHeight="1" x14ac:dyDescent="0.25">
      <c r="A1044" s="1" t="s">
        <v>1091</v>
      </c>
      <c r="B1044" s="2">
        <v>304</v>
      </c>
      <c r="C1044" s="2">
        <v>119</v>
      </c>
      <c r="D1044" s="2">
        <v>41</v>
      </c>
      <c r="E1044" s="2">
        <v>80</v>
      </c>
      <c r="F1044" s="2">
        <v>-2</v>
      </c>
      <c r="H1044" s="2">
        <v>17550</v>
      </c>
      <c r="I1044" s="2">
        <v>189</v>
      </c>
      <c r="J1044" s="2">
        <v>2088450</v>
      </c>
      <c r="K1044" s="2">
        <v>31290</v>
      </c>
      <c r="L1044" s="2">
        <v>2962.8</v>
      </c>
      <c r="M1044" s="2">
        <v>4348.8999999999996</v>
      </c>
      <c r="N1044" s="2">
        <v>98670</v>
      </c>
      <c r="O1044" s="2">
        <v>0.9</v>
      </c>
    </row>
    <row r="1045" spans="1:15" ht="24.95" customHeight="1" x14ac:dyDescent="0.25">
      <c r="A1045" s="1" t="s">
        <v>1092</v>
      </c>
      <c r="B1045" s="2">
        <v>312</v>
      </c>
      <c r="C1045" s="2">
        <v>124</v>
      </c>
      <c r="D1045" s="2">
        <v>45.3</v>
      </c>
      <c r="E1045" s="2">
        <v>80.3</v>
      </c>
      <c r="F1045" s="2">
        <v>-1.6</v>
      </c>
      <c r="H1045" s="2">
        <v>3804</v>
      </c>
      <c r="I1045" s="2">
        <v>199</v>
      </c>
      <c r="J1045" s="2">
        <v>471696</v>
      </c>
      <c r="K1045" s="2">
        <v>5542</v>
      </c>
      <c r="L1045" s="2">
        <v>438.8</v>
      </c>
      <c r="M1045" s="2">
        <v>942</v>
      </c>
      <c r="N1045" s="2">
        <v>16700</v>
      </c>
    </row>
    <row r="1046" spans="1:15" ht="24.95" customHeight="1" x14ac:dyDescent="0.25">
      <c r="A1046" s="1" t="s">
        <v>1093</v>
      </c>
      <c r="B1046" s="2">
        <v>288</v>
      </c>
      <c r="C1046" s="2">
        <v>118</v>
      </c>
      <c r="D1046" s="2">
        <v>39.9</v>
      </c>
      <c r="E1046" s="2">
        <v>80</v>
      </c>
      <c r="F1046" s="2">
        <v>-1.9</v>
      </c>
      <c r="H1046" s="2">
        <v>13400</v>
      </c>
      <c r="I1046" s="2">
        <v>165</v>
      </c>
      <c r="J1046" s="2">
        <v>1581200</v>
      </c>
      <c r="K1046" s="2">
        <v>24047</v>
      </c>
      <c r="L1046" s="2">
        <v>2334.4</v>
      </c>
      <c r="M1046" s="2">
        <v>3263.5</v>
      </c>
      <c r="N1046" s="2">
        <v>75220</v>
      </c>
      <c r="O1046" s="2">
        <v>4.5</v>
      </c>
    </row>
    <row r="1047" spans="1:15" ht="24.95" customHeight="1" x14ac:dyDescent="0.25">
      <c r="A1047" s="1" t="s">
        <v>1094</v>
      </c>
      <c r="B1047" s="2">
        <v>318</v>
      </c>
      <c r="C1047" s="2">
        <v>132</v>
      </c>
      <c r="D1047" s="2">
        <v>52.5</v>
      </c>
      <c r="E1047" s="2">
        <v>80.3</v>
      </c>
      <c r="F1047" s="2">
        <v>-0.8</v>
      </c>
      <c r="H1047" s="2">
        <v>3160</v>
      </c>
      <c r="I1047" s="2">
        <v>175</v>
      </c>
      <c r="J1047" s="2">
        <v>417120</v>
      </c>
      <c r="K1047" s="2">
        <v>5068</v>
      </c>
      <c r="L1047" s="2">
        <v>315.8</v>
      </c>
      <c r="M1047" s="2" t="s">
        <v>6799</v>
      </c>
      <c r="N1047" s="2">
        <v>16300</v>
      </c>
    </row>
    <row r="1048" spans="1:15" ht="24.95" customHeight="1" x14ac:dyDescent="0.25">
      <c r="A1048" s="1" t="s">
        <v>1095</v>
      </c>
      <c r="B1048" s="2">
        <v>291</v>
      </c>
      <c r="C1048" s="2">
        <v>118</v>
      </c>
      <c r="D1048" s="2">
        <v>33.4</v>
      </c>
      <c r="E1048" s="2">
        <v>84</v>
      </c>
      <c r="F1048" s="2">
        <v>0.6</v>
      </c>
      <c r="H1048" s="2">
        <v>3910</v>
      </c>
      <c r="I1048" s="2">
        <v>157</v>
      </c>
      <c r="J1048" s="2">
        <v>461380</v>
      </c>
      <c r="K1048" s="2">
        <v>10305</v>
      </c>
      <c r="L1048" s="2">
        <v>573.20000000000005</v>
      </c>
      <c r="M1048" s="2">
        <v>934.6</v>
      </c>
      <c r="N1048" s="2">
        <v>33380</v>
      </c>
      <c r="O1048" s="2">
        <v>35.299999999999997</v>
      </c>
    </row>
    <row r="1049" spans="1:15" ht="24.95" customHeight="1" x14ac:dyDescent="0.25">
      <c r="A1049" s="1" t="s">
        <v>1096</v>
      </c>
      <c r="B1049" s="2">
        <v>312</v>
      </c>
      <c r="C1049" s="2">
        <v>130</v>
      </c>
      <c r="D1049" s="2">
        <v>46.4</v>
      </c>
      <c r="E1049" s="2">
        <v>84</v>
      </c>
      <c r="F1049" s="2">
        <v>-0.4</v>
      </c>
      <c r="H1049" s="2">
        <v>2300</v>
      </c>
      <c r="I1049" s="2">
        <v>175</v>
      </c>
      <c r="J1049" s="2">
        <v>299000</v>
      </c>
      <c r="K1049" s="2">
        <v>5126</v>
      </c>
      <c r="L1049" s="2">
        <v>402.7</v>
      </c>
      <c r="M1049" s="2">
        <v>580.79999999999995</v>
      </c>
      <c r="N1049" s="2">
        <v>15330</v>
      </c>
      <c r="O1049" s="2">
        <v>16.7</v>
      </c>
    </row>
    <row r="1050" spans="1:15" ht="24.95" customHeight="1" x14ac:dyDescent="0.25">
      <c r="A1050" s="1" t="s">
        <v>1097</v>
      </c>
      <c r="B1050" s="2">
        <v>246</v>
      </c>
      <c r="C1050" s="2">
        <v>102</v>
      </c>
      <c r="D1050" s="2">
        <v>17.899999999999999</v>
      </c>
      <c r="E1050" s="2">
        <v>84</v>
      </c>
      <c r="F1050" s="2">
        <v>0.1</v>
      </c>
      <c r="G1050" s="2">
        <v>104.4</v>
      </c>
      <c r="H1050" s="2">
        <v>2055</v>
      </c>
      <c r="I1050" s="2">
        <v>199</v>
      </c>
      <c r="J1050" s="2">
        <v>214584</v>
      </c>
      <c r="K1050" s="2">
        <v>5189</v>
      </c>
      <c r="L1050" s="2">
        <v>292.3</v>
      </c>
      <c r="M1050" s="2">
        <v>533.29999999999995</v>
      </c>
      <c r="N1050" s="2">
        <v>16350</v>
      </c>
      <c r="O1050" s="2">
        <v>28.2</v>
      </c>
    </row>
    <row r="1051" spans="1:15" ht="24.95" customHeight="1" x14ac:dyDescent="0.25">
      <c r="A1051" s="1" t="s">
        <v>1098</v>
      </c>
      <c r="B1051" s="2">
        <v>268</v>
      </c>
      <c r="C1051" s="2">
        <v>106</v>
      </c>
      <c r="D1051" s="2">
        <v>20.6</v>
      </c>
      <c r="E1051" s="2">
        <v>84</v>
      </c>
      <c r="F1051" s="2">
        <v>1.4</v>
      </c>
      <c r="G1051" s="2">
        <v>108.3</v>
      </c>
      <c r="H1051" s="2">
        <v>2972</v>
      </c>
      <c r="I1051" s="2">
        <v>158</v>
      </c>
      <c r="J1051" s="2">
        <v>321728</v>
      </c>
      <c r="K1051" s="2">
        <v>7932</v>
      </c>
      <c r="L1051" s="2">
        <v>430.7</v>
      </c>
      <c r="M1051" s="2">
        <v>786.4</v>
      </c>
      <c r="N1051" s="2">
        <v>25070</v>
      </c>
      <c r="O1051" s="2">
        <v>30</v>
      </c>
    </row>
    <row r="1052" spans="1:15" ht="24.95" customHeight="1" x14ac:dyDescent="0.25">
      <c r="A1052" s="1" t="s">
        <v>1099</v>
      </c>
      <c r="B1052" s="2">
        <v>274</v>
      </c>
      <c r="C1052" s="2">
        <v>112</v>
      </c>
      <c r="D1052" s="2">
        <v>27.8</v>
      </c>
      <c r="E1052" s="2">
        <v>84</v>
      </c>
      <c r="F1052" s="2">
        <v>0.2</v>
      </c>
      <c r="G1052" s="2">
        <v>113.6</v>
      </c>
      <c r="H1052" s="2">
        <v>10300</v>
      </c>
      <c r="I1052" s="2">
        <v>150</v>
      </c>
      <c r="J1052" s="2">
        <v>1170212</v>
      </c>
      <c r="K1052" s="2">
        <v>17363</v>
      </c>
      <c r="L1052" s="2">
        <v>1284.0999999999999</v>
      </c>
      <c r="M1052" s="2">
        <v>2557.9</v>
      </c>
      <c r="N1052" s="2">
        <v>60430</v>
      </c>
      <c r="O1052" s="2">
        <v>3.8</v>
      </c>
    </row>
    <row r="1053" spans="1:15" ht="24.95" customHeight="1" x14ac:dyDescent="0.25">
      <c r="A1053" s="1" t="s">
        <v>1090</v>
      </c>
      <c r="B1053" s="2">
        <v>272</v>
      </c>
      <c r="C1053" s="2">
        <v>106</v>
      </c>
      <c r="D1053" s="2">
        <v>21.9</v>
      </c>
      <c r="E1053" s="2">
        <v>84</v>
      </c>
      <c r="F1053" s="2">
        <v>0.1</v>
      </c>
      <c r="G1053" s="2">
        <v>107.3</v>
      </c>
      <c r="H1053" s="2">
        <v>3310</v>
      </c>
      <c r="I1053" s="2">
        <v>170</v>
      </c>
      <c r="J1053" s="2">
        <v>355129</v>
      </c>
      <c r="K1053" s="2">
        <v>6507</v>
      </c>
      <c r="L1053" s="2">
        <v>360.1</v>
      </c>
      <c r="M1053" s="2">
        <v>745.4</v>
      </c>
      <c r="N1053" s="2">
        <v>23100</v>
      </c>
      <c r="O1053" s="2">
        <v>24.9</v>
      </c>
    </row>
    <row r="1054" spans="1:15" ht="24.95" customHeight="1" x14ac:dyDescent="0.25">
      <c r="A1054" s="1" t="s">
        <v>1100</v>
      </c>
      <c r="B1054" s="2">
        <v>270</v>
      </c>
      <c r="C1054" s="2">
        <v>106</v>
      </c>
      <c r="D1054" s="2">
        <v>21</v>
      </c>
      <c r="E1054" s="2">
        <v>84</v>
      </c>
      <c r="F1054" s="2">
        <v>1</v>
      </c>
      <c r="G1054" s="2">
        <v>107.9</v>
      </c>
      <c r="H1054" s="2">
        <v>1033</v>
      </c>
      <c r="I1054" s="2">
        <v>187</v>
      </c>
      <c r="J1054" s="2">
        <v>111462</v>
      </c>
      <c r="K1054" s="2">
        <v>3111</v>
      </c>
      <c r="L1054" s="2">
        <v>180.8</v>
      </c>
      <c r="M1054" s="2">
        <v>261.60000000000002</v>
      </c>
      <c r="N1054" s="2">
        <v>8710</v>
      </c>
      <c r="O1054" s="2">
        <v>34.299999999999997</v>
      </c>
    </row>
    <row r="1055" spans="1:15" ht="24.95" customHeight="1" x14ac:dyDescent="0.25">
      <c r="A1055" s="1" t="s">
        <v>1101</v>
      </c>
      <c r="B1055" s="2">
        <v>286</v>
      </c>
      <c r="C1055" s="2">
        <v>112</v>
      </c>
      <c r="D1055" s="2">
        <v>27.7</v>
      </c>
      <c r="E1055" s="2">
        <v>84</v>
      </c>
      <c r="F1055" s="2">
        <v>0.4</v>
      </c>
      <c r="G1055" s="2">
        <v>113.4</v>
      </c>
      <c r="H1055" s="2">
        <v>2215</v>
      </c>
      <c r="I1055" s="2">
        <v>187</v>
      </c>
      <c r="J1055" s="2">
        <v>251142</v>
      </c>
      <c r="K1055" s="2">
        <v>4392</v>
      </c>
      <c r="L1055" s="2">
        <v>230.6</v>
      </c>
      <c r="M1055" s="2">
        <v>480.5</v>
      </c>
      <c r="N1055" s="2">
        <v>16450</v>
      </c>
      <c r="O1055" s="2">
        <v>26.2</v>
      </c>
    </row>
    <row r="1056" spans="1:15" ht="24.95" customHeight="1" x14ac:dyDescent="0.25">
      <c r="A1056" s="1" t="s">
        <v>1102</v>
      </c>
      <c r="B1056" s="2">
        <v>273</v>
      </c>
      <c r="C1056" s="2">
        <v>106</v>
      </c>
      <c r="D1056" s="2">
        <v>21.3</v>
      </c>
      <c r="E1056" s="2">
        <v>84</v>
      </c>
      <c r="F1056" s="2">
        <v>0.7</v>
      </c>
      <c r="G1056" s="2">
        <v>107.5</v>
      </c>
      <c r="H1056" s="2">
        <v>3006</v>
      </c>
      <c r="I1056" s="2">
        <v>174</v>
      </c>
      <c r="J1056" s="2">
        <v>323106</v>
      </c>
      <c r="K1056" s="2">
        <v>6965</v>
      </c>
      <c r="L1056" s="2">
        <v>457.1</v>
      </c>
      <c r="M1056" s="2">
        <v>712.9</v>
      </c>
      <c r="N1056" s="2">
        <v>25060</v>
      </c>
      <c r="O1056" s="2">
        <v>32.6</v>
      </c>
    </row>
    <row r="1057" spans="1:15" ht="24.95" customHeight="1" x14ac:dyDescent="0.25">
      <c r="A1057" s="1" t="s">
        <v>967</v>
      </c>
      <c r="B1057" s="2">
        <v>265</v>
      </c>
      <c r="C1057" s="2">
        <v>103</v>
      </c>
      <c r="D1057" s="2">
        <v>17.899999999999999</v>
      </c>
      <c r="E1057" s="2">
        <v>84</v>
      </c>
      <c r="F1057" s="2">
        <v>1.1000000000000001</v>
      </c>
      <c r="G1057" s="2">
        <v>106.2</v>
      </c>
      <c r="H1057" s="2">
        <v>2556</v>
      </c>
      <c r="I1057" s="2">
        <v>229</v>
      </c>
      <c r="J1057" s="2">
        <v>271497</v>
      </c>
      <c r="K1057" s="2">
        <v>6427</v>
      </c>
      <c r="L1057" s="2">
        <v>345.6</v>
      </c>
      <c r="M1057" s="2">
        <v>626.79999999999995</v>
      </c>
      <c r="N1057" s="2">
        <v>19690</v>
      </c>
      <c r="O1057" s="2">
        <v>29.5</v>
      </c>
    </row>
    <row r="1058" spans="1:15" ht="24.95" customHeight="1" x14ac:dyDescent="0.25">
      <c r="A1058" s="1" t="s">
        <v>1094</v>
      </c>
      <c r="B1058" s="2">
        <v>266</v>
      </c>
      <c r="C1058" s="2">
        <v>108</v>
      </c>
      <c r="D1058" s="2">
        <v>24</v>
      </c>
      <c r="E1058" s="2">
        <v>84</v>
      </c>
      <c r="G1058" s="2">
        <v>108.1</v>
      </c>
      <c r="H1058" s="2">
        <v>4123</v>
      </c>
      <c r="I1058" s="2">
        <v>160</v>
      </c>
      <c r="J1058" s="2">
        <v>445899</v>
      </c>
      <c r="K1058" s="2">
        <v>8119</v>
      </c>
      <c r="L1058" s="2">
        <v>627.1</v>
      </c>
      <c r="M1058" s="2">
        <v>1001</v>
      </c>
      <c r="N1058" s="2">
        <v>27540</v>
      </c>
      <c r="O1058" s="2">
        <v>15</v>
      </c>
    </row>
    <row r="1059" spans="1:15" ht="24.95" customHeight="1" x14ac:dyDescent="0.25">
      <c r="A1059" s="1" t="s">
        <v>6800</v>
      </c>
      <c r="B1059" s="2">
        <v>195</v>
      </c>
      <c r="C1059" s="2">
        <v>80</v>
      </c>
      <c r="H1059" s="2">
        <v>8441</v>
      </c>
      <c r="I1059" s="2">
        <v>143</v>
      </c>
      <c r="J1059" s="2">
        <v>675280</v>
      </c>
      <c r="K1059" s="2">
        <v>22010</v>
      </c>
      <c r="L1059" s="2">
        <v>1135.2</v>
      </c>
      <c r="M1059" s="2">
        <v>2132.4</v>
      </c>
      <c r="N1059" s="2">
        <v>66900</v>
      </c>
      <c r="O1059" s="2">
        <v>34.200000000000003</v>
      </c>
    </row>
    <row r="1060" spans="1:15" ht="24.95" customHeight="1" x14ac:dyDescent="0.25">
      <c r="A1060" s="1" t="s">
        <v>1104</v>
      </c>
      <c r="B1060" s="2">
        <v>264</v>
      </c>
      <c r="C1060" s="2">
        <v>128</v>
      </c>
      <c r="D1060" s="2">
        <v>44.3</v>
      </c>
      <c r="E1060" s="2">
        <v>83</v>
      </c>
      <c r="F1060" s="2">
        <v>0.7</v>
      </c>
      <c r="H1060" s="2">
        <v>250</v>
      </c>
      <c r="I1060" s="2">
        <v>213</v>
      </c>
      <c r="J1060" s="2">
        <v>32000</v>
      </c>
      <c r="K1060" s="2">
        <v>549</v>
      </c>
      <c r="L1060" s="2">
        <v>25.5</v>
      </c>
      <c r="M1060" s="2">
        <v>64.599999999999994</v>
      </c>
      <c r="N1060" s="2">
        <v>1770</v>
      </c>
      <c r="O1060" s="2">
        <v>16.600000000000001</v>
      </c>
    </row>
    <row r="1061" spans="1:15" ht="24.95" customHeight="1" x14ac:dyDescent="0.25">
      <c r="A1061" s="1" t="s">
        <v>1105</v>
      </c>
      <c r="B1061" s="2">
        <v>291</v>
      </c>
      <c r="C1061" s="2">
        <v>120</v>
      </c>
      <c r="D1061" s="2">
        <v>39.200000000000003</v>
      </c>
      <c r="E1061" s="2">
        <v>80</v>
      </c>
      <c r="F1061" s="2">
        <v>0.8</v>
      </c>
      <c r="H1061" s="2">
        <v>2800</v>
      </c>
      <c r="I1061" s="2">
        <v>151</v>
      </c>
      <c r="J1061" s="2">
        <v>336000</v>
      </c>
      <c r="K1061" s="2">
        <v>6317</v>
      </c>
      <c r="L1061" s="2">
        <v>357</v>
      </c>
      <c r="M1061" s="2">
        <v>697.5</v>
      </c>
      <c r="N1061" s="2">
        <v>18630</v>
      </c>
      <c r="O1061" s="2">
        <v>15.1</v>
      </c>
    </row>
    <row r="1062" spans="1:15" ht="24.95" customHeight="1" x14ac:dyDescent="0.25">
      <c r="A1062" s="1" t="s">
        <v>1106</v>
      </c>
      <c r="B1062" s="2">
        <v>284</v>
      </c>
      <c r="C1062" s="2">
        <v>120</v>
      </c>
      <c r="D1062" s="2">
        <v>36.5</v>
      </c>
      <c r="E1062" s="2">
        <v>83</v>
      </c>
      <c r="F1062" s="2">
        <v>0.5</v>
      </c>
      <c r="H1062" s="2">
        <v>827</v>
      </c>
      <c r="I1062" s="2">
        <v>145</v>
      </c>
      <c r="J1062" s="2">
        <v>99240</v>
      </c>
      <c r="K1062" s="2">
        <v>1728</v>
      </c>
      <c r="L1062" s="2">
        <v>98.9</v>
      </c>
      <c r="M1062" s="2">
        <v>204.5</v>
      </c>
      <c r="N1062" s="2">
        <v>5510</v>
      </c>
      <c r="O1062" s="2">
        <v>17.5</v>
      </c>
    </row>
    <row r="1063" spans="1:15" ht="24.95" customHeight="1" x14ac:dyDescent="0.25">
      <c r="A1063" s="1" t="s">
        <v>1107</v>
      </c>
      <c r="B1063" s="2">
        <v>279</v>
      </c>
      <c r="C1063" s="2">
        <v>124</v>
      </c>
      <c r="D1063" s="2">
        <v>43.4</v>
      </c>
      <c r="E1063" s="2">
        <v>80</v>
      </c>
      <c r="F1063" s="2">
        <v>0.6</v>
      </c>
      <c r="H1063" s="2">
        <v>1014</v>
      </c>
      <c r="I1063" s="2">
        <v>125</v>
      </c>
      <c r="J1063" s="2">
        <v>125736</v>
      </c>
      <c r="K1063" s="2">
        <v>2258</v>
      </c>
      <c r="L1063" s="2">
        <v>162.5</v>
      </c>
      <c r="M1063" s="2">
        <v>262.39999999999998</v>
      </c>
      <c r="N1063" s="2">
        <v>6640</v>
      </c>
      <c r="O1063" s="2">
        <v>9.4</v>
      </c>
    </row>
    <row r="1064" spans="1:15" ht="24.95" customHeight="1" x14ac:dyDescent="0.25">
      <c r="A1064" s="1" t="s">
        <v>1108</v>
      </c>
      <c r="B1064" s="2">
        <v>232</v>
      </c>
      <c r="C1064" s="2">
        <v>104</v>
      </c>
      <c r="D1064" s="2">
        <v>19</v>
      </c>
      <c r="E1064" s="2">
        <v>83</v>
      </c>
      <c r="F1064" s="2">
        <v>2</v>
      </c>
      <c r="G1064" s="2">
        <v>105.4</v>
      </c>
      <c r="H1064" s="2">
        <v>1320</v>
      </c>
      <c r="I1064" s="2">
        <v>123</v>
      </c>
      <c r="J1064" s="2">
        <v>139180</v>
      </c>
      <c r="K1064" s="2">
        <v>5031</v>
      </c>
      <c r="L1064" s="2">
        <v>178.2</v>
      </c>
      <c r="M1064" s="2">
        <v>336.6</v>
      </c>
      <c r="N1064" s="2">
        <v>15240</v>
      </c>
      <c r="O1064" s="2">
        <v>50.8</v>
      </c>
    </row>
    <row r="1065" spans="1:15" ht="24.95" customHeight="1" x14ac:dyDescent="0.25">
      <c r="A1065" s="1" t="s">
        <v>1109</v>
      </c>
      <c r="B1065" s="2">
        <v>262</v>
      </c>
      <c r="C1065" s="2">
        <v>106</v>
      </c>
      <c r="D1065" s="2">
        <v>21.5</v>
      </c>
      <c r="E1065" s="2">
        <v>83</v>
      </c>
      <c r="F1065" s="2">
        <v>1.5</v>
      </c>
      <c r="G1065" s="2">
        <v>107.3</v>
      </c>
      <c r="H1065" s="2">
        <v>2230</v>
      </c>
      <c r="I1065" s="2">
        <v>146</v>
      </c>
      <c r="J1065" s="2">
        <v>239196</v>
      </c>
      <c r="K1065" s="2">
        <v>6127</v>
      </c>
      <c r="L1065" s="2">
        <v>313.3</v>
      </c>
      <c r="M1065" s="2">
        <v>566.79999999999995</v>
      </c>
      <c r="N1065" s="2">
        <v>19110</v>
      </c>
      <c r="O1065" s="2">
        <v>33.799999999999997</v>
      </c>
    </row>
    <row r="1066" spans="1:15" ht="24.95" customHeight="1" x14ac:dyDescent="0.25">
      <c r="A1066" s="1" t="s">
        <v>6801</v>
      </c>
      <c r="B1066" s="2">
        <v>183</v>
      </c>
      <c r="C1066" s="2">
        <v>78</v>
      </c>
      <c r="H1066" s="2">
        <v>59716</v>
      </c>
      <c r="I1066" s="2">
        <v>169</v>
      </c>
      <c r="J1066" s="2">
        <v>4657848</v>
      </c>
      <c r="K1066" s="2">
        <v>126662</v>
      </c>
      <c r="L1066" s="2">
        <v>7309.1</v>
      </c>
      <c r="M1066" s="2">
        <v>14231.2</v>
      </c>
      <c r="N1066" s="2">
        <v>439260</v>
      </c>
      <c r="O1066" s="2">
        <v>22.9</v>
      </c>
    </row>
    <row r="1067" spans="1:15" ht="24.95" customHeight="1" x14ac:dyDescent="0.25">
      <c r="A1067" s="1" t="s">
        <v>1111</v>
      </c>
      <c r="B1067" s="2">
        <v>300</v>
      </c>
      <c r="C1067" s="2">
        <v>128</v>
      </c>
      <c r="D1067" s="2">
        <v>45.1</v>
      </c>
      <c r="E1067" s="2">
        <v>82</v>
      </c>
      <c r="F1067" s="2">
        <v>0.9</v>
      </c>
      <c r="H1067" s="2">
        <v>881</v>
      </c>
      <c r="I1067" s="2">
        <v>165</v>
      </c>
      <c r="J1067" s="2">
        <v>112768</v>
      </c>
      <c r="K1067" s="2">
        <v>2114</v>
      </c>
      <c r="L1067" s="2">
        <v>114.8</v>
      </c>
      <c r="M1067" s="2">
        <v>219.1</v>
      </c>
      <c r="N1067" s="2">
        <v>6680</v>
      </c>
      <c r="O1067" s="2">
        <v>24.9</v>
      </c>
    </row>
    <row r="1068" spans="1:15" ht="24.95" customHeight="1" x14ac:dyDescent="0.25">
      <c r="A1068" s="1" t="s">
        <v>1112</v>
      </c>
      <c r="B1068" s="2">
        <v>276</v>
      </c>
      <c r="C1068" s="2">
        <v>120</v>
      </c>
      <c r="D1068" s="2">
        <v>37.6</v>
      </c>
      <c r="E1068" s="2">
        <v>82</v>
      </c>
      <c r="F1068" s="2">
        <v>0.4</v>
      </c>
      <c r="H1068" s="2">
        <v>2750</v>
      </c>
      <c r="I1068" s="2">
        <v>161</v>
      </c>
      <c r="J1068" s="2">
        <v>330000</v>
      </c>
      <c r="K1068" s="2">
        <v>5609</v>
      </c>
      <c r="L1068" s="2">
        <v>332.8</v>
      </c>
      <c r="M1068" s="2">
        <v>677.2</v>
      </c>
      <c r="N1068" s="2">
        <v>17930</v>
      </c>
      <c r="O1068" s="2">
        <v>12.4</v>
      </c>
    </row>
    <row r="1069" spans="1:15" ht="24.95" customHeight="1" x14ac:dyDescent="0.25">
      <c r="A1069" s="1" t="s">
        <v>1113</v>
      </c>
      <c r="B1069" s="2">
        <v>286</v>
      </c>
      <c r="C1069" s="2">
        <v>124</v>
      </c>
      <c r="D1069" s="2">
        <v>40.1</v>
      </c>
      <c r="E1069" s="2">
        <v>82</v>
      </c>
      <c r="F1069" s="2">
        <v>1.9</v>
      </c>
      <c r="H1069" s="2">
        <v>1215</v>
      </c>
      <c r="I1069" s="2">
        <v>159</v>
      </c>
      <c r="J1069" s="2">
        <v>150660</v>
      </c>
      <c r="K1069" s="2">
        <v>2811</v>
      </c>
      <c r="L1069" s="2">
        <v>160.6</v>
      </c>
      <c r="M1069" s="2">
        <v>323.5</v>
      </c>
      <c r="N1069" s="2">
        <v>8680</v>
      </c>
      <c r="O1069" s="2">
        <v>15.7</v>
      </c>
    </row>
    <row r="1070" spans="1:15" ht="24.95" customHeight="1" x14ac:dyDescent="0.25">
      <c r="A1070" s="1" t="s">
        <v>1114</v>
      </c>
      <c r="B1070" s="2">
        <v>270</v>
      </c>
      <c r="C1070" s="2">
        <v>128</v>
      </c>
      <c r="D1070" s="2">
        <v>46.1</v>
      </c>
      <c r="E1070" s="2">
        <v>82</v>
      </c>
      <c r="F1070" s="2">
        <v>-0.1</v>
      </c>
      <c r="H1070" s="2">
        <v>353</v>
      </c>
      <c r="I1070" s="2">
        <v>149</v>
      </c>
      <c r="J1070" s="2">
        <v>45184</v>
      </c>
      <c r="K1070" s="2">
        <v>868</v>
      </c>
      <c r="L1070" s="2">
        <v>35</v>
      </c>
      <c r="M1070" s="2">
        <v>88.8</v>
      </c>
      <c r="N1070" s="2">
        <v>2600</v>
      </c>
      <c r="O1070" s="2">
        <v>22</v>
      </c>
    </row>
    <row r="1071" spans="1:15" ht="24.95" customHeight="1" x14ac:dyDescent="0.25">
      <c r="A1071" s="1" t="s">
        <v>1115</v>
      </c>
      <c r="B1071" s="2">
        <v>264</v>
      </c>
      <c r="C1071" s="2">
        <v>116</v>
      </c>
      <c r="D1071" s="2">
        <v>34.1</v>
      </c>
      <c r="E1071" s="2">
        <v>82</v>
      </c>
      <c r="F1071" s="2">
        <v>-0.1</v>
      </c>
      <c r="H1071" s="2">
        <v>700</v>
      </c>
      <c r="I1071" s="2">
        <v>119</v>
      </c>
      <c r="J1071" s="2">
        <v>81200</v>
      </c>
      <c r="K1071" s="2">
        <v>1541</v>
      </c>
      <c r="L1071" s="2">
        <v>91.7</v>
      </c>
      <c r="M1071" s="2">
        <v>198.1</v>
      </c>
      <c r="N1071" s="2">
        <v>5650</v>
      </c>
      <c r="O1071" s="2">
        <v>23.6</v>
      </c>
    </row>
    <row r="1072" spans="1:15" ht="24.95" customHeight="1" x14ac:dyDescent="0.25">
      <c r="A1072" s="1" t="s">
        <v>1116</v>
      </c>
      <c r="B1072" s="2">
        <v>290</v>
      </c>
      <c r="C1072" s="2">
        <v>132</v>
      </c>
      <c r="D1072" s="2">
        <v>53.9</v>
      </c>
      <c r="E1072" s="2">
        <v>78.8</v>
      </c>
      <c r="F1072" s="2">
        <v>-0.7</v>
      </c>
      <c r="H1072" s="2">
        <v>6379</v>
      </c>
      <c r="I1072" s="2">
        <v>140</v>
      </c>
      <c r="J1072" s="2">
        <v>842028</v>
      </c>
      <c r="K1072" s="2">
        <v>10825</v>
      </c>
      <c r="L1072" s="2">
        <v>819.7</v>
      </c>
      <c r="M1072" s="2">
        <v>1614.9</v>
      </c>
      <c r="N1072" s="2">
        <v>35440</v>
      </c>
    </row>
    <row r="1073" spans="1:15" ht="24.95" customHeight="1" x14ac:dyDescent="0.25">
      <c r="A1073" s="1" t="s">
        <v>1117</v>
      </c>
      <c r="B1073" s="2">
        <v>300</v>
      </c>
      <c r="C1073" s="2">
        <v>123</v>
      </c>
      <c r="D1073" s="2">
        <v>43.7</v>
      </c>
      <c r="E1073" s="2">
        <v>78.8</v>
      </c>
      <c r="F1073" s="2">
        <v>0.6</v>
      </c>
      <c r="H1073" s="2">
        <v>14050</v>
      </c>
      <c r="I1073" s="2">
        <v>182</v>
      </c>
      <c r="J1073" s="2">
        <v>1728150</v>
      </c>
      <c r="K1073" s="2">
        <v>28811</v>
      </c>
      <c r="L1073" s="2">
        <v>1721.5</v>
      </c>
      <c r="M1073" s="2">
        <v>3403.3</v>
      </c>
      <c r="N1073" s="2">
        <v>94560</v>
      </c>
      <c r="O1073" s="2">
        <v>16.8</v>
      </c>
    </row>
    <row r="1074" spans="1:15" ht="24.95" customHeight="1" x14ac:dyDescent="0.25">
      <c r="A1074" s="1" t="s">
        <v>1118</v>
      </c>
      <c r="B1074" s="2">
        <v>234</v>
      </c>
      <c r="C1074" s="2">
        <v>100</v>
      </c>
      <c r="D1074" s="2">
        <v>18</v>
      </c>
      <c r="E1074" s="2">
        <v>82</v>
      </c>
      <c r="H1074" s="2">
        <v>485</v>
      </c>
      <c r="I1074" s="2">
        <v>149</v>
      </c>
      <c r="J1074" s="2">
        <v>48500</v>
      </c>
      <c r="K1074" s="2">
        <v>1021</v>
      </c>
      <c r="L1074" s="2">
        <v>69.599999999999994</v>
      </c>
      <c r="M1074" s="2">
        <v>121.4</v>
      </c>
      <c r="N1074" s="2">
        <v>3930</v>
      </c>
      <c r="O1074" s="2">
        <v>24.6</v>
      </c>
    </row>
    <row r="1075" spans="1:15" ht="24.95" customHeight="1" x14ac:dyDescent="0.25">
      <c r="A1075" s="1" t="s">
        <v>1119</v>
      </c>
      <c r="B1075" s="2">
        <v>261</v>
      </c>
      <c r="C1075" s="2">
        <v>112</v>
      </c>
      <c r="D1075" s="2">
        <v>29.6</v>
      </c>
      <c r="E1075" s="2">
        <v>82</v>
      </c>
      <c r="F1075" s="2">
        <v>0.4</v>
      </c>
      <c r="H1075" s="2">
        <v>682</v>
      </c>
      <c r="I1075" s="2">
        <v>183</v>
      </c>
      <c r="J1075" s="2">
        <v>76384</v>
      </c>
      <c r="K1075" s="2">
        <v>2029</v>
      </c>
      <c r="L1075" s="2">
        <v>110</v>
      </c>
      <c r="M1075" s="2">
        <v>176.3</v>
      </c>
      <c r="N1075" s="2">
        <v>5860</v>
      </c>
      <c r="O1075" s="2">
        <v>33</v>
      </c>
    </row>
    <row r="1076" spans="1:15" ht="24.95" customHeight="1" x14ac:dyDescent="0.25">
      <c r="A1076" s="1" t="s">
        <v>1120</v>
      </c>
      <c r="B1076" s="2">
        <v>270</v>
      </c>
      <c r="C1076" s="2">
        <v>108</v>
      </c>
      <c r="D1076" s="2">
        <v>25</v>
      </c>
      <c r="E1076" s="2">
        <v>82</v>
      </c>
      <c r="F1076" s="2">
        <v>1</v>
      </c>
      <c r="H1076" s="2">
        <v>1470</v>
      </c>
      <c r="I1076" s="2">
        <v>185</v>
      </c>
      <c r="J1076" s="2">
        <v>158760</v>
      </c>
      <c r="K1076" s="2">
        <v>2677</v>
      </c>
      <c r="L1076" s="2">
        <v>163.4</v>
      </c>
      <c r="M1076" s="2">
        <v>365.7</v>
      </c>
      <c r="N1076" s="2">
        <v>8560</v>
      </c>
      <c r="O1076" s="2">
        <v>2.8</v>
      </c>
    </row>
    <row r="1077" spans="1:15" ht="24.95" customHeight="1" x14ac:dyDescent="0.25">
      <c r="A1077" s="1" t="s">
        <v>1121</v>
      </c>
      <c r="B1077" s="2">
        <v>282</v>
      </c>
      <c r="C1077" s="2">
        <v>120</v>
      </c>
      <c r="D1077" s="2">
        <v>36.9</v>
      </c>
      <c r="E1077" s="2">
        <v>82</v>
      </c>
      <c r="F1077" s="2">
        <v>1.1000000000000001</v>
      </c>
      <c r="H1077" s="2">
        <v>2850</v>
      </c>
      <c r="I1077" s="2">
        <v>171</v>
      </c>
      <c r="J1077" s="2">
        <v>342000</v>
      </c>
      <c r="K1077" s="2">
        <v>5462</v>
      </c>
      <c r="L1077" s="2">
        <v>327.3</v>
      </c>
      <c r="M1077" s="2">
        <v>712.7</v>
      </c>
      <c r="N1077" s="2">
        <v>16020</v>
      </c>
      <c r="O1077" s="2">
        <v>1.9</v>
      </c>
    </row>
    <row r="1078" spans="1:15" ht="24.95" customHeight="1" x14ac:dyDescent="0.25">
      <c r="A1078" s="1" t="s">
        <v>1122</v>
      </c>
      <c r="B1078" s="2">
        <v>242</v>
      </c>
      <c r="C1078" s="2">
        <v>104</v>
      </c>
      <c r="D1078" s="2">
        <v>22.3</v>
      </c>
      <c r="E1078" s="2">
        <v>82</v>
      </c>
      <c r="F1078" s="2">
        <v>-0.3</v>
      </c>
      <c r="H1078" s="2">
        <v>1475</v>
      </c>
      <c r="I1078" s="2">
        <v>149</v>
      </c>
      <c r="J1078" s="2">
        <v>153400</v>
      </c>
      <c r="K1078" s="2">
        <v>2673</v>
      </c>
      <c r="L1078" s="2">
        <v>159.80000000000001</v>
      </c>
      <c r="M1078" s="2">
        <v>316.60000000000002</v>
      </c>
      <c r="N1078" s="2">
        <v>9780</v>
      </c>
      <c r="O1078" s="2">
        <v>18.399999999999999</v>
      </c>
    </row>
    <row r="1079" spans="1:15" ht="24.95" customHeight="1" x14ac:dyDescent="0.25">
      <c r="A1079" s="1" t="s">
        <v>1123</v>
      </c>
      <c r="B1079" s="2">
        <v>264</v>
      </c>
      <c r="C1079" s="2">
        <v>14</v>
      </c>
      <c r="D1079" s="2">
        <v>31.4</v>
      </c>
      <c r="E1079" s="2">
        <v>82</v>
      </c>
      <c r="F1079" s="2">
        <v>0.6</v>
      </c>
      <c r="H1079" s="2">
        <v>740</v>
      </c>
      <c r="I1079" s="2">
        <v>194</v>
      </c>
      <c r="J1079" s="2">
        <v>84360</v>
      </c>
      <c r="K1079" s="2">
        <v>1780</v>
      </c>
      <c r="L1079" s="2">
        <v>90.2</v>
      </c>
      <c r="M1079" s="2">
        <v>294.89999999999998</v>
      </c>
      <c r="N1079" s="2">
        <v>5440</v>
      </c>
      <c r="O1079" s="2">
        <v>29.6</v>
      </c>
    </row>
    <row r="1080" spans="1:15" ht="24.95" customHeight="1" x14ac:dyDescent="0.25">
      <c r="A1080" s="1" t="s">
        <v>1124</v>
      </c>
      <c r="B1080" s="2">
        <v>248</v>
      </c>
      <c r="C1080" s="2">
        <v>100</v>
      </c>
      <c r="D1080" s="2">
        <v>17.600000000000001</v>
      </c>
      <c r="E1080" s="2">
        <v>82</v>
      </c>
      <c r="F1080" s="2">
        <v>0.4</v>
      </c>
      <c r="G1080" s="2">
        <v>102.3</v>
      </c>
      <c r="H1080" s="2">
        <v>3354</v>
      </c>
      <c r="I1080" s="2">
        <v>148</v>
      </c>
      <c r="J1080" s="2">
        <v>343265</v>
      </c>
      <c r="K1080" s="2">
        <v>4564</v>
      </c>
      <c r="L1080" s="2">
        <v>312.10000000000002</v>
      </c>
      <c r="M1080" s="2">
        <v>644.4</v>
      </c>
      <c r="N1080" s="2">
        <v>24750</v>
      </c>
      <c r="O1080" s="2">
        <v>25.2</v>
      </c>
    </row>
    <row r="1081" spans="1:15" ht="24.95" customHeight="1" x14ac:dyDescent="0.25">
      <c r="A1081" s="1" t="s">
        <v>1125</v>
      </c>
      <c r="B1081" s="2">
        <v>244</v>
      </c>
      <c r="C1081" s="2">
        <v>94.3</v>
      </c>
      <c r="D1081" s="2">
        <v>10.199999999999999</v>
      </c>
      <c r="E1081" s="2">
        <v>82</v>
      </c>
      <c r="F1081" s="2">
        <v>2.1</v>
      </c>
      <c r="G1081" s="2">
        <v>98.2</v>
      </c>
      <c r="H1081" s="2">
        <v>1080</v>
      </c>
      <c r="I1081" s="2">
        <v>132</v>
      </c>
      <c r="J1081" s="2">
        <v>106106</v>
      </c>
      <c r="K1081" s="2">
        <v>3475</v>
      </c>
      <c r="L1081" s="2">
        <v>181.8</v>
      </c>
      <c r="M1081" s="2">
        <v>268.5</v>
      </c>
      <c r="N1081" s="2">
        <v>13000</v>
      </c>
      <c r="O1081" s="2">
        <v>49.2</v>
      </c>
    </row>
    <row r="1082" spans="1:15" ht="24.95" customHeight="1" x14ac:dyDescent="0.25">
      <c r="A1082" s="1" t="s">
        <v>1126</v>
      </c>
      <c r="B1082" s="2">
        <v>249</v>
      </c>
      <c r="C1082" s="2">
        <v>107</v>
      </c>
      <c r="D1082" s="2">
        <v>24</v>
      </c>
      <c r="E1082" s="2">
        <v>82</v>
      </c>
      <c r="F1082" s="2">
        <v>1</v>
      </c>
      <c r="G1082" s="2">
        <v>110.6</v>
      </c>
      <c r="H1082" s="2">
        <v>3655</v>
      </c>
      <c r="I1082" s="2">
        <v>150</v>
      </c>
      <c r="J1082" s="2">
        <v>404334</v>
      </c>
      <c r="K1082" s="2">
        <v>8093</v>
      </c>
      <c r="L1082" s="2">
        <v>386</v>
      </c>
      <c r="M1082" s="2">
        <v>734.1</v>
      </c>
      <c r="N1082" s="2">
        <v>33510</v>
      </c>
      <c r="O1082" s="2">
        <v>40.799999999999997</v>
      </c>
    </row>
    <row r="1083" spans="1:15" ht="24.95" customHeight="1" x14ac:dyDescent="0.25">
      <c r="A1083" s="1" t="s">
        <v>1127</v>
      </c>
      <c r="B1083" s="2">
        <v>230</v>
      </c>
      <c r="C1083" s="2">
        <v>94</v>
      </c>
      <c r="D1083" s="2">
        <v>11.1</v>
      </c>
      <c r="E1083" s="2">
        <v>82</v>
      </c>
      <c r="F1083" s="2">
        <v>0.9</v>
      </c>
      <c r="G1083" s="2">
        <v>96.2</v>
      </c>
      <c r="H1083" s="2">
        <v>2040</v>
      </c>
      <c r="I1083" s="2">
        <v>168</v>
      </c>
      <c r="J1083" s="2">
        <v>196330</v>
      </c>
      <c r="K1083" s="2">
        <v>4740</v>
      </c>
      <c r="L1083" s="2">
        <v>255.7</v>
      </c>
      <c r="M1083" s="2">
        <v>434.5</v>
      </c>
      <c r="N1083" s="2">
        <v>19550</v>
      </c>
      <c r="O1083" s="2">
        <v>444</v>
      </c>
    </row>
    <row r="1084" spans="1:15" ht="24.95" customHeight="1" x14ac:dyDescent="0.25">
      <c r="A1084" s="1" t="s">
        <v>1113</v>
      </c>
      <c r="B1084" s="2">
        <v>252</v>
      </c>
      <c r="C1084" s="2">
        <v>108</v>
      </c>
      <c r="D1084" s="2">
        <v>23.6</v>
      </c>
      <c r="E1084" s="2">
        <v>82</v>
      </c>
      <c r="F1084" s="2">
        <v>2.2999999999999998</v>
      </c>
      <c r="G1084" s="2">
        <v>109.9</v>
      </c>
      <c r="H1084" s="2">
        <v>1175</v>
      </c>
      <c r="I1084" s="2">
        <v>258</v>
      </c>
      <c r="J1084" s="2">
        <v>129165</v>
      </c>
      <c r="K1084" s="2">
        <v>4033</v>
      </c>
      <c r="L1084" s="2">
        <v>185.8</v>
      </c>
      <c r="M1084" s="2">
        <v>282.2</v>
      </c>
      <c r="N1084" s="2">
        <v>14230</v>
      </c>
      <c r="O1084" s="2">
        <v>48.8</v>
      </c>
    </row>
    <row r="1085" spans="1:15" ht="24.95" customHeight="1" x14ac:dyDescent="0.25">
      <c r="A1085" s="1" t="s">
        <v>1129</v>
      </c>
      <c r="B1085" s="2">
        <v>248</v>
      </c>
      <c r="C1085" s="2">
        <v>100</v>
      </c>
      <c r="D1085" s="2">
        <v>17.5</v>
      </c>
      <c r="E1085" s="2">
        <v>82</v>
      </c>
      <c r="F1085" s="2">
        <v>0.5</v>
      </c>
      <c r="G1085" s="2">
        <v>102</v>
      </c>
      <c r="H1085" s="2">
        <v>6050</v>
      </c>
      <c r="I1085" s="2">
        <v>267</v>
      </c>
      <c r="J1085" s="2">
        <v>617114</v>
      </c>
      <c r="K1085" s="2">
        <v>8490</v>
      </c>
      <c r="L1085" s="2">
        <v>504.5</v>
      </c>
      <c r="M1085" s="2">
        <v>1408.3</v>
      </c>
      <c r="N1085" s="2">
        <v>28330</v>
      </c>
    </row>
    <row r="1086" spans="1:15" ht="24.95" customHeight="1" x14ac:dyDescent="0.25">
      <c r="A1086" s="1" t="s">
        <v>1114</v>
      </c>
      <c r="B1086" s="2">
        <v>236</v>
      </c>
      <c r="C1086" s="2">
        <v>100</v>
      </c>
      <c r="D1086" s="2">
        <v>17</v>
      </c>
      <c r="E1086" s="2">
        <v>82</v>
      </c>
      <c r="F1086" s="2">
        <v>1</v>
      </c>
      <c r="G1086" s="2">
        <v>101</v>
      </c>
      <c r="H1086" s="2">
        <v>1030</v>
      </c>
      <c r="I1086" s="2">
        <v>129</v>
      </c>
      <c r="J1086" s="2">
        <v>104044</v>
      </c>
      <c r="K1086" s="2">
        <v>3013</v>
      </c>
      <c r="L1086" s="2">
        <v>148.6</v>
      </c>
      <c r="M1086" s="2">
        <v>232.2</v>
      </c>
      <c r="N1086" s="2">
        <v>10700</v>
      </c>
      <c r="O1086" s="2">
        <v>45.2</v>
      </c>
    </row>
    <row r="1087" spans="1:15" ht="24.95" customHeight="1" x14ac:dyDescent="0.25">
      <c r="A1087" s="1" t="s">
        <v>1130</v>
      </c>
      <c r="B1087" s="2">
        <v>252</v>
      </c>
      <c r="C1087" s="2">
        <v>106</v>
      </c>
      <c r="D1087" s="2">
        <v>22</v>
      </c>
      <c r="E1087" s="2">
        <v>82</v>
      </c>
      <c r="F1087" s="2">
        <v>2</v>
      </c>
      <c r="G1087" s="2">
        <v>108.2</v>
      </c>
      <c r="H1087" s="2">
        <v>840</v>
      </c>
      <c r="I1087" s="2">
        <v>153</v>
      </c>
      <c r="J1087" s="2">
        <v>90886</v>
      </c>
      <c r="K1087" s="2">
        <v>3267</v>
      </c>
      <c r="L1087" s="2">
        <v>162.5</v>
      </c>
      <c r="M1087" s="2">
        <v>212.8</v>
      </c>
      <c r="N1087" s="2">
        <v>10050</v>
      </c>
      <c r="O1087" s="2">
        <v>52.1</v>
      </c>
    </row>
    <row r="1088" spans="1:15" ht="24.95" customHeight="1" x14ac:dyDescent="0.25">
      <c r="A1088" s="1" t="s">
        <v>1131</v>
      </c>
      <c r="B1088" s="2">
        <v>242</v>
      </c>
      <c r="C1088" s="2">
        <v>103</v>
      </c>
      <c r="D1088" s="2">
        <v>19.3</v>
      </c>
      <c r="E1088" s="2">
        <v>82</v>
      </c>
      <c r="F1088" s="2">
        <v>1.7</v>
      </c>
      <c r="G1088" s="2">
        <v>106.6</v>
      </c>
      <c r="H1088" s="2">
        <v>1050</v>
      </c>
      <c r="I1088" s="2">
        <v>147</v>
      </c>
      <c r="J1088" s="2">
        <v>111898</v>
      </c>
      <c r="K1088" s="2">
        <v>3866</v>
      </c>
      <c r="L1088" s="2">
        <v>183.8</v>
      </c>
      <c r="M1088" s="2">
        <v>269.89999999999998</v>
      </c>
      <c r="N1088" s="2">
        <v>11480</v>
      </c>
      <c r="O1088" s="2">
        <v>47.1</v>
      </c>
    </row>
    <row r="1089" spans="1:15" ht="24.95" customHeight="1" x14ac:dyDescent="0.25">
      <c r="A1089" s="1" t="s">
        <v>1132</v>
      </c>
      <c r="B1089" s="2">
        <v>244</v>
      </c>
      <c r="C1089" s="2">
        <v>100</v>
      </c>
      <c r="D1089" s="2">
        <v>17.3</v>
      </c>
      <c r="E1089" s="2">
        <v>82</v>
      </c>
      <c r="F1089" s="2">
        <v>0.7</v>
      </c>
      <c r="G1089" s="2">
        <v>101.6</v>
      </c>
      <c r="H1089" s="2">
        <v>2135</v>
      </c>
      <c r="I1089" s="2">
        <v>140</v>
      </c>
      <c r="J1089" s="2">
        <v>217010</v>
      </c>
      <c r="K1089" s="2">
        <v>4350</v>
      </c>
      <c r="L1089" s="2">
        <v>207.5</v>
      </c>
      <c r="M1089" s="2">
        <v>413.3</v>
      </c>
      <c r="N1089" s="2">
        <v>19890</v>
      </c>
      <c r="O1089" s="2">
        <v>36.5</v>
      </c>
    </row>
    <row r="1090" spans="1:15" ht="24.95" customHeight="1" x14ac:dyDescent="0.25">
      <c r="A1090" s="1" t="s">
        <v>1133</v>
      </c>
      <c r="B1090" s="2">
        <v>252</v>
      </c>
      <c r="C1090" s="2">
        <v>102</v>
      </c>
      <c r="D1090" s="2">
        <v>19.5</v>
      </c>
      <c r="E1090" s="2">
        <v>82</v>
      </c>
      <c r="F1090" s="2">
        <v>0.5</v>
      </c>
      <c r="G1090" s="2">
        <v>103.4</v>
      </c>
      <c r="H1090" s="2">
        <v>2245</v>
      </c>
      <c r="I1090" s="2">
        <v>174</v>
      </c>
      <c r="J1090" s="2">
        <v>232140</v>
      </c>
      <c r="K1090" s="2">
        <v>6210</v>
      </c>
      <c r="L1090" s="2">
        <v>389.5</v>
      </c>
      <c r="M1090" s="2">
        <v>549.70000000000005</v>
      </c>
      <c r="N1090" s="2">
        <v>19270</v>
      </c>
      <c r="O1090" s="2">
        <v>30.6</v>
      </c>
    </row>
    <row r="1091" spans="1:15" ht="24.95" customHeight="1" x14ac:dyDescent="0.25">
      <c r="A1091" s="1" t="s">
        <v>1134</v>
      </c>
      <c r="B1091" s="2">
        <v>220</v>
      </c>
      <c r="C1091" s="2">
        <v>96</v>
      </c>
      <c r="D1091" s="2">
        <v>13</v>
      </c>
      <c r="E1091" s="2">
        <v>82</v>
      </c>
      <c r="F1091" s="2">
        <v>1</v>
      </c>
      <c r="G1091" s="2">
        <v>97.1</v>
      </c>
      <c r="H1091" s="2">
        <v>1050</v>
      </c>
      <c r="I1091" s="2">
        <v>184</v>
      </c>
      <c r="J1091" s="2">
        <v>101915</v>
      </c>
      <c r="K1091" s="2">
        <v>4340</v>
      </c>
      <c r="L1091" s="2">
        <v>194.9</v>
      </c>
      <c r="M1091" s="2">
        <v>268.60000000000002</v>
      </c>
      <c r="N1091" s="2">
        <v>13370</v>
      </c>
      <c r="O1091" s="2">
        <v>51.7</v>
      </c>
    </row>
    <row r="1092" spans="1:15" ht="24.95" customHeight="1" x14ac:dyDescent="0.25">
      <c r="A1092" s="1" t="s">
        <v>6802</v>
      </c>
      <c r="B1092" s="2">
        <v>186</v>
      </c>
      <c r="C1092" s="2">
        <v>75</v>
      </c>
      <c r="H1092" s="2">
        <v>66375</v>
      </c>
      <c r="I1092" s="2">
        <v>188</v>
      </c>
      <c r="J1092" s="2">
        <v>4978125</v>
      </c>
      <c r="K1092" s="2">
        <v>141699</v>
      </c>
      <c r="L1092" s="2">
        <v>8615.4</v>
      </c>
      <c r="M1092" s="2">
        <v>16374</v>
      </c>
      <c r="N1092" s="2">
        <v>450400</v>
      </c>
      <c r="O1092" s="2">
        <v>16.7</v>
      </c>
    </row>
    <row r="1093" spans="1:15" ht="24.95" customHeight="1" x14ac:dyDescent="0.25">
      <c r="A1093" s="1" t="s">
        <v>1136</v>
      </c>
      <c r="B1093" s="2">
        <v>282</v>
      </c>
      <c r="C1093" s="2">
        <v>114</v>
      </c>
      <c r="D1093" s="2">
        <v>34.6</v>
      </c>
      <c r="E1093" s="2">
        <v>78.2</v>
      </c>
      <c r="F1093" s="2">
        <v>1.2</v>
      </c>
      <c r="H1093" s="2">
        <v>525</v>
      </c>
      <c r="I1093" s="2">
        <v>195</v>
      </c>
      <c r="J1093" s="2">
        <v>59850</v>
      </c>
      <c r="K1093" s="2">
        <v>1675</v>
      </c>
      <c r="L1093" s="2">
        <v>84.3</v>
      </c>
      <c r="M1093" s="2">
        <v>125.6</v>
      </c>
      <c r="N1093" s="2">
        <v>5140</v>
      </c>
      <c r="O1093" s="2">
        <v>44.8</v>
      </c>
    </row>
    <row r="1094" spans="1:15" ht="24.95" customHeight="1" x14ac:dyDescent="0.25">
      <c r="A1094" s="1" t="s">
        <v>1137</v>
      </c>
      <c r="B1094" s="2">
        <v>284</v>
      </c>
      <c r="C1094" s="2">
        <v>116</v>
      </c>
      <c r="D1094" s="2">
        <v>39.5</v>
      </c>
      <c r="E1094" s="2">
        <v>78.3</v>
      </c>
      <c r="F1094" s="2">
        <v>-1.8</v>
      </c>
      <c r="H1094" s="2">
        <v>1260</v>
      </c>
      <c r="I1094" s="2">
        <v>165</v>
      </c>
      <c r="J1094" s="2">
        <v>146160</v>
      </c>
      <c r="K1094" s="2">
        <v>2324</v>
      </c>
      <c r="L1094" s="2">
        <v>149.80000000000001</v>
      </c>
      <c r="M1094" s="2">
        <v>304.2</v>
      </c>
      <c r="N1094" s="2">
        <v>8100</v>
      </c>
      <c r="O1094" s="2">
        <v>11.5</v>
      </c>
    </row>
    <row r="1095" spans="1:15" ht="24.95" customHeight="1" x14ac:dyDescent="0.25">
      <c r="A1095" s="1" t="s">
        <v>1138</v>
      </c>
      <c r="B1095" s="2">
        <v>290</v>
      </c>
      <c r="C1095" s="2">
        <v>120</v>
      </c>
      <c r="D1095" s="2">
        <v>46.9</v>
      </c>
      <c r="E1095" s="2">
        <v>75.8</v>
      </c>
      <c r="F1095" s="2">
        <v>-2.6</v>
      </c>
      <c r="H1095" s="2">
        <v>2050</v>
      </c>
      <c r="I1095" s="2">
        <v>140</v>
      </c>
      <c r="J1095" s="2">
        <v>246000</v>
      </c>
      <c r="K1095" s="2">
        <v>4141</v>
      </c>
      <c r="L1095" s="2">
        <v>247</v>
      </c>
      <c r="M1095" s="2">
        <v>509.8</v>
      </c>
      <c r="N1095" s="2">
        <v>12600</v>
      </c>
      <c r="O1095" s="2">
        <v>7.9</v>
      </c>
    </row>
    <row r="1096" spans="1:15" ht="24.95" customHeight="1" x14ac:dyDescent="0.25">
      <c r="A1096" s="1" t="s">
        <v>1139</v>
      </c>
      <c r="B1096" s="2">
        <v>271</v>
      </c>
      <c r="C1096" s="2">
        <v>112</v>
      </c>
      <c r="D1096" s="2">
        <v>36.700000000000003</v>
      </c>
      <c r="E1096" s="2">
        <v>75.2</v>
      </c>
      <c r="F1096" s="2">
        <v>0.1</v>
      </c>
      <c r="H1096" s="2">
        <v>7550</v>
      </c>
      <c r="I1096" s="2">
        <v>228</v>
      </c>
      <c r="J1096" s="2">
        <v>845600</v>
      </c>
      <c r="K1096" s="2">
        <v>14802</v>
      </c>
      <c r="L1096" s="2">
        <v>934.6</v>
      </c>
      <c r="M1096" s="2">
        <v>1877.8</v>
      </c>
      <c r="N1096" s="2">
        <v>44510</v>
      </c>
      <c r="O1096" s="2">
        <v>5.2</v>
      </c>
    </row>
    <row r="1097" spans="1:15" ht="24.95" customHeight="1" x14ac:dyDescent="0.25">
      <c r="A1097" s="1" t="s">
        <v>1140</v>
      </c>
      <c r="B1097" s="2">
        <v>282</v>
      </c>
      <c r="C1097" s="2">
        <v>114</v>
      </c>
      <c r="D1097" s="2">
        <v>39.1</v>
      </c>
      <c r="E1097" s="2">
        <v>75.5</v>
      </c>
      <c r="F1097" s="2">
        <v>-0.6</v>
      </c>
      <c r="H1097" s="2">
        <v>7200</v>
      </c>
      <c r="I1097" s="2">
        <v>219</v>
      </c>
      <c r="J1097" s="2">
        <v>820800</v>
      </c>
      <c r="K1097" s="2">
        <v>13715</v>
      </c>
      <c r="L1097" s="2">
        <v>764.9</v>
      </c>
      <c r="M1097" s="2">
        <v>1805.7</v>
      </c>
      <c r="N1097" s="2">
        <v>42470</v>
      </c>
      <c r="O1097" s="2">
        <v>4.3</v>
      </c>
    </row>
    <row r="1098" spans="1:15" ht="24.95" customHeight="1" x14ac:dyDescent="0.25">
      <c r="A1098" s="1" t="s">
        <v>1141</v>
      </c>
      <c r="B1098" s="2">
        <v>276</v>
      </c>
      <c r="C1098" s="2">
        <v>106</v>
      </c>
      <c r="D1098" s="2">
        <v>31.3</v>
      </c>
      <c r="E1098" s="2">
        <v>75</v>
      </c>
      <c r="F1098" s="2">
        <v>-0.3</v>
      </c>
      <c r="H1098" s="2">
        <v>9300</v>
      </c>
      <c r="I1098" s="2">
        <v>212</v>
      </c>
      <c r="J1098" s="2">
        <v>985800</v>
      </c>
      <c r="K1098" s="2">
        <v>16245</v>
      </c>
      <c r="L1098" s="2">
        <v>959.2</v>
      </c>
      <c r="M1098" s="2">
        <v>2295.5</v>
      </c>
      <c r="N1098" s="2">
        <v>54420</v>
      </c>
      <c r="O1098" s="2">
        <v>4.8</v>
      </c>
    </row>
    <row r="1099" spans="1:15" ht="24.95" customHeight="1" x14ac:dyDescent="0.25">
      <c r="A1099" s="1" t="s">
        <v>1142</v>
      </c>
      <c r="B1099" s="2">
        <v>278</v>
      </c>
      <c r="C1099" s="2">
        <v>108</v>
      </c>
      <c r="D1099" s="2">
        <v>32.9</v>
      </c>
      <c r="E1099" s="2">
        <v>75</v>
      </c>
      <c r="F1099" s="2">
        <v>0.1</v>
      </c>
      <c r="H1099" s="2">
        <v>6550</v>
      </c>
      <c r="I1099" s="2">
        <v>201</v>
      </c>
      <c r="J1099" s="2">
        <v>707400</v>
      </c>
      <c r="K1099" s="2">
        <v>14313</v>
      </c>
      <c r="L1099" s="2">
        <v>886.9</v>
      </c>
      <c r="M1099" s="2">
        <v>1632.5</v>
      </c>
      <c r="N1099" s="2">
        <v>44010</v>
      </c>
      <c r="O1099" s="2">
        <v>17.399999999999999</v>
      </c>
    </row>
    <row r="1100" spans="1:15" ht="24.95" customHeight="1" x14ac:dyDescent="0.25">
      <c r="A1100" s="1" t="s">
        <v>1143</v>
      </c>
      <c r="B1100" s="2">
        <v>276</v>
      </c>
      <c r="C1100" s="2">
        <v>108</v>
      </c>
      <c r="D1100" s="2">
        <v>29.8</v>
      </c>
      <c r="E1100" s="2">
        <v>78.3</v>
      </c>
      <c r="F1100" s="2">
        <v>-0.1</v>
      </c>
      <c r="H1100" s="2">
        <v>4760</v>
      </c>
      <c r="I1100" s="2">
        <v>192</v>
      </c>
      <c r="J1100" s="2">
        <v>514080</v>
      </c>
      <c r="K1100" s="2">
        <v>10505</v>
      </c>
      <c r="L1100" s="2">
        <v>693.3</v>
      </c>
      <c r="M1100" s="2">
        <v>1198</v>
      </c>
      <c r="N1100" s="2">
        <v>35300</v>
      </c>
      <c r="O1100" s="2">
        <v>22.6</v>
      </c>
    </row>
    <row r="1101" spans="1:15" ht="24.95" customHeight="1" x14ac:dyDescent="0.25">
      <c r="A1101" s="1" t="s">
        <v>1144</v>
      </c>
      <c r="B1101" s="2">
        <v>286</v>
      </c>
      <c r="C1101" s="2">
        <v>114</v>
      </c>
      <c r="D1101" s="2">
        <v>39.799999999999997</v>
      </c>
      <c r="E1101" s="2">
        <v>75.8</v>
      </c>
      <c r="F1101" s="2">
        <v>-1.5</v>
      </c>
      <c r="H1101" s="2">
        <v>3620</v>
      </c>
      <c r="I1101" s="2">
        <v>155</v>
      </c>
      <c r="J1101" s="2">
        <v>412680</v>
      </c>
      <c r="K1101" s="2">
        <v>7847</v>
      </c>
      <c r="L1101" s="2">
        <v>508.7</v>
      </c>
      <c r="M1101" s="2">
        <v>858.8</v>
      </c>
      <c r="N1101" s="2">
        <v>27040</v>
      </c>
      <c r="O1101" s="2">
        <v>24.1</v>
      </c>
    </row>
    <row r="1102" spans="1:15" ht="24.95" customHeight="1" x14ac:dyDescent="0.25">
      <c r="A1102" s="1" t="s">
        <v>1145</v>
      </c>
      <c r="B1102" s="2">
        <v>306</v>
      </c>
      <c r="C1102" s="2">
        <v>124</v>
      </c>
      <c r="D1102" s="2">
        <v>48.3</v>
      </c>
      <c r="E1102" s="2">
        <v>75.8</v>
      </c>
      <c r="F1102" s="2">
        <v>-0.1</v>
      </c>
      <c r="H1102" s="2">
        <v>5500</v>
      </c>
      <c r="I1102" s="2">
        <v>176</v>
      </c>
      <c r="J1102" s="2">
        <v>682000</v>
      </c>
      <c r="K1102" s="2">
        <v>11026</v>
      </c>
      <c r="L1102" s="2">
        <v>620.79999999999995</v>
      </c>
      <c r="M1102" s="2">
        <v>1352.3</v>
      </c>
      <c r="N1102" s="2">
        <v>34780</v>
      </c>
      <c r="O1102" s="2">
        <v>13.2</v>
      </c>
    </row>
    <row r="1103" spans="1:15" ht="24.95" customHeight="1" x14ac:dyDescent="0.25">
      <c r="A1103" s="1" t="s">
        <v>1146</v>
      </c>
      <c r="B1103" s="2">
        <v>266</v>
      </c>
      <c r="C1103" s="2">
        <v>108</v>
      </c>
      <c r="D1103" s="2">
        <v>28.6</v>
      </c>
      <c r="E1103" s="2">
        <v>78.3</v>
      </c>
      <c r="F1103" s="2">
        <v>1.2</v>
      </c>
      <c r="H1103" s="2">
        <v>2490</v>
      </c>
      <c r="I1103" s="2">
        <v>180</v>
      </c>
      <c r="J1103" s="2">
        <v>268920</v>
      </c>
      <c r="K1103" s="2">
        <v>4018</v>
      </c>
      <c r="L1103" s="2">
        <v>235.7</v>
      </c>
      <c r="M1103" s="2">
        <v>602.20000000000005</v>
      </c>
      <c r="N1103" s="2">
        <v>12230</v>
      </c>
    </row>
    <row r="1104" spans="1:15" ht="24.95" customHeight="1" x14ac:dyDescent="0.25">
      <c r="A1104" s="1" t="s">
        <v>1143</v>
      </c>
      <c r="B1104" s="2">
        <v>244</v>
      </c>
      <c r="C1104" s="2">
        <v>96</v>
      </c>
      <c r="D1104" s="2">
        <v>17.5</v>
      </c>
      <c r="E1104" s="2">
        <v>78.3</v>
      </c>
      <c r="F1104" s="2">
        <v>0.3</v>
      </c>
      <c r="G1104" s="2">
        <v>97.8</v>
      </c>
      <c r="H1104" s="2">
        <v>5200</v>
      </c>
      <c r="I1104" s="2">
        <v>195</v>
      </c>
      <c r="J1104" s="2">
        <v>508417</v>
      </c>
      <c r="K1104" s="2">
        <v>11082</v>
      </c>
      <c r="L1104" s="2">
        <v>849</v>
      </c>
      <c r="M1104" s="2">
        <v>1258.0999999999999</v>
      </c>
      <c r="N1104" s="2">
        <v>36040</v>
      </c>
      <c r="O1104" s="2">
        <v>19.899999999999999</v>
      </c>
    </row>
    <row r="1105" spans="1:15" ht="24.95" customHeight="1" x14ac:dyDescent="0.25">
      <c r="A1105" s="1" t="s">
        <v>1137</v>
      </c>
      <c r="B1105" s="2">
        <v>248</v>
      </c>
      <c r="C1105" s="2">
        <v>100</v>
      </c>
      <c r="D1105" s="2">
        <v>22</v>
      </c>
      <c r="E1105" s="2">
        <v>78.3</v>
      </c>
      <c r="F1105" s="2">
        <v>-0.3</v>
      </c>
      <c r="G1105" s="2">
        <v>100</v>
      </c>
      <c r="H1105" s="2">
        <v>1905</v>
      </c>
      <c r="I1105" s="2">
        <v>153</v>
      </c>
      <c r="J1105" s="2">
        <v>190500</v>
      </c>
      <c r="K1105" s="2">
        <v>4463</v>
      </c>
      <c r="L1105" s="2">
        <v>254.1</v>
      </c>
      <c r="M1105" s="2" t="s">
        <v>6803</v>
      </c>
      <c r="N1105" s="2">
        <v>14200</v>
      </c>
      <c r="O1105" s="2">
        <v>27.5</v>
      </c>
    </row>
    <row r="1106" spans="1:15" ht="24.95" customHeight="1" x14ac:dyDescent="0.25">
      <c r="A1106" s="1" t="s">
        <v>1138</v>
      </c>
      <c r="B1106" s="2">
        <v>236</v>
      </c>
      <c r="C1106" s="2">
        <v>92</v>
      </c>
      <c r="D1106" s="2">
        <v>13.7</v>
      </c>
      <c r="E1106" s="2">
        <v>78.3</v>
      </c>
      <c r="F1106" s="2">
        <v>0.1</v>
      </c>
      <c r="G1106" s="2">
        <v>94.2</v>
      </c>
      <c r="H1106" s="2">
        <v>2100</v>
      </c>
      <c r="I1106" s="2">
        <v>128</v>
      </c>
      <c r="J1106" s="2">
        <v>197882</v>
      </c>
      <c r="K1106" s="2">
        <v>5851</v>
      </c>
      <c r="L1106" s="2">
        <v>347.7</v>
      </c>
      <c r="M1106" s="2">
        <v>508.9</v>
      </c>
      <c r="N1106" s="2">
        <v>17610</v>
      </c>
      <c r="O1106" s="2">
        <v>29.2</v>
      </c>
    </row>
    <row r="1107" spans="1:15" ht="24.95" customHeight="1" x14ac:dyDescent="0.25">
      <c r="A1107" s="1" t="s">
        <v>1140</v>
      </c>
      <c r="B1107" s="2">
        <v>242</v>
      </c>
      <c r="C1107" s="2">
        <v>96</v>
      </c>
      <c r="D1107" s="2">
        <v>17.5</v>
      </c>
      <c r="E1107" s="2">
        <v>78.3</v>
      </c>
      <c r="F1107" s="2">
        <v>0.3</v>
      </c>
      <c r="G1107" s="2">
        <v>97.2</v>
      </c>
      <c r="H1107" s="2">
        <v>1355</v>
      </c>
      <c r="I1107" s="2">
        <v>151</v>
      </c>
      <c r="J1107" s="2">
        <v>131680</v>
      </c>
      <c r="K1107" s="2">
        <v>4113</v>
      </c>
      <c r="L1107" s="2">
        <v>237.7</v>
      </c>
      <c r="M1107" s="2">
        <v>355.8</v>
      </c>
      <c r="N1107" s="2">
        <v>11990</v>
      </c>
      <c r="O1107" s="2">
        <v>30.2</v>
      </c>
    </row>
    <row r="1108" spans="1:15" ht="24.95" customHeight="1" x14ac:dyDescent="0.25">
      <c r="A1108" s="1" t="s">
        <v>1147</v>
      </c>
      <c r="B1108" s="2">
        <v>252</v>
      </c>
      <c r="C1108" s="2">
        <v>104</v>
      </c>
      <c r="D1108" s="2">
        <v>24.5</v>
      </c>
      <c r="E1108" s="2">
        <v>78.3</v>
      </c>
      <c r="F1108" s="2">
        <v>1.3</v>
      </c>
      <c r="G1108" s="2">
        <v>104.1</v>
      </c>
      <c r="H1108" s="2">
        <v>1050</v>
      </c>
      <c r="I1108" s="2">
        <v>173</v>
      </c>
      <c r="J1108" s="2">
        <v>109298</v>
      </c>
      <c r="K1108" s="2">
        <v>3978</v>
      </c>
      <c r="L1108" s="2">
        <v>206</v>
      </c>
      <c r="M1108" s="2">
        <v>271.89999999999998</v>
      </c>
      <c r="N1108" s="2">
        <v>12080</v>
      </c>
      <c r="O1108" s="2">
        <v>49.7</v>
      </c>
    </row>
    <row r="1109" spans="1:15" ht="24.95" customHeight="1" x14ac:dyDescent="0.25">
      <c r="A1109" s="1" t="s">
        <v>1148</v>
      </c>
      <c r="B1109" s="2">
        <v>260</v>
      </c>
      <c r="C1109" s="2">
        <v>110</v>
      </c>
      <c r="D1109" s="2">
        <v>31</v>
      </c>
      <c r="E1109" s="2">
        <v>78.3</v>
      </c>
      <c r="F1109" s="2">
        <v>0.8</v>
      </c>
      <c r="G1109" s="2">
        <v>112</v>
      </c>
      <c r="H1109" s="2">
        <v>2250</v>
      </c>
      <c r="I1109" s="2">
        <v>163</v>
      </c>
      <c r="J1109" s="2">
        <v>125948</v>
      </c>
      <c r="K1109" s="2">
        <v>5739</v>
      </c>
      <c r="L1109" s="2">
        <v>326.39999999999998</v>
      </c>
      <c r="M1109" s="2">
        <v>568.9</v>
      </c>
      <c r="N1109" s="2">
        <v>18230</v>
      </c>
      <c r="O1109" s="2">
        <v>23.7</v>
      </c>
    </row>
    <row r="1110" spans="1:15" ht="24.95" customHeight="1" x14ac:dyDescent="0.25">
      <c r="A1110" s="1" t="s">
        <v>1149</v>
      </c>
      <c r="B1110" s="2">
        <v>246</v>
      </c>
      <c r="C1110" s="2">
        <v>94</v>
      </c>
      <c r="D1110" s="2">
        <v>15.1</v>
      </c>
      <c r="E1110" s="2">
        <v>78.3</v>
      </c>
      <c r="F1110" s="2">
        <v>0.6</v>
      </c>
      <c r="G1110" s="2">
        <v>99.5</v>
      </c>
      <c r="H1110" s="2">
        <v>440</v>
      </c>
      <c r="I1110" s="2">
        <v>172</v>
      </c>
      <c r="J1110" s="2">
        <v>21895</v>
      </c>
      <c r="K1110" s="2">
        <v>1695</v>
      </c>
      <c r="L1110" s="2">
        <v>73.900000000000006</v>
      </c>
      <c r="M1110" s="2">
        <v>109.4</v>
      </c>
      <c r="N1110" s="2">
        <v>5330</v>
      </c>
      <c r="O1110" s="2">
        <v>54</v>
      </c>
    </row>
    <row r="1111" spans="1:15" ht="24.95" customHeight="1" x14ac:dyDescent="0.25">
      <c r="A1111" s="1" t="s">
        <v>1150</v>
      </c>
      <c r="B1111" s="2">
        <v>258</v>
      </c>
      <c r="C1111" s="2">
        <v>100</v>
      </c>
      <c r="D1111" s="2">
        <v>20.5</v>
      </c>
      <c r="E1111" s="2">
        <v>78.3</v>
      </c>
      <c r="F1111" s="2">
        <v>1.3</v>
      </c>
      <c r="G1111" s="2">
        <v>102.4</v>
      </c>
      <c r="H1111" s="2">
        <v>1270</v>
      </c>
      <c r="I1111" s="2">
        <v>151</v>
      </c>
      <c r="J1111" s="2">
        <v>129984</v>
      </c>
      <c r="K1111" s="2">
        <v>4167</v>
      </c>
      <c r="L1111" s="2">
        <v>235.3</v>
      </c>
      <c r="M1111" s="2">
        <v>320.89999999999998</v>
      </c>
      <c r="N1111" s="2">
        <v>14320</v>
      </c>
      <c r="O1111" s="2">
        <v>48</v>
      </c>
    </row>
    <row r="1112" spans="1:15" ht="24.95" customHeight="1" x14ac:dyDescent="0.25">
      <c r="A1112" s="1" t="s">
        <v>1151</v>
      </c>
      <c r="B1112" s="2">
        <v>180</v>
      </c>
      <c r="C1112" s="2">
        <v>72</v>
      </c>
      <c r="H1112" s="2">
        <v>27011</v>
      </c>
      <c r="I1112" s="2">
        <v>140</v>
      </c>
      <c r="J1112" s="2">
        <v>1944792</v>
      </c>
      <c r="K1112" s="2">
        <v>76465</v>
      </c>
      <c r="L1112" s="2">
        <v>3960.6</v>
      </c>
      <c r="M1112" s="2">
        <v>6686.2</v>
      </c>
      <c r="N1112" s="2">
        <v>228530</v>
      </c>
      <c r="O1112" s="2">
        <v>32.4</v>
      </c>
    </row>
    <row r="1113" spans="1:15" ht="24.95" customHeight="1" x14ac:dyDescent="0.25">
      <c r="A1113" s="1" t="s">
        <v>1152</v>
      </c>
      <c r="B1113" s="2">
        <v>260</v>
      </c>
      <c r="C1113" s="2">
        <v>108</v>
      </c>
      <c r="D1113" s="2">
        <v>36</v>
      </c>
      <c r="E1113" s="2">
        <v>72</v>
      </c>
      <c r="H1113" s="2">
        <v>1960</v>
      </c>
      <c r="I1113" s="2">
        <v>143</v>
      </c>
      <c r="J1113" s="2">
        <v>211680</v>
      </c>
      <c r="K1113" s="2">
        <v>5345</v>
      </c>
      <c r="L1113" s="2">
        <v>259.7</v>
      </c>
      <c r="M1113" s="2">
        <v>501</v>
      </c>
      <c r="N1113" s="2">
        <v>16010</v>
      </c>
      <c r="O1113" s="2">
        <v>29.1</v>
      </c>
    </row>
    <row r="1114" spans="1:15" ht="24.95" customHeight="1" x14ac:dyDescent="0.25">
      <c r="A1114" s="1" t="s">
        <v>1153</v>
      </c>
      <c r="B1114" s="2">
        <v>270</v>
      </c>
      <c r="C1114" s="2">
        <v>123</v>
      </c>
      <c r="D1114" s="2">
        <v>54</v>
      </c>
      <c r="E1114" s="2">
        <v>72</v>
      </c>
      <c r="F1114" s="2">
        <v>-3</v>
      </c>
      <c r="H1114" s="2">
        <v>3851</v>
      </c>
      <c r="I1114" s="2">
        <v>110</v>
      </c>
      <c r="J1114" s="2">
        <v>473673</v>
      </c>
      <c r="K1114" s="2">
        <v>9610</v>
      </c>
      <c r="L1114" s="2">
        <v>578.70000000000005</v>
      </c>
      <c r="M1114" s="2">
        <v>952.9</v>
      </c>
      <c r="N1114" s="2">
        <v>25730</v>
      </c>
      <c r="O1114" s="2">
        <v>16.7</v>
      </c>
    </row>
    <row r="1115" spans="1:15" ht="24.95" customHeight="1" x14ac:dyDescent="0.25">
      <c r="A1115" s="1" t="s">
        <v>1154</v>
      </c>
      <c r="B1115" s="2">
        <v>240</v>
      </c>
      <c r="C1115" s="2">
        <v>96</v>
      </c>
      <c r="D1115" s="2">
        <v>20.7</v>
      </c>
      <c r="E1115" s="2">
        <v>75</v>
      </c>
      <c r="F1115" s="2">
        <v>0.3</v>
      </c>
      <c r="H1115" s="2">
        <v>192</v>
      </c>
      <c r="I1115" s="2">
        <v>143</v>
      </c>
      <c r="J1115" s="2">
        <v>18432</v>
      </c>
      <c r="K1115" s="2">
        <v>805</v>
      </c>
      <c r="L1115" s="2">
        <v>38.5</v>
      </c>
      <c r="M1115" s="2">
        <v>50.1</v>
      </c>
      <c r="N1115" s="2">
        <v>2380</v>
      </c>
      <c r="O1115" s="2">
        <v>53.4</v>
      </c>
    </row>
    <row r="1116" spans="1:15" ht="24.95" customHeight="1" x14ac:dyDescent="0.25">
      <c r="A1116" s="1" t="s">
        <v>1155</v>
      </c>
      <c r="B1116" s="2">
        <v>262</v>
      </c>
      <c r="C1116" s="2">
        <v>117</v>
      </c>
      <c r="D1116" s="2">
        <v>43.6</v>
      </c>
      <c r="E1116" s="2">
        <v>75</v>
      </c>
      <c r="F1116" s="2">
        <v>-1.6</v>
      </c>
      <c r="H1116" s="2">
        <v>755</v>
      </c>
      <c r="I1116" s="2">
        <v>106</v>
      </c>
      <c r="J1116" s="2">
        <v>88335</v>
      </c>
      <c r="K1116" s="2">
        <v>2212</v>
      </c>
      <c r="L1116" s="2">
        <v>93.1</v>
      </c>
      <c r="M1116" s="2">
        <v>185.4</v>
      </c>
      <c r="N1116" s="2">
        <v>6880</v>
      </c>
      <c r="O1116" s="2">
        <v>37.9</v>
      </c>
    </row>
    <row r="1117" spans="1:15" ht="24.95" customHeight="1" x14ac:dyDescent="0.25">
      <c r="A1117" s="1" t="s">
        <v>1277</v>
      </c>
      <c r="B1117" s="2">
        <v>270</v>
      </c>
      <c r="C1117" s="2">
        <v>120</v>
      </c>
      <c r="D1117" s="2">
        <v>47.2</v>
      </c>
      <c r="E1117" s="2">
        <v>75</v>
      </c>
      <c r="F1117" s="2">
        <v>-2.2000000000000002</v>
      </c>
      <c r="H1117" s="2">
        <v>1053</v>
      </c>
      <c r="I1117" s="2">
        <v>133</v>
      </c>
      <c r="J1117" s="2">
        <v>126360</v>
      </c>
      <c r="K1117" s="2">
        <v>2020</v>
      </c>
      <c r="L1117" s="2">
        <v>105.3</v>
      </c>
      <c r="M1117" s="2">
        <v>265.39999999999998</v>
      </c>
      <c r="N1117" s="2">
        <v>4490</v>
      </c>
    </row>
    <row r="1118" spans="1:15" ht="24.95" customHeight="1" x14ac:dyDescent="0.25">
      <c r="A1118" s="1" t="s">
        <v>1278</v>
      </c>
      <c r="B1118" s="2">
        <v>276</v>
      </c>
      <c r="C1118" s="2">
        <v>106</v>
      </c>
      <c r="D1118" s="2">
        <v>31.6</v>
      </c>
      <c r="E1118" s="2">
        <v>75</v>
      </c>
      <c r="F1118" s="2">
        <v>-0.6</v>
      </c>
      <c r="H1118" s="2">
        <v>5631</v>
      </c>
      <c r="I1118" s="2">
        <v>156</v>
      </c>
      <c r="J1118" s="2">
        <v>596886</v>
      </c>
      <c r="K1118" s="2">
        <v>14457</v>
      </c>
      <c r="L1118" s="2">
        <v>1042.8</v>
      </c>
      <c r="M1118" s="2">
        <v>1351.6</v>
      </c>
      <c r="N1118" s="2">
        <v>43650</v>
      </c>
      <c r="O1118" s="2">
        <v>25.7</v>
      </c>
    </row>
    <row r="1119" spans="1:15" ht="24.95" customHeight="1" x14ac:dyDescent="0.25">
      <c r="A1119" s="1" t="s">
        <v>1279</v>
      </c>
      <c r="B1119" s="2">
        <v>272</v>
      </c>
      <c r="C1119" s="2">
        <v>122</v>
      </c>
      <c r="D1119" s="2">
        <v>47.9</v>
      </c>
      <c r="E1119" s="2">
        <v>75</v>
      </c>
      <c r="F1119" s="2">
        <v>-0.9</v>
      </c>
      <c r="H1119" s="2">
        <v>775</v>
      </c>
      <c r="I1119" s="2">
        <v>144</v>
      </c>
      <c r="J1119" s="2">
        <v>94550</v>
      </c>
      <c r="K1119" s="2">
        <v>2152</v>
      </c>
      <c r="L1119" s="2">
        <v>132</v>
      </c>
      <c r="M1119" s="2">
        <v>192</v>
      </c>
      <c r="N1119" s="2">
        <v>5880</v>
      </c>
      <c r="O1119" s="2">
        <v>27.4</v>
      </c>
    </row>
    <row r="1120" spans="1:15" ht="24.95" customHeight="1" x14ac:dyDescent="0.25">
      <c r="A1120" s="1" t="s">
        <v>1280</v>
      </c>
      <c r="B1120" s="2">
        <v>240</v>
      </c>
      <c r="C1120" s="2">
        <v>100</v>
      </c>
      <c r="D1120" s="2">
        <v>25</v>
      </c>
      <c r="E1120" s="2">
        <v>75</v>
      </c>
      <c r="H1120" s="2">
        <v>415</v>
      </c>
      <c r="I1120" s="2">
        <v>121</v>
      </c>
      <c r="J1120" s="2">
        <v>41500</v>
      </c>
      <c r="K1120" s="2">
        <v>1615</v>
      </c>
      <c r="L1120" s="2">
        <v>67.099999999999994</v>
      </c>
      <c r="M1120" s="2">
        <v>101</v>
      </c>
      <c r="N1120" s="2">
        <v>4850</v>
      </c>
      <c r="O1120" s="2">
        <v>53.8</v>
      </c>
    </row>
    <row r="1121" spans="1:15" ht="24.95" customHeight="1" x14ac:dyDescent="0.25">
      <c r="A1121" s="1" t="s">
        <v>1281</v>
      </c>
      <c r="B1121" s="2">
        <v>270</v>
      </c>
      <c r="C1121" s="2">
        <v>140</v>
      </c>
      <c r="D1121" s="2">
        <v>65.3</v>
      </c>
      <c r="E1121" s="2">
        <v>75</v>
      </c>
      <c r="F1121" s="2">
        <v>-0.3</v>
      </c>
      <c r="H1121" s="2">
        <v>542</v>
      </c>
      <c r="I1121" s="2">
        <v>131</v>
      </c>
      <c r="J1121" s="2">
        <v>75880</v>
      </c>
      <c r="K1121" s="2">
        <v>1865</v>
      </c>
      <c r="L1121" s="2">
        <v>83.5</v>
      </c>
      <c r="M1121" s="2">
        <v>136.6</v>
      </c>
      <c r="N1121" s="2">
        <v>4850</v>
      </c>
      <c r="O1121" s="2">
        <v>37.799999999999997</v>
      </c>
    </row>
    <row r="1122" spans="1:15" ht="24.95" customHeight="1" x14ac:dyDescent="0.25">
      <c r="A1122" s="1" t="s">
        <v>1152</v>
      </c>
      <c r="B1122" s="2">
        <v>228</v>
      </c>
      <c r="C1122" s="2">
        <v>94</v>
      </c>
      <c r="D1122" s="2">
        <v>19</v>
      </c>
      <c r="E1122" s="2">
        <v>75</v>
      </c>
      <c r="G1122" s="2">
        <v>96</v>
      </c>
      <c r="H1122" s="2">
        <v>3306</v>
      </c>
      <c r="I1122" s="2">
        <v>159</v>
      </c>
      <c r="J1122" s="2">
        <v>317502</v>
      </c>
      <c r="K1122" s="2">
        <v>7324</v>
      </c>
      <c r="L1122" s="2">
        <v>453.6</v>
      </c>
      <c r="M1122" s="2">
        <v>822.9</v>
      </c>
      <c r="N1122" s="2">
        <v>24460</v>
      </c>
      <c r="O1122" s="2">
        <v>22.1</v>
      </c>
    </row>
    <row r="1123" spans="1:15" ht="24.95" customHeight="1" x14ac:dyDescent="0.25">
      <c r="A1123" s="1" t="s">
        <v>1153</v>
      </c>
      <c r="B1123" s="2">
        <v>234</v>
      </c>
      <c r="C1123" s="2">
        <v>99</v>
      </c>
      <c r="D1123" s="2">
        <v>23.6</v>
      </c>
      <c r="E1123" s="2">
        <v>75</v>
      </c>
      <c r="F1123" s="2">
        <v>0.4</v>
      </c>
      <c r="G1123" s="2">
        <v>101.3</v>
      </c>
      <c r="H1123" s="2">
        <v>835</v>
      </c>
      <c r="I1123" s="2">
        <v>131</v>
      </c>
      <c r="J1123" s="2">
        <v>84576</v>
      </c>
      <c r="K1123" s="2">
        <v>3752</v>
      </c>
      <c r="L1123" s="2">
        <v>140.80000000000001</v>
      </c>
      <c r="M1123" s="2">
        <v>225.9</v>
      </c>
      <c r="N1123" s="2">
        <v>9080</v>
      </c>
      <c r="O1123" s="2">
        <v>42.7</v>
      </c>
    </row>
    <row r="1124" spans="1:15" ht="24.95" customHeight="1" x14ac:dyDescent="0.25">
      <c r="A1124" s="1" t="s">
        <v>1283</v>
      </c>
      <c r="B1124" s="2">
        <v>242</v>
      </c>
      <c r="C1124" s="2">
        <v>98</v>
      </c>
      <c r="D1124" s="2">
        <v>22.5</v>
      </c>
      <c r="E1124" s="2">
        <v>75</v>
      </c>
      <c r="F1124" s="2">
        <v>0.5</v>
      </c>
      <c r="G1124" s="2">
        <v>100.7</v>
      </c>
      <c r="H1124" s="2">
        <v>1560</v>
      </c>
      <c r="I1124" s="2">
        <v>164</v>
      </c>
      <c r="J1124" s="2">
        <v>157022</v>
      </c>
      <c r="K1124" s="2">
        <v>4352</v>
      </c>
      <c r="L1124" s="2">
        <v>182.4</v>
      </c>
      <c r="M1124" s="2">
        <v>386.3</v>
      </c>
      <c r="N1124" s="2">
        <v>13870</v>
      </c>
      <c r="O1124" s="2">
        <v>34.1</v>
      </c>
    </row>
    <row r="1125" spans="1:15" ht="24.95" customHeight="1" x14ac:dyDescent="0.25">
      <c r="A1125" s="1" t="s">
        <v>1155</v>
      </c>
      <c r="B1125" s="2">
        <v>212</v>
      </c>
      <c r="C1125" s="2">
        <v>89</v>
      </c>
      <c r="D1125" s="2">
        <v>13</v>
      </c>
      <c r="E1125" s="2">
        <v>75</v>
      </c>
      <c r="F1125" s="2">
        <v>1</v>
      </c>
      <c r="G1125" s="2">
        <v>91.2</v>
      </c>
      <c r="H1125" s="2">
        <v>710</v>
      </c>
      <c r="I1125" s="2">
        <v>86</v>
      </c>
      <c r="J1125" s="2">
        <v>64727</v>
      </c>
      <c r="K1125" s="2">
        <v>3151</v>
      </c>
      <c r="L1125" s="2">
        <v>100.7</v>
      </c>
      <c r="M1125" s="2">
        <v>173.9</v>
      </c>
      <c r="N1125" s="2">
        <v>11370</v>
      </c>
      <c r="O1125" s="2">
        <v>60.9</v>
      </c>
    </row>
    <row r="1126" spans="1:15" ht="24.95" customHeight="1" x14ac:dyDescent="0.25">
      <c r="A1126" s="1" t="s">
        <v>1156</v>
      </c>
      <c r="B1126" s="2">
        <v>242</v>
      </c>
      <c r="C1126" s="2">
        <v>100</v>
      </c>
      <c r="D1126" s="2">
        <v>24.9</v>
      </c>
      <c r="E1126" s="2">
        <v>75</v>
      </c>
      <c r="F1126" s="2">
        <v>0.1</v>
      </c>
      <c r="G1126" s="2">
        <v>101.4</v>
      </c>
      <c r="H1126" s="2">
        <v>2904</v>
      </c>
      <c r="I1126" s="2">
        <v>159</v>
      </c>
      <c r="J1126" s="2">
        <v>294493</v>
      </c>
      <c r="K1126" s="2">
        <v>7091</v>
      </c>
      <c r="L1126" s="2">
        <v>308.39999999999998</v>
      </c>
      <c r="M1126" s="2">
        <v>712.8</v>
      </c>
      <c r="N1126" s="2">
        <v>21580</v>
      </c>
      <c r="O1126" s="2">
        <v>25.6</v>
      </c>
    </row>
    <row r="1127" spans="1:15" ht="24.95" customHeight="1" x14ac:dyDescent="0.25">
      <c r="A1127" s="1" t="s">
        <v>1157</v>
      </c>
      <c r="B1127" s="2">
        <v>232</v>
      </c>
      <c r="C1127" s="2">
        <v>96</v>
      </c>
      <c r="D1127" s="2">
        <v>19.7</v>
      </c>
      <c r="E1127" s="2">
        <v>75</v>
      </c>
      <c r="F1127" s="2">
        <v>1.4</v>
      </c>
      <c r="G1127" s="2">
        <v>99.7</v>
      </c>
      <c r="H1127" s="2">
        <v>890</v>
      </c>
      <c r="I1127" s="2">
        <v>154</v>
      </c>
      <c r="J1127" s="2">
        <v>88689</v>
      </c>
      <c r="K1127" s="2">
        <v>3763</v>
      </c>
      <c r="L1127" s="2">
        <v>119.4</v>
      </c>
      <c r="M1127" s="2">
        <v>216.5</v>
      </c>
      <c r="N1127" s="2">
        <v>12120</v>
      </c>
      <c r="O1127" s="2">
        <v>57.8</v>
      </c>
    </row>
    <row r="1128" spans="1:15" ht="24.95" customHeight="1" x14ac:dyDescent="0.25">
      <c r="A1128" s="1" t="s">
        <v>1158</v>
      </c>
      <c r="B1128" s="2">
        <v>232</v>
      </c>
      <c r="C1128" s="2">
        <v>94</v>
      </c>
      <c r="D1128" s="2">
        <v>17.899999999999999</v>
      </c>
      <c r="E1128" s="2">
        <v>75</v>
      </c>
      <c r="F1128" s="2">
        <v>1.1000000000000001</v>
      </c>
      <c r="G1128" s="2">
        <v>95</v>
      </c>
      <c r="H1128" s="2">
        <v>540</v>
      </c>
      <c r="I1128" s="2">
        <v>162</v>
      </c>
      <c r="J1128" s="2">
        <v>51320</v>
      </c>
      <c r="K1128" s="2">
        <v>2314</v>
      </c>
      <c r="L1128" s="2">
        <v>78.3</v>
      </c>
      <c r="M1128" s="2">
        <v>141.9</v>
      </c>
      <c r="N1128" s="2">
        <v>7060</v>
      </c>
      <c r="O1128" s="2">
        <v>55.3</v>
      </c>
    </row>
    <row r="1129" spans="1:15" ht="24.95" customHeight="1" x14ac:dyDescent="0.25">
      <c r="A1129" s="1" t="s">
        <v>1284</v>
      </c>
      <c r="B1129" s="2">
        <v>250</v>
      </c>
      <c r="C1129" s="2">
        <v>106</v>
      </c>
      <c r="D1129" s="2">
        <v>30.1</v>
      </c>
      <c r="E1129" s="2">
        <v>75</v>
      </c>
      <c r="F1129" s="2">
        <v>0.9</v>
      </c>
      <c r="G1129" s="2">
        <v>109.8</v>
      </c>
      <c r="H1129" s="2">
        <v>1057</v>
      </c>
      <c r="I1129" s="2">
        <v>114</v>
      </c>
      <c r="J1129" s="2">
        <v>116018</v>
      </c>
      <c r="K1129" s="2">
        <v>4637</v>
      </c>
      <c r="L1129" s="2">
        <v>176.4</v>
      </c>
      <c r="M1129" s="2">
        <v>270</v>
      </c>
      <c r="N1129" s="2">
        <v>14270</v>
      </c>
      <c r="O1129" s="2">
        <v>58.1</v>
      </c>
    </row>
    <row r="1130" spans="1:15" ht="24.95" customHeight="1" x14ac:dyDescent="0.25">
      <c r="A1130" s="1" t="s">
        <v>1159</v>
      </c>
      <c r="B1130" s="2">
        <v>184</v>
      </c>
      <c r="C1130" s="2">
        <v>77</v>
      </c>
      <c r="H1130" s="2">
        <v>57726</v>
      </c>
      <c r="I1130" s="2">
        <v>159</v>
      </c>
      <c r="J1130" s="2">
        <v>4444902</v>
      </c>
      <c r="K1130" s="2">
        <v>127581</v>
      </c>
      <c r="L1130" s="2">
        <v>6511.9</v>
      </c>
      <c r="M1130" s="2">
        <v>14338.6</v>
      </c>
      <c r="N1130" s="2">
        <v>407390</v>
      </c>
      <c r="O1130" s="2">
        <v>18.899999999999999</v>
      </c>
    </row>
    <row r="1131" spans="1:15" ht="24.95" customHeight="1" x14ac:dyDescent="0.25">
      <c r="A1131" s="1" t="s">
        <v>1160</v>
      </c>
      <c r="B1131" s="2">
        <v>306</v>
      </c>
      <c r="C1131" s="2">
        <v>124</v>
      </c>
      <c r="D1131" s="2">
        <v>46</v>
      </c>
      <c r="E1131" s="2">
        <v>78</v>
      </c>
      <c r="H1131" s="2">
        <v>6490</v>
      </c>
      <c r="I1131" s="2">
        <v>165</v>
      </c>
      <c r="J1131" s="2">
        <v>804760</v>
      </c>
      <c r="K1131" s="2">
        <v>10535</v>
      </c>
      <c r="L1131" s="2">
        <v>672.8</v>
      </c>
      <c r="M1131" s="2">
        <v>1695.5</v>
      </c>
      <c r="N1131" s="2">
        <v>32520</v>
      </c>
    </row>
    <row r="1132" spans="1:15" ht="24.95" customHeight="1" x14ac:dyDescent="0.25">
      <c r="A1132" s="1" t="s">
        <v>1033</v>
      </c>
      <c r="B1132" s="2">
        <v>328</v>
      </c>
      <c r="C1132" s="2">
        <v>144</v>
      </c>
      <c r="D1132" s="2">
        <v>61.2</v>
      </c>
      <c r="E1132" s="2">
        <v>82</v>
      </c>
      <c r="F1132" s="2">
        <v>0.8</v>
      </c>
      <c r="H1132" s="2">
        <v>658</v>
      </c>
      <c r="I1132" s="2">
        <v>122</v>
      </c>
      <c r="J1132" s="2">
        <v>94752</v>
      </c>
      <c r="K1132" s="2">
        <v>1944</v>
      </c>
      <c r="L1132" s="2">
        <v>102.2</v>
      </c>
      <c r="M1132" s="2">
        <v>178</v>
      </c>
      <c r="N1132" s="2">
        <v>6570</v>
      </c>
      <c r="O1132" s="2">
        <v>42.6</v>
      </c>
    </row>
    <row r="1133" spans="1:15" ht="24.95" customHeight="1" x14ac:dyDescent="0.25">
      <c r="A1133" s="1" t="s">
        <v>1161</v>
      </c>
      <c r="B1133" s="2">
        <v>291</v>
      </c>
      <c r="C1133" s="2">
        <v>130</v>
      </c>
      <c r="D1133" s="2">
        <v>54.9</v>
      </c>
      <c r="E1133" s="2">
        <v>77</v>
      </c>
      <c r="F1133" s="2">
        <v>-1.9</v>
      </c>
      <c r="H1133" s="2">
        <v>7460</v>
      </c>
      <c r="I1133" s="2">
        <v>106</v>
      </c>
      <c r="J1133" s="2">
        <v>969800</v>
      </c>
      <c r="K1133" s="2">
        <v>14508</v>
      </c>
      <c r="L1133" s="2">
        <v>930.7</v>
      </c>
      <c r="M1133" s="2">
        <v>1872.5</v>
      </c>
      <c r="N1133" s="2">
        <v>41900</v>
      </c>
    </row>
    <row r="1134" spans="1:15" ht="24.95" customHeight="1" x14ac:dyDescent="0.25">
      <c r="A1134" s="1" t="s">
        <v>1162</v>
      </c>
      <c r="B1134" s="2">
        <v>294</v>
      </c>
      <c r="C1134" s="2">
        <v>116</v>
      </c>
      <c r="D1134" s="2">
        <v>37.5</v>
      </c>
      <c r="E1134" s="2">
        <v>78</v>
      </c>
      <c r="F1134" s="2">
        <v>0.5</v>
      </c>
      <c r="H1134" s="2">
        <v>2250</v>
      </c>
      <c r="I1134" s="2">
        <v>190</v>
      </c>
      <c r="J1134" s="2">
        <v>261000</v>
      </c>
      <c r="K1134" s="2">
        <v>6688</v>
      </c>
      <c r="L1134" s="2">
        <v>312.3</v>
      </c>
      <c r="M1134" s="2">
        <v>611.1</v>
      </c>
      <c r="N1134" s="2">
        <v>22950</v>
      </c>
      <c r="O1134" s="2">
        <v>41.5</v>
      </c>
    </row>
    <row r="1135" spans="1:15" ht="24.95" customHeight="1" x14ac:dyDescent="0.25">
      <c r="A1135" s="1" t="s">
        <v>1163</v>
      </c>
      <c r="B1135" s="2">
        <v>252</v>
      </c>
      <c r="C1135" s="2">
        <v>106</v>
      </c>
      <c r="D1135" s="2">
        <v>24.1</v>
      </c>
      <c r="E1135" s="2">
        <v>82</v>
      </c>
      <c r="F1135" s="2">
        <v>-0.1</v>
      </c>
      <c r="H1135" s="2">
        <v>11275</v>
      </c>
      <c r="I1135" s="2">
        <v>225</v>
      </c>
      <c r="J1135" s="2">
        <v>1195150</v>
      </c>
      <c r="K1135" s="2">
        <v>11111</v>
      </c>
      <c r="L1135" s="2">
        <v>501.9</v>
      </c>
      <c r="M1135" s="2">
        <v>2803.2</v>
      </c>
      <c r="N1135" s="2">
        <v>37410</v>
      </c>
    </row>
    <row r="1136" spans="1:15" ht="24.95" customHeight="1" x14ac:dyDescent="0.25">
      <c r="A1136" s="1" t="s">
        <v>1164</v>
      </c>
      <c r="B1136" s="2">
        <v>264</v>
      </c>
      <c r="C1136" s="2">
        <v>104</v>
      </c>
      <c r="D1136" s="2">
        <v>21.9</v>
      </c>
      <c r="E1136" s="2">
        <v>82</v>
      </c>
      <c r="F1136" s="2">
        <v>0.1</v>
      </c>
      <c r="H1136" s="2">
        <v>3985</v>
      </c>
      <c r="I1136" s="2">
        <v>239</v>
      </c>
      <c r="J1136" s="2">
        <v>414440</v>
      </c>
      <c r="K1136" s="2">
        <v>3874</v>
      </c>
      <c r="L1136" s="2">
        <v>200.2</v>
      </c>
      <c r="M1136" s="2">
        <v>965.9</v>
      </c>
      <c r="N1136" s="2">
        <v>12520</v>
      </c>
    </row>
    <row r="1137" spans="1:15" ht="24.95" customHeight="1" x14ac:dyDescent="0.25">
      <c r="A1137" s="1" t="s">
        <v>1165</v>
      </c>
      <c r="B1137" s="2">
        <v>270</v>
      </c>
      <c r="C1137" s="2">
        <v>114</v>
      </c>
      <c r="D1137" s="2">
        <v>32</v>
      </c>
      <c r="E1137" s="2">
        <v>82</v>
      </c>
      <c r="H1137" s="2">
        <v>1115</v>
      </c>
      <c r="I1137" s="2">
        <v>218</v>
      </c>
      <c r="J1137" s="2">
        <v>127110</v>
      </c>
      <c r="K1137" s="2">
        <v>2652</v>
      </c>
      <c r="L1137" s="2">
        <v>96</v>
      </c>
      <c r="M1137" s="2">
        <v>287.5</v>
      </c>
      <c r="N1137" s="2">
        <v>8050</v>
      </c>
      <c r="O1137" s="2">
        <v>20.100000000000001</v>
      </c>
    </row>
    <row r="1138" spans="1:15" ht="24.95" customHeight="1" x14ac:dyDescent="0.25">
      <c r="A1138" s="1" t="s">
        <v>1166</v>
      </c>
      <c r="B1138" s="2">
        <v>300</v>
      </c>
      <c r="C1138" s="2">
        <v>124</v>
      </c>
      <c r="D1138" s="2">
        <v>41.9</v>
      </c>
      <c r="E1138" s="2">
        <v>82</v>
      </c>
      <c r="F1138" s="2">
        <v>0.1</v>
      </c>
      <c r="H1138" s="2">
        <v>519</v>
      </c>
      <c r="I1138" s="2">
        <v>123</v>
      </c>
      <c r="J1138" s="2">
        <v>64356</v>
      </c>
      <c r="K1138" s="2">
        <v>1293</v>
      </c>
      <c r="L1138" s="2">
        <v>59.5</v>
      </c>
      <c r="M1138" s="2">
        <v>127</v>
      </c>
      <c r="N1138" s="2">
        <v>4250</v>
      </c>
      <c r="O1138" s="2">
        <v>30.4</v>
      </c>
    </row>
    <row r="1139" spans="1:15" ht="24.95" customHeight="1" x14ac:dyDescent="0.25">
      <c r="A1139" s="1" t="s">
        <v>1167</v>
      </c>
      <c r="B1139" s="2">
        <v>294</v>
      </c>
      <c r="C1139" s="2">
        <v>122</v>
      </c>
      <c r="D1139" s="2">
        <v>41.1</v>
      </c>
      <c r="E1139" s="2">
        <v>82</v>
      </c>
      <c r="F1139" s="2">
        <v>-1.1000000000000001</v>
      </c>
      <c r="H1139" s="2">
        <v>1070</v>
      </c>
      <c r="I1139" s="2">
        <v>182</v>
      </c>
      <c r="J1139" s="2">
        <v>130540</v>
      </c>
      <c r="K1139" s="2">
        <v>2042</v>
      </c>
      <c r="L1139" s="2">
        <v>107.8</v>
      </c>
      <c r="M1139" s="2">
        <v>247.5</v>
      </c>
      <c r="N1139" s="2">
        <v>6430</v>
      </c>
      <c r="O1139" s="2">
        <v>7.9</v>
      </c>
    </row>
    <row r="1140" spans="1:15" ht="24.95" customHeight="1" x14ac:dyDescent="0.25">
      <c r="A1140" s="1" t="s">
        <v>1168</v>
      </c>
      <c r="B1140" s="2">
        <v>280</v>
      </c>
      <c r="C1140" s="2">
        <v>118</v>
      </c>
      <c r="D1140" s="2">
        <v>35.200000000000003</v>
      </c>
      <c r="E1140" s="2">
        <v>82</v>
      </c>
      <c r="F1140" s="2">
        <v>0.9</v>
      </c>
      <c r="H1140" s="2">
        <v>435</v>
      </c>
      <c r="I1140" s="2">
        <v>142</v>
      </c>
      <c r="J1140" s="2">
        <v>51330</v>
      </c>
      <c r="K1140" s="2">
        <v>1480</v>
      </c>
      <c r="L1140" s="2">
        <v>64.3</v>
      </c>
      <c r="M1140" s="2">
        <v>111.2</v>
      </c>
      <c r="N1140" s="2">
        <v>4200</v>
      </c>
      <c r="O1140" s="2">
        <v>40.6</v>
      </c>
    </row>
    <row r="1141" spans="1:15" ht="24.95" customHeight="1" x14ac:dyDescent="0.25">
      <c r="A1141" s="1" t="s">
        <v>1169</v>
      </c>
      <c r="B1141" s="2">
        <v>294</v>
      </c>
      <c r="C1141" s="2">
        <v>118</v>
      </c>
      <c r="D1141" s="2">
        <v>36.799999999999997</v>
      </c>
      <c r="E1141" s="2">
        <v>82</v>
      </c>
      <c r="F1141" s="2">
        <v>-0.8</v>
      </c>
      <c r="H1141" s="2">
        <v>1515</v>
      </c>
      <c r="I1141" s="2">
        <v>178</v>
      </c>
      <c r="J1141" s="2">
        <v>178770</v>
      </c>
      <c r="K1141" s="2">
        <v>4236</v>
      </c>
      <c r="L1141" s="2">
        <v>274.8</v>
      </c>
      <c r="M1141" s="2">
        <v>389.8</v>
      </c>
      <c r="N1141" s="2">
        <v>13200</v>
      </c>
      <c r="O1141" s="2">
        <v>35.799999999999997</v>
      </c>
    </row>
    <row r="1142" spans="1:15" ht="24.95" customHeight="1" x14ac:dyDescent="0.25">
      <c r="A1142" s="1" t="s">
        <v>1170</v>
      </c>
      <c r="B1142" s="2">
        <v>243</v>
      </c>
      <c r="C1142" s="2">
        <v>106</v>
      </c>
      <c r="D1142" s="2">
        <v>26.6</v>
      </c>
      <c r="E1142" s="2">
        <v>82</v>
      </c>
      <c r="F1142" s="2">
        <v>-2.6</v>
      </c>
      <c r="H1142" s="2">
        <v>960</v>
      </c>
      <c r="I1142" s="2">
        <v>129</v>
      </c>
      <c r="J1142" s="2">
        <v>101760</v>
      </c>
      <c r="K1142" s="2">
        <v>2815</v>
      </c>
      <c r="L1142" s="2">
        <v>212.5</v>
      </c>
      <c r="M1142" s="2">
        <v>243.2</v>
      </c>
      <c r="N1142" s="2">
        <v>7360</v>
      </c>
      <c r="O1142" s="2">
        <v>26</v>
      </c>
    </row>
    <row r="1143" spans="1:15" ht="24.95" customHeight="1" x14ac:dyDescent="0.25">
      <c r="A1143" s="1" t="s">
        <v>1171</v>
      </c>
      <c r="B1143" s="2">
        <v>280</v>
      </c>
      <c r="C1143" s="2">
        <v>112</v>
      </c>
      <c r="D1143" s="2">
        <v>28</v>
      </c>
      <c r="E1143" s="2">
        <v>82</v>
      </c>
      <c r="F1143" s="2">
        <v>2</v>
      </c>
      <c r="H1143" s="2">
        <v>914</v>
      </c>
      <c r="I1143" s="2">
        <v>164</v>
      </c>
      <c r="J1143" s="2">
        <v>102368</v>
      </c>
      <c r="K1143" s="2">
        <v>4364</v>
      </c>
      <c r="L1143" s="2">
        <v>151.6</v>
      </c>
      <c r="M1143" s="2">
        <v>239.6</v>
      </c>
      <c r="N1143" s="2">
        <v>13270</v>
      </c>
      <c r="O1143" s="2">
        <v>60.3</v>
      </c>
    </row>
    <row r="1144" spans="1:15" ht="24.95" customHeight="1" x14ac:dyDescent="0.25">
      <c r="A1144" s="1" t="s">
        <v>1172</v>
      </c>
      <c r="B1144" s="2">
        <v>328</v>
      </c>
      <c r="C1144" s="2">
        <v>159</v>
      </c>
      <c r="D1144" s="2">
        <v>76.900000000000006</v>
      </c>
      <c r="E1144" s="2">
        <v>82</v>
      </c>
      <c r="F1144" s="2">
        <v>0.1</v>
      </c>
      <c r="H1144" s="2">
        <v>1405</v>
      </c>
      <c r="I1144" s="2">
        <v>122</v>
      </c>
      <c r="J1144" s="2">
        <v>233395</v>
      </c>
      <c r="K1144" s="2">
        <v>4067</v>
      </c>
      <c r="L1144" s="2">
        <v>212.8</v>
      </c>
      <c r="M1144" s="2">
        <v>364.7</v>
      </c>
      <c r="N1144" s="2">
        <v>11720</v>
      </c>
      <c r="O1144" s="2">
        <v>31</v>
      </c>
    </row>
    <row r="1145" spans="1:15" ht="24.95" customHeight="1" x14ac:dyDescent="0.25">
      <c r="A1145" s="1" t="s">
        <v>1173</v>
      </c>
      <c r="B1145" s="2">
        <v>240</v>
      </c>
      <c r="C1145" s="2">
        <v>100</v>
      </c>
      <c r="D1145" s="2">
        <v>16</v>
      </c>
      <c r="E1145" s="2">
        <v>82</v>
      </c>
      <c r="F1145" s="2">
        <v>2</v>
      </c>
      <c r="G1145" s="2">
        <v>100</v>
      </c>
      <c r="H1145" s="2">
        <v>233</v>
      </c>
      <c r="I1145" s="2">
        <v>148</v>
      </c>
      <c r="J1145" s="2">
        <v>23300</v>
      </c>
      <c r="K1145" s="2">
        <v>1197</v>
      </c>
      <c r="L1145" s="2">
        <v>38.9</v>
      </c>
      <c r="M1145" s="2">
        <v>59.2</v>
      </c>
      <c r="N1145" s="2">
        <v>3250</v>
      </c>
      <c r="O1145" s="2">
        <v>59.1</v>
      </c>
    </row>
    <row r="1146" spans="1:15" ht="24.95" customHeight="1" x14ac:dyDescent="0.25">
      <c r="A1146" s="1" t="s">
        <v>1174</v>
      </c>
      <c r="B1146" s="2">
        <v>244</v>
      </c>
      <c r="C1146" s="2">
        <v>100</v>
      </c>
      <c r="D1146" s="2">
        <v>17.600000000000001</v>
      </c>
      <c r="E1146" s="2">
        <v>82</v>
      </c>
      <c r="F1146" s="2">
        <v>0.4</v>
      </c>
      <c r="G1146" s="2">
        <v>101.5</v>
      </c>
      <c r="H1146" s="2">
        <v>864</v>
      </c>
      <c r="I1146" s="2">
        <v>127</v>
      </c>
      <c r="J1146" s="2">
        <v>87669</v>
      </c>
      <c r="K1146" s="2">
        <v>2288</v>
      </c>
      <c r="L1146" s="2">
        <v>100.4</v>
      </c>
      <c r="M1146" s="2">
        <v>196.7</v>
      </c>
      <c r="N1146" s="2">
        <v>8110</v>
      </c>
      <c r="O1146" s="2">
        <v>38.700000000000003</v>
      </c>
    </row>
    <row r="1147" spans="1:15" ht="24.95" customHeight="1" x14ac:dyDescent="0.25">
      <c r="A1147" s="1" t="s">
        <v>1175</v>
      </c>
      <c r="B1147" s="2">
        <v>224</v>
      </c>
      <c r="C1147" s="2">
        <v>92</v>
      </c>
      <c r="D1147" s="2">
        <v>9.5</v>
      </c>
      <c r="E1147" s="2">
        <v>82</v>
      </c>
      <c r="F1147" s="2">
        <v>0.5</v>
      </c>
      <c r="G1147" s="2">
        <v>94.4</v>
      </c>
      <c r="H1147" s="2">
        <v>202</v>
      </c>
      <c r="I1147" s="2">
        <v>193</v>
      </c>
      <c r="J1147" s="2">
        <v>19070</v>
      </c>
      <c r="K1147" s="2">
        <v>671</v>
      </c>
      <c r="L1147" s="2">
        <v>34.200000000000003</v>
      </c>
      <c r="M1147" s="2">
        <v>57.3</v>
      </c>
      <c r="N1147" s="2">
        <v>2060</v>
      </c>
      <c r="O1147" s="2">
        <v>41.4</v>
      </c>
    </row>
    <row r="1148" spans="1:15" ht="24.95" customHeight="1" x14ac:dyDescent="0.25">
      <c r="A1148" s="1" t="s">
        <v>1176</v>
      </c>
      <c r="B1148" s="2">
        <v>236</v>
      </c>
      <c r="C1148" s="2">
        <v>94</v>
      </c>
      <c r="D1148" s="2">
        <v>11.1</v>
      </c>
      <c r="E1148" s="2">
        <v>82</v>
      </c>
      <c r="F1148" s="2">
        <v>0.9</v>
      </c>
      <c r="G1148" s="2">
        <v>95.7</v>
      </c>
      <c r="H1148" s="2">
        <v>910</v>
      </c>
      <c r="I1148" s="2">
        <v>103</v>
      </c>
      <c r="J1148" s="2">
        <v>87084</v>
      </c>
      <c r="K1148" s="2">
        <v>3137</v>
      </c>
      <c r="L1148" s="2">
        <v>123.6</v>
      </c>
      <c r="M1148" s="2">
        <v>207.3</v>
      </c>
      <c r="N1148" s="2">
        <v>11480</v>
      </c>
      <c r="O1148" s="2">
        <v>54.6</v>
      </c>
    </row>
    <row r="1149" spans="1:15" ht="24.95" customHeight="1" x14ac:dyDescent="0.25">
      <c r="A1149" s="1" t="s">
        <v>1177</v>
      </c>
      <c r="B1149" s="2">
        <v>224</v>
      </c>
      <c r="C1149" s="2">
        <v>94</v>
      </c>
      <c r="D1149" s="2">
        <v>11.3</v>
      </c>
      <c r="E1149" s="2">
        <v>82</v>
      </c>
      <c r="F1149" s="2">
        <v>0.7</v>
      </c>
      <c r="G1149" s="2">
        <v>96.5</v>
      </c>
      <c r="H1149" s="2">
        <v>2800</v>
      </c>
      <c r="I1149" s="2">
        <v>147</v>
      </c>
      <c r="J1149" s="2">
        <v>270222</v>
      </c>
      <c r="K1149" s="2">
        <v>9825</v>
      </c>
      <c r="L1149" s="2">
        <v>502.1</v>
      </c>
      <c r="M1149" s="2">
        <v>666.1</v>
      </c>
      <c r="N1149" s="2">
        <v>31920</v>
      </c>
      <c r="O1149" s="2">
        <v>49.9</v>
      </c>
    </row>
    <row r="1150" spans="1:15" ht="24.95" customHeight="1" x14ac:dyDescent="0.25">
      <c r="A1150" s="1" t="s">
        <v>1178</v>
      </c>
      <c r="B1150" s="2">
        <v>239</v>
      </c>
      <c r="C1150" s="2">
        <v>102</v>
      </c>
      <c r="D1150" s="2">
        <v>18.399999999999999</v>
      </c>
      <c r="E1150" s="2">
        <v>82</v>
      </c>
      <c r="F1150" s="2">
        <v>1.6</v>
      </c>
      <c r="G1150" s="2">
        <v>103.6</v>
      </c>
      <c r="H1150" s="2">
        <v>320</v>
      </c>
      <c r="I1150" s="2">
        <v>113</v>
      </c>
      <c r="J1150" s="2">
        <v>33164</v>
      </c>
      <c r="K1150" s="2">
        <v>1406</v>
      </c>
      <c r="L1150" s="2">
        <v>49.5</v>
      </c>
      <c r="M1150" s="2">
        <v>91.7</v>
      </c>
      <c r="N1150" s="2">
        <v>5320</v>
      </c>
      <c r="O1150" s="2">
        <v>62.6</v>
      </c>
    </row>
    <row r="1151" spans="1:15" ht="24.95" customHeight="1" x14ac:dyDescent="0.25">
      <c r="A1151" s="1" t="s">
        <v>1179</v>
      </c>
      <c r="B1151" s="2">
        <v>251</v>
      </c>
      <c r="C1151" s="2">
        <v>108</v>
      </c>
      <c r="D1151" s="2">
        <v>24.5</v>
      </c>
      <c r="E1151" s="2">
        <v>82</v>
      </c>
      <c r="F1151" s="2">
        <v>1.5</v>
      </c>
      <c r="G1151" s="2">
        <v>109.3</v>
      </c>
      <c r="H1151" s="2">
        <v>286</v>
      </c>
      <c r="I1151" s="2">
        <v>120</v>
      </c>
      <c r="J1151" s="2">
        <v>31264</v>
      </c>
      <c r="K1151" s="2">
        <v>1467</v>
      </c>
      <c r="L1151" s="2">
        <v>50.6</v>
      </c>
      <c r="M1151" s="2">
        <v>77.400000000000006</v>
      </c>
      <c r="N1151" s="2">
        <v>4520</v>
      </c>
      <c r="O1151" s="2">
        <v>61.8</v>
      </c>
    </row>
    <row r="1152" spans="1:15" ht="24.95" customHeight="1" x14ac:dyDescent="0.25">
      <c r="A1152" s="1" t="s">
        <v>1180</v>
      </c>
      <c r="B1152" s="2">
        <v>246</v>
      </c>
      <c r="C1152" s="2">
        <v>100</v>
      </c>
      <c r="D1152" s="2">
        <v>17</v>
      </c>
      <c r="E1152" s="2">
        <v>82</v>
      </c>
      <c r="F1152" s="2">
        <v>1</v>
      </c>
      <c r="G1152" s="2">
        <v>101.5</v>
      </c>
      <c r="H1152" s="2">
        <v>550</v>
      </c>
      <c r="I1152" s="2">
        <v>131</v>
      </c>
      <c r="J1152" s="2">
        <v>55835</v>
      </c>
      <c r="K1152" s="2">
        <v>2006</v>
      </c>
      <c r="L1152" s="2">
        <v>79.400000000000006</v>
      </c>
      <c r="M1152" s="2">
        <v>141.69999999999999</v>
      </c>
      <c r="N1152" s="2">
        <v>6250</v>
      </c>
      <c r="O1152" s="2">
        <v>48</v>
      </c>
    </row>
    <row r="1153" spans="1:15" ht="24.95" customHeight="1" x14ac:dyDescent="0.25">
      <c r="A1153" s="1" t="s">
        <v>1166</v>
      </c>
      <c r="B1153" s="2">
        <v>246</v>
      </c>
      <c r="C1153" s="2">
        <v>112</v>
      </c>
      <c r="D1153" s="2">
        <v>27.4</v>
      </c>
      <c r="E1153" s="2">
        <v>82</v>
      </c>
      <c r="F1153" s="2">
        <v>2.6</v>
      </c>
      <c r="G1153" s="2">
        <v>112.9</v>
      </c>
      <c r="H1153" s="2">
        <v>304</v>
      </c>
      <c r="I1153" s="2">
        <v>114</v>
      </c>
      <c r="J1153" s="2">
        <v>34334</v>
      </c>
      <c r="K1153" s="2">
        <v>1818</v>
      </c>
      <c r="L1153" s="2">
        <v>61.8</v>
      </c>
      <c r="M1153" s="2">
        <v>81.5</v>
      </c>
      <c r="N1153" s="2">
        <v>5320</v>
      </c>
      <c r="O1153" s="2">
        <v>66.5</v>
      </c>
    </row>
    <row r="1154" spans="1:15" ht="24.95" customHeight="1" x14ac:dyDescent="0.25">
      <c r="A1154" s="1" t="s">
        <v>1181</v>
      </c>
      <c r="B1154" s="2">
        <v>240</v>
      </c>
      <c r="C1154" s="2">
        <v>115</v>
      </c>
      <c r="D1154" s="2">
        <v>33.1</v>
      </c>
      <c r="E1154" s="2">
        <v>82</v>
      </c>
      <c r="F1154" s="2">
        <v>0.1</v>
      </c>
      <c r="G1154" s="2">
        <v>115</v>
      </c>
      <c r="H1154" s="2">
        <v>280</v>
      </c>
      <c r="I1154" s="2">
        <v>74</v>
      </c>
      <c r="J1154" s="2">
        <v>32300</v>
      </c>
      <c r="K1154" s="2">
        <v>563</v>
      </c>
      <c r="L1154" s="2">
        <v>21.1</v>
      </c>
      <c r="M1154" s="2">
        <v>68.8</v>
      </c>
      <c r="N1154" s="2">
        <v>1580</v>
      </c>
      <c r="O1154" s="2">
        <v>2.1</v>
      </c>
    </row>
    <row r="1155" spans="1:15" ht="24.95" customHeight="1" x14ac:dyDescent="0.25">
      <c r="A1155" s="1" t="s">
        <v>1167</v>
      </c>
      <c r="B1155" s="2">
        <v>260</v>
      </c>
      <c r="C1155" s="2">
        <v>100</v>
      </c>
      <c r="D1155" s="2">
        <v>16</v>
      </c>
      <c r="E1155" s="2">
        <v>82</v>
      </c>
      <c r="F1155" s="2">
        <v>2.1</v>
      </c>
      <c r="G1155" s="2">
        <v>102.6</v>
      </c>
      <c r="H1155" s="2">
        <v>800</v>
      </c>
      <c r="I1155" s="2">
        <v>146</v>
      </c>
      <c r="J1155" s="2">
        <v>82050</v>
      </c>
      <c r="K1155" s="2">
        <v>2992</v>
      </c>
      <c r="L1155" s="2">
        <v>139</v>
      </c>
      <c r="M1155" s="2">
        <v>204.7</v>
      </c>
      <c r="N1155" s="2">
        <v>8760</v>
      </c>
      <c r="O1155" s="2">
        <v>49.6</v>
      </c>
    </row>
    <row r="1156" spans="1:15" ht="24.95" customHeight="1" x14ac:dyDescent="0.25">
      <c r="A1156" s="1" t="s">
        <v>1168</v>
      </c>
      <c r="B1156" s="2">
        <v>226</v>
      </c>
      <c r="C1156" s="2">
        <v>94</v>
      </c>
      <c r="D1156" s="2">
        <v>11</v>
      </c>
      <c r="E1156" s="2">
        <v>82</v>
      </c>
      <c r="F1156" s="2">
        <v>1</v>
      </c>
      <c r="G1156" s="2">
        <v>95.6</v>
      </c>
      <c r="H1156" s="2">
        <v>375</v>
      </c>
      <c r="I1156" s="2">
        <v>168</v>
      </c>
      <c r="J1156" s="2">
        <v>35857</v>
      </c>
      <c r="K1156" s="2">
        <v>1773</v>
      </c>
      <c r="L1156" s="2">
        <v>64</v>
      </c>
      <c r="M1156" s="2">
        <v>85.8</v>
      </c>
      <c r="N1156" s="2">
        <v>4780</v>
      </c>
      <c r="O1156" s="2">
        <v>60</v>
      </c>
    </row>
    <row r="1157" spans="1:15" ht="24.95" customHeight="1" x14ac:dyDescent="0.25">
      <c r="A1157" s="1" t="s">
        <v>1182</v>
      </c>
      <c r="B1157" s="2">
        <v>239</v>
      </c>
      <c r="C1157" s="2">
        <v>104</v>
      </c>
      <c r="D1157" s="2">
        <v>21.2</v>
      </c>
      <c r="E1157" s="2">
        <v>82</v>
      </c>
      <c r="F1157" s="2">
        <v>0.8</v>
      </c>
      <c r="G1157" s="2">
        <v>107.3</v>
      </c>
      <c r="H1157" s="2">
        <v>120</v>
      </c>
      <c r="I1157" s="2">
        <v>111</v>
      </c>
      <c r="J1157" s="2">
        <v>12873</v>
      </c>
      <c r="K1157" s="2">
        <v>871</v>
      </c>
      <c r="L1157" s="2">
        <v>21.5</v>
      </c>
      <c r="M1157" s="2">
        <v>33.6</v>
      </c>
      <c r="N1157" s="2">
        <v>1740</v>
      </c>
      <c r="O1157" s="2">
        <v>57.3</v>
      </c>
    </row>
    <row r="1158" spans="1:15" ht="24.95" customHeight="1" x14ac:dyDescent="0.25">
      <c r="A1158" s="1" t="s">
        <v>1033</v>
      </c>
      <c r="B1158" s="2">
        <v>234</v>
      </c>
      <c r="C1158" s="2">
        <v>99</v>
      </c>
      <c r="D1158" s="2">
        <v>16.600000000000001</v>
      </c>
      <c r="E1158" s="2">
        <v>82</v>
      </c>
      <c r="F1158" s="2">
        <v>0.5</v>
      </c>
      <c r="G1158" s="2">
        <v>99.5</v>
      </c>
      <c r="H1158" s="2">
        <v>2455</v>
      </c>
      <c r="I1158" s="2">
        <v>153</v>
      </c>
      <c r="J1158" s="2">
        <v>244157</v>
      </c>
      <c r="K1158" s="2">
        <v>3327</v>
      </c>
      <c r="L1158" s="2">
        <v>151.6</v>
      </c>
      <c r="M1158" s="2">
        <v>431.6</v>
      </c>
      <c r="N1158" s="2">
        <v>22350</v>
      </c>
      <c r="O1158" s="2">
        <v>37.9</v>
      </c>
    </row>
    <row r="1159" spans="1:15" ht="24.95" customHeight="1" x14ac:dyDescent="0.25">
      <c r="A1159" s="1" t="s">
        <v>1161</v>
      </c>
      <c r="B1159" s="2">
        <v>273</v>
      </c>
      <c r="C1159" s="2">
        <v>112</v>
      </c>
      <c r="D1159" s="2">
        <v>29.4</v>
      </c>
      <c r="E1159" s="2">
        <v>82</v>
      </c>
      <c r="F1159" s="2">
        <v>0.6</v>
      </c>
      <c r="G1159" s="2">
        <v>114.4</v>
      </c>
      <c r="H1159" s="2">
        <v>898</v>
      </c>
      <c r="I1159" s="2">
        <v>157</v>
      </c>
      <c r="J1159" s="2">
        <v>102740</v>
      </c>
      <c r="K1159" s="2">
        <v>3087</v>
      </c>
      <c r="L1159" s="2">
        <v>159</v>
      </c>
      <c r="M1159" s="2">
        <v>229.2</v>
      </c>
      <c r="N1159" s="2">
        <v>7820</v>
      </c>
      <c r="O1159" s="2">
        <v>34.9</v>
      </c>
    </row>
    <row r="1160" spans="1:15" ht="24.95" customHeight="1" x14ac:dyDescent="0.25">
      <c r="A1160" s="1" t="s">
        <v>1183</v>
      </c>
      <c r="B1160" s="2">
        <v>227</v>
      </c>
      <c r="C1160" s="2">
        <v>105</v>
      </c>
      <c r="D1160" s="2">
        <v>23.8</v>
      </c>
      <c r="E1160" s="2">
        <v>82</v>
      </c>
      <c r="F1160" s="2">
        <v>-0.8</v>
      </c>
      <c r="G1160" s="2">
        <v>105.1</v>
      </c>
      <c r="H1160" s="2">
        <v>720</v>
      </c>
      <c r="I1160" s="2">
        <v>76</v>
      </c>
      <c r="J1160" s="2">
        <v>75642</v>
      </c>
      <c r="K1160" s="2">
        <v>1368</v>
      </c>
      <c r="L1160" s="2">
        <v>56.3</v>
      </c>
      <c r="M1160" s="2">
        <v>177.8</v>
      </c>
      <c r="N1160" s="2">
        <v>4360</v>
      </c>
      <c r="O1160" s="2">
        <v>6.2</v>
      </c>
    </row>
    <row r="1161" spans="1:15" ht="24.95" customHeight="1" x14ac:dyDescent="0.25">
      <c r="A1161" s="1" t="s">
        <v>1184</v>
      </c>
      <c r="B1161" s="2">
        <v>226</v>
      </c>
      <c r="C1161" s="2">
        <v>106</v>
      </c>
      <c r="D1161" s="2">
        <v>23</v>
      </c>
      <c r="E1161" s="2">
        <v>82</v>
      </c>
      <c r="F1161" s="2">
        <v>1</v>
      </c>
      <c r="G1161" s="2">
        <v>107.3</v>
      </c>
      <c r="H1161" s="2">
        <v>2750</v>
      </c>
      <c r="I1161" s="2">
        <v>175</v>
      </c>
      <c r="J1161" s="2">
        <v>294984</v>
      </c>
      <c r="K1161" s="2">
        <v>8942</v>
      </c>
      <c r="L1161" s="2">
        <v>576.9</v>
      </c>
      <c r="M1161" s="2">
        <v>737.8</v>
      </c>
      <c r="N1161" s="2">
        <v>27140</v>
      </c>
      <c r="O1161" s="2">
        <v>39.4</v>
      </c>
    </row>
    <row r="1162" spans="1:15" ht="24.95" customHeight="1" x14ac:dyDescent="0.25">
      <c r="A1162" s="1" t="s">
        <v>1185</v>
      </c>
      <c r="B1162" s="2">
        <v>244</v>
      </c>
      <c r="C1162" s="2">
        <v>102</v>
      </c>
      <c r="D1162" s="2">
        <v>19.2</v>
      </c>
      <c r="E1162" s="2">
        <v>82</v>
      </c>
      <c r="F1162" s="2">
        <v>0.8</v>
      </c>
      <c r="G1162" s="2">
        <v>105.7</v>
      </c>
      <c r="H1162" s="2">
        <v>1475</v>
      </c>
      <c r="I1162" s="2">
        <v>146</v>
      </c>
      <c r="J1162" s="2">
        <v>155930</v>
      </c>
      <c r="K1162" s="2">
        <v>4022</v>
      </c>
      <c r="L1162" s="2">
        <v>167.1</v>
      </c>
      <c r="M1162" s="2">
        <v>331.2</v>
      </c>
      <c r="N1162" s="2">
        <v>13590</v>
      </c>
      <c r="O1162" s="2">
        <v>40.6</v>
      </c>
    </row>
    <row r="1163" spans="1:15" ht="24.95" customHeight="1" x14ac:dyDescent="0.25">
      <c r="A1163" s="1" t="s">
        <v>1186</v>
      </c>
      <c r="B1163" s="2">
        <v>242</v>
      </c>
      <c r="C1163" s="2">
        <v>102</v>
      </c>
      <c r="D1163" s="2">
        <v>20.100000000000001</v>
      </c>
      <c r="E1163" s="2">
        <v>82</v>
      </c>
      <c r="F1163" s="2">
        <v>-0.1</v>
      </c>
      <c r="G1163" s="2">
        <v>102</v>
      </c>
      <c r="H1163" s="2">
        <v>454</v>
      </c>
      <c r="I1163" s="2">
        <v>115</v>
      </c>
      <c r="J1163" s="2">
        <v>46282</v>
      </c>
      <c r="K1163" s="2">
        <v>650</v>
      </c>
      <c r="L1163" s="2">
        <v>25.4</v>
      </c>
      <c r="M1163" s="2">
        <v>78.8</v>
      </c>
      <c r="N1163" s="2">
        <v>3280</v>
      </c>
      <c r="O1163" s="2">
        <v>25.3</v>
      </c>
    </row>
    <row r="1164" spans="1:15" ht="24.95" customHeight="1" x14ac:dyDescent="0.25">
      <c r="A1164" s="1" t="s">
        <v>1172</v>
      </c>
      <c r="B1164" s="2">
        <v>258</v>
      </c>
      <c r="C1164" s="2">
        <v>111</v>
      </c>
      <c r="D1164" s="2">
        <v>27.5</v>
      </c>
      <c r="E1164" s="2">
        <v>82</v>
      </c>
      <c r="F1164" s="2">
        <v>1.5</v>
      </c>
      <c r="G1164" s="2">
        <v>111.7</v>
      </c>
      <c r="H1164" s="2">
        <v>950</v>
      </c>
      <c r="I1164" s="2">
        <v>128</v>
      </c>
      <c r="J1164" s="2">
        <v>106104</v>
      </c>
      <c r="K1164" s="2">
        <v>4562</v>
      </c>
      <c r="L1164" s="2">
        <v>190.2</v>
      </c>
      <c r="M1164" s="2">
        <v>243.7</v>
      </c>
      <c r="N1164" s="2">
        <v>11410</v>
      </c>
      <c r="O1164" s="2">
        <v>52.6</v>
      </c>
    </row>
    <row r="1165" spans="1:15" ht="24.95" customHeight="1" x14ac:dyDescent="0.25">
      <c r="A1165" s="1" t="s">
        <v>1187</v>
      </c>
      <c r="B1165" s="2">
        <v>171.9</v>
      </c>
      <c r="C1165" s="2">
        <v>82.9</v>
      </c>
      <c r="H1165" s="2">
        <v>170093</v>
      </c>
      <c r="I1165" s="2">
        <v>151</v>
      </c>
      <c r="J1165" s="2">
        <v>14100710</v>
      </c>
      <c r="K1165" s="2">
        <v>554906</v>
      </c>
      <c r="L1165" s="2">
        <v>22766.7</v>
      </c>
      <c r="M1165" s="2">
        <v>43325</v>
      </c>
      <c r="N1165" s="2">
        <v>1677260</v>
      </c>
      <c r="O1165" s="2">
        <v>41.9</v>
      </c>
    </row>
    <row r="1166" spans="1:15" ht="24.95" customHeight="1" x14ac:dyDescent="0.25">
      <c r="A1166" s="1" t="s">
        <v>1189</v>
      </c>
      <c r="B1166" s="2">
        <v>276</v>
      </c>
      <c r="C1166" s="2">
        <v>130</v>
      </c>
      <c r="D1166" s="2">
        <v>45.8</v>
      </c>
      <c r="E1166" s="2">
        <v>82.9</v>
      </c>
      <c r="F1166" s="2">
        <v>1.3</v>
      </c>
      <c r="H1166" s="2">
        <v>3178</v>
      </c>
      <c r="I1166" s="2">
        <v>124</v>
      </c>
      <c r="J1166" s="2">
        <v>413140</v>
      </c>
      <c r="K1166" s="2">
        <v>14513</v>
      </c>
      <c r="L1166" s="2">
        <v>421.9</v>
      </c>
      <c r="M1166" s="2">
        <v>823.5</v>
      </c>
      <c r="N1166" s="2">
        <v>39890</v>
      </c>
      <c r="O1166" s="2">
        <v>53.8</v>
      </c>
    </row>
    <row r="1167" spans="1:15" ht="24.95" customHeight="1" x14ac:dyDescent="0.25">
      <c r="A1167" s="1" t="s">
        <v>1190</v>
      </c>
      <c r="B1167" s="2">
        <v>294</v>
      </c>
      <c r="C1167" s="2">
        <v>134</v>
      </c>
      <c r="D1167" s="2">
        <v>48.6</v>
      </c>
      <c r="E1167" s="2">
        <v>84</v>
      </c>
      <c r="F1167" s="2">
        <v>1.4</v>
      </c>
      <c r="H1167" s="2">
        <v>3150</v>
      </c>
      <c r="I1167" s="2">
        <v>146</v>
      </c>
      <c r="J1167" s="2">
        <v>422100</v>
      </c>
      <c r="K1167" s="2">
        <v>11833</v>
      </c>
      <c r="L1167" s="2">
        <v>413.3</v>
      </c>
      <c r="M1167" s="2">
        <v>785.9</v>
      </c>
      <c r="N1167" s="2">
        <v>31260</v>
      </c>
      <c r="O1167" s="2">
        <v>44</v>
      </c>
    </row>
    <row r="1168" spans="1:15" ht="24.95" customHeight="1" x14ac:dyDescent="0.25">
      <c r="A1168" s="1" t="s">
        <v>1191</v>
      </c>
      <c r="B1168" s="2">
        <v>306</v>
      </c>
      <c r="C1168" s="2">
        <v>150</v>
      </c>
      <c r="D1168" s="2">
        <v>64.900000000000006</v>
      </c>
      <c r="E1168" s="2">
        <v>83.9</v>
      </c>
      <c r="F1168" s="2">
        <v>1.3</v>
      </c>
      <c r="H1168" s="2">
        <v>4015</v>
      </c>
      <c r="I1168" s="2">
        <v>143</v>
      </c>
      <c r="J1168" s="2">
        <v>602250</v>
      </c>
      <c r="K1168" s="2">
        <v>12943</v>
      </c>
      <c r="L1168" s="2">
        <v>466.3</v>
      </c>
      <c r="M1168" s="2">
        <v>1069</v>
      </c>
      <c r="N1168" s="2">
        <v>40420</v>
      </c>
      <c r="O1168" s="2">
        <v>39.6</v>
      </c>
    </row>
    <row r="1169" spans="1:15" ht="24.95" customHeight="1" x14ac:dyDescent="0.25">
      <c r="A1169" s="1" t="s">
        <v>1192</v>
      </c>
      <c r="B1169" s="2">
        <v>300</v>
      </c>
      <c r="C1169" s="2">
        <v>134</v>
      </c>
      <c r="D1169" s="2">
        <v>49.3</v>
      </c>
      <c r="E1169" s="2">
        <v>84.4</v>
      </c>
      <c r="F1169" s="2">
        <v>0.3</v>
      </c>
      <c r="H1169" s="2">
        <v>1695</v>
      </c>
      <c r="I1169" s="2">
        <v>135</v>
      </c>
      <c r="J1169" s="2">
        <v>227130</v>
      </c>
      <c r="K1169" s="2">
        <v>6178</v>
      </c>
      <c r="L1169" s="2">
        <v>243.6</v>
      </c>
      <c r="M1169" s="2">
        <v>435.9</v>
      </c>
      <c r="N1169" s="2">
        <v>18860</v>
      </c>
      <c r="O1169" s="2">
        <v>48.8</v>
      </c>
    </row>
    <row r="1170" spans="1:15" ht="24.95" customHeight="1" x14ac:dyDescent="0.25">
      <c r="A1170" s="1" t="s">
        <v>1193</v>
      </c>
      <c r="B1170" s="2">
        <v>264</v>
      </c>
      <c r="C1170" s="2">
        <v>120</v>
      </c>
      <c r="D1170" s="2">
        <v>42.3</v>
      </c>
      <c r="E1170" s="2">
        <v>83.6</v>
      </c>
      <c r="F1170" s="2">
        <v>-5.9</v>
      </c>
      <c r="H1170" s="2">
        <v>9000</v>
      </c>
      <c r="I1170" s="2">
        <v>141</v>
      </c>
      <c r="J1170" s="2">
        <v>1080000</v>
      </c>
      <c r="K1170" s="2">
        <v>19021</v>
      </c>
      <c r="L1170" s="2">
        <v>1365.6</v>
      </c>
      <c r="M1170" s="2">
        <v>2216.4</v>
      </c>
      <c r="N1170" s="2">
        <v>56790</v>
      </c>
      <c r="O1170" s="2">
        <v>11.5</v>
      </c>
    </row>
    <row r="1171" spans="1:15" ht="24.95" customHeight="1" x14ac:dyDescent="0.25">
      <c r="A1171" s="1" t="s">
        <v>1194</v>
      </c>
      <c r="B1171" s="2">
        <v>282</v>
      </c>
      <c r="C1171" s="2">
        <v>132</v>
      </c>
      <c r="D1171" s="2">
        <v>50.2</v>
      </c>
      <c r="E1171" s="2">
        <v>83.1</v>
      </c>
      <c r="F1171" s="2">
        <v>-1.3</v>
      </c>
      <c r="H1171" s="2">
        <v>6100</v>
      </c>
      <c r="I1171" s="2">
        <v>125</v>
      </c>
      <c r="J1171" s="2">
        <v>805200</v>
      </c>
      <c r="K1171" s="2">
        <v>20293</v>
      </c>
      <c r="L1171" s="2">
        <v>762</v>
      </c>
      <c r="M1171" s="2">
        <v>1568.8</v>
      </c>
      <c r="N1171" s="2">
        <v>56070</v>
      </c>
      <c r="O1171" s="2">
        <v>37.5</v>
      </c>
    </row>
    <row r="1172" spans="1:15" ht="24.95" customHeight="1" x14ac:dyDescent="0.25">
      <c r="A1172" s="1" t="s">
        <v>1195</v>
      </c>
      <c r="B1172" s="2">
        <v>276</v>
      </c>
      <c r="C1172" s="2">
        <v>130</v>
      </c>
      <c r="D1172" s="2">
        <v>46.1</v>
      </c>
      <c r="E1172" s="2">
        <v>83</v>
      </c>
      <c r="F1172" s="2">
        <v>0.9</v>
      </c>
      <c r="H1172" s="2">
        <v>3460</v>
      </c>
      <c r="I1172" s="2">
        <v>123</v>
      </c>
      <c r="J1172" s="2">
        <v>449800</v>
      </c>
      <c r="K1172" s="2">
        <v>15084</v>
      </c>
      <c r="L1172" s="2">
        <v>480.1</v>
      </c>
      <c r="M1172" s="2">
        <v>907</v>
      </c>
      <c r="N1172" s="2">
        <v>41400</v>
      </c>
      <c r="O1172" s="2">
        <v>51.8</v>
      </c>
    </row>
    <row r="1173" spans="1:15" ht="24.95" customHeight="1" x14ac:dyDescent="0.25">
      <c r="A1173" s="1" t="s">
        <v>1196</v>
      </c>
      <c r="B1173" s="2">
        <v>252</v>
      </c>
      <c r="C1173" s="2">
        <v>120</v>
      </c>
      <c r="D1173" s="2">
        <v>35.6</v>
      </c>
      <c r="E1173" s="2">
        <v>84</v>
      </c>
      <c r="F1173" s="2">
        <v>0.4</v>
      </c>
      <c r="H1173" s="2">
        <v>1295</v>
      </c>
      <c r="I1173" s="2">
        <v>133</v>
      </c>
      <c r="J1173" s="2">
        <v>155400</v>
      </c>
      <c r="K1173" s="2">
        <v>5398</v>
      </c>
      <c r="L1173" s="2">
        <v>181.2</v>
      </c>
      <c r="M1173" s="2">
        <v>343.4</v>
      </c>
      <c r="N1173" s="2">
        <v>15180</v>
      </c>
      <c r="O1173" s="2">
        <v>50.2</v>
      </c>
    </row>
    <row r="1174" spans="1:15" ht="24.95" customHeight="1" x14ac:dyDescent="0.25">
      <c r="A1174" s="1" t="s">
        <v>1197</v>
      </c>
      <c r="B1174" s="2">
        <v>274</v>
      </c>
      <c r="C1174" s="2">
        <v>132</v>
      </c>
      <c r="D1174" s="2">
        <v>51</v>
      </c>
      <c r="E1174" s="2">
        <v>83.2</v>
      </c>
      <c r="F1174" s="2">
        <v>-2.2000000000000002</v>
      </c>
      <c r="H1174" s="2">
        <v>2950</v>
      </c>
      <c r="I1174" s="2">
        <v>134</v>
      </c>
      <c r="J1174" s="2">
        <v>389400</v>
      </c>
      <c r="K1174" s="2">
        <v>8370</v>
      </c>
      <c r="L1174" s="2">
        <v>386.7</v>
      </c>
      <c r="M1174" s="2">
        <v>734</v>
      </c>
      <c r="N1174" s="2">
        <v>27960</v>
      </c>
      <c r="O1174" s="2">
        <v>40.200000000000003</v>
      </c>
    </row>
    <row r="1175" spans="1:15" ht="24.95" customHeight="1" x14ac:dyDescent="0.25">
      <c r="A1175" s="1" t="s">
        <v>1198</v>
      </c>
      <c r="B1175" s="2">
        <v>276</v>
      </c>
      <c r="C1175" s="2">
        <v>127</v>
      </c>
      <c r="D1175" s="2">
        <v>37.5</v>
      </c>
      <c r="E1175" s="2">
        <v>89.5</v>
      </c>
      <c r="H1175" s="2">
        <v>3800</v>
      </c>
      <c r="I1175" s="2">
        <v>159</v>
      </c>
      <c r="J1175" s="2">
        <v>482600</v>
      </c>
      <c r="K1175" s="2">
        <v>12974</v>
      </c>
      <c r="L1175" s="2">
        <v>618.9</v>
      </c>
      <c r="M1175" s="2">
        <v>966.6</v>
      </c>
      <c r="N1175" s="2">
        <v>35980</v>
      </c>
      <c r="O1175" s="2">
        <v>39.799999999999997</v>
      </c>
    </row>
    <row r="1176" spans="1:15" ht="24.95" customHeight="1" x14ac:dyDescent="0.25">
      <c r="A1176" s="1" t="s">
        <v>1199</v>
      </c>
      <c r="B1176" s="2">
        <v>294</v>
      </c>
      <c r="C1176" s="2">
        <v>136</v>
      </c>
      <c r="D1176" s="2">
        <v>46.6</v>
      </c>
      <c r="E1176" s="2">
        <v>90</v>
      </c>
      <c r="F1176" s="2">
        <v>-0.6</v>
      </c>
      <c r="H1176" s="2">
        <v>1202</v>
      </c>
      <c r="I1176" s="2">
        <v>148</v>
      </c>
      <c r="J1176" s="2">
        <v>163472</v>
      </c>
      <c r="K1176" s="2">
        <v>3248</v>
      </c>
      <c r="L1176" s="2">
        <v>160.80000000000001</v>
      </c>
      <c r="M1176" s="2">
        <v>303</v>
      </c>
      <c r="N1176" s="2">
        <v>10540</v>
      </c>
      <c r="O1176" s="2">
        <v>34.299999999999997</v>
      </c>
    </row>
    <row r="1177" spans="1:15" ht="24.95" customHeight="1" x14ac:dyDescent="0.25">
      <c r="A1177" s="1" t="s">
        <v>1200</v>
      </c>
      <c r="B1177" s="2">
        <v>285</v>
      </c>
      <c r="C1177" s="2">
        <v>126</v>
      </c>
      <c r="D1177" s="2">
        <v>41.6</v>
      </c>
      <c r="E1177" s="2">
        <v>84</v>
      </c>
      <c r="F1177" s="2">
        <v>0.4</v>
      </c>
      <c r="H1177" s="2">
        <v>3650</v>
      </c>
      <c r="I1177" s="2">
        <v>152</v>
      </c>
      <c r="J1177" s="2">
        <v>459900</v>
      </c>
      <c r="K1177" s="2">
        <v>13670</v>
      </c>
      <c r="L1177" s="2">
        <v>460.1</v>
      </c>
      <c r="M1177" s="2">
        <v>919.6</v>
      </c>
      <c r="N1177" s="2">
        <v>37160</v>
      </c>
      <c r="O1177" s="2">
        <v>45.6</v>
      </c>
    </row>
    <row r="1178" spans="1:15" ht="24.95" customHeight="1" x14ac:dyDescent="0.25">
      <c r="A1178" s="1" t="s">
        <v>1201</v>
      </c>
      <c r="B1178" s="2">
        <v>282</v>
      </c>
      <c r="C1178" s="2">
        <v>135</v>
      </c>
      <c r="D1178" s="2">
        <v>50.1</v>
      </c>
      <c r="E1178" s="2">
        <v>84.4</v>
      </c>
      <c r="F1178" s="2">
        <v>0.5</v>
      </c>
      <c r="H1178" s="2">
        <v>1444</v>
      </c>
      <c r="I1178" s="2">
        <v>98</v>
      </c>
      <c r="J1178" s="2">
        <v>194940</v>
      </c>
      <c r="K1178" s="2">
        <v>6761</v>
      </c>
      <c r="L1178" s="2">
        <v>157.19999999999999</v>
      </c>
      <c r="M1178" s="2">
        <v>372.4</v>
      </c>
      <c r="N1178" s="2">
        <v>17300</v>
      </c>
      <c r="O1178" s="2">
        <v>52.3</v>
      </c>
    </row>
    <row r="1179" spans="1:15" ht="24.95" customHeight="1" x14ac:dyDescent="0.25">
      <c r="A1179" s="1" t="s">
        <v>1203</v>
      </c>
      <c r="B1179" s="2">
        <v>264</v>
      </c>
      <c r="C1179" s="2">
        <v>120</v>
      </c>
      <c r="D1179" s="2">
        <v>28.8</v>
      </c>
      <c r="E1179" s="2">
        <v>90</v>
      </c>
      <c r="F1179" s="2">
        <v>1.3</v>
      </c>
      <c r="H1179" s="2">
        <v>1620</v>
      </c>
      <c r="I1179" s="2">
        <v>154</v>
      </c>
      <c r="J1179" s="2">
        <v>194400</v>
      </c>
      <c r="K1179" s="2">
        <v>5369</v>
      </c>
      <c r="L1179" s="2">
        <v>230.4</v>
      </c>
      <c r="M1179" s="2">
        <v>418.8</v>
      </c>
      <c r="N1179" s="2">
        <v>18270</v>
      </c>
      <c r="O1179" s="2">
        <v>49.1</v>
      </c>
    </row>
    <row r="1180" spans="1:15" ht="24.95" customHeight="1" x14ac:dyDescent="0.25">
      <c r="A1180" s="1" t="s">
        <v>1204</v>
      </c>
      <c r="B1180" s="2">
        <v>284</v>
      </c>
      <c r="C1180" s="2">
        <v>126</v>
      </c>
      <c r="D1180" s="2">
        <v>41.9</v>
      </c>
      <c r="E1180" s="2">
        <v>84</v>
      </c>
      <c r="F1180" s="2">
        <v>0.2</v>
      </c>
      <c r="H1180" s="2">
        <v>3316</v>
      </c>
      <c r="I1180" s="2">
        <v>163</v>
      </c>
      <c r="J1180" s="2">
        <v>417816</v>
      </c>
      <c r="K1180" s="2">
        <v>9142</v>
      </c>
      <c r="L1180" s="2">
        <v>486.6</v>
      </c>
      <c r="M1180" s="2">
        <v>802.9</v>
      </c>
      <c r="N1180" s="2">
        <v>27920</v>
      </c>
      <c r="O1180" s="2">
        <v>33.700000000000003</v>
      </c>
    </row>
    <row r="1181" spans="1:15" ht="24.95" customHeight="1" x14ac:dyDescent="0.25">
      <c r="A1181" s="1" t="s">
        <v>1206</v>
      </c>
      <c r="B1181" s="2">
        <v>264</v>
      </c>
      <c r="C1181" s="2">
        <v>135</v>
      </c>
      <c r="D1181" s="2">
        <v>46.4</v>
      </c>
      <c r="E1181" s="2">
        <v>90</v>
      </c>
      <c r="F1181" s="2">
        <v>-1.4</v>
      </c>
      <c r="H1181" s="2">
        <v>1540</v>
      </c>
      <c r="I1181" s="2">
        <v>178</v>
      </c>
      <c r="J1181" s="2">
        <v>207900</v>
      </c>
      <c r="K1181" s="2">
        <v>4608</v>
      </c>
      <c r="L1181" s="2">
        <v>253.2</v>
      </c>
      <c r="M1181" s="2">
        <v>368.6</v>
      </c>
      <c r="N1181" s="2">
        <v>12380</v>
      </c>
      <c r="O1181" s="2">
        <v>34.299999999999997</v>
      </c>
    </row>
    <row r="1182" spans="1:15" ht="24.95" customHeight="1" x14ac:dyDescent="0.25">
      <c r="A1182" s="1" t="s">
        <v>1207</v>
      </c>
      <c r="B1182" s="2">
        <v>270</v>
      </c>
      <c r="C1182" s="2">
        <v>130</v>
      </c>
      <c r="D1182" s="2">
        <v>39.799999999999997</v>
      </c>
      <c r="E1182" s="2">
        <v>90</v>
      </c>
      <c r="F1182" s="2">
        <v>0.2</v>
      </c>
      <c r="H1182" s="2">
        <v>1035</v>
      </c>
      <c r="I1182" s="2">
        <v>132</v>
      </c>
      <c r="J1182" s="2">
        <v>134550</v>
      </c>
      <c r="K1182" s="2">
        <v>3733</v>
      </c>
      <c r="L1182" s="2">
        <v>138</v>
      </c>
      <c r="M1182" s="2">
        <v>273.89999999999998</v>
      </c>
      <c r="N1182" s="2">
        <v>10250</v>
      </c>
      <c r="O1182" s="2">
        <v>40.299999999999997</v>
      </c>
    </row>
    <row r="1183" spans="1:15" ht="24.95" customHeight="1" x14ac:dyDescent="0.25">
      <c r="A1183" s="1" t="s">
        <v>1208</v>
      </c>
      <c r="B1183" s="2">
        <v>252</v>
      </c>
      <c r="C1183" s="2">
        <v>123</v>
      </c>
      <c r="D1183" s="2">
        <v>32</v>
      </c>
      <c r="E1183" s="2">
        <v>90</v>
      </c>
      <c r="F1183" s="2">
        <v>1</v>
      </c>
      <c r="H1183" s="2">
        <v>1987</v>
      </c>
      <c r="I1183" s="2">
        <v>171</v>
      </c>
      <c r="J1183" s="2">
        <v>244401</v>
      </c>
      <c r="K1183" s="2">
        <v>6905</v>
      </c>
      <c r="L1183" s="2">
        <v>309.5</v>
      </c>
      <c r="M1183" s="2">
        <v>511.1</v>
      </c>
      <c r="N1183" s="2">
        <v>23160</v>
      </c>
      <c r="O1183" s="2">
        <v>51.5</v>
      </c>
    </row>
    <row r="1184" spans="1:15" ht="24.95" customHeight="1" x14ac:dyDescent="0.25">
      <c r="A1184" s="1" t="s">
        <v>1209</v>
      </c>
      <c r="B1184" s="2">
        <v>276</v>
      </c>
      <c r="C1184" s="2">
        <v>132</v>
      </c>
      <c r="D1184" s="2">
        <v>48</v>
      </c>
      <c r="E1184" s="2">
        <v>84.4</v>
      </c>
      <c r="F1184" s="2">
        <v>-0.4</v>
      </c>
      <c r="H1184" s="2">
        <v>2500</v>
      </c>
      <c r="I1184" s="2">
        <v>142</v>
      </c>
      <c r="J1184" s="2">
        <v>330000</v>
      </c>
      <c r="K1184" s="2">
        <v>8584</v>
      </c>
      <c r="L1184" s="2">
        <v>404</v>
      </c>
      <c r="M1184" s="2">
        <v>683.2</v>
      </c>
      <c r="N1184" s="2">
        <v>22990</v>
      </c>
      <c r="O1184" s="2">
        <v>35</v>
      </c>
    </row>
    <row r="1185" spans="1:15" ht="24.95" customHeight="1" x14ac:dyDescent="0.25">
      <c r="A1185" s="1" t="s">
        <v>1210</v>
      </c>
      <c r="B1185" s="2">
        <v>300</v>
      </c>
      <c r="C1185" s="2">
        <v>135</v>
      </c>
      <c r="D1185" s="2">
        <v>44.4</v>
      </c>
      <c r="E1185" s="2">
        <v>90</v>
      </c>
      <c r="F1185" s="2">
        <v>0.6</v>
      </c>
      <c r="H1185" s="2">
        <v>1800</v>
      </c>
      <c r="I1185" s="2">
        <v>101</v>
      </c>
      <c r="J1185" s="2">
        <v>243000</v>
      </c>
      <c r="K1185" s="2">
        <v>7971</v>
      </c>
      <c r="L1185" s="2">
        <v>202.4</v>
      </c>
      <c r="M1185" s="2">
        <v>457.7</v>
      </c>
      <c r="N1185" s="2">
        <v>21250</v>
      </c>
      <c r="O1185" s="2">
        <v>52.7</v>
      </c>
    </row>
    <row r="1186" spans="1:15" ht="24.95" customHeight="1" x14ac:dyDescent="0.25">
      <c r="A1186" s="1" t="s">
        <v>1211</v>
      </c>
      <c r="B1186" s="2">
        <v>276</v>
      </c>
      <c r="C1186" s="2">
        <v>132</v>
      </c>
      <c r="D1186" s="2">
        <v>38.1</v>
      </c>
      <c r="E1186" s="2">
        <v>90</v>
      </c>
      <c r="F1186" s="2">
        <v>4</v>
      </c>
      <c r="H1186" s="2">
        <v>1155</v>
      </c>
      <c r="I1186" s="2">
        <v>160</v>
      </c>
      <c r="J1186" s="2">
        <v>152460</v>
      </c>
      <c r="K1186" s="2">
        <v>5048</v>
      </c>
      <c r="L1186" s="2">
        <v>182.6</v>
      </c>
      <c r="M1186" s="2">
        <v>306.7</v>
      </c>
      <c r="N1186" s="2">
        <v>17740</v>
      </c>
      <c r="O1186" s="2">
        <v>62.1</v>
      </c>
    </row>
    <row r="1187" spans="1:15" ht="24.95" customHeight="1" x14ac:dyDescent="0.25">
      <c r="A1187" s="1" t="s">
        <v>1212</v>
      </c>
      <c r="B1187" s="2">
        <v>228</v>
      </c>
      <c r="C1187" s="2">
        <v>120</v>
      </c>
      <c r="D1187" s="2">
        <v>28.9</v>
      </c>
      <c r="E1187" s="2">
        <v>90</v>
      </c>
      <c r="F1187" s="2">
        <v>1.1000000000000001</v>
      </c>
      <c r="H1187" s="2">
        <v>600</v>
      </c>
      <c r="I1187" s="2">
        <v>155</v>
      </c>
      <c r="J1187" s="2">
        <v>72000</v>
      </c>
      <c r="K1187" s="2">
        <v>2730</v>
      </c>
      <c r="L1187" s="2">
        <v>96.3</v>
      </c>
      <c r="M1187" s="2">
        <v>160.5</v>
      </c>
      <c r="N1187" s="2">
        <v>9100</v>
      </c>
      <c r="O1187" s="2">
        <v>63.1</v>
      </c>
    </row>
    <row r="1188" spans="1:15" ht="24.95" customHeight="1" x14ac:dyDescent="0.25">
      <c r="A1188" s="1" t="s">
        <v>1213</v>
      </c>
      <c r="B1188" s="2">
        <v>270</v>
      </c>
      <c r="C1188" s="2">
        <v>112</v>
      </c>
      <c r="D1188" s="2">
        <v>19.899999999999999</v>
      </c>
      <c r="E1188" s="2">
        <v>90</v>
      </c>
      <c r="F1188" s="2">
        <v>2.1</v>
      </c>
      <c r="H1188" s="2">
        <v>442</v>
      </c>
      <c r="I1188" s="2">
        <v>158</v>
      </c>
      <c r="J1188" s="2">
        <v>49504</v>
      </c>
      <c r="K1188" s="2">
        <v>2158</v>
      </c>
      <c r="L1188" s="2">
        <v>82.2</v>
      </c>
      <c r="M1188" s="2">
        <v>117.2</v>
      </c>
      <c r="N1188" s="2">
        <v>6890</v>
      </c>
      <c r="O1188" s="2">
        <v>63.6</v>
      </c>
    </row>
    <row r="1189" spans="1:15" ht="24.95" customHeight="1" x14ac:dyDescent="0.25">
      <c r="A1189" s="1" t="s">
        <v>1214</v>
      </c>
      <c r="B1189" s="2">
        <v>270</v>
      </c>
      <c r="C1189" s="2">
        <v>122</v>
      </c>
      <c r="D1189" s="2">
        <v>32.299999999999997</v>
      </c>
      <c r="E1189" s="2">
        <v>89.6</v>
      </c>
      <c r="F1189" s="2">
        <v>0.2</v>
      </c>
      <c r="H1189" s="2">
        <v>1170</v>
      </c>
      <c r="I1189" s="2">
        <v>160</v>
      </c>
      <c r="J1189" s="2">
        <v>142740</v>
      </c>
      <c r="K1189" s="2">
        <v>4625</v>
      </c>
      <c r="L1189" s="2">
        <v>187.5</v>
      </c>
      <c r="M1189" s="2">
        <v>326.3</v>
      </c>
      <c r="N1189" s="2">
        <v>14320</v>
      </c>
      <c r="O1189" s="2">
        <v>52.2</v>
      </c>
    </row>
    <row r="1190" spans="1:15" ht="24.95" customHeight="1" x14ac:dyDescent="0.25">
      <c r="A1190" s="1" t="s">
        <v>1215</v>
      </c>
      <c r="B1190" s="2">
        <v>282</v>
      </c>
      <c r="C1190" s="2">
        <v>129</v>
      </c>
      <c r="D1190" s="2">
        <v>43.9</v>
      </c>
      <c r="E1190" s="2">
        <v>84.4</v>
      </c>
      <c r="F1190" s="2">
        <v>0.7</v>
      </c>
      <c r="H1190" s="2">
        <v>2000</v>
      </c>
      <c r="I1190" s="2">
        <v>170</v>
      </c>
      <c r="J1190" s="2">
        <v>258000</v>
      </c>
      <c r="K1190" s="2">
        <v>7680</v>
      </c>
      <c r="L1190" s="2">
        <v>317.3</v>
      </c>
      <c r="M1190" s="2">
        <v>526.20000000000005</v>
      </c>
      <c r="N1190" s="2">
        <v>26640</v>
      </c>
      <c r="O1190" s="2">
        <v>56.8</v>
      </c>
    </row>
    <row r="1191" spans="1:15" ht="24.95" customHeight="1" x14ac:dyDescent="0.25">
      <c r="A1191" s="1" t="s">
        <v>1216</v>
      </c>
      <c r="B1191" s="2">
        <v>276</v>
      </c>
      <c r="C1191" s="2">
        <v>126</v>
      </c>
      <c r="D1191" s="2">
        <v>34.4</v>
      </c>
      <c r="E1191" s="2">
        <v>90</v>
      </c>
      <c r="F1191" s="2">
        <v>1.6</v>
      </c>
      <c r="H1191" s="2">
        <v>675</v>
      </c>
      <c r="I1191" s="2">
        <v>144</v>
      </c>
      <c r="J1191" s="2">
        <v>85050</v>
      </c>
      <c r="K1191" s="2">
        <v>3431</v>
      </c>
      <c r="L1191" s="2">
        <v>95.9</v>
      </c>
      <c r="M1191" s="2">
        <v>177.1</v>
      </c>
      <c r="N1191" s="2">
        <v>9450</v>
      </c>
      <c r="O1191" s="2">
        <v>59.1</v>
      </c>
    </row>
    <row r="1192" spans="1:15" ht="24.95" customHeight="1" x14ac:dyDescent="0.25">
      <c r="A1192" s="1" t="s">
        <v>1217</v>
      </c>
      <c r="B1192" s="2">
        <v>264</v>
      </c>
      <c r="C1192" s="2">
        <v>123</v>
      </c>
      <c r="D1192" s="2">
        <v>30.8</v>
      </c>
      <c r="E1192" s="2">
        <v>89.6</v>
      </c>
      <c r="F1192" s="2">
        <v>2.6</v>
      </c>
      <c r="H1192" s="2">
        <v>243</v>
      </c>
      <c r="I1192" s="2">
        <v>117</v>
      </c>
      <c r="J1192" s="2">
        <v>29889</v>
      </c>
      <c r="K1192" s="2">
        <v>973</v>
      </c>
      <c r="L1192" s="2">
        <v>29.1</v>
      </c>
      <c r="M1192" s="2">
        <v>63.9</v>
      </c>
      <c r="N1192" s="2">
        <v>2580</v>
      </c>
      <c r="O1192" s="2">
        <v>45.5</v>
      </c>
    </row>
    <row r="1193" spans="1:15" ht="24.95" customHeight="1" x14ac:dyDescent="0.25">
      <c r="A1193" s="1" t="s">
        <v>1218</v>
      </c>
      <c r="B1193" s="2">
        <v>246</v>
      </c>
      <c r="C1193" s="2">
        <v>114</v>
      </c>
      <c r="D1193" s="2">
        <v>23.6</v>
      </c>
      <c r="E1193" s="2">
        <v>90</v>
      </c>
      <c r="F1193" s="2">
        <v>0.4</v>
      </c>
      <c r="H1193" s="2">
        <v>360</v>
      </c>
      <c r="I1193" s="2">
        <v>154</v>
      </c>
      <c r="J1193" s="2">
        <v>41040</v>
      </c>
      <c r="K1193" s="2">
        <v>1381</v>
      </c>
      <c r="L1193" s="2">
        <v>51.5</v>
      </c>
      <c r="M1193" s="2">
        <v>97.8</v>
      </c>
      <c r="N1193" s="2">
        <v>4120</v>
      </c>
      <c r="O1193" s="2">
        <v>49.3</v>
      </c>
    </row>
    <row r="1194" spans="1:15" ht="24.95" customHeight="1" x14ac:dyDescent="0.25">
      <c r="A1194" s="1" t="s">
        <v>1219</v>
      </c>
      <c r="B1194" s="2">
        <v>270</v>
      </c>
      <c r="C1194" s="2">
        <v>120</v>
      </c>
      <c r="D1194" s="2">
        <v>31.6</v>
      </c>
      <c r="E1194" s="2">
        <v>90</v>
      </c>
      <c r="F1194" s="2">
        <v>-1.5</v>
      </c>
      <c r="H1194" s="2">
        <v>440</v>
      </c>
      <c r="I1194" s="2">
        <v>126</v>
      </c>
      <c r="J1194" s="2">
        <v>52800</v>
      </c>
      <c r="K1194" s="2">
        <v>1835</v>
      </c>
      <c r="L1194" s="2">
        <v>67.099999999999994</v>
      </c>
      <c r="M1194" s="2">
        <v>117.6</v>
      </c>
      <c r="N1194" s="2">
        <v>5150</v>
      </c>
      <c r="O1194" s="2">
        <v>49.7</v>
      </c>
    </row>
    <row r="1195" spans="1:15" ht="24.95" customHeight="1" x14ac:dyDescent="0.25">
      <c r="A1195" s="1" t="s">
        <v>1220</v>
      </c>
      <c r="B1195" s="2">
        <v>276</v>
      </c>
      <c r="C1195" s="2">
        <v>130</v>
      </c>
      <c r="D1195" s="2">
        <v>45.7</v>
      </c>
      <c r="E1195" s="2">
        <v>84.4</v>
      </c>
      <c r="F1195" s="2">
        <v>-0.1</v>
      </c>
      <c r="H1195" s="2">
        <v>1940</v>
      </c>
      <c r="I1195" s="2">
        <v>118</v>
      </c>
      <c r="J1195" s="2">
        <v>252200</v>
      </c>
      <c r="K1195" s="2">
        <v>6959</v>
      </c>
      <c r="L1195" s="2">
        <v>193.9</v>
      </c>
      <c r="M1195" s="2">
        <v>516.79999999999995</v>
      </c>
      <c r="N1195" s="2">
        <v>18320</v>
      </c>
      <c r="O1195" s="2">
        <v>38</v>
      </c>
    </row>
    <row r="1196" spans="1:15" ht="24.95" customHeight="1" x14ac:dyDescent="0.25">
      <c r="A1196" s="1" t="s">
        <v>1221</v>
      </c>
      <c r="B1196" s="2">
        <v>264</v>
      </c>
      <c r="C1196" s="2">
        <v>123</v>
      </c>
      <c r="D1196" s="2">
        <v>31</v>
      </c>
      <c r="E1196" s="2">
        <v>89.6</v>
      </c>
      <c r="F1196" s="2">
        <v>2.4</v>
      </c>
      <c r="H1196" s="2">
        <v>1022</v>
      </c>
      <c r="I1196" s="2">
        <v>156</v>
      </c>
      <c r="J1196" s="2">
        <v>125706</v>
      </c>
      <c r="K1196" s="2">
        <v>4516</v>
      </c>
      <c r="L1196" s="2">
        <v>156.9</v>
      </c>
      <c r="M1196" s="2">
        <v>252.5</v>
      </c>
      <c r="N1196" s="2">
        <v>14820</v>
      </c>
      <c r="O1196" s="2">
        <v>62.3</v>
      </c>
    </row>
    <row r="1197" spans="1:15" ht="24.95" customHeight="1" x14ac:dyDescent="0.25">
      <c r="A1197" s="1" t="s">
        <v>1222</v>
      </c>
      <c r="B1197" s="2">
        <v>252</v>
      </c>
      <c r="C1197" s="2">
        <v>114</v>
      </c>
      <c r="D1197" s="2">
        <v>23.4</v>
      </c>
      <c r="E1197" s="2">
        <v>90</v>
      </c>
      <c r="F1197" s="2">
        <v>0.6</v>
      </c>
      <c r="H1197" s="2">
        <v>1186</v>
      </c>
      <c r="I1197" s="2">
        <v>168</v>
      </c>
      <c r="J1197" s="2">
        <v>135204</v>
      </c>
      <c r="K1197" s="2">
        <v>5156</v>
      </c>
      <c r="L1197" s="2">
        <v>214.5</v>
      </c>
      <c r="M1197" s="2">
        <v>299.10000000000002</v>
      </c>
      <c r="N1197" s="2">
        <v>15400</v>
      </c>
      <c r="O1197" s="2">
        <v>57.7</v>
      </c>
    </row>
    <row r="1198" spans="1:15" ht="24.95" customHeight="1" x14ac:dyDescent="0.25">
      <c r="A1198" s="1" t="s">
        <v>1223</v>
      </c>
      <c r="B1198" s="2">
        <v>294</v>
      </c>
      <c r="C1198" s="2">
        <v>134</v>
      </c>
      <c r="D1198" s="2">
        <v>43.5</v>
      </c>
      <c r="E1198" s="2">
        <v>90</v>
      </c>
      <c r="F1198" s="2">
        <v>0.5</v>
      </c>
      <c r="H1198" s="2">
        <v>900</v>
      </c>
      <c r="I1198" s="2">
        <v>107</v>
      </c>
      <c r="J1198" s="2">
        <v>120600</v>
      </c>
      <c r="K1198" s="2">
        <v>3741</v>
      </c>
      <c r="L1198" s="2">
        <v>101.5</v>
      </c>
      <c r="M1198" s="2">
        <v>227.8</v>
      </c>
      <c r="N1198" s="2">
        <v>9380</v>
      </c>
      <c r="O1198" s="2">
        <v>45.7</v>
      </c>
    </row>
    <row r="1199" spans="1:15" ht="24.95" customHeight="1" x14ac:dyDescent="0.25">
      <c r="A1199" s="1" t="s">
        <v>1224</v>
      </c>
      <c r="B1199" s="2">
        <v>276</v>
      </c>
      <c r="C1199" s="2">
        <v>129</v>
      </c>
      <c r="D1199" s="2">
        <v>44.5</v>
      </c>
      <c r="E1199" s="2">
        <v>84</v>
      </c>
      <c r="F1199" s="2">
        <v>0.5</v>
      </c>
      <c r="H1199" s="2">
        <v>800</v>
      </c>
      <c r="I1199" s="2">
        <v>135</v>
      </c>
      <c r="J1199" s="2">
        <v>103200</v>
      </c>
      <c r="K1199" s="2">
        <v>3201</v>
      </c>
      <c r="L1199" s="2">
        <v>94.2</v>
      </c>
      <c r="M1199" s="2">
        <v>208.6</v>
      </c>
      <c r="N1199" s="2">
        <v>8520</v>
      </c>
      <c r="O1199" s="2">
        <v>45.9</v>
      </c>
    </row>
    <row r="1200" spans="1:15" ht="24.95" customHeight="1" x14ac:dyDescent="0.25">
      <c r="A1200" s="1" t="s">
        <v>1225</v>
      </c>
      <c r="B1200" s="2">
        <v>258</v>
      </c>
      <c r="C1200" s="2">
        <v>126</v>
      </c>
      <c r="D1200" s="2">
        <v>33.799999999999997</v>
      </c>
      <c r="E1200" s="2">
        <v>90</v>
      </c>
      <c r="F1200" s="2">
        <v>2.2000000000000002</v>
      </c>
      <c r="H1200" s="2">
        <v>946</v>
      </c>
      <c r="I1200" s="2">
        <v>134</v>
      </c>
      <c r="J1200" s="2">
        <v>119196</v>
      </c>
      <c r="K1200" s="2">
        <v>4142</v>
      </c>
      <c r="L1200" s="2">
        <v>152</v>
      </c>
      <c r="M1200" s="2">
        <v>243.7</v>
      </c>
      <c r="N1200" s="2">
        <v>14530</v>
      </c>
      <c r="O1200" s="2">
        <v>63</v>
      </c>
    </row>
    <row r="1201" spans="1:15" ht="24.95" customHeight="1" x14ac:dyDescent="0.25">
      <c r="A1201" s="1" t="s">
        <v>1226</v>
      </c>
      <c r="B1201" s="2">
        <v>246</v>
      </c>
      <c r="C1201" s="2">
        <v>120</v>
      </c>
      <c r="D1201" s="2">
        <v>30.9</v>
      </c>
      <c r="E1201" s="2">
        <v>90</v>
      </c>
      <c r="F1201" s="2">
        <v>-0.9</v>
      </c>
      <c r="H1201" s="2">
        <v>1712</v>
      </c>
      <c r="I1201" s="2">
        <v>119</v>
      </c>
      <c r="J1201" s="2">
        <v>205440</v>
      </c>
      <c r="K1201" s="2">
        <v>6868</v>
      </c>
      <c r="L1201" s="2">
        <v>214.1</v>
      </c>
      <c r="M1201" s="2">
        <v>428.8</v>
      </c>
      <c r="N1201" s="2">
        <v>18510</v>
      </c>
      <c r="O1201" s="2">
        <v>47.9</v>
      </c>
    </row>
    <row r="1202" spans="1:15" ht="24.95" customHeight="1" x14ac:dyDescent="0.25">
      <c r="A1202" s="1" t="s">
        <v>1227</v>
      </c>
      <c r="B1202" s="2">
        <v>240</v>
      </c>
      <c r="C1202" s="2">
        <v>123</v>
      </c>
      <c r="D1202" s="2">
        <v>38.1</v>
      </c>
      <c r="E1202" s="2">
        <v>84</v>
      </c>
      <c r="F1202" s="2">
        <v>1</v>
      </c>
      <c r="H1202" s="2">
        <v>845</v>
      </c>
      <c r="I1202" s="2">
        <v>174</v>
      </c>
      <c r="J1202" s="2">
        <v>103935</v>
      </c>
      <c r="K1202" s="2">
        <v>3107</v>
      </c>
      <c r="L1202" s="2">
        <v>120.6</v>
      </c>
      <c r="M1202" s="2">
        <v>221.1</v>
      </c>
      <c r="N1202" s="2">
        <v>8710</v>
      </c>
      <c r="O1202" s="2">
        <v>43.8</v>
      </c>
    </row>
    <row r="1203" spans="1:15" ht="24.95" customHeight="1" x14ac:dyDescent="0.25">
      <c r="A1203" s="1" t="s">
        <v>1228</v>
      </c>
      <c r="B1203" s="2">
        <v>288</v>
      </c>
      <c r="C1203" s="2">
        <v>136</v>
      </c>
      <c r="D1203" s="2">
        <v>51.7</v>
      </c>
      <c r="E1203" s="2">
        <v>84</v>
      </c>
      <c r="F1203" s="2">
        <v>0.4</v>
      </c>
      <c r="H1203" s="2">
        <v>1858</v>
      </c>
      <c r="I1203" s="2">
        <v>174</v>
      </c>
      <c r="J1203" s="2">
        <v>252688</v>
      </c>
      <c r="K1203" s="2">
        <v>5457</v>
      </c>
      <c r="L1203" s="2">
        <v>307.89999999999998</v>
      </c>
      <c r="M1203" s="2">
        <v>463.8</v>
      </c>
      <c r="N1203" s="2">
        <v>15530</v>
      </c>
      <c r="O1203" s="2">
        <v>34.4</v>
      </c>
    </row>
    <row r="1204" spans="1:15" ht="24.95" customHeight="1" x14ac:dyDescent="0.25">
      <c r="A1204" s="1" t="s">
        <v>1229</v>
      </c>
      <c r="B1204" s="2">
        <v>288</v>
      </c>
      <c r="C1204" s="2">
        <v>126</v>
      </c>
      <c r="D1204" s="2">
        <v>33.799999999999997</v>
      </c>
      <c r="E1204" s="2">
        <v>90</v>
      </c>
      <c r="F1204" s="2">
        <v>2.2999999999999998</v>
      </c>
      <c r="H1204" s="2">
        <v>1191</v>
      </c>
      <c r="I1204" s="2">
        <v>173</v>
      </c>
      <c r="J1204" s="2">
        <v>150066</v>
      </c>
      <c r="K1204" s="2">
        <v>5034</v>
      </c>
      <c r="L1204" s="2">
        <v>184.4</v>
      </c>
      <c r="M1204" s="2">
        <v>311.8</v>
      </c>
      <c r="N1204" s="2">
        <v>15830</v>
      </c>
      <c r="O1204" s="2">
        <v>56.8</v>
      </c>
    </row>
    <row r="1205" spans="1:15" ht="24.95" customHeight="1" x14ac:dyDescent="0.25">
      <c r="A1205" s="1" t="s">
        <v>1230</v>
      </c>
      <c r="B1205" s="2">
        <v>312</v>
      </c>
      <c r="C1205" s="2">
        <v>141</v>
      </c>
      <c r="D1205" s="2">
        <v>56.6</v>
      </c>
      <c r="E1205" s="2">
        <v>84.4</v>
      </c>
      <c r="H1205" s="2">
        <v>2200</v>
      </c>
      <c r="I1205" s="2">
        <v>147</v>
      </c>
      <c r="J1205" s="2">
        <v>310200</v>
      </c>
      <c r="K1205" s="2">
        <v>6239</v>
      </c>
      <c r="L1205" s="2">
        <v>401.8</v>
      </c>
      <c r="M1205" s="2">
        <v>563</v>
      </c>
      <c r="N1205" s="2">
        <v>18360</v>
      </c>
      <c r="O1205" s="2">
        <v>30.5</v>
      </c>
    </row>
    <row r="1206" spans="1:15" ht="24.95" customHeight="1" x14ac:dyDescent="0.25">
      <c r="A1206" s="1" t="s">
        <v>1231</v>
      </c>
      <c r="B1206" s="2">
        <v>276</v>
      </c>
      <c r="C1206" s="2">
        <v>123</v>
      </c>
      <c r="D1206" s="2">
        <v>31.4</v>
      </c>
      <c r="E1206" s="2">
        <v>89.6</v>
      </c>
      <c r="F1206" s="2">
        <v>2</v>
      </c>
      <c r="H1206" s="2">
        <v>1275</v>
      </c>
      <c r="I1206" s="2">
        <v>148</v>
      </c>
      <c r="J1206" s="2">
        <v>156825</v>
      </c>
      <c r="K1206" s="2">
        <v>5700</v>
      </c>
      <c r="L1206" s="2">
        <v>175.1</v>
      </c>
      <c r="M1206" s="2">
        <v>304.8</v>
      </c>
      <c r="N1206" s="2">
        <v>18240</v>
      </c>
      <c r="O1206" s="2">
        <v>59.8</v>
      </c>
    </row>
    <row r="1207" spans="1:15" ht="24.95" customHeight="1" x14ac:dyDescent="0.25">
      <c r="A1207" s="1" t="s">
        <v>1232</v>
      </c>
      <c r="B1207" s="2">
        <v>276</v>
      </c>
      <c r="C1207" s="2">
        <v>132</v>
      </c>
      <c r="D1207" s="2">
        <v>42.2</v>
      </c>
      <c r="E1207" s="2">
        <v>90</v>
      </c>
      <c r="F1207" s="2">
        <v>-0.1</v>
      </c>
      <c r="H1207" s="2">
        <v>1020</v>
      </c>
      <c r="I1207" s="2">
        <v>159</v>
      </c>
      <c r="J1207" s="2">
        <v>134640</v>
      </c>
      <c r="K1207" s="2">
        <v>3135</v>
      </c>
      <c r="L1207" s="2">
        <v>178.2</v>
      </c>
      <c r="M1207" s="2">
        <v>256.89999999999998</v>
      </c>
      <c r="N1207" s="2">
        <v>9360</v>
      </c>
      <c r="O1207" s="2">
        <v>37.299999999999997</v>
      </c>
    </row>
    <row r="1208" spans="1:15" ht="24.95" customHeight="1" x14ac:dyDescent="0.25">
      <c r="A1208" s="1" t="s">
        <v>1233</v>
      </c>
      <c r="B1208" s="2">
        <v>272</v>
      </c>
      <c r="C1208" s="2">
        <v>126</v>
      </c>
      <c r="D1208" s="2">
        <v>35.1</v>
      </c>
      <c r="E1208" s="2">
        <v>90</v>
      </c>
      <c r="F1208" s="2">
        <v>0.9</v>
      </c>
      <c r="H1208" s="2">
        <v>2180</v>
      </c>
      <c r="I1208" s="2">
        <v>151</v>
      </c>
      <c r="J1208" s="2">
        <v>274680</v>
      </c>
      <c r="K1208" s="2">
        <v>3484</v>
      </c>
      <c r="L1208" s="2">
        <v>150.69999999999999</v>
      </c>
      <c r="M1208" s="2">
        <v>544.29999999999995</v>
      </c>
      <c r="N1208" s="2">
        <v>11420</v>
      </c>
    </row>
    <row r="1209" spans="1:15" ht="24.95" customHeight="1" x14ac:dyDescent="0.25">
      <c r="A1209" s="1" t="s">
        <v>1234</v>
      </c>
      <c r="B1209" s="2">
        <v>264</v>
      </c>
      <c r="C1209" s="2">
        <v>120</v>
      </c>
      <c r="D1209" s="2">
        <v>28.3</v>
      </c>
      <c r="E1209" s="2">
        <v>90</v>
      </c>
      <c r="F1209" s="2">
        <v>1.7</v>
      </c>
      <c r="H1209" s="2">
        <v>1281</v>
      </c>
      <c r="I1209" s="2">
        <v>179</v>
      </c>
      <c r="J1209" s="2">
        <v>153720</v>
      </c>
      <c r="K1209" s="2">
        <v>3862</v>
      </c>
      <c r="L1209" s="2">
        <v>171.4</v>
      </c>
      <c r="M1209" s="2">
        <v>317.2</v>
      </c>
      <c r="N1209" s="2">
        <v>14130</v>
      </c>
      <c r="O1209" s="2">
        <v>50.1</v>
      </c>
    </row>
    <row r="1210" spans="1:15" ht="24.95" customHeight="1" x14ac:dyDescent="0.25">
      <c r="A1210" s="1" t="s">
        <v>1235</v>
      </c>
      <c r="B1210" s="2">
        <v>264</v>
      </c>
      <c r="C1210" s="2">
        <v>132</v>
      </c>
      <c r="D1210" s="2">
        <v>43.9</v>
      </c>
      <c r="E1210" s="2">
        <v>90</v>
      </c>
      <c r="F1210" s="2">
        <v>-1.8</v>
      </c>
      <c r="H1210" s="2">
        <v>570</v>
      </c>
      <c r="I1210" s="2">
        <v>129</v>
      </c>
      <c r="J1210" s="2">
        <v>75240</v>
      </c>
      <c r="K1210" s="2">
        <v>1980</v>
      </c>
      <c r="L1210" s="2">
        <v>65.3</v>
      </c>
      <c r="M1210" s="2">
        <v>143.80000000000001</v>
      </c>
      <c r="N1210" s="2">
        <v>5510</v>
      </c>
      <c r="O1210" s="2">
        <v>42.6</v>
      </c>
    </row>
    <row r="1211" spans="1:15" ht="24.95" customHeight="1" x14ac:dyDescent="0.25">
      <c r="A1211" s="1" t="s">
        <v>1236</v>
      </c>
      <c r="B1211" s="2">
        <v>312</v>
      </c>
      <c r="C1211" s="2">
        <v>134</v>
      </c>
      <c r="D1211" s="2">
        <v>47.5</v>
      </c>
      <c r="E1211" s="2">
        <v>84.4</v>
      </c>
      <c r="F1211" s="2">
        <v>2.1</v>
      </c>
      <c r="H1211" s="2">
        <v>1550</v>
      </c>
      <c r="I1211" s="2">
        <v>133</v>
      </c>
      <c r="J1211" s="2">
        <v>207700</v>
      </c>
      <c r="K1211" s="2">
        <v>5520</v>
      </c>
      <c r="L1211" s="2">
        <v>195.9</v>
      </c>
      <c r="M1211" s="2">
        <v>393</v>
      </c>
      <c r="N1211" s="2">
        <v>16900</v>
      </c>
      <c r="O1211" s="2">
        <v>47.1</v>
      </c>
    </row>
    <row r="1212" spans="1:15" ht="24.95" customHeight="1" x14ac:dyDescent="0.25">
      <c r="A1212" s="1" t="s">
        <v>1237</v>
      </c>
      <c r="B1212" s="2">
        <v>252</v>
      </c>
      <c r="C1212" s="2">
        <v>117</v>
      </c>
      <c r="D1212" s="2">
        <v>26.8</v>
      </c>
      <c r="E1212" s="2">
        <v>89.6</v>
      </c>
      <c r="F1212" s="2">
        <v>0.7</v>
      </c>
      <c r="H1212" s="2">
        <v>1130</v>
      </c>
      <c r="I1212" s="2">
        <v>148</v>
      </c>
      <c r="J1212" s="2">
        <v>132210</v>
      </c>
      <c r="K1212" s="2">
        <v>4697</v>
      </c>
      <c r="L1212" s="2">
        <v>170.2</v>
      </c>
      <c r="M1212" s="2">
        <v>291.2</v>
      </c>
      <c r="N1212" s="2">
        <v>12810</v>
      </c>
      <c r="O1212" s="2">
        <v>49.5</v>
      </c>
    </row>
    <row r="1213" spans="1:15" ht="24.95" customHeight="1" x14ac:dyDescent="0.25">
      <c r="A1213" s="1" t="s">
        <v>1238</v>
      </c>
      <c r="B1213" s="2">
        <v>276</v>
      </c>
      <c r="C1213" s="2">
        <v>130</v>
      </c>
      <c r="D1213" s="2">
        <v>43.5</v>
      </c>
      <c r="E1213" s="2">
        <v>84.4</v>
      </c>
      <c r="F1213" s="2">
        <v>2.1</v>
      </c>
      <c r="H1213" s="2">
        <v>1250</v>
      </c>
      <c r="I1213" s="2">
        <v>149</v>
      </c>
      <c r="J1213" s="2">
        <v>162500</v>
      </c>
      <c r="K1213" s="2">
        <v>6016</v>
      </c>
      <c r="L1213" s="2">
        <v>205.8</v>
      </c>
      <c r="M1213" s="2">
        <v>325.39999999999998</v>
      </c>
      <c r="N1213" s="2">
        <v>18510</v>
      </c>
      <c r="O1213" s="2">
        <v>60.8</v>
      </c>
    </row>
    <row r="1214" spans="1:15" ht="24.95" customHeight="1" x14ac:dyDescent="0.25">
      <c r="A1214" s="1" t="s">
        <v>1239</v>
      </c>
      <c r="B1214" s="2">
        <v>298</v>
      </c>
      <c r="C1214" s="2">
        <v>134</v>
      </c>
      <c r="D1214" s="2">
        <v>42.9</v>
      </c>
      <c r="E1214" s="2">
        <v>90</v>
      </c>
      <c r="F1214" s="2">
        <v>1.1000000000000001</v>
      </c>
      <c r="H1214" s="2">
        <v>1200</v>
      </c>
      <c r="I1214" s="2">
        <v>140</v>
      </c>
      <c r="J1214" s="2">
        <v>160800</v>
      </c>
      <c r="K1214" s="2">
        <v>4056</v>
      </c>
      <c r="L1214" s="2">
        <v>173.1</v>
      </c>
      <c r="M1214" s="2">
        <v>331.6</v>
      </c>
      <c r="N1214" s="2">
        <v>11750</v>
      </c>
      <c r="O1214" s="2">
        <v>36.799999999999997</v>
      </c>
    </row>
    <row r="1215" spans="1:15" ht="24.95" customHeight="1" x14ac:dyDescent="0.25">
      <c r="A1215" s="1" t="s">
        <v>1240</v>
      </c>
      <c r="B1215" s="2">
        <v>273</v>
      </c>
      <c r="C1215" s="2">
        <v>120</v>
      </c>
      <c r="D1215" s="2">
        <v>35.700000000000003</v>
      </c>
      <c r="E1215" s="2">
        <v>84.4</v>
      </c>
      <c r="F1215" s="2">
        <v>-0.1</v>
      </c>
      <c r="H1215" s="2">
        <v>808</v>
      </c>
      <c r="I1215" s="2">
        <v>190</v>
      </c>
      <c r="J1215" s="2">
        <v>96960</v>
      </c>
      <c r="K1215" s="2">
        <v>2373</v>
      </c>
      <c r="L1215" s="2">
        <v>93.2</v>
      </c>
      <c r="M1215" s="2">
        <v>195.8</v>
      </c>
      <c r="N1215" s="2">
        <v>7130</v>
      </c>
      <c r="O1215" s="2">
        <v>38.700000000000003</v>
      </c>
    </row>
    <row r="1216" spans="1:15" ht="24.95" customHeight="1" x14ac:dyDescent="0.25">
      <c r="A1216" s="1" t="s">
        <v>1241</v>
      </c>
      <c r="B1216" s="2">
        <v>270</v>
      </c>
      <c r="C1216" s="2">
        <v>126</v>
      </c>
      <c r="D1216" s="2">
        <v>34</v>
      </c>
      <c r="E1216" s="2">
        <v>89.6</v>
      </c>
      <c r="F1216" s="2">
        <v>2.4</v>
      </c>
      <c r="H1216" s="2">
        <v>722</v>
      </c>
      <c r="I1216" s="2">
        <v>149</v>
      </c>
      <c r="J1216" s="2">
        <v>90972</v>
      </c>
      <c r="K1216" s="2">
        <v>3573</v>
      </c>
      <c r="L1216" s="2">
        <v>112.8</v>
      </c>
      <c r="M1216" s="2">
        <v>187.9</v>
      </c>
      <c r="N1216" s="2">
        <v>9370</v>
      </c>
      <c r="O1216" s="2">
        <v>56.8</v>
      </c>
    </row>
    <row r="1217" spans="1:15" ht="24.95" customHeight="1" x14ac:dyDescent="0.25">
      <c r="A1217" s="1" t="s">
        <v>1242</v>
      </c>
      <c r="B1217" s="2">
        <v>280</v>
      </c>
      <c r="C1217" s="2">
        <v>120</v>
      </c>
      <c r="D1217" s="2">
        <v>34.9</v>
      </c>
      <c r="E1217" s="2">
        <v>84.4</v>
      </c>
      <c r="F1217" s="2">
        <v>0.7</v>
      </c>
      <c r="H1217" s="2">
        <v>2549</v>
      </c>
      <c r="I1217" s="2">
        <v>206</v>
      </c>
      <c r="J1217" s="2">
        <v>305880</v>
      </c>
      <c r="K1217" s="2">
        <v>6118</v>
      </c>
      <c r="L1217" s="2">
        <v>227.8</v>
      </c>
      <c r="M1217" s="2">
        <v>639.70000000000005</v>
      </c>
      <c r="N1217" s="2">
        <v>19640</v>
      </c>
      <c r="O1217" s="2">
        <v>26.6</v>
      </c>
    </row>
    <row r="1218" spans="1:15" ht="24.95" customHeight="1" x14ac:dyDescent="0.25">
      <c r="A1218" s="1" t="s">
        <v>1243</v>
      </c>
      <c r="B1218" s="2">
        <v>264</v>
      </c>
      <c r="C1218" s="2">
        <v>132</v>
      </c>
      <c r="D1218" s="2">
        <v>44</v>
      </c>
      <c r="E1218" s="2">
        <v>90</v>
      </c>
      <c r="F1218" s="2">
        <v>-2</v>
      </c>
      <c r="H1218" s="2">
        <v>534</v>
      </c>
      <c r="I1218" s="2">
        <v>80</v>
      </c>
      <c r="J1218" s="2">
        <v>70488</v>
      </c>
      <c r="K1218" s="2">
        <v>1802</v>
      </c>
      <c r="L1218" s="2">
        <v>51.9</v>
      </c>
      <c r="M1218" s="2">
        <v>139.4</v>
      </c>
      <c r="N1218" s="2">
        <v>4940</v>
      </c>
      <c r="O1218" s="2">
        <v>38.299999999999997</v>
      </c>
    </row>
    <row r="1219" spans="1:15" ht="24.95" customHeight="1" x14ac:dyDescent="0.25">
      <c r="A1219" s="1" t="s">
        <v>846</v>
      </c>
      <c r="B1219" s="2">
        <v>288</v>
      </c>
      <c r="C1219" s="2">
        <v>134</v>
      </c>
      <c r="D1219" s="2">
        <v>48.8</v>
      </c>
      <c r="E1219" s="2">
        <v>84.4</v>
      </c>
      <c r="F1219" s="2">
        <v>0.8</v>
      </c>
      <c r="H1219" s="2">
        <v>2900</v>
      </c>
      <c r="I1219" s="2">
        <v>180</v>
      </c>
      <c r="J1219" s="2">
        <v>388600</v>
      </c>
      <c r="K1219" s="2">
        <v>8730</v>
      </c>
      <c r="L1219" s="2">
        <v>330</v>
      </c>
      <c r="M1219" s="2">
        <v>730.7</v>
      </c>
      <c r="N1219" s="2">
        <v>26030</v>
      </c>
      <c r="O1219" s="2">
        <v>36.299999999999997</v>
      </c>
    </row>
    <row r="1220" spans="1:15" ht="24.95" customHeight="1" x14ac:dyDescent="0.25">
      <c r="A1220" s="1" t="s">
        <v>537</v>
      </c>
      <c r="B1220" s="2">
        <v>240</v>
      </c>
      <c r="C1220" s="2">
        <v>117</v>
      </c>
      <c r="D1220" s="2">
        <v>25.6</v>
      </c>
      <c r="E1220" s="2">
        <v>89.6</v>
      </c>
      <c r="F1220" s="2">
        <v>1.9</v>
      </c>
      <c r="H1220" s="2">
        <v>525</v>
      </c>
      <c r="I1220" s="2">
        <v>134</v>
      </c>
      <c r="J1220" s="2">
        <v>61425</v>
      </c>
      <c r="K1220" s="2">
        <v>2806</v>
      </c>
      <c r="L1220" s="2">
        <v>105.8</v>
      </c>
      <c r="M1220" s="2">
        <v>150.30000000000001</v>
      </c>
      <c r="N1220" s="2">
        <v>8570</v>
      </c>
      <c r="O1220" s="2">
        <v>62.2</v>
      </c>
    </row>
    <row r="1221" spans="1:15" ht="24.95" customHeight="1" x14ac:dyDescent="0.25">
      <c r="A1221" s="1" t="s">
        <v>1244</v>
      </c>
      <c r="B1221" s="2">
        <v>270</v>
      </c>
      <c r="C1221" s="2">
        <v>123</v>
      </c>
      <c r="D1221" s="2">
        <v>32.299999999999997</v>
      </c>
      <c r="E1221" s="2">
        <v>90</v>
      </c>
      <c r="F1221" s="2">
        <v>0.8</v>
      </c>
      <c r="H1221" s="2">
        <v>1665</v>
      </c>
      <c r="I1221" s="2">
        <v>156</v>
      </c>
      <c r="J1221" s="2">
        <v>204795</v>
      </c>
      <c r="K1221" s="2">
        <v>6516</v>
      </c>
      <c r="L1221" s="2">
        <v>234.6</v>
      </c>
      <c r="M1221" s="2">
        <v>432.8</v>
      </c>
      <c r="N1221" s="2">
        <v>17320</v>
      </c>
      <c r="O1221" s="2">
        <v>45.4</v>
      </c>
    </row>
    <row r="1222" spans="1:15" ht="24.95" customHeight="1" x14ac:dyDescent="0.25">
      <c r="A1222" s="1" t="s">
        <v>1245</v>
      </c>
      <c r="B1222" s="2">
        <v>296</v>
      </c>
      <c r="C1222" s="2">
        <v>134</v>
      </c>
      <c r="D1222" s="2">
        <v>44.6</v>
      </c>
      <c r="E1222" s="2">
        <v>90</v>
      </c>
      <c r="F1222" s="2">
        <v>-0.6</v>
      </c>
      <c r="H1222" s="2">
        <v>1262</v>
      </c>
      <c r="I1222" s="2">
        <v>166</v>
      </c>
      <c r="J1222" s="2">
        <v>169108</v>
      </c>
      <c r="K1222" s="2">
        <v>3430</v>
      </c>
      <c r="L1222" s="2">
        <v>139.9</v>
      </c>
      <c r="M1222" s="2">
        <v>326.60000000000002</v>
      </c>
      <c r="N1222" s="2">
        <v>10500</v>
      </c>
      <c r="O1222" s="2">
        <v>31.6</v>
      </c>
    </row>
    <row r="1223" spans="1:15" ht="24.95" customHeight="1" x14ac:dyDescent="0.25">
      <c r="A1223" s="1" t="s">
        <v>1246</v>
      </c>
      <c r="B1223" s="2">
        <v>300</v>
      </c>
      <c r="C1223" s="2">
        <v>144</v>
      </c>
      <c r="D1223" s="2">
        <v>58.4</v>
      </c>
      <c r="E1223" s="2">
        <v>84.4</v>
      </c>
      <c r="F1223" s="2">
        <v>1.2</v>
      </c>
      <c r="H1223" s="2">
        <v>3375</v>
      </c>
      <c r="I1223" s="2">
        <v>144</v>
      </c>
      <c r="J1223" s="2">
        <v>486000</v>
      </c>
      <c r="K1223" s="2">
        <v>10388</v>
      </c>
      <c r="L1223" s="2">
        <v>504.2</v>
      </c>
      <c r="M1223" s="2">
        <v>851.1</v>
      </c>
      <c r="N1223" s="2">
        <v>29880</v>
      </c>
      <c r="O1223" s="2">
        <v>36.700000000000003</v>
      </c>
    </row>
    <row r="1224" spans="1:15" ht="24.95" customHeight="1" x14ac:dyDescent="0.25">
      <c r="A1224" s="1" t="s">
        <v>1247</v>
      </c>
      <c r="B1224" s="2">
        <v>273</v>
      </c>
      <c r="C1224" s="2">
        <v>132</v>
      </c>
      <c r="D1224" s="2">
        <v>47.9</v>
      </c>
      <c r="E1224" s="2">
        <v>84</v>
      </c>
      <c r="F1224" s="2">
        <v>0.1</v>
      </c>
      <c r="H1224" s="2">
        <v>489</v>
      </c>
      <c r="I1224" s="2">
        <v>125</v>
      </c>
      <c r="J1224" s="2">
        <v>64548</v>
      </c>
      <c r="K1224" s="2">
        <v>1970</v>
      </c>
      <c r="L1224" s="2">
        <v>78.8</v>
      </c>
      <c r="M1224" s="2">
        <v>133.4</v>
      </c>
      <c r="N1224" s="2">
        <v>5230</v>
      </c>
      <c r="O1224" s="2">
        <v>44</v>
      </c>
    </row>
    <row r="1225" spans="1:15" ht="24.95" customHeight="1" x14ac:dyDescent="0.25">
      <c r="A1225" s="1" t="s">
        <v>1248</v>
      </c>
      <c r="B1225" s="2">
        <v>288</v>
      </c>
      <c r="C1225" s="2">
        <v>135</v>
      </c>
      <c r="D1225" s="2">
        <v>53.5</v>
      </c>
      <c r="E1225" s="2">
        <v>84.4</v>
      </c>
      <c r="F1225" s="2">
        <v>-2.9</v>
      </c>
      <c r="H1225" s="2">
        <v>1582</v>
      </c>
      <c r="I1225" s="2">
        <v>149</v>
      </c>
      <c r="J1225" s="2">
        <v>213570</v>
      </c>
      <c r="K1225" s="2">
        <v>4483</v>
      </c>
      <c r="L1225" s="2">
        <v>196.4</v>
      </c>
      <c r="M1225" s="2">
        <v>416.5</v>
      </c>
      <c r="N1225" s="2">
        <v>13080</v>
      </c>
      <c r="O1225" s="2">
        <v>27.3</v>
      </c>
    </row>
    <row r="1226" spans="1:15" ht="24.95" customHeight="1" x14ac:dyDescent="0.25">
      <c r="A1226" s="1" t="s">
        <v>1249</v>
      </c>
      <c r="B1226" s="2">
        <v>306</v>
      </c>
      <c r="C1226" s="2">
        <v>138</v>
      </c>
      <c r="D1226" s="2">
        <v>51.3</v>
      </c>
      <c r="E1226" s="2">
        <v>84.4</v>
      </c>
      <c r="F1226" s="2">
        <v>2.2999999999999998</v>
      </c>
      <c r="H1226" s="2">
        <v>1372</v>
      </c>
      <c r="I1226" s="2">
        <v>123</v>
      </c>
      <c r="J1226" s="2">
        <v>189336</v>
      </c>
      <c r="K1226" s="2">
        <v>6662</v>
      </c>
      <c r="L1226" s="2">
        <v>169.7</v>
      </c>
      <c r="M1226" s="2">
        <v>367.8</v>
      </c>
      <c r="N1226" s="2">
        <v>17350</v>
      </c>
      <c r="O1226" s="2">
        <v>54.1</v>
      </c>
    </row>
    <row r="1227" spans="1:15" ht="24.95" customHeight="1" x14ac:dyDescent="0.25">
      <c r="A1227" s="1" t="s">
        <v>412</v>
      </c>
      <c r="B1227" s="2">
        <v>244</v>
      </c>
      <c r="C1227" s="2">
        <v>112</v>
      </c>
      <c r="D1227" s="2">
        <v>19.600000000000001</v>
      </c>
      <c r="E1227" s="2">
        <v>90</v>
      </c>
      <c r="F1227" s="2">
        <v>2.4</v>
      </c>
      <c r="H1227" s="2">
        <v>1278</v>
      </c>
      <c r="I1227" s="2">
        <v>157</v>
      </c>
      <c r="J1227" s="2">
        <v>143136</v>
      </c>
      <c r="K1227" s="2">
        <v>5830</v>
      </c>
      <c r="L1227" s="2">
        <v>219.3</v>
      </c>
      <c r="M1227" s="2">
        <v>331.2</v>
      </c>
      <c r="N1227" s="2">
        <v>17200</v>
      </c>
      <c r="O1227" s="2">
        <v>57.6</v>
      </c>
    </row>
    <row r="1228" spans="1:15" ht="24.95" customHeight="1" x14ac:dyDescent="0.25">
      <c r="A1228" s="1" t="s">
        <v>1250</v>
      </c>
      <c r="B1228" s="2">
        <v>282</v>
      </c>
      <c r="C1228" s="2">
        <v>118</v>
      </c>
      <c r="D1228" s="2">
        <v>28.3</v>
      </c>
      <c r="E1228" s="2">
        <v>90</v>
      </c>
      <c r="F1228" s="2">
        <v>-0.3</v>
      </c>
      <c r="H1228" s="2">
        <v>2525</v>
      </c>
      <c r="I1228" s="2">
        <v>280</v>
      </c>
      <c r="J1228" s="2">
        <v>297950</v>
      </c>
      <c r="K1228" s="2">
        <v>3675</v>
      </c>
      <c r="L1228" s="2">
        <v>156.30000000000001</v>
      </c>
      <c r="M1228" s="2">
        <v>640.20000000000005</v>
      </c>
      <c r="N1228" s="2">
        <v>11110</v>
      </c>
    </row>
    <row r="1229" spans="1:15" ht="24.95" customHeight="1" x14ac:dyDescent="0.25">
      <c r="A1229" s="1" t="s">
        <v>1251</v>
      </c>
      <c r="B1229" s="2">
        <v>258</v>
      </c>
      <c r="C1229" s="2">
        <v>116</v>
      </c>
      <c r="D1229" s="2">
        <v>31</v>
      </c>
      <c r="E1229" s="2">
        <v>84.4</v>
      </c>
      <c r="F1229" s="2">
        <v>0.6</v>
      </c>
      <c r="H1229" s="2">
        <v>1600</v>
      </c>
      <c r="I1229" s="2">
        <v>183</v>
      </c>
      <c r="J1229" s="2">
        <v>185600</v>
      </c>
      <c r="K1229" s="2">
        <v>4498</v>
      </c>
      <c r="L1229" s="2">
        <v>191.1</v>
      </c>
      <c r="M1229" s="2">
        <v>415.6</v>
      </c>
      <c r="N1229" s="2">
        <v>13740</v>
      </c>
      <c r="O1229" s="2">
        <v>33.799999999999997</v>
      </c>
    </row>
    <row r="1230" spans="1:15" ht="24.95" customHeight="1" x14ac:dyDescent="0.25">
      <c r="A1230" s="1" t="s">
        <v>1252</v>
      </c>
      <c r="B1230" s="2">
        <v>240</v>
      </c>
      <c r="C1230" s="2">
        <v>126</v>
      </c>
      <c r="D1230" s="2">
        <v>41.6</v>
      </c>
      <c r="E1230" s="2">
        <v>84.4</v>
      </c>
      <c r="H1230" s="2">
        <v>280</v>
      </c>
      <c r="I1230" s="2">
        <v>124</v>
      </c>
      <c r="J1230" s="2">
        <v>35280</v>
      </c>
      <c r="K1230" s="2">
        <v>880</v>
      </c>
      <c r="L1230" s="2">
        <v>40.9</v>
      </c>
      <c r="M1230" s="2">
        <v>72.3</v>
      </c>
      <c r="N1230" s="2">
        <v>2600</v>
      </c>
      <c r="O1230" s="2">
        <v>38.4</v>
      </c>
    </row>
    <row r="1231" spans="1:15" ht="24.95" customHeight="1" x14ac:dyDescent="0.25">
      <c r="A1231" s="1" t="s">
        <v>1253</v>
      </c>
      <c r="B1231" s="2">
        <v>288</v>
      </c>
      <c r="C1231" s="2">
        <v>126</v>
      </c>
      <c r="D1231" s="2">
        <v>35.799999999999997</v>
      </c>
      <c r="E1231" s="2">
        <v>90</v>
      </c>
      <c r="F1231" s="2">
        <v>0.3</v>
      </c>
      <c r="H1231" s="2">
        <v>2396</v>
      </c>
      <c r="I1231" s="2">
        <v>185</v>
      </c>
      <c r="J1231" s="2">
        <v>301896</v>
      </c>
      <c r="K1231" s="2">
        <v>4956</v>
      </c>
      <c r="L1231" s="2">
        <v>197.5</v>
      </c>
      <c r="M1231" s="2">
        <v>619.20000000000005</v>
      </c>
      <c r="N1231" s="2">
        <v>15260</v>
      </c>
      <c r="O1231" s="2">
        <v>9.1999999999999993</v>
      </c>
    </row>
    <row r="1232" spans="1:15" ht="24.95" customHeight="1" x14ac:dyDescent="0.25">
      <c r="A1232" s="1" t="s">
        <v>1254</v>
      </c>
      <c r="B1232" s="2">
        <v>270</v>
      </c>
      <c r="C1232" s="2">
        <v>120</v>
      </c>
      <c r="D1232" s="2">
        <v>33.700000000000003</v>
      </c>
      <c r="E1232" s="2">
        <v>84.4</v>
      </c>
      <c r="F1232" s="2">
        <v>2</v>
      </c>
      <c r="H1232" s="2">
        <v>1520</v>
      </c>
      <c r="I1232" s="2">
        <v>162</v>
      </c>
      <c r="J1232" s="2">
        <v>182400</v>
      </c>
      <c r="K1232" s="2">
        <v>5908</v>
      </c>
      <c r="L1232" s="2">
        <v>208.6</v>
      </c>
      <c r="M1232" s="2">
        <v>371.4</v>
      </c>
      <c r="N1232" s="2">
        <v>18950</v>
      </c>
      <c r="O1232" s="2">
        <v>56</v>
      </c>
    </row>
    <row r="1233" spans="1:15" ht="24.95" customHeight="1" x14ac:dyDescent="0.25">
      <c r="A1233" s="1" t="s">
        <v>1255</v>
      </c>
      <c r="B1233" s="2">
        <v>240</v>
      </c>
      <c r="C1233" s="2">
        <v>114</v>
      </c>
      <c r="D1233" s="2">
        <v>23.9</v>
      </c>
      <c r="E1233" s="2">
        <v>89.6</v>
      </c>
      <c r="F1233" s="2">
        <v>0.6</v>
      </c>
      <c r="H1233" s="2">
        <v>1475</v>
      </c>
      <c r="I1233" s="2">
        <v>188</v>
      </c>
      <c r="J1233" s="2">
        <v>168150</v>
      </c>
      <c r="K1233" s="2">
        <v>4695</v>
      </c>
      <c r="L1233" s="2">
        <v>183.9</v>
      </c>
      <c r="M1233" s="2">
        <v>364</v>
      </c>
      <c r="N1233" s="2">
        <v>14950</v>
      </c>
      <c r="O1233" s="2">
        <v>44.7</v>
      </c>
    </row>
    <row r="1234" spans="1:15" ht="24.95" customHeight="1" x14ac:dyDescent="0.25">
      <c r="A1234" s="1" t="s">
        <v>1256</v>
      </c>
      <c r="B1234" s="2">
        <v>228</v>
      </c>
      <c r="C1234" s="2">
        <v>108</v>
      </c>
      <c r="D1234" s="2">
        <v>23</v>
      </c>
      <c r="E1234" s="2">
        <v>90</v>
      </c>
      <c r="F1234" s="2">
        <v>-5</v>
      </c>
      <c r="G1234" s="2">
        <v>108.7</v>
      </c>
      <c r="H1234" s="2">
        <v>665</v>
      </c>
      <c r="I1234" s="2">
        <v>115</v>
      </c>
      <c r="J1234" s="2">
        <v>72301</v>
      </c>
      <c r="K1234" s="2">
        <v>1618</v>
      </c>
      <c r="L1234" s="2">
        <v>65.599999999999994</v>
      </c>
      <c r="M1234" s="2">
        <v>169</v>
      </c>
      <c r="N1234" s="2">
        <v>4740</v>
      </c>
      <c r="O1234" s="2">
        <v>21</v>
      </c>
    </row>
    <row r="1235" spans="1:15" ht="24.95" customHeight="1" x14ac:dyDescent="0.25">
      <c r="A1235" s="1" t="s">
        <v>119</v>
      </c>
      <c r="B1235" s="2">
        <v>242</v>
      </c>
      <c r="C1235" s="2">
        <v>111</v>
      </c>
      <c r="D1235" s="2">
        <v>20.8</v>
      </c>
      <c r="E1235" s="2">
        <v>90</v>
      </c>
      <c r="F1235" s="2">
        <v>0.2</v>
      </c>
      <c r="G1235" s="2">
        <v>112.8</v>
      </c>
      <c r="H1235" s="2">
        <v>7942</v>
      </c>
      <c r="I1235" s="2">
        <v>183</v>
      </c>
      <c r="J1235" s="2">
        <v>895714</v>
      </c>
      <c r="K1235" s="2">
        <v>20027</v>
      </c>
      <c r="L1235" s="2">
        <v>950.2</v>
      </c>
      <c r="M1235" s="2">
        <v>1953.2</v>
      </c>
      <c r="N1235" s="2">
        <v>68830</v>
      </c>
      <c r="O1235" s="2">
        <v>35.4</v>
      </c>
    </row>
    <row r="1236" spans="1:15" ht="24.95" customHeight="1" x14ac:dyDescent="0.25">
      <c r="A1236" s="1" t="s">
        <v>1192</v>
      </c>
      <c r="B1236" s="2">
        <v>217</v>
      </c>
      <c r="C1236" s="2">
        <v>103</v>
      </c>
      <c r="D1236" s="2">
        <v>13.5</v>
      </c>
      <c r="E1236" s="2">
        <v>90</v>
      </c>
      <c r="F1236" s="2">
        <v>-0.5</v>
      </c>
      <c r="G1236" s="2">
        <v>106.1</v>
      </c>
      <c r="H1236" s="2">
        <v>694</v>
      </c>
      <c r="I1236" s="2">
        <v>143</v>
      </c>
      <c r="J1236" s="2">
        <v>73602</v>
      </c>
      <c r="K1236" s="2">
        <v>2851</v>
      </c>
      <c r="L1236" s="2">
        <v>97.4</v>
      </c>
      <c r="M1236" s="2">
        <v>175</v>
      </c>
      <c r="N1236" s="2">
        <v>8660</v>
      </c>
      <c r="O1236" s="2">
        <v>51.7</v>
      </c>
    </row>
    <row r="1237" spans="1:15" ht="24.95" customHeight="1" x14ac:dyDescent="0.25">
      <c r="A1237" s="1" t="s">
        <v>1225</v>
      </c>
      <c r="B1237" s="2">
        <v>231</v>
      </c>
      <c r="C1237" s="2">
        <v>107</v>
      </c>
      <c r="D1237" s="2">
        <v>14.9</v>
      </c>
      <c r="E1237" s="2">
        <v>90</v>
      </c>
      <c r="F1237" s="2">
        <v>2.1</v>
      </c>
      <c r="G1237" s="2">
        <v>116.5</v>
      </c>
      <c r="H1237" s="2">
        <v>4662</v>
      </c>
      <c r="I1237" s="2">
        <v>170</v>
      </c>
      <c r="J1237" s="2">
        <v>543214</v>
      </c>
      <c r="K1237" s="2">
        <v>15330</v>
      </c>
      <c r="L1237" s="2">
        <v>593.6</v>
      </c>
      <c r="M1237" s="2">
        <v>1237</v>
      </c>
      <c r="N1237" s="2">
        <v>52400</v>
      </c>
      <c r="O1237" s="2">
        <v>46.6</v>
      </c>
    </row>
    <row r="1238" spans="1:15" ht="24.95" customHeight="1" x14ac:dyDescent="0.25">
      <c r="A1238" s="1" t="s">
        <v>1257</v>
      </c>
      <c r="B1238" s="2">
        <v>281</v>
      </c>
      <c r="C1238" s="2">
        <v>125</v>
      </c>
      <c r="D1238" s="2">
        <v>35.9</v>
      </c>
      <c r="E1238" s="2">
        <v>90</v>
      </c>
      <c r="F1238" s="2">
        <v>-0.9</v>
      </c>
      <c r="G1238" s="2">
        <v>126</v>
      </c>
      <c r="H1238" s="2">
        <v>348</v>
      </c>
      <c r="I1238" s="2">
        <v>71</v>
      </c>
      <c r="J1238" s="2">
        <v>438351</v>
      </c>
      <c r="K1238" s="2">
        <v>1591</v>
      </c>
      <c r="L1238" s="2">
        <v>36.299999999999997</v>
      </c>
      <c r="M1238" s="2">
        <v>88.3</v>
      </c>
      <c r="N1238" s="2">
        <v>3710</v>
      </c>
      <c r="O1238" s="2">
        <v>47.9</v>
      </c>
    </row>
    <row r="1239" spans="1:15" ht="24.95" customHeight="1" x14ac:dyDescent="0.25">
      <c r="A1239" s="1" t="s">
        <v>1258</v>
      </c>
      <c r="B1239" s="2">
        <v>228</v>
      </c>
      <c r="C1239" s="2">
        <v>106</v>
      </c>
      <c r="D1239" s="2">
        <v>16</v>
      </c>
      <c r="E1239" s="2">
        <v>90</v>
      </c>
      <c r="G1239" s="2">
        <v>107.7</v>
      </c>
      <c r="H1239" s="2">
        <v>1902</v>
      </c>
      <c r="I1239" s="2">
        <v>149</v>
      </c>
      <c r="J1239" s="2">
        <v>204918</v>
      </c>
      <c r="K1239" s="2">
        <v>6411</v>
      </c>
      <c r="L1239" s="2">
        <v>277.3</v>
      </c>
      <c r="M1239" s="2">
        <v>497.8</v>
      </c>
      <c r="N1239" s="2">
        <v>19880</v>
      </c>
      <c r="O1239" s="2">
        <v>45.1</v>
      </c>
    </row>
    <row r="1240" spans="1:15" ht="24.95" customHeight="1" x14ac:dyDescent="0.25">
      <c r="A1240" s="1" t="s">
        <v>1259</v>
      </c>
      <c r="B1240" s="2">
        <v>238</v>
      </c>
      <c r="C1240" s="2">
        <v>110</v>
      </c>
      <c r="D1240" s="2">
        <v>20.100000000000001</v>
      </c>
      <c r="E1240" s="2">
        <v>90</v>
      </c>
      <c r="F1240" s="2">
        <v>0.1</v>
      </c>
      <c r="G1240" s="2">
        <v>110.8</v>
      </c>
      <c r="H1240" s="2">
        <v>1500</v>
      </c>
      <c r="I1240" s="2">
        <v>152</v>
      </c>
      <c r="J1240" s="2">
        <v>166260</v>
      </c>
      <c r="K1240" s="2">
        <v>4592</v>
      </c>
      <c r="L1240" s="2">
        <v>229</v>
      </c>
      <c r="M1240" s="2">
        <v>355.7</v>
      </c>
      <c r="N1240" s="2">
        <v>15900</v>
      </c>
      <c r="O1240" s="2">
        <v>47.1</v>
      </c>
    </row>
    <row r="1241" spans="1:15" ht="24.95" customHeight="1" x14ac:dyDescent="0.25">
      <c r="A1241" s="1" t="s">
        <v>1260</v>
      </c>
      <c r="B1241" s="2">
        <v>232</v>
      </c>
      <c r="C1241" s="2">
        <v>110</v>
      </c>
      <c r="D1241" s="2">
        <v>19.8</v>
      </c>
      <c r="E1241" s="2">
        <v>90</v>
      </c>
      <c r="F1241" s="2">
        <v>0.2</v>
      </c>
      <c r="G1241" s="2">
        <v>113.9</v>
      </c>
      <c r="H1241" s="2">
        <v>590</v>
      </c>
      <c r="I1241" s="2">
        <v>141</v>
      </c>
      <c r="J1241" s="2">
        <v>67274</v>
      </c>
      <c r="K1241" s="2">
        <v>2486</v>
      </c>
      <c r="L1241" s="2">
        <v>96.6</v>
      </c>
      <c r="M1241" s="2">
        <v>164.8</v>
      </c>
      <c r="N1241" s="2">
        <v>8050</v>
      </c>
      <c r="O1241" s="2">
        <v>56.3</v>
      </c>
    </row>
    <row r="1242" spans="1:15" ht="24.95" customHeight="1" x14ac:dyDescent="0.25">
      <c r="A1242" s="1" t="s">
        <v>1240</v>
      </c>
      <c r="B1242" s="2">
        <v>234</v>
      </c>
      <c r="C1242" s="2">
        <v>102</v>
      </c>
      <c r="D1242" s="2">
        <v>12.4</v>
      </c>
      <c r="E1242" s="2">
        <v>90</v>
      </c>
      <c r="F1242" s="2">
        <v>-0.4</v>
      </c>
      <c r="G1242" s="2">
        <v>108.3</v>
      </c>
      <c r="H1242" s="2">
        <v>845</v>
      </c>
      <c r="I1242" s="2">
        <v>167</v>
      </c>
      <c r="J1242" s="2">
        <v>91513</v>
      </c>
      <c r="K1242" s="2">
        <v>2450</v>
      </c>
      <c r="L1242" s="2">
        <v>92.8</v>
      </c>
      <c r="M1242" s="2">
        <v>230</v>
      </c>
      <c r="N1242" s="2">
        <v>7360</v>
      </c>
      <c r="O1242" s="2">
        <v>29.1</v>
      </c>
    </row>
    <row r="1243" spans="1:15" ht="24.95" customHeight="1" x14ac:dyDescent="0.25">
      <c r="A1243" s="1" t="s">
        <v>1262</v>
      </c>
      <c r="B1243" s="2">
        <v>234</v>
      </c>
      <c r="C1243" s="2">
        <v>111</v>
      </c>
      <c r="D1243" s="2">
        <v>28.7</v>
      </c>
      <c r="E1243" s="2">
        <v>90</v>
      </c>
      <c r="F1243" s="2">
        <v>-7.7</v>
      </c>
      <c r="G1243" s="2">
        <v>112</v>
      </c>
      <c r="H1243" s="2">
        <v>1444</v>
      </c>
      <c r="I1243" s="2">
        <v>102</v>
      </c>
      <c r="J1243" s="2">
        <v>161703</v>
      </c>
      <c r="K1243" s="2">
        <v>3951</v>
      </c>
      <c r="L1243" s="2">
        <v>150.69999999999999</v>
      </c>
      <c r="M1243" s="2">
        <v>330.4</v>
      </c>
      <c r="N1243" s="2">
        <v>13230</v>
      </c>
      <c r="O1243" s="2">
        <v>40.299999999999997</v>
      </c>
    </row>
    <row r="1244" spans="1:15" ht="24.95" customHeight="1" x14ac:dyDescent="0.25">
      <c r="A1244" s="1" t="s">
        <v>149</v>
      </c>
      <c r="B1244" s="2">
        <v>237</v>
      </c>
      <c r="C1244" s="2">
        <v>103</v>
      </c>
      <c r="D1244" s="2">
        <v>12</v>
      </c>
      <c r="E1244" s="2">
        <v>90</v>
      </c>
      <c r="F1244" s="2">
        <v>1</v>
      </c>
      <c r="G1244" s="2">
        <v>108.3</v>
      </c>
      <c r="H1244" s="2">
        <v>5850</v>
      </c>
      <c r="I1244" s="2">
        <v>171</v>
      </c>
      <c r="J1244" s="2">
        <v>633742</v>
      </c>
      <c r="K1244" s="2">
        <v>18263</v>
      </c>
      <c r="L1244" s="2">
        <v>838.9</v>
      </c>
      <c r="M1244" s="2">
        <v>1478.3</v>
      </c>
      <c r="N1244" s="2">
        <v>61000</v>
      </c>
      <c r="O1244" s="2">
        <v>46.8</v>
      </c>
    </row>
    <row r="1245" spans="1:15" ht="24.95" customHeight="1" x14ac:dyDescent="0.25">
      <c r="A1245" s="1" t="s">
        <v>1263</v>
      </c>
      <c r="B1245" s="2">
        <v>222</v>
      </c>
      <c r="C1245" s="2">
        <v>106</v>
      </c>
      <c r="D1245" s="2">
        <v>15.9</v>
      </c>
      <c r="E1245" s="2">
        <v>90</v>
      </c>
      <c r="F1245" s="2">
        <v>0.1</v>
      </c>
      <c r="G1245" s="2">
        <v>109.9</v>
      </c>
      <c r="H1245" s="2">
        <v>255</v>
      </c>
      <c r="I1245" s="2">
        <v>138</v>
      </c>
      <c r="J1245" s="2">
        <v>28019</v>
      </c>
      <c r="K1245" s="2">
        <v>1210</v>
      </c>
      <c r="L1245" s="2">
        <v>41</v>
      </c>
      <c r="M1245" s="2">
        <v>71.3</v>
      </c>
      <c r="N1245" s="2">
        <v>3710</v>
      </c>
      <c r="O1245" s="2">
        <v>58.9</v>
      </c>
    </row>
    <row r="1246" spans="1:15" ht="24.95" customHeight="1" x14ac:dyDescent="0.25">
      <c r="A1246" s="1" t="s">
        <v>1245</v>
      </c>
      <c r="B1246" s="2">
        <v>248</v>
      </c>
      <c r="C1246" s="2">
        <v>108</v>
      </c>
      <c r="D1246" s="2">
        <v>18</v>
      </c>
      <c r="E1246" s="2">
        <v>90</v>
      </c>
      <c r="G1246" s="2">
        <v>111.4</v>
      </c>
      <c r="H1246" s="2">
        <v>455</v>
      </c>
      <c r="I1246" s="2">
        <v>137</v>
      </c>
      <c r="J1246" s="2">
        <v>50703</v>
      </c>
      <c r="K1246" s="2">
        <v>2202</v>
      </c>
      <c r="L1246" s="2">
        <v>84.6</v>
      </c>
      <c r="M1246" s="2">
        <v>121.9</v>
      </c>
      <c r="N1246" s="2">
        <v>6580</v>
      </c>
      <c r="O1246" s="2">
        <v>55.1</v>
      </c>
    </row>
    <row r="1247" spans="1:15" ht="24.95" customHeight="1" x14ac:dyDescent="0.25">
      <c r="A1247" s="1" t="s">
        <v>1264</v>
      </c>
      <c r="B1247" s="2">
        <v>258</v>
      </c>
      <c r="C1247" s="2">
        <v>116</v>
      </c>
      <c r="D1247" s="2">
        <v>26</v>
      </c>
      <c r="E1247" s="2">
        <v>90</v>
      </c>
      <c r="G1247" s="2">
        <v>118.5</v>
      </c>
      <c r="H1247" s="2">
        <v>1222</v>
      </c>
      <c r="I1247" s="2">
        <v>160</v>
      </c>
      <c r="J1247" s="2">
        <v>144759</v>
      </c>
      <c r="K1247" s="2">
        <v>4597</v>
      </c>
      <c r="L1247" s="2">
        <v>173.4</v>
      </c>
      <c r="M1247" s="2">
        <v>314.60000000000002</v>
      </c>
      <c r="N1247" s="2">
        <v>13780</v>
      </c>
      <c r="O1247" s="2">
        <v>49.5</v>
      </c>
    </row>
    <row r="1248" spans="1:15" ht="24.95" customHeight="1" x14ac:dyDescent="0.25">
      <c r="A1248" s="1" t="s">
        <v>1248</v>
      </c>
      <c r="B1248" s="2">
        <v>228</v>
      </c>
      <c r="C1248" s="2">
        <v>115</v>
      </c>
      <c r="D1248" s="2">
        <v>25.3</v>
      </c>
      <c r="E1248" s="2">
        <v>90</v>
      </c>
      <c r="F1248" s="2">
        <v>-0.3</v>
      </c>
      <c r="G1248" s="2">
        <v>120.3</v>
      </c>
      <c r="H1248" s="2">
        <v>2400</v>
      </c>
      <c r="I1248" s="2">
        <v>145</v>
      </c>
      <c r="J1248" s="2">
        <v>288772</v>
      </c>
      <c r="K1248" s="2">
        <v>8559</v>
      </c>
      <c r="L1248" s="2">
        <v>339.6</v>
      </c>
      <c r="M1248" s="2">
        <v>619.6</v>
      </c>
      <c r="N1248" s="2">
        <v>23900</v>
      </c>
      <c r="O1248" s="2">
        <v>41.5</v>
      </c>
    </row>
    <row r="1249" spans="1:15" ht="24.95" customHeight="1" x14ac:dyDescent="0.25">
      <c r="A1249" s="1" t="s">
        <v>1265</v>
      </c>
      <c r="B1249" s="2">
        <v>258</v>
      </c>
      <c r="C1249" s="2">
        <v>116</v>
      </c>
      <c r="D1249" s="2">
        <v>25.9</v>
      </c>
      <c r="E1249" s="2">
        <v>90</v>
      </c>
      <c r="F1249" s="2">
        <v>0.1</v>
      </c>
      <c r="G1249" s="2">
        <v>118.8</v>
      </c>
      <c r="H1249" s="2">
        <v>3300</v>
      </c>
      <c r="I1249" s="2">
        <v>153</v>
      </c>
      <c r="J1249" s="2">
        <v>391967</v>
      </c>
      <c r="K1249" s="2">
        <v>9061</v>
      </c>
      <c r="L1249" s="2">
        <v>395.6</v>
      </c>
      <c r="M1249" s="2">
        <v>814</v>
      </c>
      <c r="N1249" s="2">
        <v>27960</v>
      </c>
      <c r="O1249" s="2">
        <v>30.8</v>
      </c>
    </row>
    <row r="1250" spans="1:15" ht="24.95" customHeight="1" x14ac:dyDescent="0.25">
      <c r="A1250" s="1" t="s">
        <v>1266</v>
      </c>
      <c r="B1250" s="2">
        <v>225</v>
      </c>
      <c r="C1250" s="2">
        <v>114.4</v>
      </c>
      <c r="D1250" s="2">
        <v>28.8</v>
      </c>
      <c r="E1250" s="2">
        <v>84.4</v>
      </c>
      <c r="F1250" s="2">
        <v>1.2</v>
      </c>
      <c r="G1250" s="2">
        <v>125.2</v>
      </c>
      <c r="H1250" s="2">
        <v>2920</v>
      </c>
      <c r="I1250" s="2">
        <v>153</v>
      </c>
      <c r="J1250" s="2">
        <v>365483</v>
      </c>
      <c r="K1250" s="2">
        <v>9879</v>
      </c>
      <c r="L1250" s="2">
        <v>425</v>
      </c>
      <c r="M1250" s="2">
        <v>718.2</v>
      </c>
      <c r="N1250" s="2">
        <v>35760</v>
      </c>
      <c r="O1250" s="2">
        <v>51.3</v>
      </c>
    </row>
    <row r="1251" spans="1:15" ht="24.95" customHeight="1" x14ac:dyDescent="0.25">
      <c r="A1251" s="1" t="s">
        <v>162</v>
      </c>
      <c r="B1251" s="2">
        <v>232</v>
      </c>
      <c r="C1251" s="2">
        <v>108</v>
      </c>
      <c r="D1251" s="2">
        <v>16.7</v>
      </c>
      <c r="E1251" s="2">
        <v>90</v>
      </c>
      <c r="F1251" s="2">
        <v>1.3</v>
      </c>
      <c r="G1251" s="2">
        <v>114</v>
      </c>
      <c r="H1251" s="2">
        <v>2005</v>
      </c>
      <c r="I1251" s="2">
        <v>159</v>
      </c>
      <c r="J1251" s="2">
        <v>228601</v>
      </c>
      <c r="K1251" s="2">
        <v>6676</v>
      </c>
      <c r="L1251" s="2">
        <v>240.6</v>
      </c>
      <c r="M1251" s="2">
        <v>522</v>
      </c>
      <c r="N1251" s="2">
        <v>20960</v>
      </c>
      <c r="O1251" s="2">
        <v>45.5</v>
      </c>
    </row>
    <row r="1252" spans="1:15" ht="24.95" customHeight="1" x14ac:dyDescent="0.25">
      <c r="A1252" s="1" t="s">
        <v>1267</v>
      </c>
      <c r="B1252" s="2">
        <v>250</v>
      </c>
      <c r="C1252" s="2">
        <v>114</v>
      </c>
      <c r="D1252" s="2">
        <v>23.1</v>
      </c>
      <c r="E1252" s="2">
        <v>90</v>
      </c>
      <c r="F1252" s="2">
        <v>0.9</v>
      </c>
      <c r="G1252" s="2">
        <v>113</v>
      </c>
      <c r="H1252" s="2">
        <v>2727</v>
      </c>
      <c r="I1252" s="2">
        <v>171</v>
      </c>
      <c r="J1252" s="2">
        <v>308119</v>
      </c>
      <c r="K1252" s="2">
        <v>7453</v>
      </c>
      <c r="L1252" s="2">
        <v>476.4</v>
      </c>
      <c r="M1252" s="2">
        <v>684.2</v>
      </c>
      <c r="N1252" s="2">
        <v>23300</v>
      </c>
      <c r="O1252" s="2">
        <v>31.7</v>
      </c>
    </row>
    <row r="1253" spans="1:15" ht="24.95" customHeight="1" x14ac:dyDescent="0.25">
      <c r="A1253" s="1" t="s">
        <v>1268</v>
      </c>
      <c r="B1253" s="2">
        <v>220</v>
      </c>
      <c r="C1253" s="2">
        <v>114</v>
      </c>
      <c r="D1253" s="2">
        <v>27.9</v>
      </c>
      <c r="E1253" s="2">
        <v>90</v>
      </c>
      <c r="F1253" s="2">
        <v>-3.9</v>
      </c>
      <c r="G1253" s="2">
        <v>116.1</v>
      </c>
      <c r="H1253" s="2">
        <v>1226</v>
      </c>
      <c r="I1253" s="2">
        <v>100</v>
      </c>
      <c r="J1253" s="2">
        <v>136640</v>
      </c>
      <c r="K1253" s="2">
        <v>2323</v>
      </c>
      <c r="L1253" s="2">
        <v>162.9</v>
      </c>
      <c r="M1253" s="2">
        <v>309.10000000000002</v>
      </c>
      <c r="N1253" s="2">
        <v>7090</v>
      </c>
    </row>
    <row r="1254" spans="1:15" ht="24.95" customHeight="1" x14ac:dyDescent="0.25">
      <c r="A1254" s="1" t="s">
        <v>1269</v>
      </c>
      <c r="B1254" s="2">
        <v>240</v>
      </c>
      <c r="C1254" s="2">
        <v>111</v>
      </c>
      <c r="D1254" s="2">
        <v>21.2</v>
      </c>
      <c r="E1254" s="2">
        <v>90</v>
      </c>
      <c r="F1254" s="2">
        <v>-0.2</v>
      </c>
      <c r="G1254" s="2">
        <v>114.2</v>
      </c>
      <c r="H1254" s="2">
        <v>6570</v>
      </c>
      <c r="I1254" s="2">
        <v>184</v>
      </c>
      <c r="J1254" s="2">
        <v>750290</v>
      </c>
      <c r="K1254" s="2">
        <v>14754</v>
      </c>
      <c r="L1254" s="2">
        <v>677.9</v>
      </c>
      <c r="M1254" s="2">
        <v>1584.5</v>
      </c>
      <c r="N1254" s="2">
        <v>50050</v>
      </c>
      <c r="O1254" s="2">
        <v>27.2</v>
      </c>
    </row>
    <row r="1255" spans="1:15" ht="24.95" customHeight="1" x14ac:dyDescent="0.25">
      <c r="A1255" s="1" t="s">
        <v>6804</v>
      </c>
    </row>
    <row r="1256" spans="1:15" ht="24.95" customHeight="1" x14ac:dyDescent="0.25">
      <c r="A1256" s="1" t="s">
        <v>6805</v>
      </c>
      <c r="B1256" s="2">
        <v>297</v>
      </c>
      <c r="C1256" s="2">
        <v>127</v>
      </c>
      <c r="H1256" s="2">
        <v>4522</v>
      </c>
      <c r="I1256" s="2">
        <v>133</v>
      </c>
      <c r="J1256" s="2">
        <v>574294</v>
      </c>
      <c r="K1256" s="2">
        <v>18112</v>
      </c>
      <c r="L1256" s="2">
        <v>704.2</v>
      </c>
      <c r="M1256" s="2">
        <v>1139.9000000000001</v>
      </c>
      <c r="N1256" s="2">
        <v>51430</v>
      </c>
      <c r="O1256" s="2">
        <v>49.4</v>
      </c>
    </row>
    <row r="1257" spans="1:15" ht="24.95" customHeight="1" x14ac:dyDescent="0.25">
      <c r="A1257" s="1" t="s">
        <v>6806</v>
      </c>
      <c r="B1257" s="2">
        <v>396</v>
      </c>
      <c r="C1257" s="2">
        <v>178</v>
      </c>
      <c r="D1257" s="2">
        <v>51</v>
      </c>
      <c r="E1257" s="2">
        <v>127</v>
      </c>
      <c r="H1257" s="2">
        <v>242</v>
      </c>
      <c r="I1257" s="2">
        <v>120</v>
      </c>
      <c r="J1257" s="2">
        <v>43076</v>
      </c>
      <c r="K1257" s="2">
        <v>702</v>
      </c>
      <c r="L1257" s="2">
        <v>33.1</v>
      </c>
      <c r="M1257" s="2">
        <v>66.8</v>
      </c>
      <c r="N1257" s="2">
        <v>1920</v>
      </c>
      <c r="O1257" s="2">
        <v>22.8</v>
      </c>
    </row>
    <row r="1258" spans="1:15" ht="24.95" customHeight="1" x14ac:dyDescent="0.25">
      <c r="A1258" s="1" t="s">
        <v>6807</v>
      </c>
      <c r="B1258" s="2">
        <v>384</v>
      </c>
      <c r="C1258" s="2">
        <v>166</v>
      </c>
      <c r="D1258" s="2">
        <v>35.1</v>
      </c>
      <c r="E1258" s="2">
        <v>127</v>
      </c>
      <c r="F1258" s="2">
        <v>3.9</v>
      </c>
      <c r="H1258" s="2">
        <v>513</v>
      </c>
      <c r="I1258" s="2">
        <v>133</v>
      </c>
      <c r="J1258" s="2">
        <v>85158</v>
      </c>
      <c r="K1258" s="2">
        <v>1064</v>
      </c>
      <c r="L1258" s="2">
        <v>41.8</v>
      </c>
      <c r="M1258" s="2">
        <v>127.8</v>
      </c>
      <c r="N1258" s="2">
        <v>2940</v>
      </c>
      <c r="O1258" s="2">
        <v>2.6</v>
      </c>
    </row>
    <row r="1259" spans="1:15" ht="24.95" customHeight="1" x14ac:dyDescent="0.25">
      <c r="A1259" s="1" t="s">
        <v>6808</v>
      </c>
      <c r="B1259" s="2">
        <v>386</v>
      </c>
      <c r="C1259" s="2">
        <v>168</v>
      </c>
      <c r="D1259" s="2">
        <v>40.6</v>
      </c>
      <c r="E1259" s="2">
        <v>127</v>
      </c>
      <c r="F1259" s="2">
        <v>0.4</v>
      </c>
      <c r="H1259" s="2">
        <v>852</v>
      </c>
      <c r="I1259" s="2">
        <v>113</v>
      </c>
      <c r="J1259" s="2">
        <v>143136</v>
      </c>
      <c r="K1259" s="2">
        <v>3365</v>
      </c>
      <c r="L1259" s="2">
        <v>146.30000000000001</v>
      </c>
      <c r="M1259" s="2">
        <v>224.7</v>
      </c>
      <c r="N1259" s="2">
        <v>10320</v>
      </c>
      <c r="O1259" s="2">
        <v>51.6</v>
      </c>
    </row>
    <row r="1260" spans="1:15" ht="24.95" customHeight="1" x14ac:dyDescent="0.25">
      <c r="A1260" s="1" t="s">
        <v>6809</v>
      </c>
      <c r="B1260" s="2">
        <v>393</v>
      </c>
      <c r="C1260" s="2">
        <v>168</v>
      </c>
      <c r="D1260" s="2">
        <v>41.8</v>
      </c>
      <c r="E1260" s="2">
        <v>127</v>
      </c>
      <c r="F1260" s="2">
        <v>-0.8</v>
      </c>
      <c r="H1260" s="2">
        <v>378</v>
      </c>
      <c r="I1260" s="2">
        <v>102</v>
      </c>
      <c r="J1260" s="2">
        <v>63504</v>
      </c>
      <c r="K1260" s="2">
        <v>970</v>
      </c>
      <c r="L1260" s="2">
        <v>448</v>
      </c>
      <c r="M1260" s="2">
        <v>97.7</v>
      </c>
      <c r="N1260" s="2">
        <v>3100</v>
      </c>
      <c r="O1260" s="2">
        <v>28.1</v>
      </c>
    </row>
    <row r="1261" spans="1:15" ht="24.95" customHeight="1" x14ac:dyDescent="0.25">
      <c r="A1261" s="1" t="s">
        <v>6810</v>
      </c>
      <c r="B1261" s="2">
        <v>374</v>
      </c>
      <c r="C1261" s="2">
        <v>162</v>
      </c>
      <c r="D1261" s="2">
        <v>34.9</v>
      </c>
      <c r="E1261" s="2">
        <v>127</v>
      </c>
      <c r="F1261" s="2">
        <v>0.1</v>
      </c>
      <c r="H1261" s="2">
        <v>300</v>
      </c>
      <c r="I1261" s="2">
        <v>173</v>
      </c>
      <c r="J1261" s="2">
        <v>48600</v>
      </c>
      <c r="K1261" s="2">
        <v>759</v>
      </c>
      <c r="L1261" s="2">
        <v>43.1</v>
      </c>
      <c r="M1261" s="2">
        <v>74.3</v>
      </c>
      <c r="N1261" s="2">
        <v>2070</v>
      </c>
      <c r="O1261" s="2">
        <v>19.7</v>
      </c>
    </row>
    <row r="1262" spans="1:15" ht="24.95" customHeight="1" x14ac:dyDescent="0.25">
      <c r="A1262" s="1" t="s">
        <v>6811</v>
      </c>
      <c r="B1262" s="2">
        <v>353</v>
      </c>
      <c r="C1262" s="2">
        <v>151</v>
      </c>
      <c r="D1262" s="2">
        <v>23.4</v>
      </c>
      <c r="E1262" s="2">
        <v>127</v>
      </c>
      <c r="F1262" s="2">
        <v>0.6</v>
      </c>
      <c r="G1262" s="2">
        <v>153.5</v>
      </c>
      <c r="H1262" s="2">
        <v>622</v>
      </c>
      <c r="I1262" s="2">
        <v>142</v>
      </c>
      <c r="J1262" s="2">
        <v>95481</v>
      </c>
      <c r="K1262" s="2">
        <v>3699</v>
      </c>
      <c r="L1262" s="2">
        <v>125.1</v>
      </c>
      <c r="M1262" s="2">
        <v>168</v>
      </c>
      <c r="N1262" s="2">
        <v>10490</v>
      </c>
      <c r="O1262" s="2">
        <v>65.400000000000006</v>
      </c>
    </row>
    <row r="1263" spans="1:15" ht="24.95" customHeight="1" x14ac:dyDescent="0.25">
      <c r="A1263" s="1" t="s">
        <v>6812</v>
      </c>
      <c r="B1263" s="2">
        <v>361</v>
      </c>
      <c r="C1263" s="2">
        <v>155</v>
      </c>
      <c r="D1263" s="2">
        <v>27.2</v>
      </c>
      <c r="E1263" s="2">
        <v>127</v>
      </c>
      <c r="F1263" s="2">
        <v>0.8</v>
      </c>
      <c r="G1263" s="2">
        <v>161.30000000000001</v>
      </c>
      <c r="H1263" s="2">
        <v>556</v>
      </c>
      <c r="I1263" s="2">
        <v>140</v>
      </c>
      <c r="J1263" s="2">
        <v>89668</v>
      </c>
      <c r="K1263" s="2">
        <v>3398</v>
      </c>
      <c r="L1263" s="2">
        <v>112</v>
      </c>
      <c r="M1263" s="2">
        <v>143.9</v>
      </c>
      <c r="N1263" s="2">
        <v>7890</v>
      </c>
      <c r="O1263" s="2">
        <v>60.1</v>
      </c>
    </row>
    <row r="1264" spans="1:15" ht="24.95" customHeight="1" x14ac:dyDescent="0.25">
      <c r="A1264" s="1" t="s">
        <v>6813</v>
      </c>
      <c r="B1264" s="2">
        <v>355</v>
      </c>
      <c r="C1264" s="2">
        <v>153</v>
      </c>
      <c r="D1264" s="2">
        <v>25.3</v>
      </c>
      <c r="E1264" s="2">
        <v>127</v>
      </c>
      <c r="F1264" s="2">
        <v>0.7</v>
      </c>
      <c r="G1264" s="2">
        <v>155</v>
      </c>
      <c r="H1264" s="2">
        <v>1060</v>
      </c>
      <c r="I1264" s="2">
        <v>144</v>
      </c>
      <c r="J1264" s="2">
        <v>164313</v>
      </c>
      <c r="K1264" s="2">
        <v>4155</v>
      </c>
      <c r="L1264" s="2">
        <v>157.9</v>
      </c>
      <c r="M1264" s="2">
        <v>236.6</v>
      </c>
      <c r="N1264" s="2">
        <v>12700</v>
      </c>
      <c r="O1264" s="2">
        <v>53.3</v>
      </c>
    </row>
    <row r="1265" spans="1:15" ht="24.95" customHeight="1" x14ac:dyDescent="0.25">
      <c r="A1265" s="1" t="s">
        <v>6814</v>
      </c>
      <c r="B1265" s="2">
        <v>265</v>
      </c>
      <c r="C1265" s="2">
        <v>124</v>
      </c>
      <c r="H1265" s="2">
        <v>4849</v>
      </c>
      <c r="I1265" s="2">
        <v>126</v>
      </c>
      <c r="J1265" s="2">
        <v>601276</v>
      </c>
      <c r="K1265" s="2">
        <v>16958</v>
      </c>
      <c r="L1265" s="2">
        <v>595.6</v>
      </c>
      <c r="M1265" s="2">
        <v>1226.2</v>
      </c>
      <c r="N1265" s="2">
        <v>54460</v>
      </c>
      <c r="O1265" s="2">
        <v>57.5</v>
      </c>
    </row>
    <row r="1266" spans="1:15" ht="24.95" customHeight="1" x14ac:dyDescent="0.25">
      <c r="A1266" s="1" t="s">
        <v>6815</v>
      </c>
      <c r="B1266" s="2">
        <v>347</v>
      </c>
      <c r="C1266" s="2">
        <v>166</v>
      </c>
      <c r="D1266" s="2">
        <v>47.4</v>
      </c>
      <c r="E1266" s="2">
        <v>124</v>
      </c>
      <c r="F1266" s="2">
        <v>-5.4</v>
      </c>
      <c r="H1266" s="2">
        <v>660</v>
      </c>
      <c r="I1266" s="2">
        <v>116</v>
      </c>
      <c r="J1266" s="2">
        <v>109560</v>
      </c>
      <c r="K1266" s="2">
        <v>1803</v>
      </c>
      <c r="L1266" s="2">
        <v>72.599999999999994</v>
      </c>
      <c r="M1266" s="2">
        <v>160.80000000000001</v>
      </c>
      <c r="N1266" s="2">
        <v>5830</v>
      </c>
      <c r="O1266" s="2">
        <v>34.799999999999997</v>
      </c>
    </row>
    <row r="1267" spans="1:15" ht="24.95" customHeight="1" x14ac:dyDescent="0.25">
      <c r="A1267" s="1" t="s">
        <v>6816</v>
      </c>
      <c r="B1267" s="2">
        <v>371</v>
      </c>
      <c r="C1267" s="2">
        <v>168</v>
      </c>
      <c r="D1267" s="2">
        <v>42.8</v>
      </c>
      <c r="E1267" s="2">
        <v>124</v>
      </c>
      <c r="F1267" s="2">
        <v>1.2</v>
      </c>
      <c r="H1267" s="2">
        <v>440</v>
      </c>
      <c r="I1267" s="2">
        <v>132</v>
      </c>
      <c r="J1267" s="2">
        <v>73920</v>
      </c>
      <c r="K1267" s="2">
        <v>2073</v>
      </c>
      <c r="L1267" s="2">
        <v>67.8</v>
      </c>
      <c r="M1267" s="2">
        <v>120.6</v>
      </c>
      <c r="N1267" s="2">
        <v>6420</v>
      </c>
      <c r="O1267" s="2">
        <v>59.5</v>
      </c>
    </row>
    <row r="1268" spans="1:15" ht="24.95" customHeight="1" x14ac:dyDescent="0.25">
      <c r="A1268" s="1" t="s">
        <v>6817</v>
      </c>
      <c r="B1268" s="2">
        <v>313</v>
      </c>
      <c r="C1268" s="2">
        <v>164</v>
      </c>
      <c r="D1268" s="2">
        <v>44.7</v>
      </c>
      <c r="E1268" s="2">
        <v>124</v>
      </c>
      <c r="F1268" s="2">
        <v>-4.7</v>
      </c>
      <c r="H1268" s="2">
        <v>167</v>
      </c>
      <c r="I1268" s="2">
        <v>114</v>
      </c>
      <c r="J1268" s="2">
        <v>27388</v>
      </c>
      <c r="K1268" s="2">
        <v>494</v>
      </c>
      <c r="L1268" s="2">
        <v>20.3</v>
      </c>
      <c r="M1268" s="2">
        <v>42</v>
      </c>
      <c r="N1268" s="2">
        <v>1570</v>
      </c>
      <c r="O1268" s="2">
        <v>40</v>
      </c>
    </row>
    <row r="1269" spans="1:15" ht="24.95" customHeight="1" x14ac:dyDescent="0.25">
      <c r="A1269" s="1" t="s">
        <v>6818</v>
      </c>
      <c r="B1269" s="2">
        <v>342</v>
      </c>
      <c r="C1269" s="2">
        <v>162</v>
      </c>
      <c r="D1269" s="2">
        <v>37.6</v>
      </c>
      <c r="E1269" s="2">
        <v>124</v>
      </c>
      <c r="F1269" s="2">
        <v>0.4</v>
      </c>
      <c r="H1269" s="2">
        <v>113</v>
      </c>
      <c r="I1269" s="2">
        <v>135</v>
      </c>
      <c r="J1269" s="2">
        <v>18306</v>
      </c>
      <c r="K1269" s="2">
        <v>419</v>
      </c>
      <c r="L1269" s="2">
        <v>13.8</v>
      </c>
      <c r="M1269" s="2">
        <v>29.4</v>
      </c>
      <c r="N1269" s="2">
        <v>1310</v>
      </c>
      <c r="O1269" s="2">
        <v>50.3</v>
      </c>
    </row>
    <row r="1270" spans="1:15" ht="24.95" customHeight="1" x14ac:dyDescent="0.25">
      <c r="A1270" s="1" t="s">
        <v>6819</v>
      </c>
      <c r="B1270" s="2">
        <v>344</v>
      </c>
      <c r="C1270" s="2">
        <v>182</v>
      </c>
      <c r="D1270" s="2">
        <v>64</v>
      </c>
      <c r="E1270" s="2">
        <v>124</v>
      </c>
      <c r="F1270" s="2">
        <v>-6</v>
      </c>
      <c r="H1270" s="2">
        <v>49</v>
      </c>
      <c r="I1270" s="2">
        <v>113</v>
      </c>
      <c r="J1270" s="2">
        <v>8918</v>
      </c>
      <c r="K1270" s="2">
        <v>182</v>
      </c>
      <c r="L1270" s="2">
        <v>7.2</v>
      </c>
      <c r="M1270" s="2">
        <v>12.9</v>
      </c>
      <c r="N1270" s="2">
        <v>500</v>
      </c>
      <c r="O1270" s="2">
        <v>43.2</v>
      </c>
    </row>
    <row r="1271" spans="1:15" ht="24.95" customHeight="1" x14ac:dyDescent="0.25">
      <c r="A1271" s="1" t="s">
        <v>6815</v>
      </c>
      <c r="B1271" s="2">
        <v>330</v>
      </c>
      <c r="C1271" s="2">
        <v>160</v>
      </c>
      <c r="D1271" s="2">
        <v>42</v>
      </c>
      <c r="E1271" s="2">
        <v>124</v>
      </c>
      <c r="F1271" s="2">
        <v>-6</v>
      </c>
      <c r="G1271" s="2">
        <v>163.6</v>
      </c>
      <c r="H1271" s="2">
        <v>835</v>
      </c>
      <c r="I1271" s="2">
        <v>95</v>
      </c>
      <c r="J1271" s="2">
        <v>136606</v>
      </c>
      <c r="K1271" s="2">
        <v>2209</v>
      </c>
      <c r="L1271" s="2">
        <v>78.3</v>
      </c>
      <c r="M1271" s="2">
        <v>203.7</v>
      </c>
      <c r="N1271" s="2">
        <v>6960</v>
      </c>
      <c r="O1271" s="2">
        <v>33</v>
      </c>
    </row>
    <row r="1272" spans="1:15" ht="24.95" customHeight="1" x14ac:dyDescent="0.25">
      <c r="A1272" s="1" t="s">
        <v>6820</v>
      </c>
      <c r="B1272" s="2">
        <v>374</v>
      </c>
      <c r="C1272" s="2">
        <v>166</v>
      </c>
      <c r="D1272" s="2">
        <v>38</v>
      </c>
      <c r="E1272" s="2">
        <v>124</v>
      </c>
      <c r="F1272" s="2">
        <v>4</v>
      </c>
      <c r="G1272" s="2">
        <v>167.1</v>
      </c>
      <c r="H1272" s="2">
        <v>256</v>
      </c>
      <c r="I1272" s="2">
        <v>137</v>
      </c>
      <c r="J1272" s="2">
        <v>42782</v>
      </c>
      <c r="K1272" s="2">
        <v>1067</v>
      </c>
      <c r="L1272" s="2">
        <v>33.1</v>
      </c>
      <c r="M1272" s="2">
        <v>64.900000000000006</v>
      </c>
      <c r="N1272" s="2">
        <v>3270</v>
      </c>
      <c r="O1272" s="2">
        <v>55.5</v>
      </c>
    </row>
    <row r="1273" spans="1:15" ht="24.95" customHeight="1" x14ac:dyDescent="0.25">
      <c r="A1273" s="1" t="s">
        <v>6821</v>
      </c>
      <c r="B1273" s="2">
        <v>344</v>
      </c>
      <c r="C1273" s="2">
        <v>152</v>
      </c>
      <c r="D1273" s="2">
        <v>27.4</v>
      </c>
      <c r="E1273" s="2">
        <v>124</v>
      </c>
      <c r="F1273" s="2">
        <v>0.6</v>
      </c>
      <c r="G1273" s="2">
        <v>154.1</v>
      </c>
      <c r="H1273" s="2">
        <v>535</v>
      </c>
      <c r="I1273" s="2">
        <v>158</v>
      </c>
      <c r="J1273" s="2">
        <v>82438</v>
      </c>
      <c r="K1273" s="2">
        <v>2360</v>
      </c>
      <c r="L1273" s="2">
        <v>84.3</v>
      </c>
      <c r="M1273" s="2">
        <v>134.1</v>
      </c>
      <c r="N1273" s="2">
        <v>7620</v>
      </c>
      <c r="O1273" s="2">
        <v>59.5</v>
      </c>
    </row>
    <row r="1274" spans="1:15" ht="24.95" customHeight="1" x14ac:dyDescent="0.25">
      <c r="A1274" s="1" t="s">
        <v>6818</v>
      </c>
      <c r="B1274" s="2">
        <v>318</v>
      </c>
      <c r="C1274" s="2">
        <v>156</v>
      </c>
      <c r="D1274" s="2">
        <v>30.8</v>
      </c>
      <c r="E1274" s="2">
        <v>124</v>
      </c>
      <c r="F1274" s="2">
        <v>1.2</v>
      </c>
      <c r="G1274" s="2">
        <v>156</v>
      </c>
      <c r="H1274" s="2">
        <v>270</v>
      </c>
      <c r="I1274" s="2">
        <v>108</v>
      </c>
      <c r="J1274" s="2">
        <v>42120</v>
      </c>
      <c r="K1274" s="2">
        <v>932</v>
      </c>
      <c r="L1274" s="2">
        <v>33</v>
      </c>
      <c r="M1274" s="2">
        <v>61.6</v>
      </c>
      <c r="N1274" s="2">
        <v>3660</v>
      </c>
      <c r="O1274" s="2">
        <v>60.7</v>
      </c>
    </row>
    <row r="1275" spans="1:15" ht="24.95" customHeight="1" x14ac:dyDescent="0.25">
      <c r="A1275" s="1" t="s">
        <v>6822</v>
      </c>
      <c r="B1275" s="2">
        <v>354</v>
      </c>
      <c r="C1275" s="2">
        <v>172</v>
      </c>
      <c r="D1275" s="2">
        <v>48</v>
      </c>
      <c r="E1275" s="2">
        <v>124</v>
      </c>
      <c r="G1275" s="2">
        <v>172.4</v>
      </c>
      <c r="H1275" s="2">
        <v>672</v>
      </c>
      <c r="I1275" s="2">
        <v>126</v>
      </c>
      <c r="J1275" s="2">
        <v>115866</v>
      </c>
      <c r="K1275" s="2">
        <v>2052</v>
      </c>
      <c r="L1275" s="2">
        <v>69.900000000000006</v>
      </c>
      <c r="M1275" s="2">
        <v>172.7</v>
      </c>
      <c r="N1275" s="2">
        <v>6370</v>
      </c>
      <c r="O1275" s="2">
        <v>34.200000000000003</v>
      </c>
    </row>
    <row r="1276" spans="1:15" ht="24.95" customHeight="1" x14ac:dyDescent="0.25">
      <c r="A1276" s="1" t="s">
        <v>6823</v>
      </c>
      <c r="B1276" s="2">
        <v>333</v>
      </c>
      <c r="C1276" s="2">
        <v>152</v>
      </c>
      <c r="D1276" s="2">
        <v>25</v>
      </c>
      <c r="E1276" s="2">
        <v>124</v>
      </c>
      <c r="F1276" s="2">
        <v>3</v>
      </c>
      <c r="G1276" s="2">
        <v>154.4</v>
      </c>
      <c r="H1276" s="2">
        <v>850</v>
      </c>
      <c r="I1276" s="2">
        <v>155</v>
      </c>
      <c r="J1276" s="2">
        <v>131198</v>
      </c>
      <c r="K1276" s="2">
        <v>3367</v>
      </c>
      <c r="L1276" s="2">
        <v>115.3</v>
      </c>
      <c r="M1276" s="2">
        <v>223.6</v>
      </c>
      <c r="N1276" s="2">
        <v>10950</v>
      </c>
      <c r="O1276" s="2">
        <v>55.1</v>
      </c>
    </row>
    <row r="1277" spans="1:15" ht="24.95" customHeight="1" x14ac:dyDescent="0.25">
      <c r="A1277" s="1" t="s">
        <v>6824</v>
      </c>
      <c r="B1277" s="2">
        <v>237</v>
      </c>
      <c r="C1277" s="2">
        <v>99</v>
      </c>
      <c r="H1277" s="2">
        <v>12802</v>
      </c>
      <c r="I1277" s="2">
        <v>115</v>
      </c>
      <c r="J1277" s="2">
        <v>1267398</v>
      </c>
      <c r="K1277" s="2">
        <v>42273</v>
      </c>
      <c r="L1277" s="2">
        <v>1861.1</v>
      </c>
      <c r="M1277" s="2">
        <v>3256.5</v>
      </c>
      <c r="N1277" s="2">
        <v>120460</v>
      </c>
      <c r="O1277" s="2">
        <v>40.1</v>
      </c>
    </row>
    <row r="1278" spans="1:15" ht="24.95" customHeight="1" x14ac:dyDescent="0.25">
      <c r="A1278" s="1" t="s">
        <v>6825</v>
      </c>
      <c r="B1278" s="2">
        <v>320</v>
      </c>
      <c r="C1278" s="2">
        <v>132</v>
      </c>
      <c r="D1278" s="2">
        <v>33.4</v>
      </c>
      <c r="E1278" s="2">
        <v>99</v>
      </c>
      <c r="F1278" s="2">
        <v>-0.4</v>
      </c>
      <c r="H1278" s="2">
        <v>1755</v>
      </c>
      <c r="I1278" s="2">
        <v>128</v>
      </c>
      <c r="J1278" s="2">
        <v>231660</v>
      </c>
      <c r="K1278" s="2">
        <v>4096</v>
      </c>
      <c r="L1278" s="2">
        <v>216.4</v>
      </c>
      <c r="M1278" s="2">
        <v>440.3</v>
      </c>
      <c r="N1278" s="2">
        <v>14420</v>
      </c>
      <c r="O1278" s="2">
        <v>35.4</v>
      </c>
    </row>
    <row r="1279" spans="1:15" ht="24.95" customHeight="1" x14ac:dyDescent="0.25">
      <c r="A1279" s="1" t="s">
        <v>6826</v>
      </c>
      <c r="B1279" s="2">
        <v>332</v>
      </c>
      <c r="C1279" s="2">
        <v>136</v>
      </c>
      <c r="D1279" s="2">
        <v>37.5</v>
      </c>
      <c r="E1279" s="2">
        <v>9</v>
      </c>
      <c r="F1279" s="2">
        <v>-0.5</v>
      </c>
      <c r="H1279" s="2">
        <v>1008</v>
      </c>
      <c r="I1279" s="2">
        <v>121</v>
      </c>
      <c r="J1279" s="2">
        <v>137088</v>
      </c>
      <c r="K1279" s="2">
        <v>2950</v>
      </c>
      <c r="L1279" s="2">
        <v>145.30000000000001</v>
      </c>
      <c r="M1279" s="2">
        <v>262.8</v>
      </c>
      <c r="N1279" s="2">
        <v>9030</v>
      </c>
      <c r="O1279" s="2">
        <v>36.1</v>
      </c>
    </row>
    <row r="1280" spans="1:15" ht="24.95" customHeight="1" x14ac:dyDescent="0.25">
      <c r="A1280" s="1" t="s">
        <v>6827</v>
      </c>
      <c r="B1280" s="2">
        <v>317</v>
      </c>
      <c r="C1280" s="2">
        <v>139</v>
      </c>
      <c r="D1280" s="2">
        <v>41.6</v>
      </c>
      <c r="E1280" s="2">
        <v>99</v>
      </c>
      <c r="F1280" s="2">
        <v>-1.6</v>
      </c>
      <c r="H1280" s="2">
        <v>1410</v>
      </c>
      <c r="I1280" s="2">
        <v>102</v>
      </c>
      <c r="J1280" s="2">
        <v>195990</v>
      </c>
      <c r="K1280" s="2">
        <v>3902</v>
      </c>
      <c r="L1280" s="2">
        <v>238.4</v>
      </c>
      <c r="M1280" s="2">
        <v>355.2</v>
      </c>
      <c r="N1280" s="2">
        <v>11100</v>
      </c>
      <c r="O1280" s="2">
        <v>28</v>
      </c>
    </row>
    <row r="1281" spans="1:15" ht="24.95" customHeight="1" x14ac:dyDescent="0.25">
      <c r="A1281" s="1" t="s">
        <v>6828</v>
      </c>
      <c r="B1281" s="2">
        <v>316</v>
      </c>
      <c r="C1281" s="2">
        <v>132</v>
      </c>
      <c r="D1281" s="2">
        <v>30.8</v>
      </c>
      <c r="E1281" s="2">
        <v>102</v>
      </c>
      <c r="F1281" s="2">
        <v>-0.8</v>
      </c>
      <c r="H1281" s="2">
        <v>360</v>
      </c>
      <c r="I1281" s="2">
        <v>106</v>
      </c>
      <c r="J1281" s="2">
        <v>47520</v>
      </c>
      <c r="K1281" s="2">
        <v>1194</v>
      </c>
      <c r="L1281" s="2">
        <v>50.3</v>
      </c>
      <c r="M1281" s="2">
        <v>90.9</v>
      </c>
      <c r="N1281" s="2">
        <v>3610</v>
      </c>
      <c r="O1281" s="2">
        <v>44.3</v>
      </c>
    </row>
    <row r="1282" spans="1:15" ht="24.95" customHeight="1" x14ac:dyDescent="0.25">
      <c r="A1282" s="1" t="s">
        <v>6829</v>
      </c>
      <c r="B1282" s="2">
        <v>326</v>
      </c>
      <c r="C1282" s="2">
        <v>140</v>
      </c>
      <c r="D1282" s="2">
        <v>35.799999999999997</v>
      </c>
      <c r="E1282" s="2">
        <v>102</v>
      </c>
      <c r="F1282" s="2">
        <v>2.2000000000000002</v>
      </c>
      <c r="H1282" s="2">
        <v>240</v>
      </c>
      <c r="I1282" s="2">
        <v>126</v>
      </c>
      <c r="J1282" s="2">
        <v>33600</v>
      </c>
      <c r="K1282" s="2">
        <v>1583</v>
      </c>
      <c r="L1282" s="2">
        <v>46.9</v>
      </c>
      <c r="M1282" s="2">
        <v>64.400000000000006</v>
      </c>
      <c r="N1282" s="2">
        <v>4190</v>
      </c>
      <c r="O1282" s="2">
        <v>66.599999999999994</v>
      </c>
    </row>
    <row r="1283" spans="1:15" ht="24.95" customHeight="1" x14ac:dyDescent="0.25">
      <c r="A1283" s="1" t="s">
        <v>6830</v>
      </c>
      <c r="B1283" s="2">
        <v>288</v>
      </c>
      <c r="C1283" s="2">
        <v>128</v>
      </c>
      <c r="D1283" s="2">
        <v>28.6</v>
      </c>
      <c r="E1283" s="2">
        <v>102</v>
      </c>
      <c r="F1283" s="2">
        <v>-2.6</v>
      </c>
      <c r="H1283" s="2">
        <v>93</v>
      </c>
      <c r="I1283" s="2">
        <v>94</v>
      </c>
      <c r="J1283" s="2">
        <v>11904</v>
      </c>
      <c r="K1283" s="2">
        <v>221</v>
      </c>
      <c r="L1283" s="2">
        <v>10.1</v>
      </c>
      <c r="M1283" s="2">
        <v>23.2</v>
      </c>
      <c r="N1283" s="2">
        <v>770</v>
      </c>
      <c r="O1283" s="2">
        <v>32</v>
      </c>
    </row>
    <row r="1284" spans="1:15" ht="24.95" customHeight="1" x14ac:dyDescent="0.25">
      <c r="A1284" s="1" t="s">
        <v>6831</v>
      </c>
      <c r="B1284" s="2">
        <v>336</v>
      </c>
      <c r="C1284" s="2">
        <v>144</v>
      </c>
      <c r="D1284" s="2">
        <v>47</v>
      </c>
      <c r="E1284" s="2">
        <v>99</v>
      </c>
      <c r="F1284" s="2">
        <v>-2</v>
      </c>
      <c r="H1284" s="2">
        <v>185</v>
      </c>
      <c r="I1284" s="2">
        <v>110</v>
      </c>
      <c r="J1284" s="2">
        <v>26640</v>
      </c>
      <c r="K1284" s="2">
        <v>598</v>
      </c>
      <c r="L1284" s="2">
        <v>33.700000000000003</v>
      </c>
      <c r="M1284" s="2">
        <v>48.6</v>
      </c>
      <c r="N1284" s="2">
        <v>1580</v>
      </c>
      <c r="O1284" s="2">
        <v>31.5</v>
      </c>
    </row>
    <row r="1285" spans="1:15" ht="24.95" customHeight="1" x14ac:dyDescent="0.25">
      <c r="A1285" s="17" t="s">
        <v>6832</v>
      </c>
      <c r="B1285" s="2">
        <v>345</v>
      </c>
      <c r="C1285" s="2">
        <v>162</v>
      </c>
      <c r="D1285" s="2">
        <v>63.3</v>
      </c>
      <c r="E1285" s="2">
        <v>99</v>
      </c>
      <c r="F1285" s="2">
        <v>-0.3</v>
      </c>
      <c r="H1285" s="2">
        <v>3073</v>
      </c>
      <c r="I1285" s="2">
        <v>89</v>
      </c>
      <c r="J1285" s="2">
        <v>497826</v>
      </c>
      <c r="K1285" s="2">
        <v>5456</v>
      </c>
      <c r="L1285" s="2">
        <v>417.8</v>
      </c>
      <c r="M1285" s="2">
        <v>769.6</v>
      </c>
      <c r="N1285" s="2">
        <v>17170</v>
      </c>
    </row>
    <row r="1286" spans="1:15" ht="24.95" customHeight="1" x14ac:dyDescent="0.25">
      <c r="A1286" s="17" t="s">
        <v>6833</v>
      </c>
      <c r="B1286" s="2">
        <v>334</v>
      </c>
      <c r="C1286" s="2">
        <v>138</v>
      </c>
      <c r="D1286" s="2">
        <v>35.4</v>
      </c>
      <c r="E1286" s="2">
        <v>102</v>
      </c>
      <c r="F1286" s="2">
        <v>0.6</v>
      </c>
      <c r="H1286" s="2">
        <v>251</v>
      </c>
      <c r="I1286" s="2">
        <v>109</v>
      </c>
      <c r="J1286" s="2">
        <v>34638</v>
      </c>
      <c r="K1286" s="2">
        <v>1050</v>
      </c>
      <c r="L1286" s="2">
        <v>45.6</v>
      </c>
      <c r="M1286" s="2">
        <v>68.2</v>
      </c>
      <c r="N1286" s="2">
        <v>2930</v>
      </c>
      <c r="O1286" s="2">
        <v>49.4</v>
      </c>
    </row>
    <row r="1287" spans="1:15" ht="24.95" customHeight="1" x14ac:dyDescent="0.25">
      <c r="A1287" s="17" t="s">
        <v>6834</v>
      </c>
      <c r="B1287" s="2">
        <v>336</v>
      </c>
      <c r="C1287" s="2">
        <v>142</v>
      </c>
      <c r="D1287" s="2">
        <v>39.299999999999997</v>
      </c>
      <c r="E1287" s="2">
        <v>102</v>
      </c>
      <c r="F1287" s="2">
        <v>0.7</v>
      </c>
      <c r="H1287" s="2">
        <v>420</v>
      </c>
      <c r="I1287" s="2">
        <v>102</v>
      </c>
      <c r="J1287" s="2">
        <v>59640</v>
      </c>
      <c r="K1287" s="2">
        <v>1413</v>
      </c>
      <c r="L1287" s="2">
        <v>67.7</v>
      </c>
      <c r="M1287" s="2">
        <v>105</v>
      </c>
      <c r="N1287" s="2">
        <v>3770</v>
      </c>
      <c r="O1287" s="2">
        <v>37.9</v>
      </c>
    </row>
    <row r="1288" spans="1:15" ht="24.95" customHeight="1" x14ac:dyDescent="0.25">
      <c r="A1288" s="17" t="s">
        <v>6835</v>
      </c>
      <c r="B1288" s="2">
        <v>324</v>
      </c>
      <c r="C1288" s="2">
        <v>149</v>
      </c>
      <c r="D1288" s="2">
        <v>46.3</v>
      </c>
      <c r="E1288" s="2">
        <v>102</v>
      </c>
      <c r="F1288" s="2">
        <v>0.8</v>
      </c>
      <c r="H1288" s="2">
        <v>370</v>
      </c>
      <c r="I1288" s="2">
        <v>102</v>
      </c>
      <c r="J1288" s="2">
        <v>55130</v>
      </c>
      <c r="K1288" s="2">
        <v>1325</v>
      </c>
      <c r="L1288" s="2">
        <v>51.2</v>
      </c>
      <c r="M1288" s="2">
        <v>94.8</v>
      </c>
      <c r="N1288" s="2">
        <v>3880</v>
      </c>
      <c r="O1288" s="2">
        <v>44.9</v>
      </c>
    </row>
    <row r="1289" spans="1:15" ht="24.95" customHeight="1" x14ac:dyDescent="0.25">
      <c r="A1289" s="17" t="s">
        <v>6836</v>
      </c>
      <c r="B1289" s="2">
        <v>312</v>
      </c>
      <c r="C1289" s="2">
        <v>126</v>
      </c>
      <c r="D1289" s="2">
        <v>21.5</v>
      </c>
      <c r="E1289" s="2">
        <v>102</v>
      </c>
      <c r="F1289" s="2">
        <v>2.5</v>
      </c>
      <c r="G1289" s="2">
        <v>135.9</v>
      </c>
      <c r="H1289" s="2">
        <v>1519</v>
      </c>
      <c r="I1289" s="2">
        <v>162</v>
      </c>
      <c r="J1289" s="2">
        <v>206412</v>
      </c>
      <c r="K1289" s="2">
        <v>8341</v>
      </c>
      <c r="L1289" s="2">
        <v>235.3</v>
      </c>
      <c r="M1289" s="2">
        <v>392.5</v>
      </c>
      <c r="N1289" s="2">
        <v>21180</v>
      </c>
      <c r="O1289" s="2">
        <v>59</v>
      </c>
    </row>
    <row r="1290" spans="1:15" ht="24.95" customHeight="1" x14ac:dyDescent="0.25">
      <c r="A1290" s="17" t="s">
        <v>6837</v>
      </c>
      <c r="B1290" s="2">
        <v>317</v>
      </c>
      <c r="C1290" s="2">
        <v>130</v>
      </c>
      <c r="D1290" s="2">
        <v>25.1</v>
      </c>
      <c r="E1290" s="2">
        <v>102</v>
      </c>
      <c r="F1290" s="2">
        <v>2.9</v>
      </c>
      <c r="G1290" s="2">
        <v>131.80000000000001</v>
      </c>
      <c r="H1290" s="2">
        <v>1375</v>
      </c>
      <c r="I1290" s="2">
        <v>146</v>
      </c>
      <c r="J1290" s="2">
        <v>181251</v>
      </c>
      <c r="K1290" s="2">
        <v>6287</v>
      </c>
      <c r="L1290" s="2">
        <v>184.2</v>
      </c>
      <c r="M1290" s="2">
        <v>345.9</v>
      </c>
      <c r="N1290" s="2">
        <v>16310</v>
      </c>
      <c r="O1290" s="2">
        <v>53.2</v>
      </c>
    </row>
    <row r="1291" spans="1:15" ht="24.95" customHeight="1" x14ac:dyDescent="0.25">
      <c r="A1291" s="17" t="s">
        <v>6838</v>
      </c>
      <c r="B1291" s="2">
        <v>334</v>
      </c>
      <c r="C1291" s="2">
        <v>135</v>
      </c>
      <c r="D1291" s="2">
        <v>30.6</v>
      </c>
      <c r="E1291" s="2">
        <v>102</v>
      </c>
      <c r="F1291" s="2">
        <v>2.4</v>
      </c>
      <c r="G1291" s="2">
        <v>137</v>
      </c>
      <c r="H1291" s="2">
        <v>450</v>
      </c>
      <c r="I1291" s="2">
        <v>103</v>
      </c>
      <c r="J1291" s="2">
        <v>61631</v>
      </c>
      <c r="K1291" s="2">
        <v>2092</v>
      </c>
      <c r="L1291" s="2">
        <v>66.3</v>
      </c>
      <c r="M1291" s="2">
        <v>116.4</v>
      </c>
      <c r="N1291" s="2">
        <v>5910</v>
      </c>
      <c r="O1291" s="2">
        <v>57.1</v>
      </c>
    </row>
    <row r="1292" spans="1:15" ht="24.95" customHeight="1" x14ac:dyDescent="0.25">
      <c r="A1292" s="17" t="s">
        <v>6839</v>
      </c>
      <c r="B1292" s="2">
        <v>323</v>
      </c>
      <c r="C1292" s="2">
        <v>144</v>
      </c>
      <c r="D1292" s="2">
        <v>36.799999999999997</v>
      </c>
      <c r="E1292" s="2">
        <v>102</v>
      </c>
      <c r="F1292" s="2">
        <v>5.2</v>
      </c>
      <c r="G1292" s="2">
        <v>149.80000000000001</v>
      </c>
      <c r="H1292" s="2">
        <v>293</v>
      </c>
      <c r="I1292" s="2">
        <v>153</v>
      </c>
      <c r="J1292" s="2">
        <v>43904</v>
      </c>
      <c r="K1292" s="2">
        <v>1765</v>
      </c>
      <c r="L1292" s="2">
        <v>51.7</v>
      </c>
      <c r="M1292" s="2">
        <v>78.599999999999994</v>
      </c>
      <c r="N1292" s="2">
        <v>4610</v>
      </c>
      <c r="O1292" s="2">
        <v>64.099999999999994</v>
      </c>
    </row>
    <row r="1293" spans="1:15" ht="24.95" customHeight="1" x14ac:dyDescent="0.25">
      <c r="A1293" s="17" t="s">
        <v>6840</v>
      </c>
      <c r="B1293" s="2">
        <v>232</v>
      </c>
      <c r="C1293" s="2">
        <v>96</v>
      </c>
      <c r="H1293" s="2">
        <v>4488</v>
      </c>
      <c r="I1293" s="2">
        <v>124</v>
      </c>
      <c r="J1293" s="2">
        <v>430848</v>
      </c>
      <c r="K1293" s="2">
        <v>18555</v>
      </c>
      <c r="L1293" s="2">
        <v>621.70000000000005</v>
      </c>
      <c r="M1293" s="2">
        <v>1128.9000000000001</v>
      </c>
      <c r="N1293" s="2">
        <v>53390</v>
      </c>
      <c r="O1293" s="2">
        <v>65.400000000000006</v>
      </c>
    </row>
    <row r="1294" spans="1:15" ht="24.95" customHeight="1" x14ac:dyDescent="0.25">
      <c r="A1294" s="17" t="s">
        <v>6841</v>
      </c>
      <c r="B1294" s="2">
        <v>341</v>
      </c>
      <c r="C1294" s="2">
        <v>146</v>
      </c>
      <c r="D1294" s="2">
        <v>54.6</v>
      </c>
      <c r="E1294" s="2">
        <v>96</v>
      </c>
      <c r="F1294" s="2">
        <v>-4.5999999999999996</v>
      </c>
      <c r="H1294" s="2">
        <v>1500</v>
      </c>
      <c r="I1294" s="2">
        <v>114</v>
      </c>
      <c r="J1294" s="2">
        <v>219000</v>
      </c>
      <c r="K1294" s="2">
        <v>2869</v>
      </c>
      <c r="L1294" s="2">
        <v>160.1</v>
      </c>
      <c r="M1294" s="2">
        <v>381.2</v>
      </c>
      <c r="N1294" s="2">
        <v>10480</v>
      </c>
      <c r="O1294" s="2">
        <v>19.100000000000001</v>
      </c>
    </row>
    <row r="1295" spans="1:15" ht="24.95" customHeight="1" x14ac:dyDescent="0.25">
      <c r="A1295" s="17" t="s">
        <v>6842</v>
      </c>
      <c r="B1295" s="2">
        <v>315</v>
      </c>
      <c r="C1295" s="2">
        <v>120</v>
      </c>
      <c r="D1295" s="2">
        <v>25.2</v>
      </c>
      <c r="E1295" s="2">
        <v>96</v>
      </c>
      <c r="F1295" s="2">
        <v>-1.2</v>
      </c>
      <c r="H1295" s="2">
        <v>413</v>
      </c>
      <c r="I1295" s="2">
        <v>124</v>
      </c>
      <c r="J1295" s="2">
        <v>49560</v>
      </c>
      <c r="K1295" s="2">
        <v>1209</v>
      </c>
      <c r="L1295" s="2">
        <v>53.2</v>
      </c>
      <c r="M1295" s="2">
        <v>101.9</v>
      </c>
      <c r="N1295" s="2">
        <v>3700</v>
      </c>
      <c r="O1295" s="2">
        <v>37.200000000000003</v>
      </c>
    </row>
    <row r="1296" spans="1:15" ht="24.95" customHeight="1" x14ac:dyDescent="0.25">
      <c r="A1296" s="17" t="s">
        <v>6843</v>
      </c>
      <c r="B1296" s="2">
        <v>408</v>
      </c>
      <c r="C1296" s="2">
        <v>150</v>
      </c>
      <c r="D1296" s="2">
        <v>58</v>
      </c>
      <c r="E1296" s="2">
        <v>96</v>
      </c>
      <c r="F1296" s="2">
        <v>-4</v>
      </c>
      <c r="H1296" s="2">
        <v>263</v>
      </c>
      <c r="I1296" s="2">
        <v>112</v>
      </c>
      <c r="J1296" s="2">
        <v>39450</v>
      </c>
      <c r="K1296" s="2">
        <v>583</v>
      </c>
      <c r="L1296" s="2">
        <v>27.5</v>
      </c>
      <c r="M1296" s="2">
        <v>66.400000000000006</v>
      </c>
      <c r="N1296" s="2">
        <v>2010</v>
      </c>
      <c r="O1296" s="2">
        <v>26.8</v>
      </c>
    </row>
    <row r="1297" spans="1:15" ht="24.95" customHeight="1" x14ac:dyDescent="0.25">
      <c r="A1297" s="17" t="s">
        <v>6844</v>
      </c>
      <c r="B1297" s="2">
        <v>384</v>
      </c>
      <c r="C1297" s="2">
        <v>138</v>
      </c>
      <c r="D1297" s="2">
        <v>45.8</v>
      </c>
      <c r="E1297" s="2">
        <v>96</v>
      </c>
      <c r="F1297" s="2">
        <v>-3.8</v>
      </c>
      <c r="H1297" s="2">
        <v>150</v>
      </c>
      <c r="I1297" s="2">
        <v>100</v>
      </c>
      <c r="J1297" s="2">
        <v>20700</v>
      </c>
      <c r="K1297" s="2">
        <v>470</v>
      </c>
      <c r="L1297" s="2">
        <v>19.899999999999999</v>
      </c>
      <c r="M1297" s="2">
        <v>39</v>
      </c>
      <c r="N1297" s="2">
        <v>1190</v>
      </c>
      <c r="O1297" s="2">
        <v>26.5</v>
      </c>
    </row>
    <row r="1298" spans="1:15" ht="24.95" customHeight="1" x14ac:dyDescent="0.25">
      <c r="A1298" s="17" t="s">
        <v>6845</v>
      </c>
      <c r="B1298" s="2">
        <v>364</v>
      </c>
      <c r="C1298" s="2">
        <v>132</v>
      </c>
      <c r="D1298" s="2">
        <v>35.6</v>
      </c>
      <c r="E1298" s="2">
        <v>96</v>
      </c>
      <c r="F1298" s="2">
        <v>0.4</v>
      </c>
      <c r="H1298" s="2">
        <v>110</v>
      </c>
      <c r="I1298" s="2">
        <v>134</v>
      </c>
      <c r="J1298" s="2">
        <v>14520</v>
      </c>
      <c r="K1298" s="2">
        <v>444</v>
      </c>
      <c r="L1298" s="2">
        <v>18.399999999999999</v>
      </c>
      <c r="M1298" s="2">
        <v>28.8</v>
      </c>
      <c r="N1298" s="2">
        <v>920</v>
      </c>
      <c r="O1298" s="2">
        <v>30.5</v>
      </c>
    </row>
    <row r="1299" spans="1:15" ht="24.95" customHeight="1" x14ac:dyDescent="0.25">
      <c r="A1299" s="17" t="s">
        <v>6846</v>
      </c>
      <c r="B1299" s="2">
        <v>319</v>
      </c>
      <c r="C1299" s="2">
        <v>120</v>
      </c>
      <c r="D1299" s="2">
        <v>22</v>
      </c>
      <c r="E1299" s="2">
        <v>96</v>
      </c>
      <c r="F1299" s="2">
        <v>2</v>
      </c>
      <c r="G1299" s="2">
        <v>123.7</v>
      </c>
      <c r="H1299" s="2">
        <v>397</v>
      </c>
      <c r="I1299" s="2">
        <v>115</v>
      </c>
      <c r="J1299" s="2">
        <v>49128</v>
      </c>
      <c r="K1299" s="2">
        <v>3189</v>
      </c>
      <c r="L1299" s="2">
        <v>73.2</v>
      </c>
      <c r="M1299" s="2">
        <v>105</v>
      </c>
      <c r="N1299" s="2">
        <v>8960</v>
      </c>
      <c r="O1299" s="2">
        <v>73.599999999999994</v>
      </c>
    </row>
    <row r="1300" spans="1:15" ht="24.95" customHeight="1" x14ac:dyDescent="0.25">
      <c r="A1300" s="17" t="s">
        <v>6841</v>
      </c>
      <c r="B1300" s="2">
        <v>299</v>
      </c>
      <c r="C1300" s="2">
        <v>120</v>
      </c>
      <c r="D1300" s="2">
        <v>22.4</v>
      </c>
      <c r="E1300" s="2">
        <v>96</v>
      </c>
      <c r="F1300" s="2">
        <v>1.6</v>
      </c>
      <c r="G1300" s="2">
        <v>122.8</v>
      </c>
      <c r="H1300" s="2">
        <v>761</v>
      </c>
      <c r="I1300" s="2">
        <v>128</v>
      </c>
      <c r="J1300" s="2">
        <v>93470</v>
      </c>
      <c r="K1300" s="2">
        <v>4379</v>
      </c>
      <c r="L1300" s="2">
        <v>125.9</v>
      </c>
      <c r="M1300" s="2">
        <v>196.6</v>
      </c>
      <c r="N1300" s="2">
        <v>11180</v>
      </c>
      <c r="O1300" s="2">
        <v>60.6</v>
      </c>
    </row>
    <row r="1301" spans="1:15" ht="24.95" customHeight="1" x14ac:dyDescent="0.25">
      <c r="A1301" s="17" t="s">
        <v>6847</v>
      </c>
      <c r="B1301" s="2">
        <v>319</v>
      </c>
      <c r="C1301" s="2">
        <v>126</v>
      </c>
      <c r="D1301" s="2">
        <v>28.9</v>
      </c>
      <c r="E1301" s="2">
        <v>96</v>
      </c>
      <c r="F1301" s="2">
        <v>1.1000000000000001</v>
      </c>
      <c r="G1301" s="2">
        <v>128.19999999999999</v>
      </c>
      <c r="H1301" s="2">
        <v>668</v>
      </c>
      <c r="I1301" s="2">
        <v>151</v>
      </c>
      <c r="J1301" s="2">
        <v>85669</v>
      </c>
      <c r="K1301" s="2">
        <v>3651</v>
      </c>
      <c r="L1301" s="2">
        <v>105.6</v>
      </c>
      <c r="M1301" s="2">
        <v>152.19999999999999</v>
      </c>
      <c r="N1301" s="2">
        <v>10210</v>
      </c>
      <c r="O1301" s="2">
        <v>62.6</v>
      </c>
    </row>
    <row r="1302" spans="1:15" ht="24.95" customHeight="1" x14ac:dyDescent="0.25">
      <c r="A1302" s="17" t="s">
        <v>6848</v>
      </c>
      <c r="B1302" s="2">
        <v>318</v>
      </c>
      <c r="C1302" s="2">
        <v>116</v>
      </c>
      <c r="D1302" s="2">
        <v>19</v>
      </c>
      <c r="E1302" s="2">
        <v>96</v>
      </c>
      <c r="F1302" s="2">
        <v>1</v>
      </c>
      <c r="G1302" s="2">
        <v>119</v>
      </c>
      <c r="H1302" s="2">
        <v>226</v>
      </c>
      <c r="I1302" s="2">
        <v>157</v>
      </c>
      <c r="J1302" s="2">
        <v>26888</v>
      </c>
      <c r="K1302" s="2">
        <v>1761</v>
      </c>
      <c r="L1302" s="2">
        <v>37.9</v>
      </c>
      <c r="M1302" s="2">
        <v>57.8</v>
      </c>
      <c r="N1302" s="2">
        <v>4740</v>
      </c>
      <c r="O1302" s="2">
        <v>73</v>
      </c>
    </row>
    <row r="1303" spans="1:15" ht="24.95" customHeight="1" x14ac:dyDescent="0.25">
      <c r="A1303" s="17" t="s">
        <v>6849</v>
      </c>
      <c r="B1303" s="2">
        <v>253</v>
      </c>
      <c r="C1303" s="2">
        <v>106.3</v>
      </c>
      <c r="H1303" s="2">
        <v>16364</v>
      </c>
      <c r="I1303" s="2">
        <v>142</v>
      </c>
      <c r="J1303" s="2">
        <v>1739493</v>
      </c>
      <c r="K1303" s="2">
        <v>51321</v>
      </c>
      <c r="L1303" s="2">
        <v>1994.4</v>
      </c>
      <c r="M1303" s="2">
        <v>4230.1000000000004</v>
      </c>
      <c r="N1303" s="2">
        <v>167110</v>
      </c>
      <c r="O1303" s="2">
        <v>42.6</v>
      </c>
    </row>
    <row r="1304" spans="1:15" ht="24.95" customHeight="1" x14ac:dyDescent="0.25">
      <c r="A1304" s="17" t="s">
        <v>6850</v>
      </c>
      <c r="B1304" s="2">
        <v>316</v>
      </c>
      <c r="C1304" s="2">
        <v>138</v>
      </c>
      <c r="D1304" s="2">
        <v>34</v>
      </c>
      <c r="E1304" s="2">
        <v>110.8</v>
      </c>
      <c r="F1304" s="2">
        <v>-6.9</v>
      </c>
      <c r="H1304" s="2">
        <v>2060</v>
      </c>
      <c r="I1304" s="2">
        <v>133</v>
      </c>
      <c r="J1304" s="2">
        <v>284280</v>
      </c>
      <c r="K1304" s="2">
        <v>3649</v>
      </c>
      <c r="L1304" s="2">
        <v>200.9</v>
      </c>
      <c r="M1304" s="2">
        <v>504.3</v>
      </c>
      <c r="N1304" s="2">
        <v>12910</v>
      </c>
      <c r="O1304" s="2">
        <v>6.4</v>
      </c>
    </row>
    <row r="1305" spans="1:15" ht="24.95" customHeight="1" x14ac:dyDescent="0.25">
      <c r="A1305" s="17" t="s">
        <v>6851</v>
      </c>
      <c r="B1305" s="2">
        <v>389</v>
      </c>
      <c r="C1305" s="2">
        <v>166</v>
      </c>
      <c r="D1305" s="2">
        <v>53.7</v>
      </c>
      <c r="E1305" s="2">
        <v>111</v>
      </c>
      <c r="F1305" s="2">
        <v>1.3</v>
      </c>
      <c r="H1305" s="2">
        <v>187</v>
      </c>
      <c r="I1305" s="2">
        <v>140</v>
      </c>
      <c r="J1305" s="2">
        <v>31042</v>
      </c>
      <c r="K1305" s="2">
        <v>887</v>
      </c>
      <c r="L1305" s="2">
        <v>28.2</v>
      </c>
      <c r="M1305" s="2">
        <v>47.5</v>
      </c>
      <c r="N1305" s="2">
        <v>2880</v>
      </c>
      <c r="O1305" s="2">
        <v>64.3</v>
      </c>
    </row>
    <row r="1306" spans="1:15" ht="24.95" customHeight="1" x14ac:dyDescent="0.25">
      <c r="A1306" s="17" t="s">
        <v>6852</v>
      </c>
      <c r="B1306" s="2">
        <v>384</v>
      </c>
      <c r="C1306" s="2">
        <v>150</v>
      </c>
      <c r="D1306" s="2">
        <v>39</v>
      </c>
      <c r="E1306" s="2">
        <v>111</v>
      </c>
      <c r="H1306" s="2">
        <v>172</v>
      </c>
      <c r="I1306" s="2">
        <v>129</v>
      </c>
      <c r="J1306" s="2">
        <v>25800</v>
      </c>
      <c r="K1306" s="2">
        <v>595</v>
      </c>
      <c r="L1306" s="2">
        <v>22.1</v>
      </c>
      <c r="M1306" s="2">
        <v>46.8</v>
      </c>
      <c r="N1306" s="2">
        <v>1990</v>
      </c>
      <c r="O1306" s="2">
        <v>47.5</v>
      </c>
    </row>
    <row r="1307" spans="1:15" ht="24.95" customHeight="1" x14ac:dyDescent="0.25">
      <c r="A1307" s="17" t="s">
        <v>6853</v>
      </c>
      <c r="B1307" s="2">
        <v>374</v>
      </c>
      <c r="C1307" s="2">
        <v>162</v>
      </c>
      <c r="D1307" s="2">
        <v>58</v>
      </c>
      <c r="E1307" s="2">
        <v>106.3</v>
      </c>
      <c r="F1307" s="2">
        <v>-2.2999999999999998</v>
      </c>
      <c r="H1307" s="2">
        <v>3900</v>
      </c>
      <c r="I1307" s="2">
        <v>132</v>
      </c>
      <c r="J1307" s="2">
        <v>631800</v>
      </c>
      <c r="K1307" s="2">
        <v>9009</v>
      </c>
      <c r="L1307" s="2">
        <v>429</v>
      </c>
      <c r="M1307" s="2">
        <v>1008.5</v>
      </c>
      <c r="N1307" s="2">
        <v>29800</v>
      </c>
      <c r="O1307" s="2">
        <v>23.7</v>
      </c>
    </row>
    <row r="1308" spans="1:15" ht="24.95" customHeight="1" x14ac:dyDescent="0.25">
      <c r="A1308" s="17" t="s">
        <v>6854</v>
      </c>
      <c r="B1308" s="2">
        <v>364</v>
      </c>
      <c r="C1308" s="2">
        <v>156</v>
      </c>
      <c r="D1308" s="2">
        <v>45.2</v>
      </c>
      <c r="E1308" s="2">
        <v>111</v>
      </c>
      <c r="F1308" s="2">
        <v>-0.2</v>
      </c>
      <c r="H1308" s="2">
        <v>700</v>
      </c>
      <c r="I1308" s="2">
        <v>139</v>
      </c>
      <c r="J1308" s="2">
        <v>109200</v>
      </c>
      <c r="K1308" s="2">
        <v>1950</v>
      </c>
      <c r="L1308" s="2">
        <v>83.8</v>
      </c>
      <c r="M1308" s="2">
        <v>182.6</v>
      </c>
      <c r="N1308" s="2">
        <v>6250</v>
      </c>
      <c r="O1308" s="2">
        <v>35.4</v>
      </c>
    </row>
    <row r="1309" spans="1:15" ht="24.95" customHeight="1" x14ac:dyDescent="0.25">
      <c r="A1309" s="17" t="s">
        <v>6855</v>
      </c>
      <c r="B1309" s="2">
        <v>326</v>
      </c>
      <c r="C1309" s="2">
        <v>140</v>
      </c>
      <c r="D1309" s="2">
        <v>31.1</v>
      </c>
      <c r="E1309" s="2">
        <v>106.5</v>
      </c>
      <c r="F1309" s="2">
        <v>2.4</v>
      </c>
      <c r="H1309" s="2">
        <v>969</v>
      </c>
      <c r="I1309" s="2">
        <v>92</v>
      </c>
      <c r="J1309" s="2">
        <v>135660</v>
      </c>
      <c r="K1309" s="2">
        <v>1890</v>
      </c>
      <c r="L1309" s="2">
        <v>69.599999999999994</v>
      </c>
      <c r="M1309" s="2">
        <v>248.8</v>
      </c>
      <c r="N1309" s="2">
        <v>5840</v>
      </c>
      <c r="O1309" s="2">
        <v>5.5</v>
      </c>
    </row>
    <row r="1310" spans="1:15" ht="24.95" customHeight="1" x14ac:dyDescent="0.25">
      <c r="A1310" s="17" t="s">
        <v>6856</v>
      </c>
      <c r="B1310" s="2">
        <v>318</v>
      </c>
      <c r="C1310" s="2">
        <v>132</v>
      </c>
      <c r="D1310" s="2">
        <v>24.9</v>
      </c>
      <c r="E1310" s="2">
        <v>111</v>
      </c>
      <c r="F1310" s="2">
        <v>-3.9</v>
      </c>
      <c r="H1310" s="2">
        <v>242</v>
      </c>
      <c r="I1310" s="2">
        <v>140</v>
      </c>
      <c r="J1310" s="2">
        <v>31944</v>
      </c>
      <c r="K1310" s="2">
        <v>1335</v>
      </c>
      <c r="L1310" s="2">
        <v>45.7</v>
      </c>
      <c r="M1310" s="2">
        <v>62.2</v>
      </c>
      <c r="N1310" s="2">
        <v>4210</v>
      </c>
      <c r="O1310" s="2">
        <v>67.599999999999994</v>
      </c>
    </row>
    <row r="1311" spans="1:15" ht="24.95" customHeight="1" x14ac:dyDescent="0.25">
      <c r="A1311" s="17" t="s">
        <v>6857</v>
      </c>
      <c r="B1311" s="2">
        <v>366</v>
      </c>
      <c r="C1311" s="2">
        <v>165</v>
      </c>
      <c r="D1311" s="2">
        <v>59.9</v>
      </c>
      <c r="E1311" s="2">
        <v>111</v>
      </c>
      <c r="F1311" s="2">
        <v>-5.9</v>
      </c>
      <c r="H1311" s="2">
        <v>210</v>
      </c>
      <c r="I1311" s="2">
        <v>131</v>
      </c>
      <c r="J1311" s="2">
        <v>34650</v>
      </c>
      <c r="K1311" s="2">
        <v>600</v>
      </c>
      <c r="L1311" s="2">
        <v>28.1</v>
      </c>
      <c r="M1311" s="2">
        <v>53.1</v>
      </c>
      <c r="N1311" s="2">
        <v>1880</v>
      </c>
      <c r="O1311" s="2">
        <v>36.299999999999997</v>
      </c>
    </row>
    <row r="1312" spans="1:15" ht="24.95" customHeight="1" x14ac:dyDescent="0.25">
      <c r="A1312" s="17" t="s">
        <v>6858</v>
      </c>
      <c r="B1312" s="2">
        <v>358</v>
      </c>
      <c r="C1312" s="2">
        <v>153</v>
      </c>
      <c r="D1312" s="2">
        <v>42.6</v>
      </c>
      <c r="E1312" s="2">
        <v>111</v>
      </c>
      <c r="F1312" s="2">
        <v>-0.6</v>
      </c>
      <c r="H1312" s="2">
        <v>123</v>
      </c>
      <c r="I1312" s="2">
        <v>151</v>
      </c>
      <c r="J1312" s="2">
        <v>18819</v>
      </c>
      <c r="K1312" s="2">
        <v>213</v>
      </c>
      <c r="L1312" s="2">
        <v>7.9</v>
      </c>
      <c r="M1312" s="2">
        <v>31.9</v>
      </c>
      <c r="N1312" s="2">
        <v>610</v>
      </c>
    </row>
    <row r="1313" spans="1:15" ht="24.95" customHeight="1" x14ac:dyDescent="0.25">
      <c r="A1313" s="17" t="s">
        <v>6850</v>
      </c>
      <c r="B1313" s="2">
        <v>330</v>
      </c>
      <c r="C1313" s="2">
        <v>156</v>
      </c>
      <c r="D1313" s="2">
        <v>43.1</v>
      </c>
      <c r="E1313" s="2">
        <v>111</v>
      </c>
      <c r="F1313" s="2">
        <v>1.9</v>
      </c>
      <c r="G1313" s="2">
        <v>160</v>
      </c>
      <c r="H1313" s="2">
        <v>1809</v>
      </c>
      <c r="I1313" s="2">
        <v>170</v>
      </c>
      <c r="J1313" s="2">
        <v>289319</v>
      </c>
      <c r="K1313" s="2">
        <v>8510</v>
      </c>
      <c r="L1313" s="2">
        <v>290.89999999999998</v>
      </c>
      <c r="M1313" s="2">
        <v>490.3</v>
      </c>
      <c r="N1313" s="2">
        <v>27940</v>
      </c>
      <c r="O1313" s="2">
        <v>61.8</v>
      </c>
    </row>
    <row r="1314" spans="1:15" ht="24.95" customHeight="1" x14ac:dyDescent="0.25">
      <c r="A1314" s="17" t="s">
        <v>6857</v>
      </c>
      <c r="B1314" s="2">
        <v>334</v>
      </c>
      <c r="C1314" s="2">
        <v>138</v>
      </c>
      <c r="D1314" s="2">
        <v>24</v>
      </c>
      <c r="E1314" s="2">
        <v>111</v>
      </c>
      <c r="F1314" s="2">
        <v>3</v>
      </c>
      <c r="G1314" s="2">
        <v>147.4</v>
      </c>
      <c r="H1314" s="2">
        <v>1468</v>
      </c>
      <c r="I1314" s="2">
        <v>164</v>
      </c>
      <c r="J1314" s="2">
        <v>216355</v>
      </c>
      <c r="K1314" s="2">
        <v>7613</v>
      </c>
      <c r="L1314" s="2">
        <v>246.4</v>
      </c>
      <c r="M1314" s="2">
        <v>400.1</v>
      </c>
      <c r="N1314" s="2">
        <v>24300</v>
      </c>
      <c r="O1314" s="2">
        <v>64.3</v>
      </c>
    </row>
    <row r="1315" spans="1:15" ht="24.95" customHeight="1" x14ac:dyDescent="0.25">
      <c r="A1315" s="17" t="s">
        <v>6853</v>
      </c>
      <c r="B1315" s="2">
        <v>317</v>
      </c>
      <c r="C1315" s="2">
        <v>128.69999999999999</v>
      </c>
      <c r="D1315" s="2">
        <v>21.4</v>
      </c>
      <c r="E1315" s="2">
        <v>106.5</v>
      </c>
      <c r="F1315" s="2">
        <v>0.8</v>
      </c>
      <c r="G1315" s="2">
        <v>138.19999999999999</v>
      </c>
      <c r="H1315" s="2">
        <v>4069</v>
      </c>
      <c r="I1315" s="2">
        <v>149</v>
      </c>
      <c r="J1315" s="2">
        <v>562512</v>
      </c>
      <c r="K1315" s="2">
        <v>12188</v>
      </c>
      <c r="L1315" s="2">
        <v>458.7</v>
      </c>
      <c r="M1315" s="2">
        <v>1037.7</v>
      </c>
      <c r="N1315" s="2">
        <v>40280</v>
      </c>
      <c r="O1315" s="2">
        <v>40.299999999999997</v>
      </c>
    </row>
    <row r="1316" spans="1:15" ht="24.95" customHeight="1" x14ac:dyDescent="0.25">
      <c r="A1316" s="17" t="s">
        <v>6858</v>
      </c>
      <c r="B1316" s="2">
        <v>340</v>
      </c>
      <c r="C1316" s="2">
        <v>132</v>
      </c>
      <c r="D1316" s="2">
        <v>18.899999999999999</v>
      </c>
      <c r="E1316" s="2">
        <v>111</v>
      </c>
      <c r="F1316" s="2">
        <v>2</v>
      </c>
      <c r="G1316" s="2">
        <v>135.19999999999999</v>
      </c>
      <c r="H1316" s="2">
        <v>440</v>
      </c>
      <c r="I1316" s="2">
        <v>206</v>
      </c>
      <c r="J1316" s="2">
        <v>59508</v>
      </c>
      <c r="K1316" s="2">
        <v>2882</v>
      </c>
      <c r="L1316" s="2">
        <v>83</v>
      </c>
      <c r="M1316" s="2">
        <v>116.5</v>
      </c>
      <c r="N1316" s="2">
        <v>8220</v>
      </c>
      <c r="O1316" s="2">
        <v>68.3</v>
      </c>
    </row>
    <row r="1317" spans="1:15" ht="24.95" customHeight="1" x14ac:dyDescent="0.25">
      <c r="A1317" s="17" t="s">
        <v>6859</v>
      </c>
      <c r="B1317" s="2">
        <v>207.8</v>
      </c>
      <c r="C1317" s="2">
        <v>90.5</v>
      </c>
      <c r="H1317" s="2">
        <v>20100</v>
      </c>
      <c r="I1317" s="2">
        <v>151</v>
      </c>
      <c r="J1317" s="2">
        <v>1819050</v>
      </c>
      <c r="K1317" s="2">
        <v>57864</v>
      </c>
      <c r="L1317" s="2">
        <v>2788.9</v>
      </c>
      <c r="M1317" s="2">
        <v>5206.5</v>
      </c>
      <c r="N1317" s="2">
        <v>174180</v>
      </c>
      <c r="O1317" s="2">
        <v>32.200000000000003</v>
      </c>
    </row>
    <row r="1318" spans="1:15" ht="24.95" customHeight="1" x14ac:dyDescent="0.25">
      <c r="A1318" s="17" t="s">
        <v>6860</v>
      </c>
      <c r="B1318" s="2">
        <v>318</v>
      </c>
      <c r="C1318" s="2">
        <v>150</v>
      </c>
      <c r="D1318" s="2">
        <v>61.6</v>
      </c>
      <c r="E1318" s="2">
        <v>90.5</v>
      </c>
      <c r="F1318" s="2">
        <v>-2.1</v>
      </c>
      <c r="H1318" s="2">
        <v>3700</v>
      </c>
      <c r="I1318" s="2">
        <v>102</v>
      </c>
      <c r="J1318" s="2">
        <v>555000</v>
      </c>
      <c r="K1318" s="2">
        <v>8238</v>
      </c>
      <c r="L1318" s="2">
        <v>627.29999999999995</v>
      </c>
      <c r="M1318" s="2">
        <v>947</v>
      </c>
      <c r="N1318" s="2">
        <v>22400</v>
      </c>
      <c r="O1318" s="2">
        <v>6</v>
      </c>
    </row>
    <row r="1319" spans="1:15" ht="24.95" customHeight="1" x14ac:dyDescent="0.25">
      <c r="A1319" s="17" t="s">
        <v>6861</v>
      </c>
      <c r="B1319" s="2">
        <v>284</v>
      </c>
      <c r="C1319" s="2">
        <v>122</v>
      </c>
      <c r="D1319" s="2">
        <v>27.5</v>
      </c>
      <c r="E1319" s="2">
        <v>94</v>
      </c>
      <c r="F1319" s="2">
        <v>0.5</v>
      </c>
      <c r="H1319" s="2">
        <v>800</v>
      </c>
      <c r="I1319" s="2">
        <v>156</v>
      </c>
      <c r="J1319" s="2">
        <v>97600</v>
      </c>
      <c r="K1319" s="2">
        <v>2103</v>
      </c>
      <c r="L1319" s="2">
        <v>103.5</v>
      </c>
      <c r="M1319" s="2">
        <v>203.8</v>
      </c>
      <c r="N1319" s="2">
        <v>8130</v>
      </c>
      <c r="O1319" s="2">
        <v>39.799999999999997</v>
      </c>
    </row>
    <row r="1320" spans="1:15" ht="24.95" customHeight="1" x14ac:dyDescent="0.25">
      <c r="A1320" s="17" t="s">
        <v>6862</v>
      </c>
      <c r="B1320" s="2">
        <v>258</v>
      </c>
      <c r="C1320" s="2">
        <v>112</v>
      </c>
      <c r="D1320" s="2">
        <v>19.600000000000001</v>
      </c>
      <c r="E1320" s="2">
        <v>94</v>
      </c>
      <c r="F1320" s="2">
        <v>-1.6</v>
      </c>
      <c r="H1320" s="2">
        <v>547</v>
      </c>
      <c r="I1320" s="2">
        <v>181</v>
      </c>
      <c r="J1320" s="2">
        <v>61264</v>
      </c>
      <c r="K1320" s="2">
        <v>1165</v>
      </c>
      <c r="L1320" s="2">
        <v>66.400000000000006</v>
      </c>
      <c r="M1320" s="2">
        <v>141.9</v>
      </c>
      <c r="N1320" s="2">
        <v>3640</v>
      </c>
      <c r="O1320" s="2">
        <v>13.2</v>
      </c>
    </row>
    <row r="1321" spans="1:15" ht="24.95" customHeight="1" x14ac:dyDescent="0.25">
      <c r="A1321" s="17" t="s">
        <v>6863</v>
      </c>
      <c r="B1321" s="2">
        <v>310</v>
      </c>
      <c r="C1321" s="2">
        <v>130</v>
      </c>
      <c r="D1321" s="2">
        <v>39.5</v>
      </c>
      <c r="E1321" s="2">
        <v>90.5</v>
      </c>
      <c r="H1321" s="2">
        <v>4675</v>
      </c>
      <c r="I1321" s="2">
        <v>163</v>
      </c>
      <c r="J1321" s="2">
        <v>607750</v>
      </c>
      <c r="K1321" s="2">
        <v>11009</v>
      </c>
      <c r="L1321" s="2">
        <v>575.9</v>
      </c>
      <c r="M1321" s="2">
        <v>1179.9000000000001</v>
      </c>
      <c r="N1321" s="2">
        <v>35800</v>
      </c>
      <c r="O1321" s="2">
        <v>22.9</v>
      </c>
    </row>
    <row r="1322" spans="1:15" ht="24.95" customHeight="1" x14ac:dyDescent="0.25">
      <c r="A1322" s="17" t="s">
        <v>6864</v>
      </c>
      <c r="B1322" s="2">
        <v>330</v>
      </c>
      <c r="C1322" s="2">
        <v>138</v>
      </c>
      <c r="D1322" s="2">
        <v>45.3</v>
      </c>
      <c r="E1322" s="2">
        <v>94</v>
      </c>
      <c r="F1322" s="2">
        <v>-1.3</v>
      </c>
      <c r="H1322" s="2">
        <v>1676</v>
      </c>
      <c r="I1322" s="2">
        <v>205</v>
      </c>
      <c r="J1322" s="2">
        <v>231288</v>
      </c>
      <c r="K1322" s="2">
        <v>4009</v>
      </c>
      <c r="L1322" s="2">
        <v>210.5</v>
      </c>
      <c r="M1322" s="2">
        <v>448</v>
      </c>
      <c r="N1322" s="2">
        <v>7930</v>
      </c>
    </row>
    <row r="1323" spans="1:15" ht="24.95" customHeight="1" x14ac:dyDescent="0.25">
      <c r="A1323" s="17" t="s">
        <v>6865</v>
      </c>
      <c r="B1323" s="2">
        <v>326</v>
      </c>
      <c r="C1323" s="2">
        <v>138</v>
      </c>
      <c r="D1323" s="2">
        <v>43.4</v>
      </c>
      <c r="E1323" s="2">
        <v>94</v>
      </c>
      <c r="F1323" s="2">
        <v>0.6</v>
      </c>
      <c r="H1323" s="2">
        <v>390</v>
      </c>
      <c r="I1323" s="2">
        <v>152</v>
      </c>
      <c r="J1323" s="2">
        <v>53820</v>
      </c>
      <c r="K1323" s="2">
        <v>1038</v>
      </c>
      <c r="L1323" s="2">
        <v>45.2</v>
      </c>
      <c r="M1323" s="2">
        <v>98.9</v>
      </c>
      <c r="N1323" s="2">
        <v>3010</v>
      </c>
      <c r="O1323" s="2">
        <v>25.4</v>
      </c>
    </row>
    <row r="1324" spans="1:15" ht="24.95" customHeight="1" x14ac:dyDescent="0.25">
      <c r="A1324" s="17" t="s">
        <v>6866</v>
      </c>
      <c r="B1324" s="2">
        <v>282</v>
      </c>
      <c r="C1324" s="2">
        <v>136</v>
      </c>
      <c r="D1324" s="2">
        <v>41.8</v>
      </c>
      <c r="E1324" s="2">
        <v>94</v>
      </c>
      <c r="F1324" s="2">
        <v>0.3</v>
      </c>
      <c r="H1324" s="2">
        <v>263</v>
      </c>
      <c r="I1324" s="2">
        <v>91</v>
      </c>
      <c r="J1324" s="2">
        <v>35768</v>
      </c>
      <c r="K1324" s="2">
        <v>772</v>
      </c>
      <c r="L1324" s="2">
        <v>31.1</v>
      </c>
      <c r="M1324" s="2">
        <v>67.7</v>
      </c>
      <c r="N1324" s="2">
        <v>2520</v>
      </c>
      <c r="O1324" s="2">
        <v>40.6</v>
      </c>
    </row>
    <row r="1325" spans="1:15" ht="24.95" customHeight="1" x14ac:dyDescent="0.25">
      <c r="A1325" s="17" t="s">
        <v>6867</v>
      </c>
      <c r="B1325" s="2">
        <v>286</v>
      </c>
      <c r="C1325" s="2">
        <v>124</v>
      </c>
      <c r="D1325" s="2">
        <v>28.3</v>
      </c>
      <c r="E1325" s="2">
        <v>94</v>
      </c>
      <c r="F1325" s="2">
        <v>1.8</v>
      </c>
      <c r="G1325" s="2">
        <v>125.4</v>
      </c>
      <c r="H1325" s="2">
        <v>560</v>
      </c>
      <c r="I1325" s="2">
        <v>164</v>
      </c>
      <c r="J1325" s="2">
        <v>70199</v>
      </c>
      <c r="K1325" s="2">
        <v>2192</v>
      </c>
      <c r="L1325" s="2">
        <v>103.9</v>
      </c>
      <c r="M1325" s="2">
        <v>145.6</v>
      </c>
      <c r="N1325" s="2">
        <v>6910</v>
      </c>
      <c r="O1325" s="2">
        <v>51</v>
      </c>
    </row>
    <row r="1326" spans="1:15" ht="24.95" customHeight="1" x14ac:dyDescent="0.25">
      <c r="A1326" s="17" t="s">
        <v>6868</v>
      </c>
      <c r="B1326" s="2">
        <v>282</v>
      </c>
      <c r="C1326" s="2">
        <v>119</v>
      </c>
      <c r="D1326" s="2">
        <v>22.5</v>
      </c>
      <c r="E1326" s="2">
        <v>94</v>
      </c>
      <c r="F1326" s="2">
        <v>2.5</v>
      </c>
      <c r="G1326" s="2">
        <v>121.6</v>
      </c>
      <c r="H1326" s="2">
        <v>494</v>
      </c>
      <c r="I1326" s="2">
        <v>140</v>
      </c>
      <c r="J1326" s="2">
        <v>60095</v>
      </c>
      <c r="K1326" s="2">
        <v>2503</v>
      </c>
      <c r="L1326" s="2">
        <v>80.3</v>
      </c>
      <c r="M1326" s="2">
        <v>128.9</v>
      </c>
      <c r="N1326" s="2">
        <v>7270</v>
      </c>
      <c r="O1326" s="2">
        <v>61.5</v>
      </c>
    </row>
    <row r="1327" spans="1:15" ht="24.95" customHeight="1" x14ac:dyDescent="0.25">
      <c r="A1327" s="17" t="s">
        <v>6869</v>
      </c>
      <c r="B1327" s="2">
        <v>348</v>
      </c>
      <c r="C1327" s="2">
        <v>150</v>
      </c>
      <c r="D1327" s="2">
        <v>53.2</v>
      </c>
      <c r="E1327" s="2">
        <v>94</v>
      </c>
      <c r="F1327" s="2">
        <v>2.8</v>
      </c>
      <c r="G1327" s="2">
        <v>152</v>
      </c>
      <c r="H1327" s="2">
        <v>422</v>
      </c>
      <c r="I1327" s="2">
        <v>141</v>
      </c>
      <c r="J1327" s="2">
        <v>64160</v>
      </c>
      <c r="K1327" s="2">
        <v>1653</v>
      </c>
      <c r="L1327" s="2">
        <v>68.7</v>
      </c>
      <c r="M1327" s="2">
        <v>112.1</v>
      </c>
      <c r="N1327" s="2">
        <v>4530</v>
      </c>
      <c r="O1327" s="2">
        <v>45.3</v>
      </c>
    </row>
    <row r="1328" spans="1:15" ht="24.95" customHeight="1" x14ac:dyDescent="0.25">
      <c r="A1328" s="17" t="s">
        <v>6862</v>
      </c>
      <c r="B1328" s="2">
        <v>282</v>
      </c>
      <c r="C1328" s="2">
        <v>118</v>
      </c>
      <c r="D1328" s="2">
        <v>22.8</v>
      </c>
      <c r="E1328" s="2">
        <v>94</v>
      </c>
      <c r="F1328" s="2">
        <v>1.3</v>
      </c>
      <c r="G1328" s="2">
        <v>119.3</v>
      </c>
      <c r="H1328" s="2">
        <v>900</v>
      </c>
      <c r="I1328" s="2">
        <v>165</v>
      </c>
      <c r="J1328" s="2">
        <v>107329</v>
      </c>
      <c r="K1328" s="2">
        <v>3186</v>
      </c>
      <c r="L1328" s="2">
        <v>155.19999999999999</v>
      </c>
      <c r="M1328" s="2">
        <v>236</v>
      </c>
      <c r="N1328" s="2">
        <v>9660</v>
      </c>
      <c r="O1328" s="2">
        <v>43.9</v>
      </c>
    </row>
    <row r="1329" spans="1:15" ht="24.95" customHeight="1" x14ac:dyDescent="0.25">
      <c r="A1329" s="17" t="s">
        <v>6863</v>
      </c>
      <c r="B1329" s="2">
        <v>254</v>
      </c>
      <c r="C1329" s="2">
        <v>108.5</v>
      </c>
      <c r="D1329" s="2">
        <v>15.6</v>
      </c>
      <c r="E1329" s="2">
        <v>90.5</v>
      </c>
      <c r="F1329" s="2">
        <v>2.4</v>
      </c>
      <c r="G1329" s="2">
        <v>117.7</v>
      </c>
      <c r="H1329" s="2">
        <v>5690</v>
      </c>
      <c r="I1329" s="2">
        <v>169</v>
      </c>
      <c r="J1329" s="2">
        <v>669720</v>
      </c>
      <c r="K1329" s="2">
        <v>19996</v>
      </c>
      <c r="L1329" s="2">
        <v>721</v>
      </c>
      <c r="M1329" s="2">
        <v>1496.5</v>
      </c>
      <c r="N1329" s="2">
        <v>62380</v>
      </c>
      <c r="O1329" s="2">
        <v>46.9</v>
      </c>
    </row>
    <row r="1330" spans="1:15" ht="24.95" customHeight="1" x14ac:dyDescent="0.25">
      <c r="A1330" s="17" t="s">
        <v>6870</v>
      </c>
      <c r="B1330" s="2">
        <v>174</v>
      </c>
      <c r="C1330" s="2">
        <v>80</v>
      </c>
      <c r="H1330" s="2">
        <v>27581</v>
      </c>
      <c r="I1330" s="2">
        <v>174</v>
      </c>
      <c r="J1330" s="2">
        <v>2206480</v>
      </c>
      <c r="K1330" s="2">
        <v>49187</v>
      </c>
      <c r="L1330" s="2">
        <v>2586.1</v>
      </c>
      <c r="M1330" s="2">
        <v>6826.2</v>
      </c>
      <c r="N1330" s="2">
        <v>150430</v>
      </c>
    </row>
    <row r="1331" spans="1:15" ht="24.95" customHeight="1" x14ac:dyDescent="0.25">
      <c r="A1331" s="17" t="s">
        <v>6871</v>
      </c>
      <c r="B1331" s="2">
        <v>294</v>
      </c>
      <c r="C1331" s="2">
        <v>128</v>
      </c>
      <c r="D1331" s="2">
        <v>46.8</v>
      </c>
      <c r="E1331" s="2">
        <v>80</v>
      </c>
      <c r="F1331" s="2">
        <v>1.2</v>
      </c>
      <c r="H1331" s="2">
        <v>1715</v>
      </c>
      <c r="I1331" s="2">
        <v>129</v>
      </c>
      <c r="J1331" s="2">
        <v>219520</v>
      </c>
      <c r="K1331" s="2">
        <v>4235</v>
      </c>
      <c r="L1331" s="2">
        <v>176.4</v>
      </c>
      <c r="M1331" s="2">
        <v>436.5</v>
      </c>
      <c r="N1331" s="2">
        <v>13790</v>
      </c>
      <c r="O1331" s="2">
        <v>29.5</v>
      </c>
    </row>
    <row r="1332" spans="1:15" ht="24.95" customHeight="1" x14ac:dyDescent="0.25">
      <c r="A1332" s="17" t="s">
        <v>6872</v>
      </c>
      <c r="B1332" s="2">
        <v>246</v>
      </c>
      <c r="C1332" s="2">
        <v>110</v>
      </c>
      <c r="D1332" s="2">
        <v>29.2</v>
      </c>
      <c r="E1332" s="2">
        <v>80</v>
      </c>
      <c r="F1332" s="2">
        <v>0.8</v>
      </c>
      <c r="H1332" s="2">
        <v>921</v>
      </c>
      <c r="I1332" s="2">
        <v>204</v>
      </c>
      <c r="J1332" s="2">
        <v>101310</v>
      </c>
      <c r="K1332" s="2">
        <v>2447</v>
      </c>
      <c r="L1332" s="2">
        <v>102.1</v>
      </c>
      <c r="M1332" s="2">
        <v>227.8</v>
      </c>
      <c r="N1332" s="2">
        <v>7720</v>
      </c>
      <c r="O1332" s="2">
        <v>33.4</v>
      </c>
    </row>
    <row r="1333" spans="1:15" ht="24.95" customHeight="1" x14ac:dyDescent="0.25">
      <c r="A1333" s="17" t="s">
        <v>6873</v>
      </c>
      <c r="B1333" s="2">
        <v>211</v>
      </c>
      <c r="C1333" s="2">
        <v>95</v>
      </c>
      <c r="D1333" s="2">
        <v>13.4</v>
      </c>
      <c r="E1333" s="2">
        <v>80</v>
      </c>
      <c r="F1333" s="2">
        <v>1.6</v>
      </c>
      <c r="H1333" s="2">
        <v>7169</v>
      </c>
      <c r="I1333" s="2">
        <v>158</v>
      </c>
      <c r="J1333" s="2">
        <v>681055</v>
      </c>
      <c r="K1333" s="2">
        <v>2556</v>
      </c>
      <c r="L1333" s="2">
        <v>128.69999999999999</v>
      </c>
      <c r="M1333" s="2">
        <v>1720.3</v>
      </c>
      <c r="N1333" s="2">
        <v>8630</v>
      </c>
    </row>
    <row r="1334" spans="1:15" ht="24.95" customHeight="1" x14ac:dyDescent="0.25">
      <c r="A1334" s="17" t="s">
        <v>6874</v>
      </c>
      <c r="B1334" s="2">
        <v>288</v>
      </c>
      <c r="C1334" s="2">
        <v>126</v>
      </c>
      <c r="D1334" s="2">
        <v>45</v>
      </c>
      <c r="E1334" s="2">
        <v>80</v>
      </c>
      <c r="F1334" s="2">
        <v>1</v>
      </c>
      <c r="H1334" s="2">
        <v>1550</v>
      </c>
      <c r="I1334" s="2">
        <v>169</v>
      </c>
      <c r="J1334" s="2">
        <v>195300</v>
      </c>
      <c r="K1334" s="2">
        <v>2467</v>
      </c>
      <c r="L1334" s="2">
        <v>120.5</v>
      </c>
      <c r="M1334" s="2">
        <v>394.4</v>
      </c>
      <c r="N1334" s="2">
        <v>8470</v>
      </c>
    </row>
    <row r="1335" spans="1:15" ht="24.95" customHeight="1" x14ac:dyDescent="0.25">
      <c r="A1335" s="17" t="s">
        <v>6875</v>
      </c>
      <c r="B1335" s="2">
        <v>279</v>
      </c>
      <c r="C1335" s="2">
        <v>126</v>
      </c>
      <c r="D1335" s="2">
        <v>45.1</v>
      </c>
      <c r="E1335" s="2">
        <v>80</v>
      </c>
      <c r="F1335" s="2">
        <v>1</v>
      </c>
      <c r="H1335" s="2">
        <v>841</v>
      </c>
      <c r="I1335" s="2">
        <v>164</v>
      </c>
      <c r="J1335" s="2">
        <v>105966</v>
      </c>
      <c r="K1335" s="2">
        <v>2079</v>
      </c>
      <c r="L1335" s="2">
        <v>107.9</v>
      </c>
      <c r="M1335" s="2">
        <v>200</v>
      </c>
      <c r="N1335" s="2">
        <v>7000</v>
      </c>
      <c r="O1335" s="2">
        <v>34.9</v>
      </c>
    </row>
    <row r="1336" spans="1:15" ht="24.95" customHeight="1" x14ac:dyDescent="0.25">
      <c r="A1336" s="17" t="s">
        <v>6876</v>
      </c>
      <c r="B1336" s="2">
        <v>276</v>
      </c>
      <c r="C1336" s="2">
        <v>126</v>
      </c>
      <c r="D1336" s="2">
        <v>45.8</v>
      </c>
      <c r="E1336" s="2">
        <v>80</v>
      </c>
      <c r="F1336" s="2">
        <v>0.2</v>
      </c>
      <c r="H1336" s="2">
        <v>1896</v>
      </c>
      <c r="I1336" s="2">
        <v>169</v>
      </c>
      <c r="J1336" s="2">
        <v>238896</v>
      </c>
      <c r="K1336" s="2">
        <v>4714</v>
      </c>
      <c r="L1336" s="2">
        <v>354.7</v>
      </c>
      <c r="M1336" s="2">
        <v>475.9</v>
      </c>
      <c r="N1336" s="2">
        <v>11170</v>
      </c>
      <c r="O1336" s="2">
        <v>3.3</v>
      </c>
    </row>
    <row r="1337" spans="1:15" ht="24.95" customHeight="1" x14ac:dyDescent="0.25">
      <c r="A1337" s="17" t="s">
        <v>6877</v>
      </c>
      <c r="B1337" s="2">
        <v>296</v>
      </c>
      <c r="C1337" s="2">
        <v>126</v>
      </c>
      <c r="D1337" s="2">
        <v>45.6</v>
      </c>
      <c r="E1337" s="2">
        <v>80</v>
      </c>
      <c r="F1337" s="2">
        <v>0.4</v>
      </c>
      <c r="H1337" s="2">
        <v>4665</v>
      </c>
      <c r="I1337" s="2">
        <v>192</v>
      </c>
      <c r="J1337" s="2">
        <v>587790</v>
      </c>
      <c r="K1337" s="2">
        <v>6966</v>
      </c>
      <c r="L1337" s="2">
        <v>551.20000000000005</v>
      </c>
      <c r="M1337" s="2">
        <v>1214.8</v>
      </c>
      <c r="N1337" s="2">
        <v>21290</v>
      </c>
    </row>
    <row r="1338" spans="1:15" ht="24.95" customHeight="1" x14ac:dyDescent="0.25">
      <c r="A1338" s="17" t="s">
        <v>6878</v>
      </c>
      <c r="B1338" s="2">
        <v>249</v>
      </c>
      <c r="C1338" s="2">
        <v>108</v>
      </c>
      <c r="D1338" s="2">
        <v>26.4</v>
      </c>
      <c r="E1338" s="2">
        <v>80</v>
      </c>
      <c r="F1338" s="2">
        <v>1.6</v>
      </c>
      <c r="G1338" s="2">
        <v>111.4</v>
      </c>
      <c r="H1338" s="2">
        <v>5050</v>
      </c>
      <c r="I1338" s="2">
        <v>153</v>
      </c>
      <c r="J1338" s="2">
        <v>562541</v>
      </c>
      <c r="K1338" s="2">
        <v>11093</v>
      </c>
      <c r="L1338" s="2">
        <v>534.79999999999995</v>
      </c>
      <c r="M1338" s="2">
        <v>1206.0999999999999</v>
      </c>
      <c r="N1338" s="2">
        <v>36840</v>
      </c>
      <c r="O1338" s="2">
        <v>23</v>
      </c>
    </row>
    <row r="1339" spans="1:15" ht="24.95" customHeight="1" x14ac:dyDescent="0.25">
      <c r="A1339" s="17" t="s">
        <v>6874</v>
      </c>
      <c r="B1339" s="2">
        <v>252</v>
      </c>
      <c r="C1339" s="2">
        <v>112</v>
      </c>
      <c r="D1339" s="2">
        <v>29.2</v>
      </c>
      <c r="E1339" s="2">
        <v>80</v>
      </c>
      <c r="F1339" s="2">
        <v>2.8</v>
      </c>
      <c r="G1339" s="2">
        <v>116.8</v>
      </c>
      <c r="H1339" s="2">
        <v>2120</v>
      </c>
      <c r="I1339" s="2">
        <v>158</v>
      </c>
      <c r="J1339" s="2">
        <v>251756</v>
      </c>
      <c r="K1339" s="2">
        <v>8134</v>
      </c>
      <c r="L1339" s="2">
        <v>300.2</v>
      </c>
      <c r="M1339" s="2">
        <v>552</v>
      </c>
      <c r="N1339" s="2">
        <v>21550</v>
      </c>
      <c r="O1339" s="2">
        <v>41.5</v>
      </c>
    </row>
    <row r="1340" spans="1:15" ht="24.95" customHeight="1" x14ac:dyDescent="0.25">
      <c r="A1340" s="17" t="s">
        <v>6879</v>
      </c>
      <c r="B1340" s="2">
        <v>223</v>
      </c>
      <c r="C1340" s="2">
        <v>92</v>
      </c>
      <c r="D1340" s="2">
        <v>10.7</v>
      </c>
      <c r="E1340" s="2">
        <v>80</v>
      </c>
      <c r="F1340" s="2">
        <v>1.3</v>
      </c>
      <c r="G1340" s="2">
        <v>93.9</v>
      </c>
      <c r="H1340" s="2">
        <v>344</v>
      </c>
      <c r="I1340" s="2">
        <v>153</v>
      </c>
      <c r="J1340" s="2">
        <v>32318</v>
      </c>
      <c r="K1340" s="2">
        <v>1410</v>
      </c>
      <c r="L1340" s="2">
        <v>55</v>
      </c>
      <c r="M1340" s="2">
        <v>86.8</v>
      </c>
      <c r="N1340" s="2">
        <v>4670</v>
      </c>
      <c r="O1340" s="2">
        <v>57.8</v>
      </c>
    </row>
    <row r="1341" spans="1:15" ht="24.95" customHeight="1" x14ac:dyDescent="0.25">
      <c r="A1341" s="17" t="s">
        <v>6880</v>
      </c>
      <c r="B1341" s="2">
        <v>233</v>
      </c>
      <c r="C1341" s="2">
        <v>105</v>
      </c>
      <c r="D1341" s="2">
        <v>23.2</v>
      </c>
      <c r="E1341" s="2">
        <v>80</v>
      </c>
      <c r="F1341" s="2">
        <v>1.8</v>
      </c>
      <c r="G1341" s="2">
        <v>108.6</v>
      </c>
      <c r="H1341" s="2">
        <v>1310</v>
      </c>
      <c r="I1341" s="2">
        <v>205</v>
      </c>
      <c r="J1341" s="2">
        <v>142244</v>
      </c>
      <c r="K1341" s="2">
        <v>3086</v>
      </c>
      <c r="L1341" s="2">
        <v>174.3</v>
      </c>
      <c r="M1341" s="2">
        <v>311.7</v>
      </c>
      <c r="N1341" s="2">
        <v>9300</v>
      </c>
      <c r="O1341" s="2">
        <v>19.2</v>
      </c>
    </row>
    <row r="1342" spans="1:15" ht="24.95" customHeight="1" x14ac:dyDescent="0.25">
      <c r="A1342" s="17" t="s">
        <v>6881</v>
      </c>
      <c r="B1342" s="2">
        <v>204.5</v>
      </c>
      <c r="C1342" s="2">
        <v>92</v>
      </c>
      <c r="H1342" s="2">
        <v>87359</v>
      </c>
      <c r="I1342" s="2">
        <v>186</v>
      </c>
      <c r="J1342" s="2">
        <v>8037028</v>
      </c>
      <c r="K1342" s="2">
        <v>219934</v>
      </c>
      <c r="L1342" s="2">
        <v>9713.7000000000007</v>
      </c>
      <c r="M1342" s="2">
        <v>22379.599999999999</v>
      </c>
      <c r="N1342" s="2">
        <v>748700</v>
      </c>
      <c r="O1342" s="2">
        <v>33.4</v>
      </c>
    </row>
    <row r="1343" spans="1:15" ht="24.95" customHeight="1" x14ac:dyDescent="0.25">
      <c r="A1343" s="17" t="s">
        <v>6882</v>
      </c>
      <c r="B1343" s="2">
        <v>306</v>
      </c>
      <c r="C1343" s="2">
        <v>138</v>
      </c>
      <c r="D1343" s="2">
        <v>50.8</v>
      </c>
      <c r="E1343" s="2">
        <v>92.8</v>
      </c>
      <c r="F1343" s="2">
        <v>-5.6</v>
      </c>
      <c r="H1343" s="2">
        <v>4745</v>
      </c>
      <c r="I1343" s="2">
        <v>146</v>
      </c>
      <c r="J1343" s="2">
        <v>654810</v>
      </c>
      <c r="K1343" s="2">
        <v>11735</v>
      </c>
      <c r="L1343" s="2">
        <v>737.7</v>
      </c>
      <c r="M1343" s="2">
        <v>1206.2</v>
      </c>
      <c r="N1343" s="2">
        <v>42040</v>
      </c>
      <c r="O1343" s="2">
        <v>28.2</v>
      </c>
    </row>
    <row r="1344" spans="1:15" ht="24.95" customHeight="1" x14ac:dyDescent="0.25">
      <c r="A1344" s="17" t="s">
        <v>6883</v>
      </c>
      <c r="B1344" s="2">
        <v>270</v>
      </c>
      <c r="C1344" s="2">
        <v>128</v>
      </c>
      <c r="D1344" s="2">
        <v>40.299999999999997</v>
      </c>
      <c r="E1344" s="2">
        <v>95.5</v>
      </c>
      <c r="F1344" s="2">
        <v>-7.8</v>
      </c>
      <c r="H1344" s="2">
        <v>150</v>
      </c>
      <c r="I1344" s="2">
        <v>178</v>
      </c>
      <c r="J1344" s="2">
        <v>19200</v>
      </c>
      <c r="K1344" s="2">
        <v>289</v>
      </c>
      <c r="L1344" s="2">
        <v>15.7</v>
      </c>
      <c r="M1344" s="2">
        <v>38.700000000000003</v>
      </c>
      <c r="N1344" s="2">
        <v>1100</v>
      </c>
      <c r="O1344" s="2">
        <v>20</v>
      </c>
    </row>
    <row r="1345" spans="1:15" ht="24.95" customHeight="1" x14ac:dyDescent="0.25">
      <c r="A1345" s="17" t="s">
        <v>6884</v>
      </c>
      <c r="B1345" s="2">
        <v>324</v>
      </c>
      <c r="C1345" s="2">
        <v>138</v>
      </c>
      <c r="D1345" s="2">
        <v>49.1</v>
      </c>
      <c r="E1345" s="2">
        <v>92.3</v>
      </c>
      <c r="F1345" s="2">
        <v>-3.3</v>
      </c>
      <c r="H1345" s="2">
        <v>4007</v>
      </c>
      <c r="I1345" s="2">
        <v>172</v>
      </c>
      <c r="J1345" s="2">
        <v>552966</v>
      </c>
      <c r="K1345" s="2">
        <v>9210</v>
      </c>
      <c r="L1345" s="2">
        <v>414.7</v>
      </c>
      <c r="M1345" s="2">
        <v>1021.5</v>
      </c>
      <c r="N1345" s="2">
        <v>30670</v>
      </c>
      <c r="O1345" s="2">
        <v>24.1</v>
      </c>
    </row>
    <row r="1346" spans="1:15" ht="24.95" customHeight="1" x14ac:dyDescent="0.25">
      <c r="A1346" s="17" t="s">
        <v>6885</v>
      </c>
      <c r="B1346" s="2">
        <v>294</v>
      </c>
      <c r="C1346" s="2">
        <v>138</v>
      </c>
      <c r="D1346" s="2">
        <v>48.6</v>
      </c>
      <c r="E1346" s="2">
        <v>92.8</v>
      </c>
      <c r="F1346" s="2">
        <v>-3.3</v>
      </c>
      <c r="H1346" s="2">
        <v>16292</v>
      </c>
      <c r="I1346" s="2">
        <v>143</v>
      </c>
      <c r="J1346" s="2">
        <v>2248296</v>
      </c>
      <c r="K1346" s="2">
        <v>15215</v>
      </c>
      <c r="L1346" s="2">
        <v>741</v>
      </c>
      <c r="M1346" s="2">
        <v>4261.7</v>
      </c>
      <c r="N1346" s="2">
        <v>51150</v>
      </c>
    </row>
    <row r="1347" spans="1:15" ht="24.95" customHeight="1" x14ac:dyDescent="0.25">
      <c r="A1347" s="17" t="s">
        <v>6886</v>
      </c>
      <c r="B1347" s="2">
        <v>348</v>
      </c>
      <c r="C1347" s="2">
        <v>140</v>
      </c>
      <c r="D1347" s="2">
        <v>43.5</v>
      </c>
      <c r="E1347" s="2">
        <v>92.5</v>
      </c>
      <c r="F1347" s="2">
        <v>4.0999999999999996</v>
      </c>
      <c r="H1347" s="2">
        <v>6300</v>
      </c>
      <c r="I1347" s="2">
        <v>172</v>
      </c>
      <c r="J1347" s="2">
        <v>882000</v>
      </c>
      <c r="K1347" s="2">
        <v>29356</v>
      </c>
      <c r="L1347" s="2">
        <v>858.3</v>
      </c>
      <c r="M1347" s="2">
        <v>1575.1</v>
      </c>
      <c r="N1347" s="2">
        <v>100390</v>
      </c>
      <c r="O1347" s="2">
        <v>65.8</v>
      </c>
    </row>
    <row r="1348" spans="1:15" ht="24.95" customHeight="1" x14ac:dyDescent="0.25">
      <c r="A1348" s="17" t="s">
        <v>6887</v>
      </c>
      <c r="B1348" s="2">
        <v>360</v>
      </c>
      <c r="C1348" s="2">
        <v>150</v>
      </c>
      <c r="D1348" s="2">
        <v>53.6</v>
      </c>
      <c r="E1348" s="2">
        <v>93</v>
      </c>
      <c r="F1348" s="2">
        <v>3.5</v>
      </c>
      <c r="H1348" s="2">
        <v>3070</v>
      </c>
      <c r="I1348" s="2">
        <v>155</v>
      </c>
      <c r="J1348" s="2">
        <v>460500</v>
      </c>
      <c r="K1348" s="2">
        <v>12544</v>
      </c>
      <c r="L1348" s="2">
        <v>366.2</v>
      </c>
      <c r="M1348" s="2">
        <v>800.3</v>
      </c>
      <c r="N1348" s="2">
        <v>39030</v>
      </c>
      <c r="O1348" s="2">
        <v>54.9</v>
      </c>
    </row>
    <row r="1349" spans="1:15" ht="24.95" customHeight="1" x14ac:dyDescent="0.25">
      <c r="A1349" s="17" t="s">
        <v>6888</v>
      </c>
      <c r="B1349" s="2">
        <v>320</v>
      </c>
      <c r="C1349" s="2">
        <v>138</v>
      </c>
      <c r="D1349" s="2">
        <v>46.1</v>
      </c>
      <c r="E1349" s="2">
        <v>95.5</v>
      </c>
      <c r="F1349" s="2">
        <v>-3.6</v>
      </c>
      <c r="H1349" s="2">
        <v>2210</v>
      </c>
      <c r="I1349" s="2">
        <v>187</v>
      </c>
      <c r="J1349" s="2">
        <v>304980</v>
      </c>
      <c r="K1349" s="2">
        <v>4733</v>
      </c>
      <c r="L1349" s="2">
        <v>268.3</v>
      </c>
      <c r="M1349" s="2">
        <v>523.5</v>
      </c>
      <c r="N1349" s="2">
        <v>15110</v>
      </c>
      <c r="O1349" s="2">
        <v>20.8</v>
      </c>
    </row>
    <row r="1350" spans="1:15" ht="24.95" customHeight="1" x14ac:dyDescent="0.25">
      <c r="A1350" s="17" t="s">
        <v>6889</v>
      </c>
      <c r="B1350" s="2">
        <v>360</v>
      </c>
      <c r="C1350" s="2">
        <v>158</v>
      </c>
      <c r="D1350" s="2">
        <v>60.9</v>
      </c>
      <c r="E1350" s="2">
        <v>95.5</v>
      </c>
      <c r="F1350" s="2">
        <v>1.6</v>
      </c>
      <c r="H1350" s="2">
        <v>3135</v>
      </c>
      <c r="I1350" s="2">
        <v>181</v>
      </c>
      <c r="J1350" s="2">
        <v>495330</v>
      </c>
      <c r="K1350" s="2">
        <v>9908</v>
      </c>
      <c r="L1350" s="2">
        <v>382</v>
      </c>
      <c r="M1350" s="2">
        <v>804</v>
      </c>
      <c r="N1350" s="2">
        <v>36230</v>
      </c>
      <c r="O1350" s="2">
        <v>50.7</v>
      </c>
    </row>
    <row r="1351" spans="1:15" ht="24.95" customHeight="1" x14ac:dyDescent="0.25">
      <c r="A1351" s="17" t="s">
        <v>6890</v>
      </c>
      <c r="B1351" s="2">
        <v>370</v>
      </c>
      <c r="C1351" s="2">
        <v>158</v>
      </c>
      <c r="D1351" s="2">
        <v>58.3</v>
      </c>
      <c r="E1351" s="2">
        <v>95.5</v>
      </c>
      <c r="F1351" s="2">
        <v>4.3</v>
      </c>
      <c r="H1351" s="2">
        <v>2300</v>
      </c>
      <c r="I1351" s="2">
        <v>140</v>
      </c>
      <c r="J1351" s="2">
        <v>363400</v>
      </c>
      <c r="K1351" s="2">
        <v>9897</v>
      </c>
      <c r="L1351" s="2">
        <v>299.39999999999998</v>
      </c>
      <c r="M1351" s="2">
        <v>622.29999999999995</v>
      </c>
      <c r="N1351" s="2">
        <v>34990</v>
      </c>
      <c r="O1351" s="2">
        <v>60.4</v>
      </c>
    </row>
    <row r="1352" spans="1:15" ht="24.95" customHeight="1" x14ac:dyDescent="0.25">
      <c r="A1352" s="17" t="s">
        <v>6891</v>
      </c>
      <c r="B1352" s="2">
        <v>324</v>
      </c>
      <c r="C1352" s="2">
        <v>142</v>
      </c>
      <c r="D1352" s="2">
        <v>43.9</v>
      </c>
      <c r="E1352" s="2">
        <v>95.5</v>
      </c>
      <c r="F1352" s="2">
        <v>2.6</v>
      </c>
      <c r="H1352" s="2">
        <v>535</v>
      </c>
      <c r="I1352" s="2">
        <v>140</v>
      </c>
      <c r="J1352" s="2">
        <v>75970</v>
      </c>
      <c r="K1352" s="2">
        <v>2628</v>
      </c>
      <c r="L1352" s="2">
        <v>80.400000000000006</v>
      </c>
      <c r="M1352" s="2">
        <v>140.1</v>
      </c>
      <c r="N1352" s="2">
        <v>9440</v>
      </c>
      <c r="O1352" s="2">
        <v>68.400000000000006</v>
      </c>
    </row>
    <row r="1353" spans="1:15" ht="24.95" customHeight="1" x14ac:dyDescent="0.25">
      <c r="A1353" s="17" t="s">
        <v>6892</v>
      </c>
      <c r="B1353" s="2">
        <v>294</v>
      </c>
      <c r="C1353" s="2">
        <v>126</v>
      </c>
      <c r="D1353" s="2">
        <v>33.200000000000003</v>
      </c>
      <c r="E1353" s="2">
        <v>95.5</v>
      </c>
      <c r="F1353" s="2">
        <v>-2.7</v>
      </c>
      <c r="H1353" s="2">
        <v>3425</v>
      </c>
      <c r="I1353" s="2">
        <v>174</v>
      </c>
      <c r="J1353" s="2">
        <v>431550</v>
      </c>
      <c r="K1353" s="2">
        <v>7471</v>
      </c>
      <c r="L1353" s="2">
        <v>330.6</v>
      </c>
      <c r="M1353" s="2">
        <v>940.9</v>
      </c>
      <c r="N1353" s="2">
        <v>25050</v>
      </c>
      <c r="O1353" s="2">
        <v>15.9</v>
      </c>
    </row>
    <row r="1354" spans="1:15" ht="24.95" customHeight="1" x14ac:dyDescent="0.25">
      <c r="A1354" s="17" t="s">
        <v>6893</v>
      </c>
      <c r="B1354" s="2">
        <v>290</v>
      </c>
      <c r="C1354" s="2">
        <v>138</v>
      </c>
      <c r="D1354" s="2">
        <v>40.700000000000003</v>
      </c>
      <c r="E1354" s="2">
        <v>95.5</v>
      </c>
      <c r="F1354" s="2">
        <v>1.8</v>
      </c>
      <c r="H1354" s="2">
        <v>1500</v>
      </c>
      <c r="I1354" s="2">
        <v>142</v>
      </c>
      <c r="J1354" s="2">
        <v>207000</v>
      </c>
      <c r="K1354" s="2">
        <v>5860</v>
      </c>
      <c r="L1354" s="2">
        <v>221.8</v>
      </c>
      <c r="M1354" s="2">
        <v>392.4</v>
      </c>
      <c r="N1354" s="2">
        <v>21710</v>
      </c>
      <c r="O1354" s="2">
        <v>60.3</v>
      </c>
    </row>
    <row r="1355" spans="1:15" ht="24.95" customHeight="1" x14ac:dyDescent="0.25">
      <c r="A1355" s="17" t="s">
        <v>6894</v>
      </c>
      <c r="B1355" s="2">
        <v>318</v>
      </c>
      <c r="C1355" s="2">
        <v>138</v>
      </c>
      <c r="D1355" s="2">
        <v>41.4</v>
      </c>
      <c r="E1355" s="2">
        <v>93.3</v>
      </c>
      <c r="F1355" s="2">
        <v>3.4</v>
      </c>
      <c r="H1355" s="2">
        <v>1660</v>
      </c>
      <c r="I1355" s="2">
        <v>146</v>
      </c>
      <c r="J1355" s="2">
        <v>229080</v>
      </c>
      <c r="K1355" s="2">
        <v>8609</v>
      </c>
      <c r="L1355" s="2">
        <v>236.2</v>
      </c>
      <c r="M1355" s="2">
        <v>436.7</v>
      </c>
      <c r="N1355" s="2">
        <v>29520</v>
      </c>
      <c r="O1355" s="2">
        <v>68.099999999999994</v>
      </c>
    </row>
    <row r="1356" spans="1:15" ht="24.95" customHeight="1" x14ac:dyDescent="0.25">
      <c r="A1356" s="17" t="s">
        <v>6895</v>
      </c>
      <c r="B1356" s="2">
        <v>300</v>
      </c>
      <c r="C1356" s="2">
        <v>132</v>
      </c>
      <c r="D1356" s="2">
        <v>34.799999999999997</v>
      </c>
      <c r="E1356" s="2">
        <v>95.5</v>
      </c>
      <c r="F1356" s="2">
        <v>1.7</v>
      </c>
      <c r="H1356" s="2">
        <v>1330</v>
      </c>
      <c r="I1356" s="2">
        <v>157</v>
      </c>
      <c r="J1356" s="2">
        <v>175560</v>
      </c>
      <c r="K1356" s="2">
        <v>6209</v>
      </c>
      <c r="L1356" s="2">
        <v>191</v>
      </c>
      <c r="M1356" s="2">
        <v>334.3</v>
      </c>
      <c r="N1356" s="2">
        <v>21050</v>
      </c>
      <c r="O1356" s="2">
        <v>65.7</v>
      </c>
    </row>
    <row r="1357" spans="1:15" ht="24.95" customHeight="1" x14ac:dyDescent="0.25">
      <c r="A1357" s="17" t="s">
        <v>6896</v>
      </c>
      <c r="B1357" s="2">
        <v>300</v>
      </c>
      <c r="C1357" s="2">
        <v>144</v>
      </c>
      <c r="D1357" s="2">
        <v>57.6</v>
      </c>
      <c r="E1357" s="2">
        <v>92.8</v>
      </c>
      <c r="F1357" s="2">
        <v>-6.4</v>
      </c>
      <c r="H1357" s="2">
        <v>2550</v>
      </c>
      <c r="I1357" s="2">
        <v>141</v>
      </c>
      <c r="J1357" s="2">
        <v>367200</v>
      </c>
      <c r="K1357" s="2">
        <v>6277</v>
      </c>
      <c r="L1357" s="2">
        <v>460.6</v>
      </c>
      <c r="M1357" s="2">
        <v>633.70000000000005</v>
      </c>
      <c r="N1357" s="2">
        <v>20680</v>
      </c>
      <c r="O1357" s="2">
        <v>29.1</v>
      </c>
    </row>
    <row r="1358" spans="1:15" ht="24.95" customHeight="1" x14ac:dyDescent="0.25">
      <c r="A1358" s="17" t="s">
        <v>6897</v>
      </c>
      <c r="B1358" s="2">
        <v>336</v>
      </c>
      <c r="C1358" s="2">
        <v>148</v>
      </c>
      <c r="D1358" s="2">
        <v>55</v>
      </c>
      <c r="E1358" s="2">
        <v>92.8</v>
      </c>
      <c r="F1358" s="2">
        <v>0.2</v>
      </c>
      <c r="H1358" s="2">
        <v>3600</v>
      </c>
      <c r="I1358" s="2">
        <v>162</v>
      </c>
      <c r="J1358" s="2">
        <v>532800</v>
      </c>
      <c r="K1358" s="2">
        <v>10382</v>
      </c>
      <c r="L1358" s="2">
        <v>373.7</v>
      </c>
      <c r="M1358" s="2">
        <v>1022.2</v>
      </c>
      <c r="N1358" s="2">
        <v>35480</v>
      </c>
      <c r="O1358" s="2">
        <v>39.1</v>
      </c>
    </row>
    <row r="1359" spans="1:15" ht="24.95" customHeight="1" x14ac:dyDescent="0.25">
      <c r="A1359" s="17" t="s">
        <v>6898</v>
      </c>
      <c r="B1359" s="2">
        <v>334</v>
      </c>
      <c r="C1359" s="2">
        <v>150</v>
      </c>
      <c r="D1359" s="2">
        <v>62.8</v>
      </c>
      <c r="E1359" s="2">
        <v>95.5</v>
      </c>
      <c r="F1359" s="2">
        <v>-8.3000000000000007</v>
      </c>
      <c r="H1359" s="2">
        <v>1860</v>
      </c>
      <c r="I1359" s="2">
        <v>155</v>
      </c>
      <c r="J1359" s="2">
        <v>279000</v>
      </c>
      <c r="K1359" s="2">
        <v>3633</v>
      </c>
      <c r="L1359" s="2">
        <v>305.5</v>
      </c>
      <c r="M1359" s="2">
        <v>490.9</v>
      </c>
      <c r="N1359" s="2">
        <v>11130</v>
      </c>
      <c r="O1359" s="2">
        <v>2</v>
      </c>
    </row>
    <row r="1360" spans="1:15" ht="24.95" customHeight="1" x14ac:dyDescent="0.25">
      <c r="A1360" s="17" t="s">
        <v>6713</v>
      </c>
      <c r="B1360" s="2">
        <v>227</v>
      </c>
      <c r="C1360" s="2">
        <v>102.5</v>
      </c>
      <c r="D1360" s="2">
        <v>15</v>
      </c>
      <c r="E1360" s="2">
        <v>93</v>
      </c>
      <c r="F1360" s="2">
        <v>-5.5</v>
      </c>
      <c r="G1360" s="2">
        <v>109.5</v>
      </c>
      <c r="H1360" s="2">
        <v>7604</v>
      </c>
      <c r="I1360" s="2">
        <v>162</v>
      </c>
      <c r="J1360" s="2">
        <v>832739</v>
      </c>
      <c r="K1360" s="2">
        <v>15738</v>
      </c>
      <c r="L1360" s="2">
        <v>1285</v>
      </c>
      <c r="M1360" s="2">
        <v>1850.7</v>
      </c>
      <c r="N1360" s="2">
        <v>50130</v>
      </c>
      <c r="O1360" s="2">
        <v>14.3</v>
      </c>
    </row>
    <row r="1361" spans="1:15" ht="24.95" customHeight="1" x14ac:dyDescent="0.25">
      <c r="A1361" s="17" t="s">
        <v>6883</v>
      </c>
      <c r="B1361" s="2">
        <v>246</v>
      </c>
      <c r="C1361" s="2">
        <v>112</v>
      </c>
      <c r="D1361" s="2">
        <v>19.8</v>
      </c>
      <c r="E1361" s="2">
        <v>95.5</v>
      </c>
      <c r="F1361" s="2">
        <v>-3.3</v>
      </c>
      <c r="G1361" s="2">
        <v>115.2</v>
      </c>
      <c r="H1361" s="2">
        <v>2800</v>
      </c>
      <c r="I1361" s="2">
        <v>147</v>
      </c>
      <c r="J1361" s="2">
        <v>322460</v>
      </c>
      <c r="K1361" s="2">
        <v>4354</v>
      </c>
      <c r="L1361" s="2">
        <v>215.4</v>
      </c>
      <c r="M1361" s="2">
        <v>620.29999999999995</v>
      </c>
      <c r="N1361" s="2">
        <v>19760</v>
      </c>
      <c r="O1361" s="2">
        <v>25.1</v>
      </c>
    </row>
    <row r="1362" spans="1:15" ht="24.95" customHeight="1" x14ac:dyDescent="0.25">
      <c r="A1362" s="17" t="s">
        <v>6899</v>
      </c>
      <c r="B1362" s="2">
        <v>286</v>
      </c>
      <c r="C1362" s="2">
        <v>120</v>
      </c>
      <c r="D1362" s="2">
        <v>24.1</v>
      </c>
      <c r="E1362" s="2">
        <v>95.5</v>
      </c>
      <c r="F1362" s="2">
        <v>0.4</v>
      </c>
      <c r="G1362" s="2">
        <v>121.8</v>
      </c>
      <c r="H1362" s="2">
        <v>1212</v>
      </c>
      <c r="I1362" s="2">
        <v>237</v>
      </c>
      <c r="J1362" s="2">
        <v>147624</v>
      </c>
      <c r="K1362" s="2">
        <v>4150</v>
      </c>
      <c r="L1362" s="2">
        <v>231.7</v>
      </c>
      <c r="M1362" s="2">
        <v>301.2</v>
      </c>
      <c r="N1362" s="2">
        <v>12810</v>
      </c>
      <c r="O1362" s="2">
        <v>48.3</v>
      </c>
    </row>
    <row r="1363" spans="1:15" ht="24.95" customHeight="1" x14ac:dyDescent="0.25">
      <c r="A1363" s="17" t="s">
        <v>6900</v>
      </c>
      <c r="B1363" s="2">
        <v>285</v>
      </c>
      <c r="C1363" s="2">
        <v>124</v>
      </c>
      <c r="D1363" s="2">
        <v>27.1</v>
      </c>
      <c r="E1363" s="2">
        <v>95.5</v>
      </c>
      <c r="F1363" s="2">
        <v>1.4</v>
      </c>
      <c r="G1363" s="2">
        <v>132.6</v>
      </c>
      <c r="H1363" s="2">
        <v>3786</v>
      </c>
      <c r="I1363" s="2">
        <v>191</v>
      </c>
      <c r="J1363" s="2">
        <v>502160</v>
      </c>
      <c r="K1363" s="2">
        <v>7643</v>
      </c>
      <c r="L1363" s="2">
        <v>304.39999999999998</v>
      </c>
      <c r="M1363" s="2">
        <v>942.2</v>
      </c>
      <c r="N1363" s="2">
        <v>27080</v>
      </c>
      <c r="O1363" s="2">
        <v>19.8</v>
      </c>
    </row>
    <row r="1364" spans="1:15" ht="24.95" customHeight="1" x14ac:dyDescent="0.25">
      <c r="A1364" s="17" t="s">
        <v>6884</v>
      </c>
      <c r="B1364" s="2">
        <v>246</v>
      </c>
      <c r="C1364" s="2">
        <v>114</v>
      </c>
      <c r="D1364" s="2">
        <v>23.4</v>
      </c>
      <c r="E1364" s="2">
        <v>95.5</v>
      </c>
      <c r="F1364" s="2">
        <v>-4.9000000000000004</v>
      </c>
      <c r="G1364" s="2">
        <v>119.1</v>
      </c>
      <c r="H1364" s="2">
        <v>6208</v>
      </c>
      <c r="I1364" s="2">
        <v>181</v>
      </c>
      <c r="J1364" s="2">
        <v>739026</v>
      </c>
      <c r="K1364" s="2">
        <v>12050</v>
      </c>
      <c r="L1364" s="2">
        <v>456.9</v>
      </c>
      <c r="M1364" s="2">
        <v>1551.3</v>
      </c>
      <c r="N1364" s="2">
        <v>40970</v>
      </c>
      <c r="O1364" s="2">
        <v>16.2</v>
      </c>
    </row>
    <row r="1365" spans="1:15" ht="24.95" customHeight="1" x14ac:dyDescent="0.25">
      <c r="A1365" s="17" t="s">
        <v>6901</v>
      </c>
      <c r="B1365" s="2">
        <v>284</v>
      </c>
      <c r="C1365" s="2">
        <v>124</v>
      </c>
      <c r="D1365" s="2">
        <v>28</v>
      </c>
      <c r="E1365" s="2">
        <v>95.5</v>
      </c>
      <c r="F1365" s="2">
        <v>0.5</v>
      </c>
      <c r="G1365" s="2">
        <v>124.8</v>
      </c>
      <c r="H1365" s="2">
        <v>4380</v>
      </c>
      <c r="I1365" s="2">
        <v>188</v>
      </c>
      <c r="J1365" s="2">
        <v>546814</v>
      </c>
      <c r="K1365" s="2">
        <v>12409</v>
      </c>
      <c r="L1365" s="2">
        <v>567.4</v>
      </c>
      <c r="M1365" s="2">
        <v>1093.4000000000001</v>
      </c>
      <c r="N1365" s="2">
        <v>42360</v>
      </c>
      <c r="O1365" s="2">
        <v>44.6</v>
      </c>
    </row>
    <row r="1366" spans="1:15" ht="24.95" customHeight="1" x14ac:dyDescent="0.25">
      <c r="A1366" s="17" t="s">
        <v>6902</v>
      </c>
      <c r="B1366" s="2">
        <v>308</v>
      </c>
      <c r="C1366" s="2">
        <v>132.5</v>
      </c>
      <c r="D1366" s="2">
        <v>35.200000000000003</v>
      </c>
      <c r="E1366" s="2">
        <v>95.5</v>
      </c>
      <c r="F1366" s="2">
        <v>1.8</v>
      </c>
      <c r="G1366" s="2">
        <v>135</v>
      </c>
      <c r="H1366" s="2">
        <v>2900</v>
      </c>
      <c r="I1366" s="2">
        <v>178</v>
      </c>
      <c r="J1366" s="2">
        <v>391499</v>
      </c>
      <c r="K1366" s="2">
        <v>9634</v>
      </c>
      <c r="L1366" s="2">
        <v>369.9</v>
      </c>
      <c r="M1366" s="2">
        <v>775.9</v>
      </c>
      <c r="N1366" s="2">
        <v>30820</v>
      </c>
      <c r="O1366" s="2">
        <v>44.2</v>
      </c>
    </row>
    <row r="1367" spans="1:15" ht="24.95" customHeight="1" x14ac:dyDescent="0.25">
      <c r="A1367" s="17" t="s">
        <v>6903</v>
      </c>
      <c r="B1367" s="2">
        <v>210</v>
      </c>
      <c r="C1367" s="2">
        <v>90</v>
      </c>
      <c r="H1367" s="2">
        <v>3350</v>
      </c>
      <c r="I1367" s="2">
        <v>133</v>
      </c>
      <c r="J1367" s="2">
        <v>301500</v>
      </c>
      <c r="K1367" s="2">
        <v>13337</v>
      </c>
      <c r="L1367" s="2">
        <v>473.3</v>
      </c>
      <c r="M1367" s="2">
        <v>853.7</v>
      </c>
      <c r="N1367" s="2">
        <v>38360</v>
      </c>
      <c r="O1367" s="2">
        <v>61.5</v>
      </c>
    </row>
    <row r="1368" spans="1:15" ht="24.95" customHeight="1" x14ac:dyDescent="0.25">
      <c r="A1368" s="17" t="s">
        <v>6904</v>
      </c>
      <c r="B1368" s="2">
        <v>318</v>
      </c>
      <c r="C1368" s="2">
        <v>144</v>
      </c>
      <c r="D1368" s="2">
        <v>54.4</v>
      </c>
      <c r="E1368" s="2">
        <v>90</v>
      </c>
      <c r="F1368" s="2">
        <v>-0.4</v>
      </c>
      <c r="H1368" s="2">
        <v>157</v>
      </c>
      <c r="I1368" s="2">
        <v>145</v>
      </c>
      <c r="J1368" s="2">
        <v>22608</v>
      </c>
      <c r="K1368" s="2">
        <v>488</v>
      </c>
      <c r="L1368" s="2">
        <v>2.8</v>
      </c>
      <c r="M1368" s="2">
        <v>40.9</v>
      </c>
      <c r="N1368" s="2">
        <v>1610</v>
      </c>
      <c r="O1368" s="2">
        <v>43.6</v>
      </c>
    </row>
    <row r="1369" spans="1:15" ht="24.95" customHeight="1" x14ac:dyDescent="0.25">
      <c r="A1369" s="17" t="s">
        <v>6905</v>
      </c>
      <c r="B1369" s="2">
        <v>345</v>
      </c>
      <c r="C1369" s="2">
        <v>150</v>
      </c>
      <c r="D1369" s="2">
        <v>56.8</v>
      </c>
      <c r="E1369" s="2">
        <v>90</v>
      </c>
      <c r="F1369" s="2">
        <v>3.2</v>
      </c>
      <c r="H1369" s="2">
        <v>245</v>
      </c>
      <c r="I1369" s="2">
        <v>83</v>
      </c>
      <c r="J1369" s="2">
        <v>36750</v>
      </c>
      <c r="K1369" s="2">
        <v>783</v>
      </c>
      <c r="L1369" s="2">
        <v>36.299999999999997</v>
      </c>
      <c r="M1369" s="2">
        <v>66.400000000000006</v>
      </c>
      <c r="N1369" s="2">
        <v>2190</v>
      </c>
      <c r="O1369" s="2">
        <v>33.799999999999997</v>
      </c>
    </row>
    <row r="1370" spans="1:15" ht="24.95" customHeight="1" x14ac:dyDescent="0.25">
      <c r="A1370" s="17" t="s">
        <v>6906</v>
      </c>
      <c r="B1370" s="2">
        <v>276</v>
      </c>
      <c r="C1370" s="2">
        <v>124</v>
      </c>
      <c r="D1370" s="2">
        <v>33</v>
      </c>
      <c r="E1370" s="2">
        <v>90</v>
      </c>
      <c r="F1370" s="2">
        <v>1</v>
      </c>
      <c r="H1370" s="2">
        <v>223</v>
      </c>
      <c r="I1370" s="2">
        <v>106</v>
      </c>
      <c r="J1370" s="2">
        <v>27652</v>
      </c>
      <c r="K1370" s="2">
        <v>727</v>
      </c>
      <c r="L1370" s="2">
        <v>25.6</v>
      </c>
      <c r="M1370" s="2">
        <v>57.8</v>
      </c>
      <c r="N1370" s="2">
        <v>2470</v>
      </c>
      <c r="O1370" s="2">
        <v>45.2</v>
      </c>
    </row>
    <row r="1371" spans="1:15" ht="24.95" customHeight="1" x14ac:dyDescent="0.25">
      <c r="A1371" s="17" t="s">
        <v>6907</v>
      </c>
      <c r="B1371" s="2">
        <v>300</v>
      </c>
      <c r="C1371" s="2">
        <v>136</v>
      </c>
      <c r="D1371" s="2">
        <v>44.9</v>
      </c>
      <c r="E1371" s="2">
        <v>90</v>
      </c>
      <c r="F1371" s="2">
        <v>1.1000000000000001</v>
      </c>
      <c r="H1371" s="2">
        <v>674</v>
      </c>
      <c r="I1371" s="2">
        <v>257</v>
      </c>
      <c r="J1371" s="2">
        <v>91664</v>
      </c>
      <c r="K1371" s="2">
        <v>2382</v>
      </c>
      <c r="L1371" s="2">
        <v>78.5</v>
      </c>
      <c r="M1371" s="2">
        <v>175.1</v>
      </c>
      <c r="N1371" s="2">
        <v>6700</v>
      </c>
      <c r="O1371" s="2">
        <v>42</v>
      </c>
    </row>
    <row r="1372" spans="1:15" ht="24.95" customHeight="1" x14ac:dyDescent="0.25">
      <c r="A1372" s="17" t="s">
        <v>6908</v>
      </c>
      <c r="B1372" s="2">
        <v>288</v>
      </c>
      <c r="C1372" s="2">
        <v>128</v>
      </c>
      <c r="D1372" s="2">
        <v>39.5</v>
      </c>
      <c r="E1372" s="2">
        <v>90</v>
      </c>
      <c r="F1372" s="2">
        <v>-1.5</v>
      </c>
      <c r="H1372" s="2">
        <v>367</v>
      </c>
      <c r="I1372" s="2">
        <v>95</v>
      </c>
      <c r="J1372" s="2">
        <v>46976</v>
      </c>
      <c r="K1372" s="2">
        <v>1268</v>
      </c>
      <c r="L1372" s="2">
        <v>53.5</v>
      </c>
      <c r="M1372" s="2">
        <v>92.5</v>
      </c>
      <c r="N1372" s="2">
        <v>3870</v>
      </c>
      <c r="O1372" s="2">
        <v>44.5</v>
      </c>
    </row>
    <row r="1373" spans="1:15" ht="24.95" customHeight="1" x14ac:dyDescent="0.25">
      <c r="A1373" s="17" t="s">
        <v>6909</v>
      </c>
      <c r="B1373" s="2">
        <v>294</v>
      </c>
      <c r="C1373" s="2">
        <v>132</v>
      </c>
      <c r="D1373" s="2">
        <v>41.3</v>
      </c>
      <c r="E1373" s="2">
        <v>90</v>
      </c>
      <c r="F1373" s="2">
        <v>0.8</v>
      </c>
      <c r="G1373" s="2">
        <v>133.4</v>
      </c>
      <c r="H1373" s="2">
        <v>636</v>
      </c>
      <c r="I1373" s="2">
        <v>127</v>
      </c>
      <c r="J1373" s="2">
        <v>84832</v>
      </c>
      <c r="K1373" s="2">
        <v>2529</v>
      </c>
      <c r="L1373" s="2">
        <v>94.1</v>
      </c>
      <c r="M1373" s="2">
        <v>163.80000000000001</v>
      </c>
      <c r="N1373" s="2">
        <v>7060</v>
      </c>
      <c r="O1373" s="2">
        <v>48.9</v>
      </c>
    </row>
    <row r="1374" spans="1:15" ht="24.95" customHeight="1" x14ac:dyDescent="0.25">
      <c r="A1374" s="17" t="s">
        <v>6906</v>
      </c>
      <c r="B1374" s="2">
        <v>288</v>
      </c>
      <c r="C1374" s="2">
        <v>120</v>
      </c>
      <c r="D1374" s="2">
        <v>28.3</v>
      </c>
      <c r="E1374" s="2">
        <v>90</v>
      </c>
      <c r="F1374" s="2">
        <v>1.8</v>
      </c>
      <c r="G1374" s="2">
        <v>121.8</v>
      </c>
      <c r="H1374" s="2">
        <v>673</v>
      </c>
      <c r="I1374" s="2">
        <v>119</v>
      </c>
      <c r="J1374" s="2">
        <v>82005</v>
      </c>
      <c r="K1374" s="2">
        <v>2904</v>
      </c>
      <c r="L1374" s="2">
        <v>91.7</v>
      </c>
      <c r="M1374" s="2">
        <v>148</v>
      </c>
      <c r="N1374" s="2">
        <v>7720</v>
      </c>
      <c r="O1374" s="2">
        <v>51.6</v>
      </c>
    </row>
    <row r="1375" spans="1:15" ht="24.95" customHeight="1" x14ac:dyDescent="0.25">
      <c r="A1375" s="17" t="s">
        <v>6910</v>
      </c>
      <c r="B1375" s="2">
        <v>299</v>
      </c>
      <c r="C1375" s="2">
        <v>131</v>
      </c>
      <c r="D1375" s="2">
        <v>37.700000000000003</v>
      </c>
      <c r="E1375" s="2">
        <v>90</v>
      </c>
      <c r="F1375" s="2">
        <v>3.3</v>
      </c>
      <c r="G1375" s="2">
        <v>132</v>
      </c>
      <c r="H1375" s="2">
        <v>280</v>
      </c>
      <c r="I1375" s="2">
        <v>139</v>
      </c>
      <c r="J1375" s="2">
        <v>39964</v>
      </c>
      <c r="K1375" s="2">
        <v>1373</v>
      </c>
      <c r="L1375" s="2">
        <v>46.7</v>
      </c>
      <c r="M1375" s="2">
        <v>74.2</v>
      </c>
      <c r="N1375" s="2">
        <v>3940</v>
      </c>
      <c r="O1375" s="2">
        <v>58.5</v>
      </c>
    </row>
    <row r="1376" spans="1:15" ht="24.95" customHeight="1" x14ac:dyDescent="0.25">
      <c r="A1376" s="17" t="s">
        <v>6911</v>
      </c>
      <c r="B1376" s="2">
        <v>300</v>
      </c>
      <c r="C1376" s="2">
        <v>118</v>
      </c>
      <c r="D1376" s="2">
        <v>22</v>
      </c>
      <c r="E1376" s="2">
        <v>90</v>
      </c>
      <c r="F1376" s="2">
        <v>6</v>
      </c>
      <c r="G1376" s="2">
        <v>120.8</v>
      </c>
      <c r="H1376" s="2">
        <v>126</v>
      </c>
      <c r="I1376" s="2">
        <v>147</v>
      </c>
      <c r="J1376" s="2">
        <v>15222</v>
      </c>
      <c r="K1376" s="2">
        <v>883</v>
      </c>
      <c r="L1376" s="2">
        <v>26.1</v>
      </c>
      <c r="M1376" s="2">
        <v>35.1</v>
      </c>
      <c r="N1376" s="2">
        <v>3800</v>
      </c>
      <c r="O1376" s="2">
        <v>72.900000000000006</v>
      </c>
    </row>
    <row r="1377" spans="1:15" ht="24.95" customHeight="1" x14ac:dyDescent="0.25">
      <c r="A1377" s="17" t="s">
        <v>6912</v>
      </c>
      <c r="B1377" s="2">
        <v>232</v>
      </c>
      <c r="C1377" s="2">
        <v>89.5</v>
      </c>
      <c r="H1377" s="2">
        <v>40646</v>
      </c>
      <c r="I1377" s="2">
        <v>224</v>
      </c>
      <c r="J1377" s="2">
        <v>3637817</v>
      </c>
      <c r="K1377" s="2">
        <v>101483</v>
      </c>
      <c r="L1377" s="2">
        <v>3958.6</v>
      </c>
      <c r="M1377" s="2">
        <v>9026.2999999999993</v>
      </c>
      <c r="N1377" s="2">
        <v>340820</v>
      </c>
      <c r="O1377" s="2">
        <v>34.700000000000003</v>
      </c>
    </row>
    <row r="1378" spans="1:15" ht="24.95" customHeight="1" x14ac:dyDescent="0.25">
      <c r="A1378" s="17" t="s">
        <v>6913</v>
      </c>
      <c r="B1378" s="2">
        <v>348</v>
      </c>
      <c r="C1378" s="2">
        <v>150</v>
      </c>
      <c r="D1378" s="2">
        <v>67</v>
      </c>
      <c r="E1378" s="2">
        <v>90</v>
      </c>
      <c r="F1378" s="2">
        <v>-7</v>
      </c>
      <c r="H1378" s="2">
        <v>1000</v>
      </c>
      <c r="I1378" s="2">
        <v>135</v>
      </c>
      <c r="J1378" s="2">
        <v>150000</v>
      </c>
      <c r="K1378" s="2">
        <v>3198</v>
      </c>
      <c r="L1378" s="2">
        <v>147.9</v>
      </c>
      <c r="M1378" s="2">
        <v>257.2</v>
      </c>
      <c r="N1378" s="2">
        <v>9700</v>
      </c>
      <c r="O1378" s="2">
        <v>42.7</v>
      </c>
    </row>
    <row r="1379" spans="1:15" ht="24.95" customHeight="1" x14ac:dyDescent="0.25">
      <c r="A1379" s="17" t="s">
        <v>6914</v>
      </c>
      <c r="B1379" s="2">
        <v>294</v>
      </c>
      <c r="C1379" s="2">
        <v>126</v>
      </c>
      <c r="D1379" s="2">
        <v>45.3</v>
      </c>
      <c r="E1379" s="2">
        <v>89.8</v>
      </c>
      <c r="F1379" s="2">
        <v>-9</v>
      </c>
      <c r="H1379" s="2">
        <v>600</v>
      </c>
      <c r="I1379" s="2">
        <v>126</v>
      </c>
      <c r="J1379" s="2">
        <v>75600</v>
      </c>
      <c r="K1379" s="2">
        <v>1743</v>
      </c>
      <c r="L1379" s="2">
        <v>76.3</v>
      </c>
      <c r="M1379" s="2">
        <v>161.1</v>
      </c>
      <c r="N1379" s="2">
        <v>5780</v>
      </c>
      <c r="O1379" s="2">
        <v>37</v>
      </c>
    </row>
    <row r="1380" spans="1:15" ht="24.95" customHeight="1" x14ac:dyDescent="0.25">
      <c r="A1380" s="17" t="s">
        <v>6915</v>
      </c>
      <c r="B1380" s="2">
        <v>348</v>
      </c>
      <c r="C1380" s="2">
        <v>128</v>
      </c>
      <c r="D1380" s="2">
        <v>36</v>
      </c>
      <c r="E1380" s="2">
        <v>90</v>
      </c>
      <c r="F1380" s="2">
        <v>2</v>
      </c>
      <c r="H1380" s="2">
        <v>1375</v>
      </c>
      <c r="I1380" s="2">
        <v>160</v>
      </c>
      <c r="J1380" s="2">
        <v>176000</v>
      </c>
      <c r="K1380" s="2">
        <v>5705</v>
      </c>
      <c r="L1380" s="2">
        <v>192.9</v>
      </c>
      <c r="M1380" s="2">
        <v>353.6</v>
      </c>
      <c r="N1380" s="2">
        <v>19400</v>
      </c>
      <c r="O1380" s="2">
        <v>60.6</v>
      </c>
    </row>
    <row r="1381" spans="1:15" ht="24.95" customHeight="1" x14ac:dyDescent="0.25">
      <c r="A1381" s="17" t="s">
        <v>6916</v>
      </c>
      <c r="B1381" s="2">
        <v>372</v>
      </c>
      <c r="C1381" s="2">
        <v>156</v>
      </c>
      <c r="D1381" s="2">
        <v>61</v>
      </c>
      <c r="E1381" s="2">
        <v>90</v>
      </c>
      <c r="F1381" s="2">
        <v>5</v>
      </c>
      <c r="H1381" s="2">
        <v>1450</v>
      </c>
      <c r="I1381" s="2">
        <v>159</v>
      </c>
      <c r="J1381" s="2">
        <v>226200</v>
      </c>
      <c r="K1381" s="2">
        <v>7321</v>
      </c>
      <c r="L1381" s="2">
        <v>203.1</v>
      </c>
      <c r="M1381" s="2">
        <v>400</v>
      </c>
      <c r="N1381" s="2">
        <v>25020</v>
      </c>
      <c r="O1381" s="2">
        <v>65.8</v>
      </c>
    </row>
    <row r="1382" spans="1:15" ht="24.95" customHeight="1" x14ac:dyDescent="0.25">
      <c r="A1382" s="17" t="s">
        <v>6917</v>
      </c>
      <c r="B1382" s="2">
        <v>372</v>
      </c>
      <c r="C1382" s="2">
        <v>138</v>
      </c>
      <c r="D1382" s="2">
        <v>48</v>
      </c>
      <c r="E1382" s="2">
        <v>90</v>
      </c>
      <c r="H1382" s="2">
        <v>785</v>
      </c>
      <c r="I1382" s="2">
        <v>204</v>
      </c>
      <c r="J1382" s="2">
        <v>108330</v>
      </c>
      <c r="K1382" s="2">
        <v>3041</v>
      </c>
      <c r="L1382" s="2">
        <v>117.3</v>
      </c>
      <c r="M1382" s="2">
        <v>192.2</v>
      </c>
      <c r="N1382" s="2">
        <v>10310</v>
      </c>
      <c r="O1382" s="2">
        <v>59</v>
      </c>
    </row>
    <row r="1383" spans="1:15" ht="24.95" customHeight="1" x14ac:dyDescent="0.25">
      <c r="A1383" s="17" t="s">
        <v>6918</v>
      </c>
      <c r="B1383" s="2">
        <v>360</v>
      </c>
      <c r="C1383" s="2">
        <v>132</v>
      </c>
      <c r="D1383" s="2">
        <v>41</v>
      </c>
      <c r="E1383" s="2">
        <v>90</v>
      </c>
      <c r="F1383" s="2">
        <v>1</v>
      </c>
      <c r="H1383" s="2">
        <v>2124</v>
      </c>
      <c r="I1383" s="2">
        <v>163</v>
      </c>
      <c r="J1383" s="2">
        <v>280368</v>
      </c>
      <c r="K1383" s="2">
        <v>7316</v>
      </c>
      <c r="L1383" s="2">
        <v>242.4</v>
      </c>
      <c r="M1383" s="2">
        <v>567.5</v>
      </c>
      <c r="N1383" s="2">
        <v>27470</v>
      </c>
      <c r="O1383" s="2">
        <v>54.7</v>
      </c>
    </row>
    <row r="1384" spans="1:15" ht="24.95" customHeight="1" x14ac:dyDescent="0.25">
      <c r="A1384" s="17" t="s">
        <v>6919</v>
      </c>
      <c r="B1384" s="2">
        <v>348</v>
      </c>
      <c r="C1384" s="2">
        <v>168</v>
      </c>
      <c r="D1384" s="2">
        <v>76.5</v>
      </c>
      <c r="E1384" s="2">
        <v>90</v>
      </c>
      <c r="F1384" s="2">
        <v>1.5</v>
      </c>
      <c r="H1384" s="2">
        <v>480</v>
      </c>
      <c r="I1384" s="2">
        <v>142</v>
      </c>
      <c r="J1384" s="2">
        <v>80640</v>
      </c>
      <c r="K1384" s="2">
        <v>2733</v>
      </c>
      <c r="L1384" s="2">
        <v>68.3</v>
      </c>
      <c r="M1384" s="2">
        <v>132.19999999999999</v>
      </c>
      <c r="N1384" s="2">
        <v>8390</v>
      </c>
      <c r="O1384" s="2">
        <v>66</v>
      </c>
    </row>
    <row r="1385" spans="1:15" ht="24.95" customHeight="1" x14ac:dyDescent="0.25">
      <c r="A1385" s="17" t="s">
        <v>6920</v>
      </c>
      <c r="B1385" s="2">
        <v>288</v>
      </c>
      <c r="C1385" s="2">
        <v>116</v>
      </c>
      <c r="D1385" s="2">
        <v>35</v>
      </c>
      <c r="E1385" s="2">
        <v>90</v>
      </c>
      <c r="F1385" s="2">
        <v>-9</v>
      </c>
      <c r="H1385" s="2">
        <v>495</v>
      </c>
      <c r="I1385" s="2">
        <v>148</v>
      </c>
      <c r="J1385" s="2">
        <v>57420</v>
      </c>
      <c r="K1385" s="2">
        <v>1271</v>
      </c>
      <c r="L1385" s="2">
        <v>75.599999999999994</v>
      </c>
      <c r="M1385" s="2">
        <v>127.2</v>
      </c>
      <c r="N1385" s="2">
        <v>4420</v>
      </c>
      <c r="O1385" s="2">
        <v>32.9</v>
      </c>
    </row>
    <row r="1386" spans="1:15" ht="24.95" customHeight="1" x14ac:dyDescent="0.25">
      <c r="A1386" s="17" t="s">
        <v>6921</v>
      </c>
      <c r="B1386" s="2">
        <v>300</v>
      </c>
      <c r="C1386" s="2">
        <v>114</v>
      </c>
      <c r="D1386" s="2">
        <v>30.1</v>
      </c>
      <c r="E1386" s="2">
        <v>90</v>
      </c>
      <c r="F1386" s="2">
        <v>-6.1</v>
      </c>
      <c r="H1386" s="2">
        <v>845</v>
      </c>
      <c r="I1386" s="2">
        <v>150</v>
      </c>
      <c r="J1386" s="2">
        <v>96330</v>
      </c>
      <c r="K1386" s="2">
        <v>2084</v>
      </c>
      <c r="L1386" s="2">
        <v>109.8</v>
      </c>
      <c r="M1386" s="2">
        <v>215.6</v>
      </c>
      <c r="N1386" s="2">
        <v>7250</v>
      </c>
      <c r="O1386" s="2">
        <v>30</v>
      </c>
    </row>
    <row r="1387" spans="1:15" ht="24.95" customHeight="1" x14ac:dyDescent="0.25">
      <c r="A1387" s="17" t="s">
        <v>6922</v>
      </c>
      <c r="B1387" s="2">
        <v>324</v>
      </c>
      <c r="C1387" s="2">
        <v>128</v>
      </c>
      <c r="D1387" s="2">
        <v>44</v>
      </c>
      <c r="E1387" s="2">
        <v>90</v>
      </c>
      <c r="F1387" s="2">
        <v>-6</v>
      </c>
      <c r="H1387" s="2">
        <v>2800</v>
      </c>
      <c r="I1387" s="2">
        <v>244</v>
      </c>
      <c r="J1387" s="2">
        <v>358400</v>
      </c>
      <c r="K1387" s="2">
        <v>6934</v>
      </c>
      <c r="L1387" s="2">
        <v>324.10000000000002</v>
      </c>
      <c r="M1387" s="2">
        <v>722.4</v>
      </c>
      <c r="N1387" s="2">
        <v>23190</v>
      </c>
      <c r="O1387" s="2">
        <v>31.9</v>
      </c>
    </row>
    <row r="1388" spans="1:15" ht="24.95" customHeight="1" x14ac:dyDescent="0.25">
      <c r="A1388" s="17" t="s">
        <v>6923</v>
      </c>
      <c r="B1388" s="2">
        <v>358</v>
      </c>
      <c r="C1388" s="2">
        <v>138</v>
      </c>
      <c r="D1388" s="2">
        <v>54.5</v>
      </c>
      <c r="E1388" s="2">
        <v>90</v>
      </c>
      <c r="F1388" s="2">
        <v>-6.5</v>
      </c>
      <c r="H1388" s="2">
        <v>5300</v>
      </c>
      <c r="I1388" s="2">
        <v>194</v>
      </c>
      <c r="J1388" s="2">
        <v>731400</v>
      </c>
      <c r="K1388" s="2">
        <v>8231</v>
      </c>
      <c r="L1388" s="2">
        <v>326.8</v>
      </c>
      <c r="M1388" s="2">
        <v>1480.6</v>
      </c>
      <c r="N1388" s="2">
        <v>28350</v>
      </c>
    </row>
    <row r="1389" spans="1:15" ht="24.95" customHeight="1" x14ac:dyDescent="0.25">
      <c r="A1389" s="17" t="s">
        <v>6924</v>
      </c>
      <c r="B1389" s="2">
        <v>366</v>
      </c>
      <c r="C1389" s="2">
        <v>138</v>
      </c>
      <c r="D1389" s="2">
        <v>46</v>
      </c>
      <c r="E1389" s="2">
        <v>90</v>
      </c>
      <c r="F1389" s="2">
        <v>2</v>
      </c>
      <c r="H1389" s="2">
        <v>1200</v>
      </c>
      <c r="I1389" s="2">
        <v>182</v>
      </c>
      <c r="J1389" s="2">
        <v>165600</v>
      </c>
      <c r="K1389" s="2">
        <v>4339</v>
      </c>
      <c r="L1389" s="2">
        <v>157</v>
      </c>
      <c r="M1389" s="2">
        <v>318.39999999999998</v>
      </c>
      <c r="N1389" s="2">
        <v>15540</v>
      </c>
      <c r="O1389" s="2">
        <v>54.7</v>
      </c>
    </row>
    <row r="1390" spans="1:15" ht="24.95" customHeight="1" x14ac:dyDescent="0.25">
      <c r="A1390" s="17" t="s">
        <v>6925</v>
      </c>
      <c r="B1390" s="2">
        <v>378</v>
      </c>
      <c r="C1390" s="2">
        <v>130</v>
      </c>
      <c r="D1390" s="2">
        <v>38.5</v>
      </c>
      <c r="E1390" s="2">
        <v>90</v>
      </c>
      <c r="F1390" s="2">
        <v>1.5</v>
      </c>
      <c r="H1390" s="2">
        <v>677</v>
      </c>
      <c r="I1390" s="2">
        <v>177</v>
      </c>
      <c r="J1390" s="2">
        <v>88010</v>
      </c>
      <c r="K1390" s="2">
        <v>3400</v>
      </c>
      <c r="L1390" s="2">
        <v>96.9</v>
      </c>
      <c r="M1390" s="2">
        <v>181.8</v>
      </c>
      <c r="N1390" s="2">
        <v>10970</v>
      </c>
      <c r="O1390" s="2">
        <v>64.8</v>
      </c>
    </row>
    <row r="1391" spans="1:15" ht="24.95" customHeight="1" x14ac:dyDescent="0.25">
      <c r="A1391" s="17" t="s">
        <v>6926</v>
      </c>
      <c r="B1391" s="2">
        <v>350</v>
      </c>
      <c r="C1391" s="2">
        <v>132</v>
      </c>
      <c r="D1391" s="2">
        <v>49.4</v>
      </c>
      <c r="E1391" s="2">
        <v>89.5</v>
      </c>
      <c r="F1391" s="2">
        <v>-6.9</v>
      </c>
      <c r="H1391" s="2">
        <v>4220</v>
      </c>
      <c r="I1391" s="2">
        <v>142</v>
      </c>
      <c r="J1391" s="2">
        <v>557040</v>
      </c>
      <c r="K1391" s="2">
        <v>12599</v>
      </c>
      <c r="L1391" s="2">
        <v>454.3</v>
      </c>
      <c r="M1391" s="2">
        <v>1084</v>
      </c>
      <c r="N1391" s="2">
        <v>39750</v>
      </c>
      <c r="O1391" s="2">
        <v>41.2</v>
      </c>
    </row>
    <row r="1392" spans="1:15" ht="24.95" customHeight="1" x14ac:dyDescent="0.25">
      <c r="A1392" s="17" t="s">
        <v>6927</v>
      </c>
      <c r="B1392" s="2">
        <v>356</v>
      </c>
      <c r="C1392" s="2">
        <v>134</v>
      </c>
      <c r="D1392" s="2">
        <v>41</v>
      </c>
      <c r="E1392" s="2">
        <v>90</v>
      </c>
      <c r="F1392" s="2">
        <v>3</v>
      </c>
      <c r="H1392" s="2">
        <v>422</v>
      </c>
      <c r="I1392" s="2">
        <v>144</v>
      </c>
      <c r="J1392" s="2">
        <v>56548</v>
      </c>
      <c r="K1392" s="2">
        <v>2635</v>
      </c>
      <c r="L1392" s="2">
        <v>69.2</v>
      </c>
      <c r="M1392" s="2">
        <v>121.3</v>
      </c>
      <c r="N1392" s="2">
        <v>8850</v>
      </c>
      <c r="O1392" s="2">
        <v>70.2</v>
      </c>
    </row>
    <row r="1393" spans="1:15" ht="24.95" customHeight="1" x14ac:dyDescent="0.25">
      <c r="A1393" s="17" t="s">
        <v>6928</v>
      </c>
      <c r="B1393" s="2">
        <v>372</v>
      </c>
      <c r="C1393" s="2">
        <v>138</v>
      </c>
      <c r="D1393" s="2">
        <v>45</v>
      </c>
      <c r="E1393" s="2">
        <v>90</v>
      </c>
      <c r="F1393" s="2">
        <v>3</v>
      </c>
      <c r="H1393" s="2">
        <v>1000</v>
      </c>
      <c r="I1393" s="2">
        <v>203</v>
      </c>
      <c r="J1393" s="2">
        <v>138000</v>
      </c>
      <c r="K1393" s="2">
        <v>4534</v>
      </c>
      <c r="L1393" s="2">
        <v>173.2</v>
      </c>
      <c r="M1393" s="2">
        <v>265.3</v>
      </c>
      <c r="N1393" s="2">
        <v>14110</v>
      </c>
      <c r="O1393" s="2">
        <v>59.7</v>
      </c>
    </row>
    <row r="1394" spans="1:15" ht="24.95" customHeight="1" x14ac:dyDescent="0.25">
      <c r="A1394" s="17" t="s">
        <v>6929</v>
      </c>
      <c r="B1394" s="2">
        <v>360</v>
      </c>
      <c r="C1394" s="2">
        <v>140</v>
      </c>
      <c r="D1394" s="2">
        <v>47</v>
      </c>
      <c r="E1394" s="2">
        <v>90</v>
      </c>
      <c r="F1394" s="2">
        <v>3</v>
      </c>
      <c r="H1394" s="2">
        <v>1240</v>
      </c>
      <c r="I1394" s="2">
        <v>161</v>
      </c>
      <c r="J1394" s="2">
        <v>173600</v>
      </c>
      <c r="K1394" s="2">
        <v>5738</v>
      </c>
      <c r="L1394" s="2">
        <v>185</v>
      </c>
      <c r="M1394" s="2">
        <v>383.7</v>
      </c>
      <c r="N1394" s="2">
        <v>19820</v>
      </c>
      <c r="O1394" s="2">
        <v>62.8</v>
      </c>
    </row>
    <row r="1395" spans="1:15" ht="24.95" customHeight="1" x14ac:dyDescent="0.25">
      <c r="A1395" s="17" t="s">
        <v>6930</v>
      </c>
      <c r="B1395" s="2">
        <v>312</v>
      </c>
      <c r="C1395" s="2">
        <v>120</v>
      </c>
      <c r="D1395" s="2">
        <v>38</v>
      </c>
      <c r="E1395" s="2">
        <v>90</v>
      </c>
      <c r="F1395" s="2">
        <v>-8</v>
      </c>
      <c r="H1395" s="2">
        <v>159</v>
      </c>
      <c r="I1395" s="2">
        <v>145</v>
      </c>
      <c r="J1395" s="2">
        <v>19080</v>
      </c>
      <c r="K1395" s="2">
        <v>516</v>
      </c>
      <c r="L1395" s="2">
        <v>25.1</v>
      </c>
      <c r="M1395" s="2">
        <v>40.700000000000003</v>
      </c>
      <c r="N1395" s="2">
        <v>1850</v>
      </c>
      <c r="O1395" s="2">
        <v>49.8</v>
      </c>
    </row>
    <row r="1396" spans="1:15" ht="24.95" customHeight="1" x14ac:dyDescent="0.25">
      <c r="A1396" s="17" t="s">
        <v>6913</v>
      </c>
      <c r="B1396" s="2">
        <v>264</v>
      </c>
      <c r="C1396" s="2">
        <v>100</v>
      </c>
      <c r="D1396" s="2">
        <v>15.3</v>
      </c>
      <c r="E1396" s="2">
        <v>90</v>
      </c>
      <c r="F1396" s="2">
        <v>-5.3</v>
      </c>
      <c r="G1396" s="2">
        <v>102.5</v>
      </c>
      <c r="H1396" s="2">
        <v>550</v>
      </c>
      <c r="I1396" s="2">
        <v>125</v>
      </c>
      <c r="J1396" s="2">
        <v>56363</v>
      </c>
      <c r="K1396" s="2">
        <v>2567</v>
      </c>
      <c r="L1396" s="2">
        <v>96.9</v>
      </c>
      <c r="M1396" s="2">
        <v>150.80000000000001</v>
      </c>
      <c r="N1396" s="2">
        <v>8890</v>
      </c>
      <c r="O1396" s="2">
        <v>60.5</v>
      </c>
    </row>
    <row r="1397" spans="1:15" ht="24.95" customHeight="1" x14ac:dyDescent="0.25">
      <c r="A1397" s="17" t="s">
        <v>6921</v>
      </c>
      <c r="B1397" s="2">
        <v>292</v>
      </c>
      <c r="C1397" s="2">
        <v>106</v>
      </c>
      <c r="D1397" s="2">
        <v>20.5</v>
      </c>
      <c r="E1397" s="2">
        <v>90</v>
      </c>
      <c r="F1397" s="2">
        <v>-4.5</v>
      </c>
      <c r="G1397" s="2">
        <v>109.6</v>
      </c>
      <c r="H1397" s="2">
        <v>1502</v>
      </c>
      <c r="I1397" s="2">
        <v>258</v>
      </c>
      <c r="J1397" s="2">
        <v>164652</v>
      </c>
      <c r="K1397" s="2">
        <v>3645</v>
      </c>
      <c r="L1397" s="2">
        <v>177.5</v>
      </c>
      <c r="M1397" s="2">
        <v>305.8</v>
      </c>
      <c r="N1397" s="2">
        <v>11780</v>
      </c>
      <c r="O1397" s="2">
        <v>33.200000000000003</v>
      </c>
    </row>
    <row r="1398" spans="1:15" ht="24.95" customHeight="1" x14ac:dyDescent="0.25">
      <c r="A1398" s="17" t="s">
        <v>6931</v>
      </c>
      <c r="B1398" s="2">
        <v>269.5</v>
      </c>
      <c r="C1398" s="2">
        <v>108</v>
      </c>
      <c r="D1398" s="2">
        <v>21.5</v>
      </c>
      <c r="E1398" s="2">
        <v>90</v>
      </c>
      <c r="F1398" s="2">
        <v>-3.5</v>
      </c>
      <c r="G1398" s="2">
        <v>108.6</v>
      </c>
      <c r="H1398" s="2">
        <v>6609</v>
      </c>
      <c r="I1398" s="2">
        <v>318</v>
      </c>
      <c r="J1398" s="2">
        <v>717856</v>
      </c>
      <c r="K1398" s="2">
        <v>5523</v>
      </c>
      <c r="L1398" s="2">
        <v>339.8</v>
      </c>
      <c r="M1398" s="2">
        <v>1169.8</v>
      </c>
      <c r="N1398" s="2">
        <v>8850</v>
      </c>
    </row>
    <row r="1399" spans="1:15" ht="24.95" customHeight="1" x14ac:dyDescent="0.25">
      <c r="A1399" s="17" t="s">
        <v>6914</v>
      </c>
      <c r="B1399" s="2">
        <v>264</v>
      </c>
      <c r="C1399" s="2">
        <v>101</v>
      </c>
      <c r="D1399" s="2">
        <v>15.5</v>
      </c>
      <c r="E1399" s="2">
        <v>90</v>
      </c>
      <c r="F1399" s="2">
        <v>-4.5</v>
      </c>
      <c r="G1399" s="2">
        <v>102</v>
      </c>
      <c r="H1399" s="2">
        <v>320</v>
      </c>
      <c r="I1399" s="2">
        <v>171</v>
      </c>
      <c r="J1399" s="2">
        <v>32630</v>
      </c>
      <c r="K1399" s="2">
        <v>1904</v>
      </c>
      <c r="L1399" s="2">
        <v>61.4</v>
      </c>
      <c r="M1399" s="2">
        <v>82.8</v>
      </c>
      <c r="N1399" s="2">
        <v>6000</v>
      </c>
      <c r="O1399" s="2">
        <v>70.8</v>
      </c>
    </row>
    <row r="1400" spans="1:15" ht="24.95" customHeight="1" x14ac:dyDescent="0.25">
      <c r="A1400" s="17" t="s">
        <v>6926</v>
      </c>
      <c r="B1400" s="2">
        <v>246</v>
      </c>
      <c r="C1400" s="2">
        <v>92</v>
      </c>
      <c r="D1400" s="2">
        <v>8</v>
      </c>
      <c r="E1400" s="2">
        <v>90</v>
      </c>
      <c r="F1400" s="2">
        <v>-6</v>
      </c>
      <c r="G1400" s="2">
        <v>103.8</v>
      </c>
      <c r="H1400" s="2">
        <v>1650</v>
      </c>
      <c r="I1400" s="2">
        <v>206</v>
      </c>
      <c r="J1400" s="2">
        <v>171196</v>
      </c>
      <c r="K1400" s="2">
        <v>4506</v>
      </c>
      <c r="L1400" s="2">
        <v>237.8</v>
      </c>
      <c r="M1400" s="2">
        <v>362.6</v>
      </c>
      <c r="N1400" s="2">
        <v>15130</v>
      </c>
      <c r="O1400" s="2">
        <v>38.5</v>
      </c>
    </row>
    <row r="1401" spans="1:15" ht="24.95" customHeight="1" x14ac:dyDescent="0.25">
      <c r="A1401" s="17" t="s">
        <v>6932</v>
      </c>
      <c r="B1401" s="2">
        <v>222</v>
      </c>
      <c r="C1401" s="2">
        <v>84</v>
      </c>
      <c r="H1401" s="2">
        <v>3101</v>
      </c>
      <c r="I1401" s="2">
        <v>120</v>
      </c>
      <c r="J1401" s="2">
        <v>260484</v>
      </c>
      <c r="K1401" s="2">
        <v>14141</v>
      </c>
      <c r="L1401" s="2">
        <v>445.3</v>
      </c>
      <c r="M1401" s="2">
        <v>798.6</v>
      </c>
      <c r="N1401" s="2">
        <v>43690</v>
      </c>
      <c r="O1401" s="2">
        <v>74.5</v>
      </c>
    </row>
    <row r="1402" spans="1:15" ht="24.95" customHeight="1" x14ac:dyDescent="0.25">
      <c r="A1402" s="17" t="s">
        <v>6933</v>
      </c>
      <c r="B1402" s="2">
        <v>360</v>
      </c>
      <c r="C1402" s="2">
        <v>156</v>
      </c>
      <c r="D1402" s="2">
        <v>55</v>
      </c>
      <c r="E1402" s="2">
        <v>99</v>
      </c>
      <c r="F1402" s="2">
        <v>2</v>
      </c>
      <c r="H1402" s="2">
        <v>96</v>
      </c>
      <c r="I1402" s="2">
        <v>104</v>
      </c>
      <c r="J1402" s="2">
        <v>14976</v>
      </c>
      <c r="K1402" s="2">
        <v>402</v>
      </c>
      <c r="L1402" s="2">
        <v>11.4</v>
      </c>
      <c r="M1402" s="2">
        <v>24.4</v>
      </c>
      <c r="N1402" s="2">
        <v>1230</v>
      </c>
      <c r="O1402" s="2">
        <v>55.5</v>
      </c>
    </row>
    <row r="1403" spans="1:15" ht="24.95" customHeight="1" x14ac:dyDescent="0.25">
      <c r="A1403" s="17" t="s">
        <v>6934</v>
      </c>
      <c r="B1403" s="2">
        <v>353</v>
      </c>
      <c r="C1403" s="2">
        <v>144</v>
      </c>
      <c r="D1403" s="2">
        <v>60.9</v>
      </c>
      <c r="E1403" s="2">
        <v>85</v>
      </c>
      <c r="F1403" s="2">
        <v>-1.9</v>
      </c>
      <c r="H1403" s="2">
        <v>180</v>
      </c>
      <c r="I1403" s="2">
        <v>112</v>
      </c>
      <c r="J1403" s="2">
        <v>25920</v>
      </c>
      <c r="K1403" s="2">
        <v>851</v>
      </c>
      <c r="L1403" s="2">
        <v>28.2</v>
      </c>
      <c r="M1403" s="2">
        <v>49.6</v>
      </c>
      <c r="N1403" s="2">
        <v>2360</v>
      </c>
      <c r="O1403" s="2">
        <v>52.1</v>
      </c>
    </row>
    <row r="1404" spans="1:15" ht="24.95" customHeight="1" x14ac:dyDescent="0.25">
      <c r="A1404" s="17" t="s">
        <v>6935</v>
      </c>
      <c r="B1404" s="2">
        <v>290</v>
      </c>
      <c r="C1404" s="2">
        <v>112</v>
      </c>
      <c r="D1404" s="2">
        <v>27.7</v>
      </c>
      <c r="E1404" s="2">
        <v>85</v>
      </c>
      <c r="F1404" s="2">
        <v>-0.7</v>
      </c>
      <c r="H1404" s="2">
        <v>53</v>
      </c>
      <c r="I1404" s="2">
        <v>121</v>
      </c>
      <c r="J1404" s="2">
        <v>5936</v>
      </c>
      <c r="K1404" s="2">
        <v>295</v>
      </c>
      <c r="L1404" s="2">
        <v>9.6</v>
      </c>
      <c r="M1404" s="2">
        <v>14.3</v>
      </c>
      <c r="N1404" s="2">
        <v>950</v>
      </c>
      <c r="O1404" s="2">
        <v>67.3</v>
      </c>
    </row>
    <row r="1405" spans="1:15" ht="24.95" customHeight="1" x14ac:dyDescent="0.25">
      <c r="A1405" s="17" t="s">
        <v>6936</v>
      </c>
      <c r="B1405" s="2">
        <v>324</v>
      </c>
      <c r="C1405" s="2">
        <v>132</v>
      </c>
      <c r="D1405" s="2">
        <v>52</v>
      </c>
      <c r="E1405" s="2">
        <v>84</v>
      </c>
      <c r="F1405" s="2">
        <v>-4</v>
      </c>
      <c r="H1405" s="2">
        <v>620</v>
      </c>
      <c r="I1405" s="2">
        <v>134</v>
      </c>
      <c r="J1405" s="2">
        <v>81840</v>
      </c>
      <c r="K1405" s="2">
        <v>2012</v>
      </c>
      <c r="L1405" s="2">
        <v>77.599999999999994</v>
      </c>
      <c r="M1405" s="2">
        <v>161.4</v>
      </c>
      <c r="N1405" s="2">
        <v>6420</v>
      </c>
      <c r="O1405" s="2">
        <v>43.3</v>
      </c>
    </row>
    <row r="1406" spans="1:15" ht="24.95" customHeight="1" x14ac:dyDescent="0.25">
      <c r="A1406" s="17" t="s">
        <v>6937</v>
      </c>
      <c r="B1406" s="2">
        <v>342</v>
      </c>
      <c r="C1406" s="2">
        <v>138</v>
      </c>
      <c r="D1406" s="2">
        <v>57.4</v>
      </c>
      <c r="E1406" s="2">
        <v>84</v>
      </c>
      <c r="F1406" s="2">
        <v>-3.4</v>
      </c>
      <c r="H1406" s="2">
        <v>190</v>
      </c>
      <c r="I1406" s="2">
        <v>109</v>
      </c>
      <c r="J1406" s="2">
        <v>26220</v>
      </c>
      <c r="K1406" s="2">
        <v>615</v>
      </c>
      <c r="L1406" s="2">
        <v>21.8</v>
      </c>
      <c r="M1406" s="2">
        <v>47.2</v>
      </c>
      <c r="N1406" s="2">
        <v>1840</v>
      </c>
      <c r="O1406" s="2">
        <v>40.9</v>
      </c>
    </row>
    <row r="1407" spans="1:15" ht="24.95" customHeight="1" x14ac:dyDescent="0.25">
      <c r="A1407" s="17" t="s">
        <v>6938</v>
      </c>
      <c r="B1407" s="2">
        <v>334</v>
      </c>
      <c r="C1407" s="2">
        <v>134</v>
      </c>
      <c r="D1407" s="2">
        <v>54.6</v>
      </c>
      <c r="E1407" s="2">
        <v>85</v>
      </c>
      <c r="F1407" s="2">
        <v>-5.6</v>
      </c>
      <c r="H1407" s="2">
        <v>580</v>
      </c>
      <c r="I1407" s="2">
        <v>110</v>
      </c>
      <c r="J1407" s="2">
        <v>77720</v>
      </c>
      <c r="K1407" s="2">
        <v>1795</v>
      </c>
      <c r="L1407" s="2">
        <v>64.5</v>
      </c>
      <c r="M1407" s="2">
        <v>149.19999999999999</v>
      </c>
      <c r="N1407" s="2">
        <v>5430</v>
      </c>
      <c r="O1407" s="2">
        <v>38.200000000000003</v>
      </c>
    </row>
    <row r="1408" spans="1:15" ht="24.95" customHeight="1" x14ac:dyDescent="0.25">
      <c r="A1408" s="17" t="s">
        <v>6939</v>
      </c>
      <c r="B1408" s="2">
        <v>264</v>
      </c>
      <c r="C1408" s="2">
        <v>105</v>
      </c>
      <c r="D1408" s="2">
        <v>5.4</v>
      </c>
      <c r="E1408" s="2">
        <v>99</v>
      </c>
      <c r="F1408" s="2">
        <v>0.6</v>
      </c>
      <c r="G1408" s="2">
        <v>105.8</v>
      </c>
      <c r="H1408" s="2">
        <v>281</v>
      </c>
      <c r="I1408" s="2">
        <v>125</v>
      </c>
      <c r="J1408" s="2">
        <v>29743</v>
      </c>
      <c r="K1408" s="2">
        <v>1557</v>
      </c>
      <c r="L1408" s="2">
        <v>47.9</v>
      </c>
      <c r="M1408" s="2">
        <v>71.3</v>
      </c>
      <c r="N1408" s="2">
        <v>5010</v>
      </c>
      <c r="O1408" s="2">
        <v>64.5</v>
      </c>
    </row>
    <row r="1409" spans="1:15" ht="24.95" customHeight="1" x14ac:dyDescent="0.25">
      <c r="A1409" s="17" t="s">
        <v>6933</v>
      </c>
      <c r="B1409" s="2">
        <v>324</v>
      </c>
      <c r="C1409" s="2">
        <v>132</v>
      </c>
      <c r="D1409" s="2">
        <v>33</v>
      </c>
      <c r="E1409" s="2">
        <v>98</v>
      </c>
      <c r="F1409" s="2">
        <v>1</v>
      </c>
      <c r="G1409" s="2">
        <v>133.5</v>
      </c>
      <c r="H1409" s="2">
        <v>586</v>
      </c>
      <c r="I1409" s="2">
        <v>112</v>
      </c>
      <c r="J1409" s="2">
        <v>78234</v>
      </c>
      <c r="K1409" s="2">
        <v>3142</v>
      </c>
      <c r="L1409" s="2">
        <v>88.7</v>
      </c>
      <c r="M1409" s="2">
        <v>150.6</v>
      </c>
      <c r="N1409" s="2">
        <v>9150</v>
      </c>
      <c r="O1409" s="2">
        <v>63.8</v>
      </c>
    </row>
    <row r="1410" spans="1:15" ht="24.95" customHeight="1" x14ac:dyDescent="0.25">
      <c r="A1410" s="17" t="s">
        <v>6937</v>
      </c>
      <c r="B1410" s="2">
        <v>306</v>
      </c>
      <c r="C1410" s="2">
        <v>134</v>
      </c>
      <c r="D1410" s="2">
        <v>35</v>
      </c>
      <c r="E1410" s="2">
        <v>98</v>
      </c>
      <c r="F1410" s="2">
        <v>1</v>
      </c>
      <c r="G1410" s="2">
        <v>136.6</v>
      </c>
      <c r="H1410" s="2">
        <v>123</v>
      </c>
      <c r="I1410" s="2">
        <v>156</v>
      </c>
      <c r="J1410" s="2">
        <v>16802</v>
      </c>
      <c r="K1410" s="2">
        <v>1041</v>
      </c>
      <c r="L1410" s="2">
        <v>25.3</v>
      </c>
      <c r="M1410" s="2">
        <v>31.3</v>
      </c>
      <c r="N1410" s="2">
        <v>2790</v>
      </c>
      <c r="O1410" s="2">
        <v>75.900000000000006</v>
      </c>
    </row>
    <row r="1411" spans="1:15" ht="24.95" customHeight="1" x14ac:dyDescent="0.25">
      <c r="A1411" s="17" t="s">
        <v>6940</v>
      </c>
      <c r="B1411" s="2">
        <v>328</v>
      </c>
      <c r="C1411" s="2">
        <v>126</v>
      </c>
      <c r="D1411" s="2">
        <v>26.6</v>
      </c>
      <c r="E1411" s="2">
        <v>98</v>
      </c>
      <c r="F1411" s="2">
        <v>1.4</v>
      </c>
      <c r="G1411" s="2">
        <v>128.4</v>
      </c>
      <c r="H1411" s="2">
        <v>392</v>
      </c>
      <c r="I1411" s="2">
        <v>131</v>
      </c>
      <c r="J1411" s="2">
        <v>50320</v>
      </c>
      <c r="K1411" s="2">
        <v>2704</v>
      </c>
      <c r="L1411" s="2">
        <v>70.3</v>
      </c>
      <c r="M1411" s="2">
        <v>99.2</v>
      </c>
      <c r="N1411" s="2">
        <v>8510</v>
      </c>
      <c r="O1411" s="2">
        <v>74.2</v>
      </c>
    </row>
    <row r="1412" spans="1:15" ht="24.95" customHeight="1" x14ac:dyDescent="0.25">
      <c r="A1412" s="17" t="s">
        <v>6941</v>
      </c>
      <c r="B1412" s="2">
        <v>273</v>
      </c>
      <c r="C1412" s="2">
        <v>102</v>
      </c>
      <c r="H1412" s="2">
        <v>11189</v>
      </c>
      <c r="I1412" s="2">
        <v>183</v>
      </c>
      <c r="J1412" s="2">
        <v>1141278</v>
      </c>
      <c r="K1412" s="2">
        <v>29511</v>
      </c>
      <c r="L1412" s="2">
        <v>1176.5</v>
      </c>
      <c r="M1412" s="2">
        <v>2768.6</v>
      </c>
      <c r="N1412" s="2">
        <v>93050</v>
      </c>
      <c r="O1412" s="2">
        <v>32.1</v>
      </c>
    </row>
    <row r="1413" spans="1:15" ht="24.95" customHeight="1" x14ac:dyDescent="0.25">
      <c r="A1413" s="17" t="s">
        <v>6942</v>
      </c>
      <c r="B1413" s="2">
        <v>368</v>
      </c>
      <c r="C1413" s="2">
        <v>148</v>
      </c>
      <c r="D1413" s="2">
        <v>50</v>
      </c>
      <c r="E1413" s="2">
        <v>102</v>
      </c>
      <c r="F1413" s="2">
        <v>-4</v>
      </c>
      <c r="H1413" s="2">
        <v>1183</v>
      </c>
      <c r="I1413" s="2">
        <v>157</v>
      </c>
      <c r="J1413" s="2">
        <v>175084</v>
      </c>
      <c r="K1413" s="2">
        <v>2458</v>
      </c>
      <c r="L1413" s="2">
        <v>120.7</v>
      </c>
      <c r="M1413" s="2">
        <v>313.60000000000002</v>
      </c>
      <c r="N1413" s="2">
        <v>8710</v>
      </c>
      <c r="O1413" s="2">
        <v>16.399999999999999</v>
      </c>
    </row>
    <row r="1414" spans="1:15" ht="24.95" customHeight="1" x14ac:dyDescent="0.25">
      <c r="A1414" s="17" t="s">
        <v>6943</v>
      </c>
      <c r="B1414" s="2">
        <v>378</v>
      </c>
      <c r="C1414" s="2">
        <v>147</v>
      </c>
      <c r="D1414" s="2">
        <v>43.5</v>
      </c>
      <c r="E1414" s="2">
        <v>102</v>
      </c>
      <c r="F1414" s="2">
        <v>1.5</v>
      </c>
      <c r="H1414" s="2">
        <v>1209</v>
      </c>
      <c r="I1414" s="2">
        <v>133</v>
      </c>
      <c r="J1414" s="2">
        <v>177723</v>
      </c>
      <c r="K1414" s="2">
        <v>3615</v>
      </c>
      <c r="L1414" s="2">
        <v>114.2</v>
      </c>
      <c r="M1414" s="2">
        <v>282.39999999999998</v>
      </c>
      <c r="N1414" s="2">
        <v>12220</v>
      </c>
      <c r="O1414" s="2">
        <v>43.9</v>
      </c>
    </row>
    <row r="1415" spans="1:15" ht="24.95" customHeight="1" x14ac:dyDescent="0.25">
      <c r="A1415" s="17" t="s">
        <v>6944</v>
      </c>
      <c r="B1415" s="2">
        <v>344</v>
      </c>
      <c r="C1415" s="2">
        <v>126</v>
      </c>
      <c r="D1415" s="2">
        <v>30.1</v>
      </c>
      <c r="E1415" s="2">
        <v>102</v>
      </c>
      <c r="F1415" s="2">
        <v>-6.1</v>
      </c>
      <c r="H1415" s="2">
        <v>890</v>
      </c>
      <c r="I1415" s="2">
        <v>170</v>
      </c>
      <c r="J1415" s="2">
        <v>112140</v>
      </c>
      <c r="K1415" s="2">
        <v>1532</v>
      </c>
      <c r="L1415" s="2">
        <v>106.9</v>
      </c>
      <c r="M1415" s="2">
        <v>229.8</v>
      </c>
      <c r="N1415" s="2">
        <v>4480</v>
      </c>
    </row>
    <row r="1416" spans="1:15" ht="24.95" customHeight="1" x14ac:dyDescent="0.25">
      <c r="A1416" s="17" t="s">
        <v>6945</v>
      </c>
      <c r="B1416" s="2">
        <v>336</v>
      </c>
      <c r="C1416" s="2">
        <v>132</v>
      </c>
      <c r="D1416" s="2">
        <v>36.200000000000003</v>
      </c>
      <c r="E1416" s="2">
        <v>102</v>
      </c>
      <c r="F1416" s="2">
        <v>-6.2</v>
      </c>
      <c r="H1416" s="2">
        <v>475</v>
      </c>
      <c r="I1416" s="2">
        <v>138</v>
      </c>
      <c r="J1416" s="2">
        <v>62700</v>
      </c>
      <c r="K1416" s="2">
        <v>1560</v>
      </c>
      <c r="L1416" s="2">
        <v>67.7</v>
      </c>
      <c r="M1416" s="2">
        <v>121.1</v>
      </c>
      <c r="N1416" s="2">
        <v>4880</v>
      </c>
      <c r="O1416" s="2">
        <v>47.1</v>
      </c>
    </row>
    <row r="1417" spans="1:15" ht="24.95" customHeight="1" x14ac:dyDescent="0.25">
      <c r="A1417" s="17" t="s">
        <v>6946</v>
      </c>
      <c r="B1417" s="2">
        <v>336</v>
      </c>
      <c r="C1417" s="2">
        <v>134</v>
      </c>
      <c r="D1417" s="2">
        <v>32</v>
      </c>
      <c r="E1417" s="2">
        <v>102</v>
      </c>
      <c r="H1417" s="2">
        <v>1435</v>
      </c>
      <c r="I1417" s="2">
        <v>156</v>
      </c>
      <c r="J1417" s="2">
        <v>192290</v>
      </c>
      <c r="K1417" s="2">
        <v>3908</v>
      </c>
      <c r="L1417" s="2">
        <v>191.1</v>
      </c>
      <c r="M1417" s="2">
        <v>352.5</v>
      </c>
      <c r="N1417" s="2">
        <v>12850</v>
      </c>
      <c r="O1417" s="2">
        <v>34.4</v>
      </c>
    </row>
    <row r="1418" spans="1:15" ht="24.95" customHeight="1" x14ac:dyDescent="0.25">
      <c r="A1418" s="17" t="s">
        <v>6947</v>
      </c>
      <c r="B1418" s="2">
        <v>348</v>
      </c>
      <c r="C1418" s="2">
        <v>122</v>
      </c>
      <c r="D1418" s="2">
        <v>20</v>
      </c>
      <c r="E1418" s="2">
        <v>102</v>
      </c>
      <c r="H1418" s="2">
        <v>100</v>
      </c>
      <c r="I1418" s="2">
        <v>138</v>
      </c>
      <c r="J1418" s="2">
        <v>12200</v>
      </c>
      <c r="K1418" s="2">
        <v>309</v>
      </c>
      <c r="L1418" s="2">
        <v>11.6</v>
      </c>
      <c r="M1418" s="2">
        <v>29.3</v>
      </c>
      <c r="N1418" s="2">
        <v>960</v>
      </c>
      <c r="O1418" s="2">
        <v>39.1</v>
      </c>
    </row>
    <row r="1419" spans="1:15" ht="24.95" customHeight="1" x14ac:dyDescent="0.25">
      <c r="A1419" s="17" t="s">
        <v>6948</v>
      </c>
      <c r="B1419" s="2">
        <v>366</v>
      </c>
      <c r="C1419" s="2">
        <v>142</v>
      </c>
      <c r="D1419" s="2">
        <v>37.5</v>
      </c>
      <c r="E1419" s="2">
        <v>102</v>
      </c>
      <c r="F1419" s="2">
        <v>2.5</v>
      </c>
      <c r="H1419" s="2">
        <v>165</v>
      </c>
      <c r="I1419" s="2">
        <v>136</v>
      </c>
      <c r="J1419" s="2">
        <v>23430</v>
      </c>
      <c r="K1419" s="2">
        <v>752</v>
      </c>
      <c r="L1419" s="2">
        <v>26.9</v>
      </c>
      <c r="M1419" s="2">
        <v>43.5</v>
      </c>
      <c r="N1419" s="2">
        <v>2150</v>
      </c>
      <c r="O1419" s="2">
        <v>56.8</v>
      </c>
    </row>
    <row r="1420" spans="1:15" ht="24.95" customHeight="1" x14ac:dyDescent="0.25">
      <c r="A1420" s="17" t="s">
        <v>6949</v>
      </c>
      <c r="B1420" s="2">
        <v>308</v>
      </c>
      <c r="C1420" s="2">
        <v>122</v>
      </c>
      <c r="D1420" s="2">
        <v>21.8</v>
      </c>
      <c r="E1420" s="2">
        <v>102</v>
      </c>
      <c r="F1420" s="2">
        <v>-1.8</v>
      </c>
      <c r="G1420" s="2">
        <v>122</v>
      </c>
      <c r="H1420" s="2">
        <v>499</v>
      </c>
      <c r="I1420" s="2">
        <v>153</v>
      </c>
      <c r="J1420" s="2">
        <v>60878</v>
      </c>
      <c r="K1420" s="2">
        <v>3064</v>
      </c>
      <c r="L1420" s="2">
        <v>90.7</v>
      </c>
      <c r="M1420" s="2">
        <v>130.19999999999999</v>
      </c>
      <c r="N1420" s="2">
        <v>8650</v>
      </c>
      <c r="O1420" s="2">
        <v>67.5</v>
      </c>
    </row>
    <row r="1421" spans="1:15" ht="24.95" customHeight="1" x14ac:dyDescent="0.25">
      <c r="A1421" s="17" t="s">
        <v>6942</v>
      </c>
      <c r="B1421" s="2">
        <v>373</v>
      </c>
      <c r="C1421" s="2">
        <v>136</v>
      </c>
      <c r="D1421" s="2">
        <v>33.6</v>
      </c>
      <c r="E1421" s="2">
        <v>102</v>
      </c>
      <c r="F1421" s="2">
        <v>0.4</v>
      </c>
      <c r="G1421" s="2">
        <v>136.9</v>
      </c>
      <c r="H1421" s="2">
        <v>3460</v>
      </c>
      <c r="I1421" s="2">
        <v>218</v>
      </c>
      <c r="J1421" s="2">
        <v>473638</v>
      </c>
      <c r="K1421" s="2">
        <v>7079</v>
      </c>
      <c r="L1421" s="2">
        <v>251.3</v>
      </c>
      <c r="M1421" s="2">
        <v>819.2</v>
      </c>
      <c r="N1421" s="2">
        <v>21960</v>
      </c>
      <c r="O1421" s="2">
        <v>10.6</v>
      </c>
    </row>
    <row r="1422" spans="1:15" ht="24.95" customHeight="1" x14ac:dyDescent="0.25">
      <c r="A1422" s="17" t="s">
        <v>6947</v>
      </c>
      <c r="B1422" s="2">
        <v>345</v>
      </c>
      <c r="C1422" s="2">
        <v>130</v>
      </c>
      <c r="D1422" s="2">
        <v>27.6</v>
      </c>
      <c r="E1422" s="2">
        <v>102</v>
      </c>
      <c r="F1422" s="2">
        <v>0.4</v>
      </c>
      <c r="G1422" s="2">
        <v>132.80000000000001</v>
      </c>
      <c r="H1422" s="2">
        <v>700</v>
      </c>
      <c r="I1422" s="2">
        <v>198</v>
      </c>
      <c r="J1422" s="2">
        <v>92980</v>
      </c>
      <c r="K1422" s="2">
        <v>3368</v>
      </c>
      <c r="L1422" s="2">
        <v>124.2</v>
      </c>
      <c r="M1422" s="2">
        <v>178.7</v>
      </c>
      <c r="N1422" s="2">
        <v>9950</v>
      </c>
      <c r="O1422" s="2">
        <v>60.1</v>
      </c>
    </row>
    <row r="1423" spans="1:15" ht="24.95" customHeight="1" x14ac:dyDescent="0.25">
      <c r="A1423" s="17" t="s">
        <v>6943</v>
      </c>
      <c r="B1423" s="2">
        <v>360</v>
      </c>
      <c r="C1423" s="2">
        <v>126</v>
      </c>
      <c r="D1423" s="2">
        <v>23.7</v>
      </c>
      <c r="E1423" s="2">
        <v>102</v>
      </c>
      <c r="F1423" s="2">
        <v>0.3</v>
      </c>
      <c r="G1423" s="2">
        <v>126.9</v>
      </c>
      <c r="H1423" s="2">
        <v>1142</v>
      </c>
      <c r="I1423" s="2">
        <v>254</v>
      </c>
      <c r="J1423" s="2">
        <v>144927</v>
      </c>
      <c r="K1423" s="2">
        <v>1866</v>
      </c>
      <c r="L1423" s="2">
        <v>70.900000000000006</v>
      </c>
      <c r="M1423" s="2">
        <v>268.39999999999998</v>
      </c>
      <c r="N1423" s="2">
        <v>6240</v>
      </c>
    </row>
    <row r="1424" spans="1:15" ht="24.95" customHeight="1" x14ac:dyDescent="0.25">
      <c r="A1424" s="17" t="s">
        <v>6950</v>
      </c>
      <c r="B1424" s="2">
        <v>228</v>
      </c>
      <c r="C1424" s="2">
        <v>90</v>
      </c>
      <c r="H1424" s="2">
        <v>2015</v>
      </c>
      <c r="I1424" s="2">
        <v>109</v>
      </c>
      <c r="J1424" s="2">
        <v>181350</v>
      </c>
      <c r="K1424" s="2">
        <v>5966</v>
      </c>
      <c r="L1424" s="2">
        <v>214.3</v>
      </c>
      <c r="M1424" s="2">
        <v>502.2</v>
      </c>
      <c r="N1424" s="2">
        <v>18430</v>
      </c>
      <c r="O1424" s="2">
        <v>71.599999999999994</v>
      </c>
    </row>
    <row r="1425" spans="1:15" ht="24.95" customHeight="1" x14ac:dyDescent="0.25">
      <c r="A1425" s="17" t="s">
        <v>6951</v>
      </c>
      <c r="B1425" s="2">
        <v>302</v>
      </c>
      <c r="C1425" s="2">
        <v>132</v>
      </c>
      <c r="D1425" s="2">
        <v>51.2</v>
      </c>
      <c r="E1425" s="2">
        <v>90</v>
      </c>
      <c r="F1425" s="2">
        <v>-9.1999999999999993</v>
      </c>
      <c r="H1425" s="2">
        <v>210</v>
      </c>
      <c r="I1425" s="2">
        <v>94</v>
      </c>
      <c r="J1425" s="2">
        <v>27720</v>
      </c>
      <c r="K1425" s="2">
        <v>569</v>
      </c>
      <c r="L1425" s="2">
        <v>21.1</v>
      </c>
      <c r="M1425" s="2">
        <v>52.4</v>
      </c>
      <c r="N1425" s="2">
        <v>1820</v>
      </c>
      <c r="O1425" s="2">
        <v>35</v>
      </c>
    </row>
    <row r="1426" spans="1:15" ht="24.95" customHeight="1" x14ac:dyDescent="0.25">
      <c r="A1426" s="17" t="s">
        <v>6952</v>
      </c>
      <c r="B1426" s="2">
        <v>309</v>
      </c>
      <c r="C1426" s="2">
        <v>132</v>
      </c>
      <c r="D1426" s="2">
        <v>46</v>
      </c>
      <c r="E1426" s="2">
        <v>90</v>
      </c>
      <c r="F1426" s="2">
        <v>-4</v>
      </c>
      <c r="H1426" s="2">
        <v>455</v>
      </c>
      <c r="I1426" s="2">
        <v>120</v>
      </c>
      <c r="J1426" s="2">
        <v>60060</v>
      </c>
      <c r="K1426" s="2">
        <v>1024</v>
      </c>
      <c r="L1426" s="2">
        <v>61</v>
      </c>
      <c r="M1426" s="2">
        <v>110.7</v>
      </c>
      <c r="N1426" s="2">
        <v>3300</v>
      </c>
      <c r="O1426" s="2">
        <v>23.4</v>
      </c>
    </row>
    <row r="1427" spans="1:15" ht="24.95" customHeight="1" x14ac:dyDescent="0.25">
      <c r="A1427" s="17" t="s">
        <v>6953</v>
      </c>
      <c r="B1427" s="2">
        <v>300</v>
      </c>
      <c r="C1427" s="2">
        <v>150</v>
      </c>
      <c r="D1427" s="2">
        <v>60</v>
      </c>
      <c r="E1427" s="2">
        <v>90</v>
      </c>
      <c r="H1427" s="2">
        <v>91</v>
      </c>
      <c r="I1427" s="2">
        <v>122</v>
      </c>
      <c r="J1427" s="2">
        <v>13650</v>
      </c>
      <c r="K1427" s="2">
        <v>368</v>
      </c>
      <c r="L1427" s="2">
        <v>12.5</v>
      </c>
      <c r="M1427" s="2">
        <v>23.7</v>
      </c>
      <c r="N1427" s="2">
        <v>1190</v>
      </c>
      <c r="O1427" s="2">
        <v>56.9</v>
      </c>
    </row>
    <row r="1428" spans="1:15" ht="24.95" customHeight="1" x14ac:dyDescent="0.25">
      <c r="A1428" s="17" t="s">
        <v>6954</v>
      </c>
      <c r="B1428" s="2">
        <v>298</v>
      </c>
      <c r="C1428" s="2">
        <v>130</v>
      </c>
      <c r="D1428" s="2">
        <v>41.5</v>
      </c>
      <c r="E1428" s="2">
        <v>90</v>
      </c>
      <c r="F1428" s="2">
        <v>-1.5</v>
      </c>
      <c r="G1428" s="2">
        <v>130.6</v>
      </c>
      <c r="H1428" s="2">
        <v>113</v>
      </c>
      <c r="I1428" s="2">
        <v>140</v>
      </c>
      <c r="J1428" s="2">
        <v>14753</v>
      </c>
      <c r="K1428" s="2">
        <v>521</v>
      </c>
      <c r="L1428" s="2">
        <v>17.5</v>
      </c>
      <c r="M1428" s="2">
        <v>29.2</v>
      </c>
      <c r="N1428" s="2">
        <v>1560</v>
      </c>
      <c r="O1428" s="2">
        <v>57.6</v>
      </c>
    </row>
    <row r="1429" spans="1:15" ht="24.95" customHeight="1" x14ac:dyDescent="0.25">
      <c r="A1429" s="17" t="s">
        <v>6951</v>
      </c>
      <c r="B1429" s="2">
        <v>308</v>
      </c>
      <c r="C1429" s="2">
        <v>128</v>
      </c>
      <c r="D1429" s="2">
        <v>40</v>
      </c>
      <c r="E1429" s="2">
        <v>90</v>
      </c>
      <c r="F1429" s="2">
        <v>-2</v>
      </c>
      <c r="G1429" s="2">
        <v>128.5</v>
      </c>
      <c r="H1429" s="2">
        <v>250</v>
      </c>
      <c r="I1429" s="2">
        <v>100</v>
      </c>
      <c r="J1429" s="2">
        <v>32136</v>
      </c>
      <c r="K1429" s="2">
        <v>973</v>
      </c>
      <c r="L1429" s="2">
        <v>25.4</v>
      </c>
      <c r="M1429" s="2">
        <v>63.6</v>
      </c>
      <c r="N1429" s="2">
        <v>2760</v>
      </c>
      <c r="O1429" s="2">
        <v>49.9</v>
      </c>
    </row>
    <row r="1430" spans="1:15" ht="24.95" customHeight="1" x14ac:dyDescent="0.25">
      <c r="A1430" s="17" t="s">
        <v>6955</v>
      </c>
      <c r="B1430" s="2">
        <v>300</v>
      </c>
      <c r="C1430" s="2">
        <v>106</v>
      </c>
      <c r="D1430" s="2">
        <v>15.9</v>
      </c>
      <c r="E1430" s="2">
        <v>90</v>
      </c>
      <c r="F1430" s="2">
        <v>0.1</v>
      </c>
      <c r="G1430" s="2">
        <v>107.1</v>
      </c>
      <c r="H1430" s="2">
        <v>112</v>
      </c>
      <c r="I1430" s="2">
        <v>167</v>
      </c>
      <c r="J1430" s="2">
        <v>11992</v>
      </c>
      <c r="K1430" s="2">
        <v>647</v>
      </c>
      <c r="L1430" s="2">
        <v>19.899999999999999</v>
      </c>
      <c r="M1430" s="2">
        <v>28.3</v>
      </c>
      <c r="N1430" s="2">
        <v>2050</v>
      </c>
      <c r="O1430" s="2">
        <v>69.3</v>
      </c>
    </row>
    <row r="1431" spans="1:15" ht="24.95" customHeight="1" x14ac:dyDescent="0.25">
      <c r="A1431" s="17" t="s">
        <v>6956</v>
      </c>
      <c r="B1431" s="2">
        <v>282</v>
      </c>
      <c r="C1431" s="2">
        <v>114</v>
      </c>
      <c r="D1431" s="2">
        <v>23.9</v>
      </c>
      <c r="E1431" s="2">
        <v>90</v>
      </c>
      <c r="F1431" s="2">
        <v>0.1</v>
      </c>
      <c r="G1431" s="2">
        <v>114</v>
      </c>
      <c r="H1431" s="2">
        <v>92</v>
      </c>
      <c r="I1431" s="2">
        <v>92</v>
      </c>
      <c r="J1431" s="2">
        <v>10488</v>
      </c>
      <c r="K1431" s="2">
        <v>552</v>
      </c>
      <c r="L1431" s="2">
        <v>19</v>
      </c>
      <c r="M1431" s="2">
        <v>24.8</v>
      </c>
      <c r="N1431" s="2">
        <v>1690</v>
      </c>
      <c r="O1431" s="2">
        <v>68</v>
      </c>
    </row>
    <row r="1432" spans="1:15" ht="24.95" customHeight="1" x14ac:dyDescent="0.25">
      <c r="A1432" s="17" t="s">
        <v>6957</v>
      </c>
      <c r="B1432" s="2">
        <v>294</v>
      </c>
      <c r="C1432" s="2">
        <v>122</v>
      </c>
      <c r="D1432" s="2">
        <v>35.6</v>
      </c>
      <c r="E1432" s="2">
        <v>90</v>
      </c>
      <c r="F1432" s="2">
        <v>-3.6</v>
      </c>
      <c r="G1432" s="2">
        <v>123.5</v>
      </c>
      <c r="H1432" s="2">
        <v>692</v>
      </c>
      <c r="I1432" s="2">
        <v>98</v>
      </c>
      <c r="J1432" s="2">
        <v>85466</v>
      </c>
      <c r="K1432" s="2">
        <v>1312</v>
      </c>
      <c r="L1432" s="2">
        <v>37.9</v>
      </c>
      <c r="M1432" s="2">
        <v>169.4</v>
      </c>
      <c r="N1432" s="2">
        <v>4060</v>
      </c>
      <c r="O1432" s="2">
        <v>5.8</v>
      </c>
    </row>
  </sheetData>
  <mergeCells count="32">
    <mergeCell ref="L440:L441"/>
    <mergeCell ref="M440:M441"/>
    <mergeCell ref="N440:N441"/>
    <mergeCell ref="O440:O441"/>
    <mergeCell ref="L432:L433"/>
    <mergeCell ref="M432:M433"/>
    <mergeCell ref="N432:N433"/>
    <mergeCell ref="O432:O433"/>
    <mergeCell ref="F440:F441"/>
    <mergeCell ref="G440:G441"/>
    <mergeCell ref="H440:H441"/>
    <mergeCell ref="I440:I441"/>
    <mergeCell ref="J440:J441"/>
    <mergeCell ref="K440:K441"/>
    <mergeCell ref="M7:M8"/>
    <mergeCell ref="N7:N8"/>
    <mergeCell ref="O7:O8"/>
    <mergeCell ref="K8:L8"/>
    <mergeCell ref="F432:F433"/>
    <mergeCell ref="G432:G433"/>
    <mergeCell ref="H432:H433"/>
    <mergeCell ref="I432:I433"/>
    <mergeCell ref="J432:J433"/>
    <mergeCell ref="K432:K433"/>
    <mergeCell ref="A2:L2"/>
    <mergeCell ref="B7:C7"/>
    <mergeCell ref="D7:E7"/>
    <mergeCell ref="G7:G8"/>
    <mergeCell ref="H7:H8"/>
    <mergeCell ref="I7:I8"/>
    <mergeCell ref="J7:J8"/>
    <mergeCell ref="K7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7"/>
  <sheetViews>
    <sheetView zoomScale="70" zoomScaleNormal="70" workbookViewId="0">
      <selection activeCell="I31" sqref="I31"/>
    </sheetView>
  </sheetViews>
  <sheetFormatPr defaultColWidth="8.7109375" defaultRowHeight="28.15" customHeight="1" x14ac:dyDescent="0.25"/>
  <cols>
    <col min="1" max="1" width="23.42578125" style="1" customWidth="1"/>
    <col min="2" max="2" width="15" style="2" customWidth="1"/>
    <col min="3" max="3" width="15.85546875" style="2" customWidth="1"/>
    <col min="4" max="4" width="16" style="2" customWidth="1"/>
    <col min="5" max="5" width="16.5703125" style="2" customWidth="1"/>
    <col min="6" max="6" width="14" style="2" customWidth="1"/>
    <col min="7" max="7" width="14.42578125" style="2" customWidth="1"/>
    <col min="8" max="8" width="13.42578125" style="2" customWidth="1"/>
    <col min="9" max="9" width="15.85546875" style="2" customWidth="1"/>
    <col min="10" max="10" width="19.42578125" style="2" customWidth="1"/>
    <col min="11" max="11" width="17.28515625" style="2" customWidth="1"/>
    <col min="12" max="12" width="13.42578125" style="2" customWidth="1"/>
    <col min="13" max="13" width="15.5703125" style="2" customWidth="1"/>
    <col min="14" max="14" width="13.5703125" style="2" customWidth="1"/>
    <col min="15" max="15" width="14.5703125" style="2" customWidth="1"/>
    <col min="16" max="16" width="13.7109375" style="2" customWidth="1"/>
    <col min="17" max="17" width="13.42578125" style="2" customWidth="1"/>
    <col min="18" max="18" width="13" style="2" customWidth="1"/>
    <col min="19" max="16384" width="8.7109375" style="1"/>
  </cols>
  <sheetData>
    <row r="1" spans="1:18" ht="28.15" customHeight="1" x14ac:dyDescent="0.25">
      <c r="A1" s="14" t="s">
        <v>0</v>
      </c>
      <c r="B1" s="16" t="s">
        <v>3</v>
      </c>
      <c r="C1" s="16"/>
      <c r="D1" s="16"/>
      <c r="E1" s="16"/>
      <c r="F1" s="16"/>
      <c r="G1" s="16"/>
    </row>
    <row r="2" spans="1:18" ht="28.15" customHeight="1" x14ac:dyDescent="0.25">
      <c r="A2" s="14"/>
      <c r="B2" s="15" t="s">
        <v>16</v>
      </c>
      <c r="C2" s="15"/>
      <c r="D2" s="15" t="s">
        <v>15</v>
      </c>
      <c r="E2" s="15"/>
      <c r="F2" s="15" t="s">
        <v>14</v>
      </c>
      <c r="G2" s="15"/>
      <c r="H2" s="15" t="s">
        <v>13</v>
      </c>
      <c r="I2" s="15"/>
      <c r="J2" s="15" t="s">
        <v>5</v>
      </c>
      <c r="K2" s="15"/>
      <c r="L2" s="15" t="s">
        <v>6</v>
      </c>
      <c r="M2" s="15"/>
      <c r="N2" s="15" t="s">
        <v>7</v>
      </c>
      <c r="O2" s="15"/>
      <c r="P2" s="2" t="s">
        <v>8</v>
      </c>
      <c r="Q2" s="2" t="s">
        <v>9</v>
      </c>
      <c r="R2" s="2" t="s">
        <v>10</v>
      </c>
    </row>
    <row r="3" spans="1:18" ht="28.15" customHeight="1" x14ac:dyDescent="0.25">
      <c r="B3" s="2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4</v>
      </c>
      <c r="J3" s="2" t="s">
        <v>1</v>
      </c>
      <c r="K3" s="2" t="s">
        <v>2</v>
      </c>
      <c r="L3" s="2" t="s">
        <v>1</v>
      </c>
      <c r="M3" s="2" t="s">
        <v>2</v>
      </c>
      <c r="N3" s="2" t="s">
        <v>1</v>
      </c>
      <c r="O3" s="2" t="s">
        <v>2</v>
      </c>
      <c r="P3" s="2" t="s">
        <v>2</v>
      </c>
      <c r="Q3" s="2" t="s">
        <v>2</v>
      </c>
      <c r="R3" s="2" t="s">
        <v>2</v>
      </c>
    </row>
    <row r="4" spans="1:18" ht="28.15" customHeight="1" x14ac:dyDescent="0.25">
      <c r="A4" s="1" t="s">
        <v>11</v>
      </c>
    </row>
    <row r="5" spans="1:18" ht="28.15" customHeight="1" x14ac:dyDescent="0.25">
      <c r="A5" s="1" t="s">
        <v>12</v>
      </c>
      <c r="B5" s="4">
        <v>94395</v>
      </c>
      <c r="C5" s="4">
        <v>5995951</v>
      </c>
      <c r="D5" s="4">
        <v>23474</v>
      </c>
      <c r="E5" s="4">
        <v>2801957</v>
      </c>
      <c r="F5" s="2">
        <v>669</v>
      </c>
      <c r="G5" s="4">
        <v>165895</v>
      </c>
      <c r="H5" s="4">
        <v>4544</v>
      </c>
      <c r="I5" s="4">
        <v>2026133</v>
      </c>
      <c r="J5" s="4">
        <v>892</v>
      </c>
      <c r="K5" s="4">
        <v>222767</v>
      </c>
      <c r="L5" s="4">
        <v>12011</v>
      </c>
      <c r="M5" s="4">
        <v>1111506</v>
      </c>
      <c r="N5" s="4">
        <v>890</v>
      </c>
      <c r="O5" s="4">
        <v>4956717</v>
      </c>
      <c r="P5" s="4">
        <v>305242</v>
      </c>
      <c r="Q5" s="4">
        <v>2333528</v>
      </c>
      <c r="R5" s="4">
        <v>19919697</v>
      </c>
    </row>
    <row r="6" spans="1:18" ht="28.15" customHeight="1" x14ac:dyDescent="0.25">
      <c r="A6" s="1" t="s">
        <v>17</v>
      </c>
      <c r="B6" s="4">
        <v>83883</v>
      </c>
      <c r="C6" s="4">
        <v>5411141</v>
      </c>
      <c r="D6" s="4">
        <v>24584</v>
      </c>
      <c r="E6" s="4">
        <v>3129517</v>
      </c>
      <c r="F6" s="4">
        <v>3050</v>
      </c>
      <c r="G6" s="4">
        <v>860872</v>
      </c>
      <c r="H6" s="4">
        <v>3739</v>
      </c>
      <c r="I6" s="4">
        <v>1319046</v>
      </c>
      <c r="J6" s="4">
        <v>636</v>
      </c>
      <c r="K6" s="4">
        <v>185437</v>
      </c>
      <c r="L6" s="4">
        <v>11562</v>
      </c>
      <c r="M6" s="4">
        <v>1010592</v>
      </c>
      <c r="N6" s="4">
        <v>464</v>
      </c>
      <c r="O6" s="4">
        <v>2013695</v>
      </c>
      <c r="P6" s="4">
        <v>776706</v>
      </c>
      <c r="Q6" s="4">
        <v>2047869</v>
      </c>
      <c r="R6" s="4">
        <v>16754875</v>
      </c>
    </row>
    <row r="7" spans="1:18" ht="28.15" customHeight="1" x14ac:dyDescent="0.25">
      <c r="A7" s="1" t="s">
        <v>18</v>
      </c>
      <c r="B7" s="4">
        <v>102530</v>
      </c>
      <c r="C7" s="4">
        <v>6796285</v>
      </c>
      <c r="D7" s="4">
        <v>40009</v>
      </c>
      <c r="E7" s="4">
        <v>5152642</v>
      </c>
      <c r="F7" s="4">
        <v>5992</v>
      </c>
      <c r="G7" s="4">
        <v>1681620</v>
      </c>
      <c r="H7" s="4">
        <v>5147</v>
      </c>
      <c r="I7" s="4">
        <v>2226308</v>
      </c>
      <c r="J7" s="4">
        <v>903</v>
      </c>
      <c r="K7" s="4">
        <v>328388</v>
      </c>
      <c r="L7" s="4">
        <v>14654</v>
      </c>
      <c r="M7" s="4">
        <v>1828457</v>
      </c>
      <c r="N7" s="4">
        <v>1354</v>
      </c>
      <c r="O7" s="4">
        <v>5615628</v>
      </c>
      <c r="P7" s="4">
        <v>367820</v>
      </c>
      <c r="Q7" s="4">
        <v>3026046</v>
      </c>
      <c r="R7" s="4">
        <v>27063194</v>
      </c>
    </row>
    <row r="8" spans="1:18" ht="28.15" customHeight="1" x14ac:dyDescent="0.25">
      <c r="A8" s="1" t="s">
        <v>19</v>
      </c>
      <c r="B8" s="4">
        <v>46726</v>
      </c>
      <c r="C8" s="4">
        <v>2404320</v>
      </c>
      <c r="D8" s="4">
        <v>8230</v>
      </c>
      <c r="E8" s="4">
        <v>1068055</v>
      </c>
      <c r="F8" s="4">
        <v>1187</v>
      </c>
      <c r="G8" s="4">
        <v>297774</v>
      </c>
      <c r="H8" s="4">
        <v>2013</v>
      </c>
      <c r="I8" s="4">
        <v>932272</v>
      </c>
      <c r="J8" s="4">
        <v>401</v>
      </c>
      <c r="K8" s="4">
        <v>184723</v>
      </c>
      <c r="L8" s="4">
        <v>4969</v>
      </c>
      <c r="M8" s="4">
        <v>486667</v>
      </c>
      <c r="N8" s="4">
        <v>274</v>
      </c>
      <c r="O8" s="4">
        <v>807693</v>
      </c>
      <c r="P8" s="4">
        <v>177294</v>
      </c>
      <c r="Q8" s="4">
        <v>1404288</v>
      </c>
      <c r="R8" s="4">
        <v>7763086</v>
      </c>
    </row>
    <row r="9" spans="1:18" ht="28.15" customHeight="1" x14ac:dyDescent="0.25">
      <c r="A9" s="1" t="s">
        <v>20</v>
      </c>
      <c r="B9" s="4">
        <v>256314</v>
      </c>
      <c r="C9" s="4">
        <v>14094145</v>
      </c>
      <c r="D9" s="4">
        <v>43814</v>
      </c>
      <c r="E9" s="4">
        <v>5678392</v>
      </c>
      <c r="F9" s="4">
        <v>4214</v>
      </c>
      <c r="G9" s="4">
        <v>1085954</v>
      </c>
      <c r="H9" s="4">
        <v>12659</v>
      </c>
      <c r="I9" s="4">
        <v>2578173</v>
      </c>
      <c r="J9" s="4">
        <v>1562</v>
      </c>
      <c r="K9" s="4">
        <v>310200</v>
      </c>
      <c r="L9" s="4">
        <v>23702</v>
      </c>
      <c r="M9" s="4">
        <v>1390582</v>
      </c>
      <c r="N9" s="4">
        <v>1653</v>
      </c>
      <c r="O9" s="4">
        <v>7097824</v>
      </c>
      <c r="P9" s="4">
        <v>321987</v>
      </c>
      <c r="Q9" s="4">
        <v>4796295</v>
      </c>
      <c r="R9" s="4">
        <v>37353552</v>
      </c>
    </row>
    <row r="10" spans="1:18" ht="28.15" customHeight="1" x14ac:dyDescent="0.25">
      <c r="A10" s="1" t="s">
        <v>21</v>
      </c>
      <c r="B10" s="4">
        <v>98374</v>
      </c>
      <c r="C10" s="4">
        <v>4136909</v>
      </c>
      <c r="D10" s="4">
        <v>7446</v>
      </c>
      <c r="E10" s="4">
        <v>953733</v>
      </c>
      <c r="F10" s="4">
        <v>590</v>
      </c>
      <c r="G10" s="4">
        <v>157404</v>
      </c>
      <c r="H10" s="4">
        <v>6045</v>
      </c>
      <c r="I10" s="4">
        <v>928449</v>
      </c>
      <c r="J10" s="4">
        <v>928</v>
      </c>
      <c r="K10" s="4">
        <v>83639</v>
      </c>
      <c r="L10" s="4">
        <v>14053</v>
      </c>
      <c r="M10" s="4">
        <v>1135069</v>
      </c>
      <c r="N10" s="4">
        <v>494</v>
      </c>
      <c r="O10" s="4">
        <v>587643</v>
      </c>
      <c r="P10" s="4">
        <v>190016</v>
      </c>
      <c r="Q10" s="4">
        <v>1981759</v>
      </c>
      <c r="R10" s="4">
        <v>10154621</v>
      </c>
    </row>
    <row r="11" spans="1:18" ht="28.15" customHeight="1" x14ac:dyDescent="0.25">
      <c r="A11" s="1" t="s">
        <v>22</v>
      </c>
      <c r="B11" s="4">
        <v>61003</v>
      </c>
      <c r="C11" s="4">
        <v>2626887</v>
      </c>
      <c r="D11" s="4">
        <v>2056</v>
      </c>
      <c r="E11" s="4">
        <v>247805</v>
      </c>
      <c r="F11" s="4">
        <v>80</v>
      </c>
      <c r="G11" s="4">
        <v>19005</v>
      </c>
      <c r="H11" s="4">
        <v>2946</v>
      </c>
      <c r="I11" s="4">
        <v>450563</v>
      </c>
      <c r="J11" s="4">
        <v>404</v>
      </c>
      <c r="K11" s="4">
        <v>39998</v>
      </c>
      <c r="L11" s="4">
        <v>7848</v>
      </c>
      <c r="M11" s="4">
        <v>370195</v>
      </c>
      <c r="N11" s="4">
        <v>264</v>
      </c>
      <c r="O11" s="4">
        <v>867835</v>
      </c>
      <c r="P11" s="4">
        <v>347680</v>
      </c>
      <c r="Q11" s="4">
        <v>1203004</v>
      </c>
      <c r="R11" s="4">
        <v>6172972</v>
      </c>
    </row>
    <row r="12" spans="1:18" ht="28.15" customHeight="1" x14ac:dyDescent="0.25">
      <c r="A12" s="1" t="s">
        <v>23</v>
      </c>
      <c r="B12" s="4">
        <v>230298</v>
      </c>
      <c r="C12" s="4">
        <v>10785102</v>
      </c>
      <c r="D12" s="4">
        <v>8199</v>
      </c>
      <c r="E12" s="4">
        <v>1024212</v>
      </c>
      <c r="F12" s="4">
        <v>526</v>
      </c>
      <c r="G12" s="4">
        <v>133080</v>
      </c>
      <c r="H12" s="4">
        <v>9285</v>
      </c>
      <c r="I12" s="4">
        <v>1424686</v>
      </c>
      <c r="J12" s="4">
        <v>1008</v>
      </c>
      <c r="K12" s="4">
        <v>148121</v>
      </c>
      <c r="L12" s="4">
        <v>20521</v>
      </c>
      <c r="M12" s="4">
        <v>1060641</v>
      </c>
      <c r="N12" s="4">
        <v>1344</v>
      </c>
      <c r="O12" s="4">
        <v>3972681</v>
      </c>
      <c r="P12" s="4">
        <v>182270</v>
      </c>
      <c r="Q12" s="4">
        <v>4835440</v>
      </c>
      <c r="R12" s="4">
        <v>23566233</v>
      </c>
    </row>
    <row r="13" spans="1:18" ht="28.15" customHeight="1" x14ac:dyDescent="0.25">
      <c r="A13" s="1" t="s">
        <v>24</v>
      </c>
      <c r="B13" s="4">
        <v>135252</v>
      </c>
      <c r="C13" s="4">
        <v>7059758</v>
      </c>
      <c r="D13" s="4">
        <v>23419</v>
      </c>
      <c r="E13" s="4">
        <v>2996185</v>
      </c>
      <c r="F13" s="4">
        <v>2104</v>
      </c>
      <c r="G13" s="4">
        <v>529044</v>
      </c>
      <c r="H13" s="4">
        <v>8918</v>
      </c>
      <c r="I13" s="4">
        <v>1772755</v>
      </c>
      <c r="J13" s="4">
        <v>1310</v>
      </c>
      <c r="K13" s="4">
        <v>123053</v>
      </c>
      <c r="L13" s="4">
        <v>18111</v>
      </c>
      <c r="M13" s="4">
        <v>2104264</v>
      </c>
      <c r="N13" s="4">
        <v>780</v>
      </c>
      <c r="O13" s="4">
        <v>957112</v>
      </c>
      <c r="P13" s="4">
        <v>250390</v>
      </c>
      <c r="Q13" s="4">
        <v>2912159</v>
      </c>
      <c r="R13" s="4">
        <v>18704720</v>
      </c>
    </row>
    <row r="14" spans="1:18" ht="28.15" customHeight="1" x14ac:dyDescent="0.25">
      <c r="A14" s="1" t="s">
        <v>25</v>
      </c>
      <c r="B14" s="4">
        <v>72986</v>
      </c>
      <c r="C14" s="4">
        <v>4220148</v>
      </c>
      <c r="D14" s="4">
        <v>18494</v>
      </c>
      <c r="E14" s="4">
        <v>2383755</v>
      </c>
      <c r="F14" s="4">
        <v>2473</v>
      </c>
      <c r="G14" s="4">
        <v>680434</v>
      </c>
      <c r="H14" s="4">
        <v>4304</v>
      </c>
      <c r="I14" s="4">
        <v>1097889</v>
      </c>
      <c r="J14" s="4">
        <v>606</v>
      </c>
      <c r="K14" s="4">
        <v>121308</v>
      </c>
      <c r="L14" s="4">
        <v>8443</v>
      </c>
      <c r="M14" s="4">
        <v>826112</v>
      </c>
      <c r="N14" s="4">
        <v>469</v>
      </c>
      <c r="O14" s="4">
        <v>836531</v>
      </c>
      <c r="P14" s="4">
        <v>264055</v>
      </c>
      <c r="Q14" s="4">
        <v>1715802</v>
      </c>
      <c r="R14" s="4">
        <v>12146034</v>
      </c>
    </row>
    <row r="15" spans="1:18" ht="28.15" customHeight="1" x14ac:dyDescent="0.25">
      <c r="A15" s="1" t="s">
        <v>26</v>
      </c>
      <c r="B15" s="4">
        <v>294596</v>
      </c>
      <c r="C15" s="4">
        <v>12415350</v>
      </c>
      <c r="D15" s="4">
        <v>4173</v>
      </c>
      <c r="E15" s="4">
        <v>505704</v>
      </c>
      <c r="F15" s="4">
        <v>148</v>
      </c>
      <c r="G15" s="4">
        <v>37709</v>
      </c>
      <c r="H15" s="4">
        <v>10089</v>
      </c>
      <c r="I15" s="4">
        <v>1768081</v>
      </c>
      <c r="J15" s="4">
        <v>1321</v>
      </c>
      <c r="K15" s="4">
        <v>222969</v>
      </c>
      <c r="L15" s="4">
        <v>32932</v>
      </c>
      <c r="M15" s="4">
        <v>110744</v>
      </c>
      <c r="N15" s="4">
        <v>882</v>
      </c>
      <c r="O15" s="4">
        <v>6531299</v>
      </c>
      <c r="P15" s="4">
        <v>246352</v>
      </c>
      <c r="Q15" s="4">
        <v>5402078</v>
      </c>
      <c r="R15" s="4">
        <v>28236986</v>
      </c>
    </row>
    <row r="16" spans="1:18" ht="28.15" customHeight="1" x14ac:dyDescent="0.25">
      <c r="A16" s="1" t="s">
        <v>27</v>
      </c>
      <c r="B16" s="4">
        <v>466003</v>
      </c>
      <c r="C16" s="4">
        <v>30964912</v>
      </c>
      <c r="D16" s="4">
        <v>110911</v>
      </c>
      <c r="E16" s="4">
        <v>13621243</v>
      </c>
      <c r="F16" s="4">
        <v>3806</v>
      </c>
      <c r="G16" s="4">
        <v>938051</v>
      </c>
      <c r="H16" s="4">
        <v>20980</v>
      </c>
      <c r="I16" s="4">
        <v>7674626</v>
      </c>
      <c r="J16" s="4">
        <v>2872</v>
      </c>
      <c r="K16" s="4">
        <v>895153</v>
      </c>
      <c r="L16" s="4">
        <v>48602</v>
      </c>
      <c r="M16" s="4">
        <v>4590577</v>
      </c>
      <c r="N16" s="4">
        <v>2691</v>
      </c>
      <c r="O16" s="4">
        <v>15972553</v>
      </c>
      <c r="P16" s="4">
        <v>695523</v>
      </c>
      <c r="Q16" s="4">
        <v>9756874</v>
      </c>
      <c r="R16" s="4">
        <v>85109512</v>
      </c>
    </row>
    <row r="17" spans="1:18" ht="28.15" customHeight="1" x14ac:dyDescent="0.25">
      <c r="A17" s="1" t="s">
        <v>28</v>
      </c>
      <c r="B17" s="4">
        <v>135989</v>
      </c>
      <c r="C17" s="4">
        <v>6975632</v>
      </c>
      <c r="D17" s="4">
        <v>11259</v>
      </c>
      <c r="E17" s="4">
        <v>1402887</v>
      </c>
      <c r="F17" s="4">
        <v>1140</v>
      </c>
      <c r="G17" s="4">
        <v>319527</v>
      </c>
      <c r="H17" s="4">
        <v>5549</v>
      </c>
      <c r="I17" s="4">
        <v>1370574</v>
      </c>
      <c r="J17" s="4">
        <v>879</v>
      </c>
      <c r="K17" s="4">
        <v>149409</v>
      </c>
      <c r="L17" s="4">
        <v>12432</v>
      </c>
      <c r="M17" s="4">
        <v>939170</v>
      </c>
      <c r="N17" s="4">
        <v>761</v>
      </c>
      <c r="O17" s="4">
        <v>2519086</v>
      </c>
      <c r="P17" s="4">
        <v>399109</v>
      </c>
      <c r="Q17" s="4">
        <v>2379938</v>
      </c>
      <c r="R17" s="4">
        <v>16455332</v>
      </c>
    </row>
    <row r="18" spans="1:18" ht="28.15" customHeight="1" x14ac:dyDescent="0.25">
      <c r="A18" s="1" t="s">
        <v>29</v>
      </c>
      <c r="B18" s="4">
        <v>189484</v>
      </c>
      <c r="C18" s="4">
        <v>12016664</v>
      </c>
      <c r="D18" s="4">
        <v>36435</v>
      </c>
      <c r="E18" s="4">
        <v>4621458</v>
      </c>
      <c r="F18" s="4">
        <v>3349</v>
      </c>
      <c r="G18" s="4">
        <v>923440</v>
      </c>
      <c r="H18" s="4">
        <v>8508</v>
      </c>
      <c r="I18" s="4">
        <v>2468877</v>
      </c>
      <c r="J18" s="4">
        <v>1235</v>
      </c>
      <c r="K18" s="4">
        <v>245865</v>
      </c>
      <c r="L18" s="4">
        <v>16116</v>
      </c>
      <c r="M18" s="4">
        <v>1499660</v>
      </c>
      <c r="N18" s="4">
        <v>913</v>
      </c>
      <c r="O18" s="4">
        <v>4254643</v>
      </c>
      <c r="P18" s="4">
        <v>1078570</v>
      </c>
      <c r="Q18" s="4">
        <v>3480234</v>
      </c>
      <c r="R18" s="4">
        <v>30589411</v>
      </c>
    </row>
    <row r="19" spans="1:18" ht="28.15" customHeight="1" x14ac:dyDescent="0.25">
      <c r="A19" s="1" t="s">
        <v>30</v>
      </c>
      <c r="B19" s="4">
        <v>31078</v>
      </c>
      <c r="C19" s="4">
        <v>1421338</v>
      </c>
      <c r="D19" s="4">
        <v>2241</v>
      </c>
      <c r="E19" s="4">
        <v>281338</v>
      </c>
      <c r="F19" s="4">
        <v>166</v>
      </c>
      <c r="G19" s="4">
        <v>42673</v>
      </c>
      <c r="H19" s="4">
        <v>1705</v>
      </c>
      <c r="I19" s="4">
        <v>462294</v>
      </c>
      <c r="J19" s="4">
        <v>355</v>
      </c>
      <c r="K19" s="4">
        <v>42748</v>
      </c>
      <c r="L19" s="4">
        <v>3344</v>
      </c>
      <c r="M19" s="4">
        <v>333732</v>
      </c>
      <c r="N19" s="4">
        <v>143</v>
      </c>
      <c r="O19" s="4">
        <v>512148</v>
      </c>
      <c r="P19" s="4">
        <v>103284</v>
      </c>
      <c r="Q19" s="4">
        <v>770110</v>
      </c>
      <c r="R19" s="4">
        <v>3975665</v>
      </c>
    </row>
    <row r="20" spans="1:18" ht="28.15" customHeight="1" x14ac:dyDescent="0.25">
      <c r="A20" s="1" t="s">
        <v>31</v>
      </c>
      <c r="B20" s="4">
        <v>159357</v>
      </c>
      <c r="C20" s="4">
        <v>11450711</v>
      </c>
      <c r="D20" s="4">
        <v>87637</v>
      </c>
      <c r="E20" s="4">
        <v>11172736</v>
      </c>
      <c r="F20" s="4">
        <v>8976</v>
      </c>
      <c r="G20" s="4">
        <v>2353046</v>
      </c>
      <c r="H20" s="4">
        <v>8632</v>
      </c>
      <c r="I20" s="4">
        <v>4207642</v>
      </c>
      <c r="J20" s="4">
        <v>1616</v>
      </c>
      <c r="K20" s="4">
        <v>963313</v>
      </c>
      <c r="L20" s="4">
        <v>33516</v>
      </c>
      <c r="M20" s="4">
        <v>2485276</v>
      </c>
      <c r="N20" s="4">
        <v>1629</v>
      </c>
      <c r="O20" s="4">
        <v>9708067</v>
      </c>
      <c r="P20" s="4">
        <v>398352</v>
      </c>
      <c r="Q20" s="4">
        <v>4876700</v>
      </c>
      <c r="R20" s="4">
        <v>47615843</v>
      </c>
    </row>
    <row r="21" spans="1:18" ht="28.15" customHeight="1" x14ac:dyDescent="0.25">
      <c r="A21" s="1" t="s">
        <v>32</v>
      </c>
      <c r="B21" s="4">
        <v>19641</v>
      </c>
      <c r="C21" s="4">
        <v>979779</v>
      </c>
      <c r="D21" s="4">
        <v>1361</v>
      </c>
      <c r="E21" s="4">
        <v>160773</v>
      </c>
      <c r="F21" s="4">
        <v>28</v>
      </c>
      <c r="G21" s="4">
        <v>7247</v>
      </c>
      <c r="H21" s="4">
        <v>877</v>
      </c>
      <c r="I21" s="4">
        <v>164665</v>
      </c>
      <c r="J21" s="4">
        <v>145</v>
      </c>
      <c r="K21" s="4">
        <v>29571</v>
      </c>
      <c r="L21" s="4">
        <v>1877</v>
      </c>
      <c r="M21" s="4">
        <v>149533</v>
      </c>
      <c r="N21" s="4">
        <v>137</v>
      </c>
      <c r="O21" s="4">
        <v>585858</v>
      </c>
      <c r="P21" s="4">
        <v>174764</v>
      </c>
      <c r="Q21" s="4">
        <v>481855</v>
      </c>
      <c r="R21" s="4">
        <v>2734045</v>
      </c>
    </row>
    <row r="22" spans="1:18" ht="28.15" customHeight="1" x14ac:dyDescent="0.25">
      <c r="A22" s="1" t="s">
        <v>33</v>
      </c>
      <c r="B22" s="4">
        <v>23446</v>
      </c>
      <c r="C22" s="4">
        <v>1122216</v>
      </c>
      <c r="D22" s="4">
        <v>1840</v>
      </c>
      <c r="E22" s="4">
        <v>234183</v>
      </c>
      <c r="F22" s="4">
        <v>75</v>
      </c>
      <c r="G22" s="4">
        <v>17942</v>
      </c>
      <c r="H22" s="4">
        <v>1371</v>
      </c>
      <c r="I22" s="4">
        <v>296900</v>
      </c>
      <c r="J22" s="4">
        <v>249</v>
      </c>
      <c r="K22" s="4">
        <v>37626</v>
      </c>
      <c r="L22" s="4">
        <v>2129</v>
      </c>
      <c r="M22" s="4">
        <v>204012</v>
      </c>
      <c r="N22" s="4">
        <v>106</v>
      </c>
      <c r="O22" s="4">
        <v>346192</v>
      </c>
      <c r="P22" s="4">
        <v>25253</v>
      </c>
      <c r="Q22" s="4">
        <v>480410</v>
      </c>
      <c r="R22" s="4">
        <v>2764734</v>
      </c>
    </row>
    <row r="23" spans="1:18" ht="28.15" customHeight="1" x14ac:dyDescent="0.25">
      <c r="A23" s="1" t="s">
        <v>34</v>
      </c>
      <c r="B23" s="4">
        <v>26832</v>
      </c>
      <c r="C23" s="4">
        <v>1479721</v>
      </c>
      <c r="D23" s="4">
        <v>3255</v>
      </c>
      <c r="E23" s="4">
        <v>392711</v>
      </c>
      <c r="F23" s="4">
        <v>170</v>
      </c>
      <c r="G23" s="4">
        <v>43288</v>
      </c>
      <c r="H23" s="4">
        <v>1953</v>
      </c>
      <c r="I23" s="4">
        <v>325967</v>
      </c>
      <c r="J23" s="4">
        <v>280</v>
      </c>
      <c r="K23" s="4">
        <v>29456</v>
      </c>
      <c r="L23" s="4">
        <v>3417</v>
      </c>
      <c r="M23" s="4">
        <v>463879</v>
      </c>
      <c r="N23" s="4">
        <v>168</v>
      </c>
      <c r="O23" s="4">
        <v>173834</v>
      </c>
      <c r="P23" s="4">
        <v>54591</v>
      </c>
      <c r="Q23" s="4">
        <v>482913</v>
      </c>
      <c r="R23" s="4">
        <v>3446360</v>
      </c>
    </row>
    <row r="24" spans="1:18" ht="28.15" customHeight="1" x14ac:dyDescent="0.25">
      <c r="A24" s="1" t="s">
        <v>35</v>
      </c>
      <c r="B24" s="4">
        <v>415282</v>
      </c>
      <c r="C24" s="4">
        <v>25495110</v>
      </c>
      <c r="D24" s="4">
        <v>109395</v>
      </c>
      <c r="E24" s="4">
        <v>13780209</v>
      </c>
      <c r="F24" s="4">
        <v>6518</v>
      </c>
      <c r="G24" s="4">
        <v>1627376</v>
      </c>
      <c r="H24" s="4">
        <v>22024</v>
      </c>
      <c r="I24" s="4">
        <v>6369995</v>
      </c>
      <c r="J24" s="4">
        <v>3156</v>
      </c>
      <c r="K24" s="4">
        <v>699831</v>
      </c>
      <c r="L24" s="4">
        <v>41374</v>
      </c>
      <c r="M24" s="4">
        <v>3365372</v>
      </c>
      <c r="N24" s="4">
        <v>2253</v>
      </c>
      <c r="O24" s="4">
        <v>9507716</v>
      </c>
      <c r="P24" s="4">
        <v>908532</v>
      </c>
      <c r="Q24" s="4">
        <v>7965331</v>
      </c>
      <c r="R24" s="4">
        <v>69719472</v>
      </c>
    </row>
    <row r="25" spans="1:18" ht="28.15" customHeight="1" x14ac:dyDescent="0.25">
      <c r="A25" s="1" t="s">
        <v>36</v>
      </c>
      <c r="B25" s="4">
        <v>676462</v>
      </c>
      <c r="C25" s="4">
        <v>33383836</v>
      </c>
      <c r="D25" s="4">
        <v>39149</v>
      </c>
      <c r="E25" s="4">
        <v>4842008</v>
      </c>
      <c r="F25" s="4">
        <v>1589</v>
      </c>
      <c r="G25" s="4">
        <v>389689</v>
      </c>
      <c r="H25" s="4">
        <v>33084</v>
      </c>
      <c r="I25" s="4">
        <v>4203531</v>
      </c>
      <c r="J25" s="4">
        <v>3478</v>
      </c>
      <c r="K25" s="4">
        <v>405082</v>
      </c>
      <c r="L25" s="4">
        <v>77601</v>
      </c>
      <c r="M25" s="4">
        <v>4014120</v>
      </c>
      <c r="N25" s="4">
        <v>5348</v>
      </c>
      <c r="O25" s="4">
        <v>14894038</v>
      </c>
      <c r="P25" s="4">
        <v>779953</v>
      </c>
      <c r="Q25" s="4">
        <v>1081030</v>
      </c>
      <c r="R25" s="4">
        <v>73093284</v>
      </c>
    </row>
    <row r="26" spans="1:18" ht="28.15" customHeight="1" x14ac:dyDescent="0.25">
      <c r="A26" s="1" t="s">
        <v>37</v>
      </c>
      <c r="B26" s="4">
        <v>121457</v>
      </c>
      <c r="C26" s="4">
        <v>6795052</v>
      </c>
      <c r="D26" s="4">
        <v>9815</v>
      </c>
      <c r="E26" s="4">
        <v>1209972</v>
      </c>
      <c r="F26" s="4">
        <v>817</v>
      </c>
      <c r="G26" s="4">
        <v>212755</v>
      </c>
      <c r="H26" s="4">
        <v>4618</v>
      </c>
      <c r="I26" s="4">
        <v>762883</v>
      </c>
      <c r="J26" s="4">
        <v>528</v>
      </c>
      <c r="K26" s="4">
        <v>100798</v>
      </c>
      <c r="L26" s="4">
        <v>9804</v>
      </c>
      <c r="M26" s="4">
        <v>676976</v>
      </c>
      <c r="N26" s="4">
        <v>1110</v>
      </c>
      <c r="O26" s="4">
        <v>1950252</v>
      </c>
      <c r="P26" s="4">
        <v>123732</v>
      </c>
      <c r="Q26" s="4">
        <v>2578764</v>
      </c>
      <c r="R26" s="4">
        <v>14411184</v>
      </c>
    </row>
    <row r="27" spans="1:18" ht="28.15" customHeight="1" x14ac:dyDescent="0.25">
      <c r="A27" s="1" t="s">
        <v>38</v>
      </c>
      <c r="B27" s="4">
        <v>27177</v>
      </c>
      <c r="C27" s="4">
        <v>1199098</v>
      </c>
      <c r="D27" s="4">
        <v>834</v>
      </c>
      <c r="E27" s="4">
        <v>103802</v>
      </c>
      <c r="F27" s="4">
        <v>24</v>
      </c>
      <c r="G27" s="4">
        <v>5769</v>
      </c>
      <c r="H27" s="4">
        <v>1565</v>
      </c>
      <c r="I27" s="4">
        <v>328013</v>
      </c>
      <c r="J27" s="4">
        <v>352</v>
      </c>
      <c r="K27" s="4">
        <v>45193</v>
      </c>
      <c r="L27" s="4">
        <v>3605</v>
      </c>
      <c r="M27" s="4">
        <v>231441</v>
      </c>
      <c r="N27" s="4">
        <v>173</v>
      </c>
      <c r="O27" s="4">
        <v>282723</v>
      </c>
      <c r="P27" s="4">
        <v>20108</v>
      </c>
      <c r="Q27" s="4">
        <v>514231</v>
      </c>
      <c r="R27" s="4">
        <v>2730378</v>
      </c>
    </row>
    <row r="28" spans="1:18" ht="28.15" customHeight="1" x14ac:dyDescent="0.25">
      <c r="A28" s="1" t="s">
        <v>39</v>
      </c>
      <c r="B28" s="4">
        <v>35443</v>
      </c>
      <c r="C28" s="4">
        <v>1559157</v>
      </c>
      <c r="D28" s="4">
        <v>972</v>
      </c>
      <c r="E28" s="4">
        <v>119728</v>
      </c>
      <c r="F28" s="4">
        <v>56</v>
      </c>
      <c r="G28" s="4">
        <v>14745</v>
      </c>
      <c r="H28" s="4">
        <v>1664</v>
      </c>
      <c r="I28" s="4">
        <v>230902</v>
      </c>
      <c r="J28" s="4">
        <v>265</v>
      </c>
      <c r="K28" s="4">
        <v>16212</v>
      </c>
      <c r="L28" s="4">
        <v>4099</v>
      </c>
      <c r="M28" s="4">
        <v>228876</v>
      </c>
      <c r="N28" s="4">
        <v>192</v>
      </c>
      <c r="O28" s="4">
        <v>329413</v>
      </c>
      <c r="P28" s="4">
        <v>246703</v>
      </c>
      <c r="Q28" s="4">
        <v>737605</v>
      </c>
      <c r="R28" s="4">
        <v>3483341</v>
      </c>
    </row>
    <row r="29" spans="1:18" ht="28.15" customHeight="1" x14ac:dyDescent="0.25">
      <c r="A29" s="1" t="s">
        <v>40</v>
      </c>
      <c r="B29" s="4">
        <v>92365</v>
      </c>
      <c r="C29" s="4">
        <v>4615200</v>
      </c>
      <c r="D29" s="4">
        <v>3518</v>
      </c>
      <c r="E29" s="4">
        <v>424812</v>
      </c>
      <c r="F29" s="4">
        <v>136</v>
      </c>
      <c r="G29" s="4">
        <v>34883</v>
      </c>
      <c r="H29" s="4">
        <v>5194</v>
      </c>
      <c r="I29" s="4">
        <v>952185</v>
      </c>
      <c r="J29" s="4">
        <v>661</v>
      </c>
      <c r="K29" s="4">
        <v>69402</v>
      </c>
      <c r="L29" s="4">
        <v>8080</v>
      </c>
      <c r="M29" s="4">
        <v>746833</v>
      </c>
      <c r="N29" s="4">
        <v>419</v>
      </c>
      <c r="O29" s="4">
        <v>4448369</v>
      </c>
      <c r="P29" s="4">
        <v>322430</v>
      </c>
      <c r="Q29" s="4">
        <v>2446150</v>
      </c>
      <c r="R29" s="4">
        <v>14060264</v>
      </c>
    </row>
    <row r="30" spans="1:18" ht="28.15" customHeight="1" x14ac:dyDescent="0.25">
      <c r="A30" s="1" t="s">
        <v>41</v>
      </c>
      <c r="B30" s="4">
        <v>462451</v>
      </c>
      <c r="C30" s="4">
        <v>32637197</v>
      </c>
      <c r="D30" s="4">
        <v>310636</v>
      </c>
      <c r="E30" s="4">
        <v>40730506</v>
      </c>
      <c r="F30" s="4">
        <v>89227</v>
      </c>
      <c r="G30" s="4">
        <v>32859804</v>
      </c>
      <c r="H30" s="4">
        <v>58553</v>
      </c>
      <c r="I30" s="4">
        <v>41419314</v>
      </c>
      <c r="J30" s="4">
        <v>38698</v>
      </c>
      <c r="K30" s="4">
        <v>87623101</v>
      </c>
      <c r="L30" s="4">
        <v>87184</v>
      </c>
      <c r="M30" s="4">
        <v>38390027</v>
      </c>
      <c r="N30" s="4">
        <v>10902</v>
      </c>
      <c r="O30" s="4">
        <v>25757571</v>
      </c>
      <c r="P30" s="4">
        <v>8086385</v>
      </c>
      <c r="Q30" s="4">
        <v>25404469</v>
      </c>
      <c r="R30" s="4">
        <v>332908374</v>
      </c>
    </row>
    <row r="31" spans="1:18" ht="28.15" customHeight="1" x14ac:dyDescent="0.25">
      <c r="A31" s="1" t="s">
        <v>42</v>
      </c>
      <c r="B31" s="4">
        <v>309936</v>
      </c>
      <c r="C31" s="4">
        <v>24102755</v>
      </c>
      <c r="D31" s="4">
        <v>327002</v>
      </c>
      <c r="E31" s="4">
        <v>42354552</v>
      </c>
      <c r="F31" s="4">
        <v>29667</v>
      </c>
      <c r="G31" s="4">
        <v>7903808</v>
      </c>
      <c r="H31" s="4">
        <v>28902</v>
      </c>
      <c r="I31" s="4">
        <v>11652339</v>
      </c>
      <c r="J31" s="4">
        <v>3746</v>
      </c>
      <c r="K31" s="4">
        <v>2782788</v>
      </c>
      <c r="L31" s="4">
        <v>49949</v>
      </c>
      <c r="M31" s="4">
        <v>8209367</v>
      </c>
      <c r="N31" s="4">
        <v>4354</v>
      </c>
      <c r="O31" s="4">
        <v>29473730</v>
      </c>
      <c r="P31" s="4">
        <v>1759344</v>
      </c>
      <c r="Q31" s="4">
        <v>12055228</v>
      </c>
      <c r="R31" s="4">
        <v>140293911</v>
      </c>
    </row>
    <row r="32" spans="1:18" ht="28.15" customHeight="1" x14ac:dyDescent="0.25">
      <c r="A32" s="1" t="s">
        <v>43</v>
      </c>
      <c r="B32" s="4">
        <v>110035</v>
      </c>
      <c r="C32" s="4">
        <v>4647217</v>
      </c>
      <c r="D32" s="4">
        <v>5469</v>
      </c>
      <c r="E32" s="4">
        <v>687045</v>
      </c>
      <c r="F32" s="4">
        <v>371</v>
      </c>
      <c r="G32" s="4">
        <v>94245</v>
      </c>
      <c r="H32" s="4">
        <v>4808</v>
      </c>
      <c r="I32" s="4">
        <v>730097</v>
      </c>
      <c r="J32" s="4">
        <v>569</v>
      </c>
      <c r="K32" s="4">
        <v>66207</v>
      </c>
      <c r="L32" s="4">
        <v>7428</v>
      </c>
      <c r="M32" s="4">
        <v>750907</v>
      </c>
      <c r="N32" s="4">
        <v>589</v>
      </c>
      <c r="O32" s="4">
        <v>1190868</v>
      </c>
      <c r="P32" s="4">
        <v>390450</v>
      </c>
      <c r="Q32" s="4">
        <v>1768484</v>
      </c>
      <c r="R32" s="4">
        <v>10325523</v>
      </c>
    </row>
    <row r="33" spans="1:18" ht="28.15" customHeight="1" x14ac:dyDescent="0.25">
      <c r="A33" s="1" t="s">
        <v>44</v>
      </c>
      <c r="B33" s="4">
        <v>89177</v>
      </c>
      <c r="C33" s="4">
        <v>4653381</v>
      </c>
      <c r="D33" s="4">
        <v>4651</v>
      </c>
      <c r="E33" s="4">
        <v>574136</v>
      </c>
      <c r="F33" s="4">
        <v>328</v>
      </c>
      <c r="G33" s="4">
        <v>90425</v>
      </c>
      <c r="H33" s="4">
        <v>3435</v>
      </c>
      <c r="I33" s="4">
        <v>627349</v>
      </c>
      <c r="J33" s="4">
        <v>432</v>
      </c>
      <c r="K33" s="4">
        <v>50502</v>
      </c>
      <c r="L33" s="4">
        <v>11725</v>
      </c>
      <c r="M33" s="4">
        <v>514813</v>
      </c>
      <c r="N33" s="4">
        <v>884</v>
      </c>
      <c r="O33" s="4">
        <v>2293279</v>
      </c>
      <c r="P33" s="4">
        <v>128635</v>
      </c>
      <c r="Q33" s="4">
        <v>1548029</v>
      </c>
      <c r="R33" s="4">
        <v>10480549</v>
      </c>
    </row>
    <row r="34" spans="1:18" ht="28.15" customHeight="1" x14ac:dyDescent="0.25">
      <c r="A34" s="1" t="s">
        <v>45</v>
      </c>
      <c r="B34" s="4">
        <v>139037</v>
      </c>
      <c r="C34" s="4">
        <v>6694073</v>
      </c>
      <c r="D34" s="4">
        <v>10300</v>
      </c>
      <c r="E34" s="4">
        <v>1277855</v>
      </c>
      <c r="F34" s="4">
        <v>518</v>
      </c>
      <c r="G34" s="4">
        <v>130351</v>
      </c>
      <c r="H34" s="4">
        <v>5051</v>
      </c>
      <c r="I34" s="4">
        <v>946063</v>
      </c>
      <c r="J34" s="4">
        <v>861</v>
      </c>
      <c r="K34" s="4">
        <v>127000</v>
      </c>
      <c r="L34" s="4">
        <v>13362</v>
      </c>
      <c r="M34" s="4">
        <v>630885</v>
      </c>
      <c r="N34" s="4">
        <v>387</v>
      </c>
      <c r="O34" s="4">
        <v>1142456</v>
      </c>
      <c r="P34" s="4">
        <v>170289</v>
      </c>
      <c r="Q34" s="4">
        <v>3206358</v>
      </c>
      <c r="R34" s="4">
        <v>14325330</v>
      </c>
    </row>
    <row r="35" spans="1:18" ht="28.15" customHeight="1" x14ac:dyDescent="0.25">
      <c r="A35" s="1" t="s">
        <v>46</v>
      </c>
      <c r="B35" s="4">
        <v>177929</v>
      </c>
      <c r="C35" s="4">
        <v>8492975</v>
      </c>
      <c r="D35" s="4">
        <v>9690</v>
      </c>
      <c r="E35" s="4">
        <v>1193480</v>
      </c>
      <c r="F35" s="4">
        <v>476</v>
      </c>
      <c r="G35" s="4">
        <v>110811</v>
      </c>
      <c r="H35" s="4">
        <v>7154</v>
      </c>
      <c r="I35" s="4">
        <v>1418862</v>
      </c>
      <c r="J35" s="4">
        <v>888</v>
      </c>
      <c r="K35" s="4">
        <v>180413</v>
      </c>
      <c r="L35" s="4">
        <v>15900</v>
      </c>
      <c r="M35" s="4">
        <v>949820</v>
      </c>
      <c r="N35" s="4">
        <v>857</v>
      </c>
      <c r="O35" s="4">
        <v>2384788</v>
      </c>
      <c r="P35" s="4">
        <v>323717</v>
      </c>
      <c r="Q35" s="4">
        <v>4622295</v>
      </c>
      <c r="R35" s="4">
        <v>19677161</v>
      </c>
    </row>
    <row r="36" spans="1:18" ht="28.15" customHeight="1" x14ac:dyDescent="0.25">
      <c r="A36" s="1" t="s">
        <v>47</v>
      </c>
      <c r="B36" s="4">
        <v>49839</v>
      </c>
      <c r="C36" s="4">
        <v>2687190</v>
      </c>
      <c r="D36" s="4">
        <v>5873</v>
      </c>
      <c r="E36" s="4">
        <v>733077</v>
      </c>
      <c r="F36" s="4">
        <v>677</v>
      </c>
      <c r="G36" s="4">
        <v>191903</v>
      </c>
      <c r="H36" s="4">
        <v>2013</v>
      </c>
      <c r="I36" s="4">
        <v>492134</v>
      </c>
      <c r="J36" s="4">
        <v>336</v>
      </c>
      <c r="K36" s="4">
        <v>81002</v>
      </c>
      <c r="L36" s="4">
        <v>5049</v>
      </c>
      <c r="M36" s="4">
        <v>518514</v>
      </c>
      <c r="N36" s="4">
        <v>250</v>
      </c>
      <c r="O36" s="4">
        <v>605404</v>
      </c>
      <c r="P36" s="4">
        <v>412800</v>
      </c>
      <c r="Q36" s="4">
        <v>1124538</v>
      </c>
      <c r="R36" s="4">
        <v>6846562</v>
      </c>
    </row>
    <row r="37" spans="1:18" ht="28.15" customHeight="1" x14ac:dyDescent="0.25">
      <c r="A37" s="1" t="s">
        <v>48</v>
      </c>
      <c r="B37" s="4">
        <v>5780</v>
      </c>
      <c r="C37" s="4">
        <v>223448</v>
      </c>
      <c r="D37" s="4">
        <v>228</v>
      </c>
      <c r="E37" s="4">
        <v>29256</v>
      </c>
      <c r="F37" s="4">
        <v>44</v>
      </c>
      <c r="G37" s="4">
        <v>11473</v>
      </c>
      <c r="H37" s="4">
        <v>246</v>
      </c>
      <c r="I37" s="4">
        <v>20025</v>
      </c>
      <c r="J37" s="4">
        <v>25</v>
      </c>
      <c r="K37" s="4">
        <v>979</v>
      </c>
      <c r="L37" s="4">
        <v>720</v>
      </c>
      <c r="M37" s="4">
        <v>28637</v>
      </c>
      <c r="N37" s="4">
        <v>22</v>
      </c>
      <c r="O37" s="4">
        <v>116500</v>
      </c>
      <c r="P37" s="4">
        <v>73388</v>
      </c>
      <c r="Q37" s="4">
        <v>166979</v>
      </c>
      <c r="R37" s="4">
        <v>670685</v>
      </c>
    </row>
    <row r="38" spans="1:18" ht="28.15" customHeight="1" x14ac:dyDescent="0.25">
      <c r="A38" s="1" t="s">
        <v>49</v>
      </c>
      <c r="B38" s="4">
        <v>77814</v>
      </c>
      <c r="C38" s="4">
        <v>3668776</v>
      </c>
      <c r="D38" s="4">
        <v>4891</v>
      </c>
      <c r="E38" s="4">
        <v>610482</v>
      </c>
      <c r="F38" s="4">
        <v>322</v>
      </c>
      <c r="G38" s="4">
        <v>81637</v>
      </c>
      <c r="H38" s="4">
        <v>4046</v>
      </c>
      <c r="I38" s="4">
        <v>1047288</v>
      </c>
      <c r="J38" s="4">
        <v>768</v>
      </c>
      <c r="K38" s="4">
        <v>118056</v>
      </c>
      <c r="L38" s="4">
        <v>7111</v>
      </c>
      <c r="M38" s="4">
        <v>652097</v>
      </c>
      <c r="N38" s="4">
        <v>432</v>
      </c>
      <c r="O38" s="4">
        <v>1082514</v>
      </c>
      <c r="P38" s="4">
        <v>394608</v>
      </c>
      <c r="Q38" s="4">
        <v>1860408</v>
      </c>
      <c r="R38" s="4">
        <v>9515866</v>
      </c>
    </row>
    <row r="39" spans="1:18" ht="28.15" customHeight="1" x14ac:dyDescent="0.25">
      <c r="A39" s="1" t="s">
        <v>50</v>
      </c>
      <c r="B39" s="4">
        <v>21852</v>
      </c>
      <c r="C39" s="4">
        <v>1255580</v>
      </c>
      <c r="D39" s="4">
        <v>1267</v>
      </c>
      <c r="E39" s="4">
        <v>155355</v>
      </c>
      <c r="F39" s="4">
        <v>102</v>
      </c>
      <c r="G39" s="4">
        <v>27228</v>
      </c>
      <c r="H39" s="4">
        <v>991</v>
      </c>
      <c r="I39" s="4">
        <v>307796</v>
      </c>
      <c r="J39" s="4">
        <v>198</v>
      </c>
      <c r="K39" s="4">
        <v>49146</v>
      </c>
      <c r="L39" s="4">
        <v>2590</v>
      </c>
      <c r="M39" s="4">
        <v>171040</v>
      </c>
      <c r="N39" s="4">
        <v>114</v>
      </c>
      <c r="O39" s="4">
        <v>302600</v>
      </c>
      <c r="P39" s="4">
        <v>57313</v>
      </c>
      <c r="Q39" s="4">
        <v>349689</v>
      </c>
      <c r="R39" s="4">
        <v>2675727</v>
      </c>
    </row>
    <row r="40" spans="1:18" ht="28.15" customHeight="1" x14ac:dyDescent="0.25">
      <c r="A40" s="1" t="s">
        <v>51</v>
      </c>
      <c r="B40" s="4">
        <v>136166</v>
      </c>
      <c r="C40" s="4">
        <v>6950577</v>
      </c>
      <c r="D40" s="4">
        <v>16492</v>
      </c>
      <c r="E40" s="4">
        <v>2075590</v>
      </c>
      <c r="F40" s="4">
        <v>1048</v>
      </c>
      <c r="G40" s="4">
        <v>275616</v>
      </c>
      <c r="H40" s="4">
        <v>6875</v>
      </c>
      <c r="I40" s="4">
        <v>1557918</v>
      </c>
      <c r="J40" s="4">
        <v>1172</v>
      </c>
      <c r="K40" s="4">
        <v>146634</v>
      </c>
      <c r="L40" s="4">
        <v>17225</v>
      </c>
      <c r="M40" s="4">
        <v>1275802</v>
      </c>
      <c r="N40" s="4">
        <v>1001</v>
      </c>
      <c r="O40" s="4">
        <v>1771554</v>
      </c>
      <c r="P40" s="4">
        <v>286279</v>
      </c>
      <c r="Q40" s="4">
        <v>2997750</v>
      </c>
      <c r="R40" s="4">
        <v>17337720</v>
      </c>
    </row>
    <row r="41" spans="1:18" ht="28.15" customHeight="1" x14ac:dyDescent="0.25">
      <c r="A41" s="1" t="s">
        <v>52</v>
      </c>
      <c r="B41" s="4">
        <v>288037</v>
      </c>
      <c r="C41" s="4">
        <v>14984115</v>
      </c>
      <c r="D41" s="4">
        <v>14234</v>
      </c>
      <c r="E41" s="4">
        <v>1786204</v>
      </c>
      <c r="F41" s="4">
        <v>1026</v>
      </c>
      <c r="G41" s="4">
        <v>260179</v>
      </c>
      <c r="H41" s="4">
        <v>11924</v>
      </c>
      <c r="I41" s="4">
        <v>2119773</v>
      </c>
      <c r="J41" s="4">
        <v>1330</v>
      </c>
      <c r="K41" s="4">
        <v>256901</v>
      </c>
      <c r="L41" s="4">
        <v>27138</v>
      </c>
      <c r="M41" s="4">
        <v>1859333</v>
      </c>
      <c r="N41" s="4">
        <v>2406</v>
      </c>
      <c r="O41" s="4">
        <v>8936390</v>
      </c>
      <c r="P41" s="4">
        <v>402011</v>
      </c>
      <c r="Q41" s="4">
        <v>5030208</v>
      </c>
      <c r="R41" s="4">
        <v>35635114</v>
      </c>
    </row>
    <row r="42" spans="1:18" ht="28.15" customHeight="1" x14ac:dyDescent="0.25">
      <c r="A42" s="1" t="s">
        <v>53</v>
      </c>
      <c r="B42" s="4">
        <v>65343</v>
      </c>
      <c r="C42" s="4">
        <v>2806796</v>
      </c>
      <c r="D42" s="4">
        <v>3774</v>
      </c>
      <c r="E42" s="4">
        <v>472587</v>
      </c>
      <c r="F42" s="4">
        <v>236</v>
      </c>
      <c r="G42" s="4">
        <v>57742</v>
      </c>
      <c r="H42" s="4">
        <v>3165</v>
      </c>
      <c r="I42" s="4">
        <v>519776</v>
      </c>
      <c r="J42" s="4">
        <v>494</v>
      </c>
      <c r="K42" s="4">
        <v>67947</v>
      </c>
      <c r="L42" s="4">
        <v>5494</v>
      </c>
      <c r="M42" s="4">
        <v>507720</v>
      </c>
      <c r="N42" s="4">
        <v>326</v>
      </c>
      <c r="O42" s="4">
        <v>778109</v>
      </c>
      <c r="P42" s="4">
        <v>185455</v>
      </c>
      <c r="Q42" s="4">
        <v>1047028</v>
      </c>
      <c r="R42" s="4">
        <v>6443160</v>
      </c>
    </row>
    <row r="43" spans="1:18" ht="28.15" customHeight="1" x14ac:dyDescent="0.25">
      <c r="A43" s="1" t="s">
        <v>54</v>
      </c>
      <c r="B43" s="4">
        <v>35057</v>
      </c>
      <c r="C43" s="4">
        <v>1390910</v>
      </c>
      <c r="D43" s="4">
        <v>1795</v>
      </c>
      <c r="E43" s="4">
        <v>224892</v>
      </c>
      <c r="F43" s="4">
        <v>176</v>
      </c>
      <c r="G43" s="4">
        <v>45193</v>
      </c>
      <c r="H43" s="4">
        <v>1601</v>
      </c>
      <c r="I43" s="4">
        <v>280648</v>
      </c>
      <c r="J43" s="4">
        <v>229</v>
      </c>
      <c r="K43" s="4">
        <v>25561</v>
      </c>
      <c r="L43" s="4">
        <v>3283</v>
      </c>
      <c r="M43" s="4">
        <v>204537</v>
      </c>
      <c r="N43" s="4">
        <v>254</v>
      </c>
      <c r="O43" s="4">
        <v>406156</v>
      </c>
      <c r="P43" s="4">
        <v>233469</v>
      </c>
      <c r="Q43" s="4">
        <v>534213</v>
      </c>
      <c r="R43" s="4">
        <v>3345579</v>
      </c>
    </row>
    <row r="44" spans="1:18" ht="28.15" customHeight="1" x14ac:dyDescent="0.25">
      <c r="A44" s="1" t="s">
        <v>55</v>
      </c>
      <c r="B44" s="4">
        <v>222363</v>
      </c>
      <c r="C44" s="4">
        <v>16509058</v>
      </c>
      <c r="D44" s="4">
        <v>196686</v>
      </c>
      <c r="E44" s="4">
        <v>25960323</v>
      </c>
      <c r="F44" s="4">
        <v>31262</v>
      </c>
      <c r="G44" s="4">
        <v>8191004</v>
      </c>
      <c r="H44" s="4">
        <v>18130</v>
      </c>
      <c r="I44" s="4">
        <v>7238141</v>
      </c>
      <c r="J44" s="4">
        <v>3341</v>
      </c>
      <c r="K44" s="4">
        <v>1491609</v>
      </c>
      <c r="L44" s="4">
        <v>33879</v>
      </c>
      <c r="M44" s="4">
        <v>3700805</v>
      </c>
      <c r="N44" s="4">
        <v>2382</v>
      </c>
      <c r="O44" s="4">
        <v>8026865</v>
      </c>
      <c r="P44" s="4">
        <v>1053524</v>
      </c>
      <c r="Q44" s="4">
        <v>7102431</v>
      </c>
      <c r="R44" s="4">
        <v>79273760</v>
      </c>
    </row>
    <row r="45" spans="1:18" ht="28.15" customHeight="1" x14ac:dyDescent="0.25">
      <c r="A45" s="1" t="s">
        <v>56</v>
      </c>
      <c r="B45" s="4">
        <v>73121</v>
      </c>
      <c r="C45" s="4">
        <v>4596817</v>
      </c>
      <c r="D45" s="4">
        <v>45384</v>
      </c>
      <c r="E45" s="4">
        <v>6119465</v>
      </c>
      <c r="F45" s="4">
        <v>8663</v>
      </c>
      <c r="G45" s="4">
        <v>2303542</v>
      </c>
      <c r="H45" s="4">
        <v>5678</v>
      </c>
      <c r="I45" s="4">
        <v>1398239</v>
      </c>
      <c r="J45" s="4">
        <v>885</v>
      </c>
      <c r="K45" s="4">
        <v>169549</v>
      </c>
      <c r="L45" s="4">
        <v>9302</v>
      </c>
      <c r="M45" s="4">
        <v>850428</v>
      </c>
      <c r="N45" s="4">
        <v>636</v>
      </c>
      <c r="O45" s="4">
        <v>975951</v>
      </c>
      <c r="P45" s="4">
        <v>124527</v>
      </c>
      <c r="Q45" s="4">
        <v>2067261</v>
      </c>
      <c r="R45" s="4">
        <v>18605779</v>
      </c>
    </row>
    <row r="46" spans="1:18" ht="28.15" customHeight="1" x14ac:dyDescent="0.25">
      <c r="A46" s="1" t="s">
        <v>57</v>
      </c>
      <c r="B46" s="4">
        <v>80664</v>
      </c>
      <c r="C46" s="4">
        <v>5791760</v>
      </c>
      <c r="D46" s="4">
        <v>54270</v>
      </c>
      <c r="E46" s="4">
        <v>7070170</v>
      </c>
      <c r="F46" s="4">
        <v>4970</v>
      </c>
      <c r="G46" s="4">
        <v>1252052</v>
      </c>
      <c r="H46" s="4">
        <v>5825</v>
      </c>
      <c r="I46" s="4">
        <v>1906304</v>
      </c>
      <c r="J46" s="4">
        <v>1148</v>
      </c>
      <c r="K46" s="4">
        <v>233827</v>
      </c>
      <c r="L46" s="4">
        <v>13316</v>
      </c>
      <c r="M46" s="4">
        <v>1252220</v>
      </c>
      <c r="N46" s="4">
        <v>670</v>
      </c>
      <c r="O46" s="4">
        <v>1649381</v>
      </c>
      <c r="P46" s="4">
        <v>196093</v>
      </c>
      <c r="Q46" s="4">
        <v>2650999</v>
      </c>
      <c r="R46" s="4">
        <v>22002806</v>
      </c>
    </row>
    <row r="47" spans="1:18" ht="28.15" customHeight="1" x14ac:dyDescent="0.25">
      <c r="A47" s="1" t="s">
        <v>58</v>
      </c>
      <c r="B47" s="4">
        <v>156083</v>
      </c>
      <c r="C47" s="4">
        <v>9485824</v>
      </c>
      <c r="D47" s="4">
        <v>30149</v>
      </c>
      <c r="E47" s="4">
        <v>3842119</v>
      </c>
      <c r="F47" s="4">
        <v>2425</v>
      </c>
      <c r="G47" s="4">
        <v>639802</v>
      </c>
      <c r="H47" s="4">
        <v>6647</v>
      </c>
      <c r="I47" s="4">
        <v>2094092</v>
      </c>
      <c r="J47" s="4">
        <v>1236</v>
      </c>
      <c r="K47" s="4">
        <v>255395</v>
      </c>
      <c r="L47" s="4">
        <v>18293</v>
      </c>
      <c r="M47" s="4">
        <v>1251422</v>
      </c>
      <c r="N47" s="4">
        <v>950</v>
      </c>
      <c r="O47" s="4">
        <v>2859993</v>
      </c>
      <c r="P47" s="4">
        <v>293573</v>
      </c>
      <c r="Q47" s="4">
        <v>3765968</v>
      </c>
      <c r="R47" s="4">
        <v>24488188</v>
      </c>
    </row>
    <row r="48" spans="1:18" ht="28.15" customHeight="1" x14ac:dyDescent="0.25">
      <c r="A48" s="1" t="s">
        <v>59</v>
      </c>
      <c r="B48" s="4">
        <v>18142</v>
      </c>
      <c r="C48" s="4">
        <v>854479</v>
      </c>
      <c r="D48" s="4">
        <v>1239</v>
      </c>
      <c r="E48" s="4">
        <v>155799</v>
      </c>
      <c r="F48" s="4">
        <v>117</v>
      </c>
      <c r="G48" s="4">
        <v>30141</v>
      </c>
      <c r="H48" s="4">
        <v>1150</v>
      </c>
      <c r="I48" s="4">
        <v>157318</v>
      </c>
      <c r="J48" s="4">
        <v>206</v>
      </c>
      <c r="K48" s="4">
        <v>24196</v>
      </c>
      <c r="L48" s="4">
        <v>3159</v>
      </c>
      <c r="M48" s="4">
        <v>215355</v>
      </c>
      <c r="N48" s="4">
        <v>114</v>
      </c>
      <c r="O48" s="4">
        <v>162671</v>
      </c>
      <c r="P48" s="4">
        <v>15832</v>
      </c>
      <c r="Q48" s="4">
        <v>516628</v>
      </c>
      <c r="R48" s="4">
        <v>2132419</v>
      </c>
    </row>
    <row r="49" spans="1:18" ht="28.15" customHeight="1" x14ac:dyDescent="0.25">
      <c r="A49" s="1" t="s">
        <v>60</v>
      </c>
      <c r="B49" s="4">
        <v>107572</v>
      </c>
      <c r="C49" s="4">
        <v>5564624</v>
      </c>
      <c r="D49" s="4">
        <v>8935</v>
      </c>
      <c r="E49" s="4">
        <v>1100922</v>
      </c>
      <c r="F49" s="4">
        <v>722</v>
      </c>
      <c r="G49" s="4">
        <v>210300</v>
      </c>
      <c r="H49" s="4">
        <v>4617</v>
      </c>
      <c r="I49" s="4">
        <v>1511141</v>
      </c>
      <c r="J49" s="4">
        <v>877</v>
      </c>
      <c r="K49" s="4">
        <v>181393</v>
      </c>
      <c r="L49" s="4">
        <v>11469</v>
      </c>
      <c r="M49" s="4">
        <v>868654</v>
      </c>
      <c r="N49" s="4">
        <v>487</v>
      </c>
      <c r="O49" s="4">
        <v>1959975</v>
      </c>
      <c r="P49" s="4">
        <v>877853</v>
      </c>
      <c r="Q49" s="4">
        <v>1956364</v>
      </c>
      <c r="R49" s="4">
        <v>14231226</v>
      </c>
    </row>
    <row r="50" spans="1:18" ht="28.15" customHeight="1" x14ac:dyDescent="0.25">
      <c r="A50" s="1" t="s">
        <v>61</v>
      </c>
      <c r="B50" s="4">
        <v>125045</v>
      </c>
      <c r="C50" s="4">
        <v>6839286</v>
      </c>
      <c r="D50" s="4">
        <v>10166</v>
      </c>
      <c r="E50" s="4">
        <v>1258613</v>
      </c>
      <c r="F50" s="4">
        <v>813</v>
      </c>
      <c r="G50" s="4">
        <v>216827</v>
      </c>
      <c r="H50" s="4">
        <v>5558</v>
      </c>
      <c r="I50" s="4">
        <v>1237732</v>
      </c>
      <c r="J50" s="4">
        <v>903</v>
      </c>
      <c r="K50" s="4">
        <v>144556</v>
      </c>
      <c r="L50" s="4">
        <v>10823</v>
      </c>
      <c r="M50" s="4">
        <v>1017017</v>
      </c>
      <c r="N50" s="4">
        <v>1116</v>
      </c>
      <c r="O50" s="4">
        <v>3348292</v>
      </c>
      <c r="P50" s="4">
        <v>247114</v>
      </c>
      <c r="Q50" s="4">
        <v>2064589</v>
      </c>
      <c r="R50" s="4">
        <v>16374026</v>
      </c>
    </row>
    <row r="51" spans="1:18" ht="28.15" customHeight="1" x14ac:dyDescent="0.25">
      <c r="A51" s="1" t="s">
        <v>62</v>
      </c>
      <c r="B51" s="4">
        <v>64951</v>
      </c>
      <c r="C51" s="4">
        <v>3035747</v>
      </c>
      <c r="D51" s="4">
        <v>4620</v>
      </c>
      <c r="E51" s="4">
        <v>580701</v>
      </c>
      <c r="F51" s="4">
        <v>322</v>
      </c>
      <c r="G51" s="4">
        <v>77032</v>
      </c>
      <c r="H51" s="4">
        <v>3106</v>
      </c>
      <c r="I51" s="4">
        <v>379272</v>
      </c>
      <c r="J51" s="4">
        <v>315</v>
      </c>
      <c r="K51" s="4">
        <v>22742</v>
      </c>
      <c r="L51" s="4">
        <v>5321</v>
      </c>
      <c r="M51" s="4">
        <v>515656</v>
      </c>
      <c r="N51" s="4">
        <v>297</v>
      </c>
      <c r="O51" s="4">
        <v>823058</v>
      </c>
      <c r="P51" s="4">
        <v>161189</v>
      </c>
      <c r="Q51" s="4">
        <v>1090831</v>
      </c>
      <c r="R51" s="4">
        <v>6686228</v>
      </c>
    </row>
    <row r="52" spans="1:18" ht="28.15" customHeight="1" x14ac:dyDescent="0.25">
      <c r="A52" s="1" t="s">
        <v>63</v>
      </c>
      <c r="B52" s="4">
        <v>112735</v>
      </c>
      <c r="C52" s="4">
        <v>5399967</v>
      </c>
      <c r="D52" s="4">
        <v>5501</v>
      </c>
      <c r="E52" s="4">
        <v>667504</v>
      </c>
      <c r="F52" s="4">
        <v>291</v>
      </c>
      <c r="G52" s="4">
        <v>77461</v>
      </c>
      <c r="H52" s="4">
        <v>5699</v>
      </c>
      <c r="I52" s="4">
        <v>868647</v>
      </c>
      <c r="J52" s="4">
        <v>863</v>
      </c>
      <c r="K52" s="4">
        <v>79944</v>
      </c>
      <c r="L52" s="4">
        <v>11403</v>
      </c>
      <c r="M52" s="4">
        <v>847566</v>
      </c>
      <c r="N52" s="4">
        <v>465</v>
      </c>
      <c r="O52" s="4">
        <v>3969758</v>
      </c>
      <c r="P52" s="4">
        <v>408707</v>
      </c>
      <c r="Q52" s="4">
        <v>2019010</v>
      </c>
      <c r="R52" s="4">
        <v>14338564</v>
      </c>
    </row>
    <row r="53" spans="1:18" ht="28.15" customHeight="1" x14ac:dyDescent="0.25">
      <c r="A53" s="1" t="s">
        <v>64</v>
      </c>
      <c r="B53" s="4">
        <v>527584</v>
      </c>
      <c r="C53" s="4">
        <v>20401304</v>
      </c>
      <c r="D53" s="4">
        <v>12998</v>
      </c>
      <c r="E53" s="4">
        <v>1644913</v>
      </c>
      <c r="F53" s="4">
        <v>1092</v>
      </c>
      <c r="G53" s="4">
        <v>282938</v>
      </c>
      <c r="H53" s="4">
        <v>22771</v>
      </c>
      <c r="I53" s="4">
        <v>2357561</v>
      </c>
      <c r="J53" s="4">
        <v>2670</v>
      </c>
      <c r="K53" s="4">
        <v>289770</v>
      </c>
      <c r="L53" s="4">
        <v>55646</v>
      </c>
      <c r="M53" s="4">
        <v>2299475</v>
      </c>
      <c r="N53" s="2">
        <v>4335</v>
      </c>
      <c r="O53" s="4">
        <v>6549402</v>
      </c>
      <c r="P53" s="2">
        <v>481777</v>
      </c>
      <c r="Q53" s="4">
        <v>9017865</v>
      </c>
      <c r="R53" s="4">
        <v>43325005</v>
      </c>
    </row>
    <row r="54" spans="1:18" ht="28.15" customHeight="1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O54" s="4"/>
      <c r="Q54" s="4"/>
      <c r="R54" s="4"/>
    </row>
    <row r="55" spans="1:18" ht="28.15" customHeight="1" x14ac:dyDescent="0.25">
      <c r="A55" s="14"/>
      <c r="B55" s="16"/>
      <c r="C55" s="16"/>
      <c r="D55" s="16"/>
      <c r="E55" s="16"/>
      <c r="F55" s="16"/>
      <c r="G55" s="16"/>
    </row>
    <row r="56" spans="1:18" ht="28.15" customHeight="1" x14ac:dyDescent="0.25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9" spans="1:18" ht="28.15" customHeight="1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1" spans="1:18" ht="28.15" customHeight="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28.15" customHeight="1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8" ht="28.15" customHeight="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28.15" customHeight="1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2:18" ht="28.15" customHeigh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2:18" ht="28.15" customHeight="1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2:18" ht="28.15" customHeight="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2:18" ht="28.15" customHeight="1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2:18" ht="28.15" customHeight="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2:18" ht="28.15" customHeight="1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2:18" ht="28.15" customHeight="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2:18" ht="28.15" customHeight="1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2:18" ht="28.15" customHeight="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2:18" ht="28.15" customHeight="1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2:18" ht="28.15" customHeight="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2:18" ht="28.15" customHeight="1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2:18" ht="28.15" customHeight="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2:18" ht="28.15" customHeight="1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2:18" ht="28.15" customHeight="1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2:18" ht="28.15" customHeight="1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2:18" ht="28.15" customHeight="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2:18" ht="28.15" customHeight="1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2:18" ht="28.15" customHeight="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2:18" ht="28.15" customHeight="1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2:18" ht="28.15" customHeight="1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2:18" ht="28.15" customHeight="1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2:18" ht="28.15" customHeight="1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Q87" s="4"/>
      <c r="R87" s="4"/>
    </row>
    <row r="88" spans="2:18" ht="28.15" customHeight="1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91" spans="2:18" ht="28.15" customHeight="1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2:18" ht="28.15" customHeight="1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O92" s="4"/>
      <c r="P92" s="4"/>
      <c r="Q92" s="4"/>
      <c r="R92" s="4"/>
    </row>
    <row r="93" spans="2:18" ht="28.15" customHeight="1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2:18" ht="28.15" customHeight="1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O94" s="4"/>
      <c r="P94" s="4"/>
      <c r="Q94" s="4"/>
      <c r="R94" s="4"/>
    </row>
    <row r="95" spans="2:18" ht="28.15" customHeight="1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2:18" ht="28.15" customHeight="1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O96" s="4"/>
      <c r="P96" s="4"/>
      <c r="Q96" s="4"/>
      <c r="R96" s="4"/>
    </row>
    <row r="97" spans="2:19" ht="28.15" customHeight="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3"/>
    </row>
    <row r="98" spans="2:19" ht="28.15" customHeight="1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O98" s="4"/>
      <c r="P98" s="4"/>
      <c r="Q98" s="4"/>
      <c r="R98" s="4"/>
    </row>
    <row r="99" spans="2:19" ht="28.15" customHeight="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2:19" ht="28.15" customHeight="1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O100" s="4"/>
      <c r="P100" s="4"/>
      <c r="Q100" s="4"/>
      <c r="R100" s="4"/>
    </row>
    <row r="101" spans="2:19" ht="28.15" customHeight="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2:19" ht="28.15" customHeight="1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2:19" ht="28.15" customHeight="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2:19" ht="28.15" customHeight="1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2:19" ht="28.15" customHeight="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2:19" ht="28.15" customHeight="1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2:19" ht="28.15" customHeight="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2:19" ht="28.15" customHeight="1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2:19" ht="28.15" customHeight="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2:19" ht="28.15" customHeight="1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2:19" ht="28.15" customHeight="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2:19" ht="28.15" customHeight="1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2:18" ht="28.15" customHeight="1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2:18" ht="28.15" customHeight="1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2:18" ht="28.15" customHeight="1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2:18" ht="28.15" customHeight="1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2:18" ht="28.15" customHeight="1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2:18" ht="28.15" customHeight="1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2:18" ht="28.15" customHeight="1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2:18" ht="28.15" customHeight="1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O120" s="4"/>
      <c r="P120" s="4"/>
      <c r="Q120" s="4"/>
      <c r="R120" s="4"/>
    </row>
    <row r="123" spans="2:18" ht="28.15" customHeight="1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2:18" ht="28.15" customHeight="1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O124" s="4"/>
      <c r="P124" s="4"/>
      <c r="Q124" s="4"/>
      <c r="R124" s="4"/>
    </row>
    <row r="125" spans="2:18" ht="28.15" customHeight="1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2:18" ht="28.15" customHeight="1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O126" s="4"/>
      <c r="P126" s="4"/>
      <c r="Q126" s="4"/>
      <c r="R126" s="4"/>
    </row>
    <row r="127" spans="2:18" ht="28.15" customHeight="1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2:18" ht="28.15" customHeight="1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O128" s="4"/>
      <c r="P128" s="4"/>
      <c r="Q128" s="4"/>
      <c r="R128" s="4"/>
    </row>
    <row r="129" spans="2:18" ht="28.15" customHeight="1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2:18" ht="28.15" customHeight="1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O130" s="4"/>
      <c r="P130" s="4"/>
      <c r="Q130" s="4"/>
      <c r="R130" s="4"/>
    </row>
    <row r="131" spans="2:18" ht="28.15" customHeight="1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2:18" ht="28.15" customHeight="1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O132" s="4"/>
      <c r="P132" s="4"/>
      <c r="Q132" s="4"/>
      <c r="R132" s="4"/>
    </row>
    <row r="133" spans="2:18" ht="28.15" customHeight="1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2:18" ht="28.15" customHeight="1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O134" s="4"/>
      <c r="P134" s="4"/>
      <c r="Q134" s="4"/>
      <c r="R134" s="4"/>
    </row>
    <row r="135" spans="2:18" ht="28.15" customHeight="1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2:18" ht="28.15" customHeight="1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O136" s="4"/>
      <c r="P136" s="4"/>
      <c r="Q136" s="4"/>
      <c r="R136" s="4"/>
    </row>
    <row r="137" spans="2:18" ht="28.15" customHeight="1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2:18" ht="28.15" customHeight="1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O138" s="4"/>
      <c r="P138" s="4"/>
      <c r="Q138" s="4"/>
      <c r="R138" s="4"/>
    </row>
    <row r="139" spans="2:18" ht="28.15" customHeight="1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2:18" ht="28.15" customHeight="1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O140" s="4"/>
      <c r="P140" s="4"/>
      <c r="Q140" s="4"/>
      <c r="R140" s="4"/>
    </row>
    <row r="141" spans="2:18" ht="28.15" customHeight="1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2:18" ht="28.15" customHeight="1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2:18" ht="28.15" customHeight="1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O143" s="4"/>
      <c r="P143" s="4"/>
      <c r="Q143" s="4"/>
      <c r="R143" s="4"/>
    </row>
    <row r="144" spans="2:18" ht="28.15" customHeight="1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2:18" ht="28.15" customHeight="1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2:18" ht="28.15" customHeight="1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2:18" ht="28.15" customHeight="1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2:18" ht="28.15" customHeight="1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2:18" ht="28.15" customHeight="1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2:18" ht="28.15" customHeight="1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2:18" ht="28.15" customHeight="1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2:18" ht="28.15" customHeight="1" x14ac:dyDescent="0.25">
      <c r="B152" s="4"/>
      <c r="C152" s="4"/>
      <c r="D152" s="4"/>
      <c r="E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2:18" ht="28.15" customHeight="1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2:18" ht="28.15" customHeight="1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2:18" ht="28.15" customHeight="1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2:18" ht="28.15" customHeight="1" x14ac:dyDescent="0.25"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2:18" ht="28.15" customHeight="1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2:18" ht="28.15" customHeight="1" x14ac:dyDescent="0.25"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2:18" ht="28.15" customHeight="1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2:18" ht="28.15" customHeight="1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2:18" ht="28.15" customHeight="1" x14ac:dyDescent="0.25"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2:18" ht="28.15" customHeight="1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2:18" ht="28.15" customHeight="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2:18" ht="28.15" customHeight="1" x14ac:dyDescent="0.25"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2:18" ht="28.15" customHeight="1" x14ac:dyDescent="0.25"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2:18" ht="28.15" customHeight="1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2:18" ht="28.15" customHeight="1" x14ac:dyDescent="0.25"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2:18" ht="28.15" customHeight="1" x14ac:dyDescent="0.25"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2:18" ht="28.15" customHeight="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2:18" ht="28.15" customHeight="1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2:18" ht="28.15" customHeight="1" x14ac:dyDescent="0.25"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4" spans="2:18" ht="28.15" customHeight="1" x14ac:dyDescent="0.25"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2:18" ht="28.15" customHeight="1" x14ac:dyDescent="0.25"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2:18" ht="28.15" customHeight="1" x14ac:dyDescent="0.25"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2:18" ht="28.15" customHeight="1" x14ac:dyDescent="0.25"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81" spans="2:18" ht="28.15" customHeight="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2:18" ht="28.15" customHeight="1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2:18" ht="28.15" customHeight="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6" spans="2:18" ht="28.15" customHeight="1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2:18" ht="28.15" customHeight="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2:18" ht="28.15" customHeight="1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2:18" ht="28.15" customHeight="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2:18" ht="28.15" customHeight="1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2" spans="2:18" ht="28.15" customHeight="1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2:18" ht="28.15" customHeight="1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2:18" ht="28.15" customHeight="1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2:18" ht="28.15" customHeight="1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8" spans="2:18" ht="28.15" customHeight="1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2:18" ht="28.15" customHeight="1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2:18" ht="28.15" customHeight="1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2:18" ht="28.15" customHeight="1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2:18" ht="28.15" customHeight="1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O202" s="4"/>
      <c r="P202" s="4"/>
      <c r="Q202" s="4"/>
      <c r="R202" s="4"/>
    </row>
    <row r="203" spans="2:18" ht="28.15" customHeight="1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5" spans="2:18" ht="28.15" customHeight="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7" spans="2:18" ht="28.15" customHeight="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2:18" ht="28.15" customHeight="1" x14ac:dyDescent="0.25">
      <c r="B208" s="4"/>
    </row>
    <row r="209" spans="2:18" ht="28.15" customHeight="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2:18" ht="28.15" customHeight="1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2:18" ht="28.15" customHeight="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2:18" ht="28.15" customHeight="1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2:18" ht="28.15" customHeight="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2:18" ht="28.15" customHeight="1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2:18" ht="28.15" customHeight="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2:18" ht="28.15" customHeight="1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2:18" ht="28.15" customHeight="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20" spans="2:18" ht="28.15" customHeight="1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2:18" ht="28.15" customHeight="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2:18" ht="28.15" customHeight="1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2:18" ht="28.15" customHeight="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5" spans="2:18" ht="28.15" customHeight="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2:18" ht="28.15" customHeight="1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2:18" ht="28.15" customHeight="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2:18" ht="28.15" customHeight="1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2:18" ht="28.15" customHeight="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2:18" ht="28.15" customHeight="1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2:18" ht="28.15" customHeight="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2:18" ht="28.15" customHeight="1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4" spans="2:18" ht="28.15" customHeight="1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2:18" ht="28.15" customHeight="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2:18" ht="28.15" customHeight="1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2:18" ht="28.15" customHeight="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2:18" ht="28.15" customHeight="1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2:18" ht="28.15" customHeight="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O239" s="4"/>
      <c r="P239" s="4"/>
      <c r="Q239" s="4"/>
      <c r="R239" s="4"/>
    </row>
    <row r="240" spans="2:18" ht="28.15" customHeight="1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2:18" ht="28.15" customHeight="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4" spans="2:18" ht="28.15" customHeight="1" x14ac:dyDescent="0.25">
      <c r="B244" s="4"/>
      <c r="C244" s="4"/>
      <c r="D244" s="4"/>
      <c r="E244" s="4"/>
      <c r="F244" s="4"/>
      <c r="G244" s="4"/>
      <c r="H244" s="4"/>
      <c r="I244" s="4"/>
      <c r="K244" s="4"/>
      <c r="L244" s="4"/>
      <c r="M244" s="4"/>
      <c r="N244" s="4"/>
      <c r="O244" s="4"/>
      <c r="P244" s="4"/>
      <c r="Q244" s="4"/>
      <c r="R244" s="4"/>
    </row>
    <row r="246" spans="2:18" ht="28.15" customHeight="1" x14ac:dyDescent="0.25">
      <c r="B246" s="4"/>
      <c r="C246" s="4"/>
      <c r="D246" s="4"/>
      <c r="E246" s="4"/>
      <c r="G246" s="4"/>
      <c r="I246" s="4"/>
      <c r="K246" s="4"/>
      <c r="M246" s="4"/>
      <c r="O246" s="4"/>
      <c r="P246" s="4"/>
      <c r="Q246" s="4"/>
      <c r="R246" s="4"/>
    </row>
    <row r="247" spans="2:18" ht="28.15" customHeight="1" x14ac:dyDescent="0.25"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O247" s="4"/>
      <c r="P247" s="4"/>
      <c r="Q247" s="4"/>
      <c r="R247" s="4"/>
    </row>
    <row r="248" spans="2:18" ht="28.15" customHeight="1" x14ac:dyDescent="0.25"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51" spans="2:18" ht="28.15" customHeight="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2:18" ht="28.15" customHeight="1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O252" s="4"/>
      <c r="P252" s="4"/>
      <c r="Q252" s="4"/>
      <c r="R252" s="4"/>
    </row>
    <row r="253" spans="2:18" ht="28.15" customHeight="1" x14ac:dyDescent="0.25"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2:18" ht="28.15" customHeight="1" x14ac:dyDescent="0.25">
      <c r="B254" s="4"/>
      <c r="C254" s="4"/>
      <c r="E254" s="4"/>
      <c r="F254" s="4"/>
      <c r="H254" s="4"/>
      <c r="I254" s="4"/>
      <c r="J254" s="4"/>
      <c r="K254" s="4"/>
      <c r="L254" s="4"/>
      <c r="M254" s="4"/>
      <c r="O254" s="4"/>
      <c r="P254" s="4"/>
      <c r="Q254" s="4"/>
      <c r="R254" s="4"/>
    </row>
    <row r="255" spans="2:18" ht="28.15" customHeight="1" x14ac:dyDescent="0.25">
      <c r="B255" s="4"/>
      <c r="C255" s="4"/>
      <c r="E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2:18" ht="28.15" customHeight="1" x14ac:dyDescent="0.25"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O256" s="4"/>
      <c r="P256" s="4"/>
      <c r="Q256" s="4"/>
      <c r="R256" s="4"/>
    </row>
    <row r="257" spans="2:18" ht="28.15" customHeight="1" x14ac:dyDescent="0.25"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2:18" ht="28.15" customHeight="1" x14ac:dyDescent="0.25"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O258" s="4"/>
      <c r="P258" s="4"/>
      <c r="Q258" s="4"/>
      <c r="R258" s="4"/>
    </row>
    <row r="259" spans="2:18" ht="28.15" customHeight="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2:18" ht="28.15" customHeight="1" x14ac:dyDescent="0.25">
      <c r="B260" s="4"/>
      <c r="C260" s="4"/>
      <c r="E260" s="4"/>
      <c r="I260" s="4"/>
      <c r="J260" s="4"/>
      <c r="K260" s="4"/>
      <c r="L260" s="4"/>
      <c r="M260" s="4"/>
      <c r="O260" s="4"/>
      <c r="P260" s="4"/>
      <c r="Q260" s="4"/>
      <c r="R260" s="4"/>
    </row>
    <row r="262" spans="2:18" ht="28.15" customHeight="1" x14ac:dyDescent="0.25"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2:18" ht="28.15" customHeight="1" x14ac:dyDescent="0.25"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O263" s="4"/>
      <c r="P263" s="4"/>
      <c r="Q263" s="4"/>
      <c r="R263" s="4"/>
    </row>
    <row r="264" spans="2:18" ht="28.15" customHeight="1" x14ac:dyDescent="0.25"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2:18" ht="28.15" customHeight="1" x14ac:dyDescent="0.25"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P265" s="4"/>
      <c r="Q265" s="4"/>
      <c r="R265" s="4"/>
    </row>
    <row r="266" spans="2:18" ht="28.15" customHeight="1" x14ac:dyDescent="0.25"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2:18" ht="28.15" customHeight="1" x14ac:dyDescent="0.25"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O267" s="4"/>
      <c r="P267" s="4"/>
      <c r="Q267" s="4"/>
      <c r="R267" s="4"/>
    </row>
    <row r="268" spans="2:18" ht="28.15" customHeight="1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2:18" ht="28.15" customHeight="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O269" s="4"/>
      <c r="P269" s="4"/>
      <c r="Q269" s="4"/>
      <c r="R269" s="4"/>
    </row>
    <row r="270" spans="2:18" ht="28.15" customHeight="1" x14ac:dyDescent="0.25"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2:18" ht="28.15" customHeight="1" x14ac:dyDescent="0.25"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2:18" ht="28.15" customHeight="1" x14ac:dyDescent="0.25"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2:18" ht="28.15" customHeight="1" x14ac:dyDescent="0.25"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O273" s="4"/>
      <c r="P273" s="4"/>
      <c r="Q273" s="4"/>
      <c r="R273" s="4"/>
    </row>
    <row r="274" spans="2:18" ht="28.15" customHeight="1" x14ac:dyDescent="0.25"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2:18" ht="28.15" customHeight="1" x14ac:dyDescent="0.25"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O275" s="4"/>
      <c r="P275" s="4"/>
      <c r="Q275" s="4"/>
      <c r="R275" s="4"/>
    </row>
    <row r="276" spans="2:18" ht="28.15" customHeight="1" x14ac:dyDescent="0.25"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2:18" ht="28.15" customHeight="1" x14ac:dyDescent="0.25"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O277" s="4"/>
      <c r="P277" s="4"/>
      <c r="Q277" s="4"/>
      <c r="R277" s="4"/>
    </row>
    <row r="278" spans="2:18" ht="28.15" customHeight="1" x14ac:dyDescent="0.25">
      <c r="B278" s="4"/>
      <c r="C278" s="4"/>
      <c r="E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2:18" ht="28.15" customHeight="1" x14ac:dyDescent="0.25">
      <c r="B279" s="4"/>
      <c r="C279" s="4"/>
      <c r="E279" s="4"/>
      <c r="F279" s="4"/>
      <c r="H279" s="4"/>
      <c r="I279" s="4"/>
      <c r="J279" s="4"/>
      <c r="K279" s="4"/>
      <c r="L279" s="4"/>
      <c r="M279" s="4"/>
      <c r="O279" s="4"/>
      <c r="P279" s="4"/>
      <c r="Q279" s="4"/>
      <c r="R279" s="4"/>
    </row>
    <row r="280" spans="2:18" ht="28.15" customHeight="1" x14ac:dyDescent="0.25"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2:18" ht="28.15" customHeight="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O281" s="4"/>
      <c r="P281" s="4"/>
      <c r="Q281" s="4"/>
      <c r="R281" s="4"/>
    </row>
    <row r="282" spans="2:18" ht="28.15" customHeight="1" x14ac:dyDescent="0.25">
      <c r="B282" s="4"/>
      <c r="C282" s="4"/>
      <c r="E282" s="4"/>
      <c r="F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2:18" ht="28.15" customHeight="1" x14ac:dyDescent="0.25">
      <c r="B283" s="4"/>
      <c r="C283" s="4"/>
      <c r="D283" s="4"/>
      <c r="E283" s="4"/>
      <c r="G283" s="4"/>
      <c r="I283" s="4"/>
      <c r="J283" s="4"/>
      <c r="K283" s="4"/>
      <c r="L283" s="4"/>
      <c r="M283" s="4"/>
      <c r="O283" s="4"/>
      <c r="P283" s="4"/>
      <c r="Q283" s="4"/>
      <c r="R283" s="4"/>
    </row>
    <row r="285" spans="2:18" ht="28.15" customHeight="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O285" s="4"/>
      <c r="P285" s="4"/>
      <c r="Q285" s="4"/>
      <c r="R285" s="4"/>
    </row>
    <row r="286" spans="2:18" ht="28.15" customHeight="1" x14ac:dyDescent="0.25"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2:18" ht="28.15" customHeight="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O287" s="4"/>
      <c r="P287" s="4"/>
      <c r="Q287" s="4"/>
      <c r="R287" s="4"/>
    </row>
    <row r="288" spans="2:18" ht="28.15" customHeight="1" x14ac:dyDescent="0.25"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2:18" ht="28.15" customHeight="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O289" s="4"/>
      <c r="P289" s="4"/>
      <c r="Q289" s="4"/>
      <c r="R289" s="4"/>
    </row>
    <row r="290" spans="2:18" ht="28.15" customHeight="1" x14ac:dyDescent="0.25"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2:18" ht="28.15" customHeight="1" x14ac:dyDescent="0.25"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O291" s="4"/>
      <c r="P291" s="4"/>
      <c r="Q291" s="4"/>
      <c r="R291" s="4"/>
    </row>
    <row r="292" spans="2:18" ht="28.15" customHeight="1" x14ac:dyDescent="0.25">
      <c r="B292" s="4"/>
      <c r="C292" s="4"/>
      <c r="D292" s="4"/>
      <c r="E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2:18" ht="28.15" customHeight="1" x14ac:dyDescent="0.25">
      <c r="B293" s="4"/>
      <c r="C293" s="4"/>
      <c r="E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2:18" ht="28.15" customHeight="1" x14ac:dyDescent="0.25">
      <c r="C294" s="4"/>
      <c r="I294" s="4"/>
      <c r="J294" s="4"/>
      <c r="Q294" s="4"/>
      <c r="R294" s="4"/>
    </row>
    <row r="297" spans="2:18" ht="28.15" customHeight="1" x14ac:dyDescent="0.25"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O297" s="4"/>
      <c r="P297" s="4"/>
      <c r="Q297" s="4"/>
      <c r="R297" s="4"/>
    </row>
    <row r="298" spans="2:18" ht="28.15" customHeight="1" x14ac:dyDescent="0.25"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Q298" s="4"/>
      <c r="R298" s="4"/>
    </row>
    <row r="299" spans="2:18" ht="28.15" customHeight="1" x14ac:dyDescent="0.25">
      <c r="C299" s="4"/>
      <c r="E299" s="4"/>
      <c r="G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2:18" ht="28.15" customHeight="1" x14ac:dyDescent="0.25">
      <c r="B300" s="4"/>
      <c r="C300" s="4"/>
      <c r="E300" s="4"/>
      <c r="G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3" spans="2:18" ht="28.15" customHeight="1" x14ac:dyDescent="0.25"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2:18" ht="28.15" customHeight="1" x14ac:dyDescent="0.25">
      <c r="C304" s="4"/>
      <c r="E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2:18" ht="28.15" customHeight="1" x14ac:dyDescent="0.25">
      <c r="C305" s="4"/>
      <c r="E305" s="4"/>
      <c r="G305" s="4"/>
      <c r="I305" s="4"/>
      <c r="K305" s="4"/>
      <c r="L305" s="4"/>
      <c r="M305" s="4"/>
      <c r="N305" s="4"/>
      <c r="O305" s="4"/>
      <c r="P305" s="4"/>
      <c r="Q305" s="4"/>
      <c r="R305" s="4"/>
    </row>
    <row r="306" spans="2:18" ht="28.15" customHeight="1" x14ac:dyDescent="0.25">
      <c r="B306" s="4"/>
      <c r="C306" s="4"/>
      <c r="E306" s="4"/>
      <c r="I306" s="4"/>
      <c r="L306" s="4"/>
      <c r="M306" s="4"/>
      <c r="N306" s="4"/>
      <c r="O306" s="4"/>
      <c r="P306" s="4"/>
      <c r="Q306" s="4"/>
      <c r="R306" s="4"/>
    </row>
    <row r="307" spans="2:18" ht="28.15" customHeight="1" x14ac:dyDescent="0.25"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2:18" ht="28.15" customHeight="1" x14ac:dyDescent="0.25">
      <c r="B308" s="4"/>
      <c r="C308" s="4"/>
      <c r="E308" s="4"/>
      <c r="G308" s="4"/>
      <c r="I308" s="4"/>
      <c r="K308" s="4"/>
      <c r="L308" s="4"/>
      <c r="M308" s="4"/>
      <c r="N308" s="4"/>
      <c r="O308" s="4"/>
      <c r="P308" s="4"/>
      <c r="Q308" s="4"/>
      <c r="R308" s="4"/>
    </row>
    <row r="309" spans="2:18" ht="28.15" customHeight="1" x14ac:dyDescent="0.25"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Q309" s="4"/>
      <c r="R309" s="4"/>
    </row>
    <row r="310" spans="2:18" ht="28.15" customHeight="1" x14ac:dyDescent="0.25">
      <c r="B310" s="4"/>
      <c r="C310" s="4"/>
      <c r="E310" s="4"/>
      <c r="G310" s="4"/>
      <c r="I310" s="4"/>
      <c r="L310" s="4"/>
      <c r="R310" s="4"/>
    </row>
    <row r="312" spans="2:18" ht="28.15" customHeight="1" x14ac:dyDescent="0.25"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Q312" s="4"/>
      <c r="R312" s="4"/>
    </row>
    <row r="313" spans="2:18" ht="28.15" customHeight="1" x14ac:dyDescent="0.25">
      <c r="B313" s="4"/>
      <c r="C313" s="4"/>
      <c r="E313" s="4"/>
      <c r="G313" s="4"/>
      <c r="I313" s="4"/>
      <c r="K313" s="4"/>
      <c r="L313" s="4"/>
      <c r="M313" s="4"/>
      <c r="Q313" s="4"/>
      <c r="R313" s="4"/>
    </row>
    <row r="314" spans="2:18" ht="28.15" customHeight="1" x14ac:dyDescent="0.25"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2:18" ht="28.15" customHeight="1" x14ac:dyDescent="0.25">
      <c r="B315" s="4"/>
      <c r="C315" s="4"/>
      <c r="E315" s="4"/>
      <c r="G315" s="4"/>
      <c r="I315" s="4"/>
      <c r="K315" s="4"/>
      <c r="L315" s="4"/>
      <c r="M315" s="4"/>
      <c r="N315" s="4"/>
      <c r="O315" s="4"/>
    </row>
    <row r="316" spans="2:18" ht="28.15" customHeight="1" x14ac:dyDescent="0.25"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2:18" ht="28.15" customHeight="1" x14ac:dyDescent="0.25"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2:18" ht="28.15" customHeight="1" x14ac:dyDescent="0.25"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2:18" ht="28.15" customHeight="1" x14ac:dyDescent="0.25">
      <c r="B319" s="4"/>
      <c r="C319" s="4"/>
      <c r="E319" s="4"/>
      <c r="I319" s="4"/>
      <c r="J319" s="4"/>
    </row>
    <row r="321" spans="2:17" ht="28.15" customHeight="1" x14ac:dyDescent="0.25"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2:17" ht="28.15" customHeight="1" x14ac:dyDescent="0.25">
      <c r="B322" s="4"/>
      <c r="C322" s="4"/>
      <c r="E322" s="4"/>
      <c r="F322" s="4"/>
      <c r="G322" s="4"/>
      <c r="H322" s="4"/>
      <c r="J322" s="4"/>
      <c r="K322" s="4"/>
      <c r="L322" s="4"/>
      <c r="N322" s="4"/>
    </row>
    <row r="323" spans="2:17" ht="28.15" customHeight="1" x14ac:dyDescent="0.25">
      <c r="B323" s="4"/>
      <c r="C323" s="4"/>
      <c r="E323" s="4"/>
      <c r="F323" s="4"/>
      <c r="G323" s="4"/>
      <c r="H323" s="4"/>
      <c r="J323" s="4"/>
      <c r="K323" s="4"/>
      <c r="L323" s="4"/>
      <c r="N323" s="4"/>
    </row>
    <row r="324" spans="2:17" ht="28.15" customHeight="1" x14ac:dyDescent="0.25">
      <c r="B324" s="4"/>
      <c r="C324" s="4"/>
      <c r="E324" s="4"/>
      <c r="F324" s="4"/>
      <c r="G324" s="4"/>
      <c r="H324" s="4"/>
      <c r="J324" s="4"/>
      <c r="K324" s="4"/>
      <c r="L324" s="4"/>
      <c r="M324" s="4"/>
      <c r="N324" s="4"/>
      <c r="O324" s="4"/>
      <c r="P324" s="4"/>
      <c r="Q324" s="4"/>
    </row>
    <row r="325" spans="2:17" ht="28.15" customHeight="1" x14ac:dyDescent="0.25">
      <c r="B325" s="4"/>
      <c r="C325" s="4"/>
      <c r="H325" s="4"/>
      <c r="J325" s="4"/>
      <c r="L325" s="4"/>
    </row>
    <row r="326" spans="2:17" ht="28.15" customHeight="1" x14ac:dyDescent="0.25">
      <c r="B326" s="4"/>
      <c r="C326" s="4"/>
      <c r="J326" s="4"/>
    </row>
    <row r="327" spans="2:17" ht="28.15" customHeight="1" x14ac:dyDescent="0.25">
      <c r="B327" s="4"/>
      <c r="C327" s="4"/>
      <c r="J327" s="4"/>
    </row>
    <row r="328" spans="2:17" ht="28.15" customHeight="1" x14ac:dyDescent="0.25">
      <c r="B328" s="4"/>
      <c r="C328" s="4"/>
      <c r="J328" s="4"/>
    </row>
    <row r="329" spans="2:17" ht="28.15" customHeight="1" x14ac:dyDescent="0.25">
      <c r="B329" s="4"/>
      <c r="C329" s="4"/>
      <c r="J329" s="4"/>
    </row>
    <row r="330" spans="2:17" ht="28.15" customHeight="1" x14ac:dyDescent="0.25">
      <c r="B330" s="4"/>
      <c r="C330" s="4"/>
      <c r="E330" s="4"/>
      <c r="F330" s="4"/>
      <c r="G330" s="4"/>
      <c r="H330" s="4"/>
      <c r="I330" s="4"/>
      <c r="J330" s="4"/>
    </row>
    <row r="331" spans="2:17" ht="28.15" customHeight="1" x14ac:dyDescent="0.25">
      <c r="B331" s="4"/>
      <c r="C331" s="4"/>
      <c r="J331" s="4"/>
    </row>
    <row r="334" spans="2:17" ht="28.15" customHeight="1" x14ac:dyDescent="0.25">
      <c r="J334" s="4"/>
    </row>
    <row r="335" spans="2:17" ht="28.15" customHeight="1" x14ac:dyDescent="0.25">
      <c r="J335" s="4"/>
    </row>
    <row r="1103" spans="8:8" ht="28.15" customHeight="1" x14ac:dyDescent="0.25">
      <c r="H1103" s="5"/>
    </row>
    <row r="1407" spans="8:8" ht="28.15" customHeight="1" x14ac:dyDescent="0.25">
      <c r="H1407" s="5"/>
    </row>
  </sheetData>
  <mergeCells count="18">
    <mergeCell ref="A55:A56"/>
    <mergeCell ref="B55:G55"/>
    <mergeCell ref="B56:C56"/>
    <mergeCell ref="D56:E56"/>
    <mergeCell ref="F56:G56"/>
    <mergeCell ref="H56:I56"/>
    <mergeCell ref="J56:K56"/>
    <mergeCell ref="L56:M56"/>
    <mergeCell ref="N56:O56"/>
    <mergeCell ref="J2:K2"/>
    <mergeCell ref="L2:M2"/>
    <mergeCell ref="N2:O2"/>
    <mergeCell ref="H2:I2"/>
    <mergeCell ref="A1:A2"/>
    <mergeCell ref="B2:C2"/>
    <mergeCell ref="D2:E2"/>
    <mergeCell ref="F2:G2"/>
    <mergeCell ref="B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520"/>
  <sheetViews>
    <sheetView topLeftCell="A13" zoomScale="70" zoomScaleNormal="70" workbookViewId="0">
      <selection activeCell="J14" sqref="A1:XFD1048576"/>
    </sheetView>
  </sheetViews>
  <sheetFormatPr defaultColWidth="8.7109375" defaultRowHeight="28.15" customHeight="1" x14ac:dyDescent="0.2"/>
  <cols>
    <col min="1" max="1" width="21.85546875" style="6" customWidth="1"/>
    <col min="2" max="2" width="23.7109375" style="1" customWidth="1"/>
    <col min="3" max="3" width="8.7109375" style="2"/>
    <col min="4" max="4" width="12.7109375" style="2" customWidth="1"/>
    <col min="5" max="5" width="8.7109375" style="2"/>
    <col min="6" max="6" width="13" style="2" customWidth="1"/>
    <col min="7" max="7" width="8.7109375" style="2"/>
    <col min="8" max="8" width="14.7109375" style="2" customWidth="1"/>
    <col min="9" max="9" width="14.28515625" style="2" customWidth="1"/>
    <col min="10" max="10" width="17" style="2" customWidth="1"/>
    <col min="11" max="11" width="15.7109375" style="2" customWidth="1"/>
    <col min="12" max="12" width="13.42578125" style="2" customWidth="1"/>
    <col min="13" max="13" width="12.140625" style="2" customWidth="1"/>
    <col min="14" max="14" width="14.42578125" style="2" customWidth="1"/>
    <col min="15" max="15" width="15" style="2" customWidth="1"/>
    <col min="16" max="16" width="11.7109375" style="2" customWidth="1"/>
    <col min="17" max="17" width="14.5703125" style="2" customWidth="1"/>
    <col min="18" max="18" width="17.5703125" style="2" customWidth="1"/>
    <col min="19" max="19" width="18" style="2" customWidth="1"/>
    <col min="20" max="21" width="28.140625" style="8" customWidth="1"/>
    <col min="22" max="22" width="8.7109375" style="9"/>
    <col min="23" max="23" width="28.140625" style="9" customWidth="1"/>
    <col min="24" max="24" width="13.28515625" style="9" customWidth="1"/>
    <col min="25" max="25" width="8.7109375" style="9"/>
    <col min="26" max="16384" width="8.7109375" style="6"/>
  </cols>
  <sheetData>
    <row r="1" spans="1:28" ht="28.15" customHeight="1" x14ac:dyDescent="0.2">
      <c r="B1" s="1" t="s">
        <v>5478</v>
      </c>
      <c r="C1" s="2" t="s">
        <v>5479</v>
      </c>
      <c r="D1" s="2" t="s">
        <v>5480</v>
      </c>
      <c r="E1" s="2" t="s">
        <v>5481</v>
      </c>
      <c r="F1" s="2" t="s">
        <v>5484</v>
      </c>
      <c r="G1" s="2" t="s">
        <v>5482</v>
      </c>
      <c r="H1" s="2" t="s">
        <v>5483</v>
      </c>
      <c r="I1" s="2" t="s">
        <v>5468</v>
      </c>
      <c r="J1" s="2" t="s">
        <v>5469</v>
      </c>
      <c r="K1" s="2" t="s">
        <v>5468</v>
      </c>
      <c r="L1" s="2" t="s">
        <v>5470</v>
      </c>
      <c r="M1" s="2" t="s">
        <v>5471</v>
      </c>
      <c r="N1" s="2" t="s">
        <v>5472</v>
      </c>
      <c r="O1" s="2" t="s">
        <v>5473</v>
      </c>
      <c r="P1" s="2" t="s">
        <v>5474</v>
      </c>
      <c r="Q1" s="2" t="s">
        <v>5475</v>
      </c>
      <c r="R1" s="2" t="s">
        <v>5476</v>
      </c>
      <c r="S1" s="2" t="s">
        <v>5477</v>
      </c>
      <c r="T1" s="8" t="s">
        <v>5466</v>
      </c>
      <c r="U1" s="8" t="s">
        <v>5465</v>
      </c>
      <c r="V1" s="11" t="s">
        <v>5463</v>
      </c>
      <c r="W1" s="11" t="s">
        <v>5464</v>
      </c>
      <c r="X1" s="9" t="s">
        <v>5460</v>
      </c>
      <c r="Y1" s="9" t="s">
        <v>5461</v>
      </c>
      <c r="Z1" s="6" t="s">
        <v>6680</v>
      </c>
    </row>
    <row r="2" spans="1:28" ht="28.15" customHeight="1" x14ac:dyDescent="0.2">
      <c r="A2" s="6" t="s">
        <v>65</v>
      </c>
      <c r="B2" s="1" t="s">
        <v>65</v>
      </c>
      <c r="C2" s="4">
        <v>521</v>
      </c>
      <c r="D2" s="4">
        <v>30955</v>
      </c>
      <c r="E2" s="4">
        <v>492</v>
      </c>
      <c r="F2" s="4">
        <v>68621</v>
      </c>
      <c r="G2" s="4">
        <v>180</v>
      </c>
      <c r="H2" s="4">
        <v>71777</v>
      </c>
      <c r="I2" s="4">
        <v>1609</v>
      </c>
      <c r="J2" s="4">
        <v>2159501</v>
      </c>
      <c r="K2" s="4">
        <v>10939</v>
      </c>
      <c r="L2" s="4">
        <v>34130573</v>
      </c>
      <c r="M2" s="4">
        <v>2632</v>
      </c>
      <c r="N2" s="4">
        <v>3572588</v>
      </c>
      <c r="O2" s="4">
        <v>101</v>
      </c>
      <c r="P2" s="4">
        <v>1254849</v>
      </c>
      <c r="Q2" s="4">
        <v>880766</v>
      </c>
      <c r="R2" s="4">
        <v>159688</v>
      </c>
      <c r="S2" s="4">
        <v>43766318</v>
      </c>
      <c r="T2" s="10">
        <f>SUM(D2+F2+H2)</f>
        <v>171353</v>
      </c>
      <c r="U2" s="8">
        <f>T2/S2</f>
        <v>3.9151797050873691E-3</v>
      </c>
      <c r="W2" s="9" t="s">
        <v>3059</v>
      </c>
      <c r="X2" s="9" t="str">
        <f>INDEX(Lookup!$A$2:$A$1349, MATCH(W2, Lookup!$B$2:$B$1349,0))</f>
        <v>J04000321</v>
      </c>
      <c r="Y2" s="9" t="str">
        <f>INDEX(Lookup!$F$2:$F$1349, MATCH(W2, Lookup!$B$2:$B$1349,0))</f>
        <v>e140370</v>
      </c>
      <c r="Z2" s="6" t="str">
        <f>INDEX(Lookup!$C$2:$C$1300, MATCH(X2, Lookup!$A$2:$A$1300,0))</f>
        <v>Inner London</v>
      </c>
    </row>
    <row r="3" spans="1:28" ht="28.15" customHeight="1" x14ac:dyDescent="0.2">
      <c r="A3" s="6" t="s">
        <v>66</v>
      </c>
      <c r="B3" s="1" t="s">
        <v>66</v>
      </c>
      <c r="C3" s="4">
        <v>21091</v>
      </c>
      <c r="D3" s="4">
        <v>1430988</v>
      </c>
      <c r="E3" s="4">
        <v>6695</v>
      </c>
      <c r="F3" s="4">
        <v>886364</v>
      </c>
      <c r="G3" s="4">
        <v>405</v>
      </c>
      <c r="H3" s="4">
        <v>90799</v>
      </c>
      <c r="I3" s="4">
        <v>1649</v>
      </c>
      <c r="J3" s="4">
        <v>460965</v>
      </c>
      <c r="K3" s="4">
        <v>205</v>
      </c>
      <c r="L3" s="4">
        <v>44039</v>
      </c>
      <c r="M3" s="4">
        <v>1644</v>
      </c>
      <c r="N3" s="4">
        <v>390391</v>
      </c>
      <c r="O3" s="4">
        <v>217</v>
      </c>
      <c r="P3" s="4">
        <v>712069</v>
      </c>
      <c r="Q3" s="4">
        <v>32587</v>
      </c>
      <c r="R3" s="4">
        <v>605786</v>
      </c>
      <c r="S3" s="4">
        <v>4653988</v>
      </c>
      <c r="T3" s="10">
        <f t="shared" ref="T3:T66" si="0">SUM(D3+F3+H3)</f>
        <v>2408151</v>
      </c>
      <c r="U3" s="8">
        <f t="shared" ref="U3:U66" si="1">T3/S3</f>
        <v>0.51743816271120591</v>
      </c>
      <c r="V3" s="9" t="s">
        <v>5268</v>
      </c>
      <c r="W3" s="9" t="str">
        <f t="shared" ref="W3:W66" si="2">_xlfn.CONCAT(B3," ",V3)</f>
        <v>Battersea MB</v>
      </c>
      <c r="X3" s="9" t="str">
        <f>INDEX(Lookup!$A$2:$A$1349, MATCH(W3, Lookup!$B$2:$B$1349,0))</f>
        <v>J04000102</v>
      </c>
      <c r="Y3" s="9" t="str">
        <f>INDEX(Lookup!$F$2:$F$1349, MATCH(W3, Lookup!$B$2:$B$1349,0))</f>
        <v>e140408</v>
      </c>
      <c r="Z3" s="6" t="str">
        <f>INDEX(Lookup!$C$2:$C$1300, MATCH(X3, Lookup!$A$2:$A$1300,0))</f>
        <v>Inner London</v>
      </c>
    </row>
    <row r="4" spans="1:28" ht="28.15" customHeight="1" x14ac:dyDescent="0.2">
      <c r="A4" s="6" t="s">
        <v>67</v>
      </c>
      <c r="B4" s="1" t="s">
        <v>67</v>
      </c>
      <c r="C4" s="4">
        <v>14876</v>
      </c>
      <c r="D4" s="4">
        <v>881394</v>
      </c>
      <c r="E4" s="4">
        <v>302</v>
      </c>
      <c r="F4" s="4">
        <v>35783</v>
      </c>
      <c r="G4" s="4">
        <v>5</v>
      </c>
      <c r="H4" s="4">
        <v>1218</v>
      </c>
      <c r="I4" s="4">
        <v>954</v>
      </c>
      <c r="J4" s="4">
        <v>191855</v>
      </c>
      <c r="K4" s="4">
        <v>370</v>
      </c>
      <c r="L4" s="4">
        <v>159355</v>
      </c>
      <c r="M4" s="4">
        <v>1402</v>
      </c>
      <c r="N4" s="4">
        <v>1418735</v>
      </c>
      <c r="O4" s="4">
        <v>362</v>
      </c>
      <c r="P4" s="4">
        <v>1046104</v>
      </c>
      <c r="Q4" s="4">
        <v>75645</v>
      </c>
      <c r="R4" s="4">
        <v>278577</v>
      </c>
      <c r="S4" s="2">
        <v>4088666</v>
      </c>
      <c r="T4" s="10">
        <f t="shared" si="0"/>
        <v>918395</v>
      </c>
      <c r="U4" s="8">
        <f t="shared" si="1"/>
        <v>0.22461971704218442</v>
      </c>
      <c r="V4" s="9" t="s">
        <v>5268</v>
      </c>
      <c r="W4" s="9" t="str">
        <f t="shared" si="2"/>
        <v>Bermondsey MB</v>
      </c>
      <c r="X4" s="9" t="str">
        <f>INDEX(Lookup!$A$2:$A$1349, MATCH(W4, Lookup!$B$2:$B$1349,0))</f>
        <v>J04000127</v>
      </c>
      <c r="Y4" s="9" t="str">
        <f>INDEX(Lookup!$F$2:$F$1349, MATCH(W4, Lookup!$B$2:$B$1349,0))</f>
        <v>e140402</v>
      </c>
      <c r="Z4" s="6" t="str">
        <f>INDEX(Lookup!$C$2:$C$1300, MATCH(X4, Lookup!$A$2:$A$1300,0))</f>
        <v>Inner London</v>
      </c>
    </row>
    <row r="5" spans="1:28" ht="28.15" customHeight="1" x14ac:dyDescent="0.2">
      <c r="A5" s="6" t="s">
        <v>68</v>
      </c>
      <c r="B5" s="1" t="s">
        <v>68</v>
      </c>
      <c r="C5" s="4">
        <v>12261</v>
      </c>
      <c r="D5" s="4">
        <v>825291</v>
      </c>
      <c r="E5" s="4">
        <v>2419</v>
      </c>
      <c r="F5" s="4">
        <v>261791</v>
      </c>
      <c r="G5" s="4">
        <v>7</v>
      </c>
      <c r="H5" s="4">
        <v>1694</v>
      </c>
      <c r="I5" s="4">
        <v>984</v>
      </c>
      <c r="J5" s="4">
        <v>229247</v>
      </c>
      <c r="K5" s="4">
        <v>58</v>
      </c>
      <c r="L5" s="4">
        <v>14364</v>
      </c>
      <c r="M5" s="4">
        <v>1110</v>
      </c>
      <c r="N5" s="4">
        <v>266681</v>
      </c>
      <c r="O5" s="4">
        <v>691</v>
      </c>
      <c r="P5" s="4">
        <v>576420</v>
      </c>
      <c r="Q5" s="4">
        <v>15354</v>
      </c>
      <c r="R5" s="4">
        <v>218554</v>
      </c>
      <c r="S5" s="4">
        <v>2409396</v>
      </c>
      <c r="T5" s="10">
        <f t="shared" si="0"/>
        <v>1088776</v>
      </c>
      <c r="U5" s="8">
        <f t="shared" si="1"/>
        <v>0.45188752699846768</v>
      </c>
      <c r="V5" s="9" t="s">
        <v>5268</v>
      </c>
      <c r="W5" s="9" t="str">
        <f t="shared" si="2"/>
        <v>Bethnal Green MB</v>
      </c>
      <c r="X5" s="9" t="str">
        <f>INDEX(Lookup!$A$2:$A$1349, MATCH(W5, Lookup!$B$2:$B$1349,0))</f>
        <v>J04000130</v>
      </c>
      <c r="Y5" s="9" t="str">
        <f>INDEX(Lookup!$F$2:$F$1349, MATCH(W5, Lookup!$B$2:$B$1349,0))</f>
        <v>e140405</v>
      </c>
      <c r="Z5" s="6" t="str">
        <f>INDEX(Lookup!$C$2:$C$1300, MATCH(X5, Lookup!$A$2:$A$1300,0))</f>
        <v>Inner London</v>
      </c>
    </row>
    <row r="6" spans="1:28" ht="28.15" customHeight="1" x14ac:dyDescent="0.2">
      <c r="A6" s="6" t="s">
        <v>69</v>
      </c>
      <c r="B6" s="1" t="s">
        <v>69</v>
      </c>
      <c r="C6" s="4">
        <v>31924</v>
      </c>
      <c r="D6" s="4">
        <v>2355689</v>
      </c>
      <c r="E6" s="4">
        <v>12981</v>
      </c>
      <c r="F6" s="4">
        <v>1635281</v>
      </c>
      <c r="G6" s="4">
        <v>756</v>
      </c>
      <c r="H6" s="4">
        <v>190258</v>
      </c>
      <c r="I6" s="4">
        <v>2807</v>
      </c>
      <c r="J6" s="4">
        <v>848595</v>
      </c>
      <c r="K6" s="4">
        <v>240</v>
      </c>
      <c r="L6" s="4">
        <v>70753</v>
      </c>
      <c r="M6" s="4">
        <v>3763</v>
      </c>
      <c r="N6" s="4">
        <v>598370</v>
      </c>
      <c r="O6" s="4">
        <v>480</v>
      </c>
      <c r="P6" s="4">
        <v>895262</v>
      </c>
      <c r="Q6" s="4">
        <v>50783</v>
      </c>
      <c r="R6" s="4">
        <v>624746</v>
      </c>
      <c r="S6" s="2">
        <v>7269737</v>
      </c>
      <c r="T6" s="10">
        <f t="shared" si="0"/>
        <v>4181228</v>
      </c>
      <c r="U6" s="8">
        <f t="shared" si="1"/>
        <v>0.57515533230431859</v>
      </c>
      <c r="V6" s="9" t="s">
        <v>5268</v>
      </c>
      <c r="W6" s="9" t="str">
        <f t="shared" si="2"/>
        <v>Camberwell MB</v>
      </c>
      <c r="X6" s="9" t="str">
        <f>INDEX(Lookup!$A$2:$A$1349, MATCH(W6, Lookup!$B$2:$B$1349,0))</f>
        <v>J04000254</v>
      </c>
      <c r="Y6" s="9" t="str">
        <f>INDEX(Lookup!$F$2:$F$1349, MATCH(W6, Lookup!$B$2:$B$1349,0))</f>
        <v>e140402</v>
      </c>
      <c r="Z6" s="6" t="str">
        <f>INDEX(Lookup!$C$2:$C$1300, MATCH(X6, Lookup!$A$2:$A$1300,0))</f>
        <v>Inner London</v>
      </c>
    </row>
    <row r="7" spans="1:28" ht="28.15" customHeight="1" x14ac:dyDescent="0.2">
      <c r="A7" s="6" t="s">
        <v>70</v>
      </c>
      <c r="B7" s="1" t="s">
        <v>70</v>
      </c>
      <c r="C7" s="4">
        <v>3047</v>
      </c>
      <c r="D7" s="4">
        <v>182556</v>
      </c>
      <c r="E7" s="4">
        <v>5158</v>
      </c>
      <c r="F7" s="4">
        <v>759914</v>
      </c>
      <c r="G7" s="4">
        <v>8815</v>
      </c>
      <c r="H7" s="4">
        <v>3418873</v>
      </c>
      <c r="I7" s="4">
        <v>864</v>
      </c>
      <c r="J7" s="4">
        <v>900311</v>
      </c>
      <c r="K7" s="4">
        <v>274</v>
      </c>
      <c r="L7" s="4">
        <v>251374</v>
      </c>
      <c r="M7" s="4">
        <v>1524</v>
      </c>
      <c r="N7" s="4">
        <v>817912</v>
      </c>
      <c r="O7" s="4">
        <v>60</v>
      </c>
      <c r="P7" s="4">
        <v>150890</v>
      </c>
      <c r="Q7" s="4">
        <v>71385</v>
      </c>
      <c r="R7" s="4">
        <v>431530</v>
      </c>
      <c r="S7" s="4">
        <v>6984745</v>
      </c>
      <c r="T7" s="10">
        <f t="shared" si="0"/>
        <v>4361343</v>
      </c>
      <c r="U7" s="8">
        <f t="shared" si="1"/>
        <v>0.62440976728570619</v>
      </c>
      <c r="V7" s="9" t="s">
        <v>5268</v>
      </c>
      <c r="W7" s="9" t="str">
        <f t="shared" si="2"/>
        <v>Chelsea MB</v>
      </c>
      <c r="X7" s="9" t="str">
        <f>INDEX(Lookup!$A$2:$A$1349, MATCH(W7, Lookup!$B$2:$B$1349,0))</f>
        <v>J04000290</v>
      </c>
      <c r="Y7" s="9" t="str">
        <f>INDEX(Lookup!$F$2:$F$1349, MATCH(W7, Lookup!$B$2:$B$1349,0))</f>
        <v>e140392</v>
      </c>
      <c r="Z7" s="6" t="str">
        <f>INDEX(Lookup!$C$2:$C$1300, MATCH(X7, Lookup!$A$2:$A$1300,0))</f>
        <v>Inner London</v>
      </c>
    </row>
    <row r="8" spans="1:28" ht="28.15" customHeight="1" x14ac:dyDescent="0.2">
      <c r="A8" s="6" t="s">
        <v>71</v>
      </c>
      <c r="B8" s="1" t="s">
        <v>71</v>
      </c>
      <c r="C8" s="4">
        <v>14819</v>
      </c>
      <c r="D8" s="4">
        <v>985657</v>
      </c>
      <c r="E8" s="4">
        <v>3471</v>
      </c>
      <c r="F8" s="4">
        <v>432051</v>
      </c>
      <c r="G8" s="4">
        <v>112</v>
      </c>
      <c r="H8" s="4">
        <v>24360</v>
      </c>
      <c r="I8" s="4">
        <v>1098</v>
      </c>
      <c r="J8" s="4">
        <v>310067</v>
      </c>
      <c r="K8" s="4">
        <v>93</v>
      </c>
      <c r="L8" s="4">
        <v>14422</v>
      </c>
      <c r="M8" s="4">
        <v>1626</v>
      </c>
      <c r="N8" s="4">
        <v>244613</v>
      </c>
      <c r="O8" s="4">
        <v>141</v>
      </c>
      <c r="P8" s="4">
        <v>539827</v>
      </c>
      <c r="Q8" s="4">
        <v>9775</v>
      </c>
      <c r="R8" s="4">
        <v>270398</v>
      </c>
      <c r="S8" s="2">
        <v>2831170</v>
      </c>
      <c r="T8" s="10">
        <f t="shared" si="0"/>
        <v>1442068</v>
      </c>
      <c r="U8" s="8">
        <f t="shared" si="1"/>
        <v>0.50935408329418574</v>
      </c>
      <c r="V8" s="9" t="s">
        <v>5268</v>
      </c>
      <c r="W8" s="9" t="str">
        <f t="shared" si="2"/>
        <v>Deptford MB</v>
      </c>
      <c r="X8" s="9" t="str">
        <f>INDEX(Lookup!$A$2:$A$1349, MATCH(W8, Lookup!$B$2:$B$1349,0))</f>
        <v>J04000399</v>
      </c>
      <c r="Y8" s="9" t="str">
        <f>INDEX(Lookup!$F$2:$F$1349, MATCH(W8, Lookup!$B$2:$B$1349,0))</f>
        <v>e140397</v>
      </c>
      <c r="Z8" s="6" t="str">
        <f>INDEX(Lookup!$C$2:$C$1300, MATCH(X8, Lookup!$A$2:$A$1300,0))</f>
        <v>Inner London</v>
      </c>
    </row>
    <row r="9" spans="1:28" ht="28.15" customHeight="1" x14ac:dyDescent="0.2">
      <c r="A9" s="6" t="s">
        <v>72</v>
      </c>
      <c r="B9" s="1" t="s">
        <v>72</v>
      </c>
      <c r="C9" s="4">
        <v>4355</v>
      </c>
      <c r="D9" s="4">
        <v>262712</v>
      </c>
      <c r="E9" s="4">
        <v>4371</v>
      </c>
      <c r="F9" s="4">
        <v>619516</v>
      </c>
      <c r="G9" s="4">
        <v>298</v>
      </c>
      <c r="H9" s="4">
        <v>73366</v>
      </c>
      <c r="I9" s="4">
        <v>951</v>
      </c>
      <c r="J9" s="4">
        <v>632624</v>
      </c>
      <c r="K9" s="4">
        <v>1113</v>
      </c>
      <c r="L9" s="4">
        <v>2633238</v>
      </c>
      <c r="M9" s="4">
        <v>2579</v>
      </c>
      <c r="N9" s="4">
        <v>2680231</v>
      </c>
      <c r="O9" s="4">
        <v>103</v>
      </c>
      <c r="P9" s="4">
        <v>1273025</v>
      </c>
      <c r="Q9" s="4">
        <v>380542</v>
      </c>
      <c r="R9" s="4">
        <v>471288</v>
      </c>
      <c r="S9" s="4">
        <v>9026542</v>
      </c>
      <c r="T9" s="10">
        <f t="shared" si="0"/>
        <v>955594</v>
      </c>
      <c r="U9" s="8">
        <f t="shared" si="1"/>
        <v>0.10586490374719355</v>
      </c>
      <c r="V9" s="9" t="s">
        <v>5268</v>
      </c>
      <c r="W9" s="9" t="str">
        <f>_xlfn.CONCAT(B9," ",V9)</f>
        <v>Finsbury MB</v>
      </c>
      <c r="X9" s="9" t="str">
        <f>INDEX(Lookup!$A$2:$A$1349, MATCH(W9, Lookup!$B$2:$B$1349,0))</f>
        <v>J04000504</v>
      </c>
      <c r="Y9" s="9" t="str">
        <f>INDEX(Lookup!$F$2:$F$1349, MATCH(W9, Lookup!$B$2:$B$1349,0))</f>
        <v>e140390</v>
      </c>
      <c r="Z9" s="6" t="str">
        <f>INDEX(Lookup!$C$2:$C$1300, MATCH(X9, Lookup!$A$2:$A$1300,0))</f>
        <v>Inner London</v>
      </c>
    </row>
    <row r="10" spans="1:28" ht="28.15" customHeight="1" x14ac:dyDescent="0.2">
      <c r="A10" s="6" t="s">
        <v>73</v>
      </c>
      <c r="B10" s="1" t="s">
        <v>5272</v>
      </c>
      <c r="C10" s="4">
        <v>14286</v>
      </c>
      <c r="D10" s="4">
        <v>1102886</v>
      </c>
      <c r="E10" s="4">
        <v>14673</v>
      </c>
      <c r="F10" s="4">
        <v>1887633</v>
      </c>
      <c r="G10" s="4">
        <v>1310</v>
      </c>
      <c r="H10" s="4">
        <v>345931</v>
      </c>
      <c r="I10" s="4">
        <v>1917</v>
      </c>
      <c r="J10" s="4">
        <v>504944</v>
      </c>
      <c r="K10" s="4">
        <v>193</v>
      </c>
      <c r="L10" s="4">
        <v>156662</v>
      </c>
      <c r="M10" s="4">
        <v>1424</v>
      </c>
      <c r="N10" s="4">
        <v>495663</v>
      </c>
      <c r="O10" s="4">
        <v>209</v>
      </c>
      <c r="P10" s="4">
        <v>576694</v>
      </c>
      <c r="Q10" s="4">
        <v>112679</v>
      </c>
      <c r="R10" s="4">
        <v>564904</v>
      </c>
      <c r="S10" s="2">
        <v>5747996</v>
      </c>
      <c r="T10" s="10">
        <f t="shared" si="0"/>
        <v>3336450</v>
      </c>
      <c r="U10" s="8">
        <f t="shared" si="1"/>
        <v>0.58045447491612734</v>
      </c>
      <c r="V10" s="9" t="s">
        <v>5268</v>
      </c>
      <c r="W10" s="9" t="str">
        <f t="shared" si="2"/>
        <v>Fulham MB</v>
      </c>
      <c r="X10" s="9" t="str">
        <f>INDEX(Lookup!$A$2:$A$1349, MATCH(W10, Lookup!$B$2:$B$1349,0))</f>
        <v>J04000521</v>
      </c>
      <c r="Y10" s="9" t="str">
        <f>INDEX(Lookup!$F$2:$F$1349, MATCH(W10, Lookup!$B$2:$B$1349,0))</f>
        <v>e140384</v>
      </c>
      <c r="Z10" s="6" t="str">
        <f>INDEX(Lookup!$C$2:$C$1300, MATCH(X10, Lookup!$A$2:$A$1300,0))</f>
        <v>Inner London</v>
      </c>
    </row>
    <row r="11" spans="1:28" ht="28.15" customHeight="1" x14ac:dyDescent="0.2">
      <c r="A11" s="6" t="s">
        <v>74</v>
      </c>
      <c r="B11" s="1" t="s">
        <v>74</v>
      </c>
      <c r="C11" s="4">
        <v>18986</v>
      </c>
      <c r="D11" s="4">
        <v>1216827</v>
      </c>
      <c r="E11" s="4">
        <v>5254</v>
      </c>
      <c r="F11" s="4">
        <v>672408</v>
      </c>
      <c r="G11" s="4">
        <v>397</v>
      </c>
      <c r="H11" s="4">
        <v>93830</v>
      </c>
      <c r="I11" s="4">
        <v>1005</v>
      </c>
      <c r="J11" s="4">
        <v>146188</v>
      </c>
      <c r="K11" s="4">
        <v>106</v>
      </c>
      <c r="L11" s="4">
        <v>18928</v>
      </c>
      <c r="M11" s="4">
        <v>2193</v>
      </c>
      <c r="N11" s="4">
        <v>465856</v>
      </c>
      <c r="O11" s="4">
        <v>180</v>
      </c>
      <c r="P11" s="4">
        <v>1316830</v>
      </c>
      <c r="Q11" s="4">
        <v>139121</v>
      </c>
      <c r="R11" s="4">
        <v>904857</v>
      </c>
      <c r="S11" s="4">
        <v>4974845</v>
      </c>
      <c r="T11" s="10">
        <f t="shared" si="0"/>
        <v>1983065</v>
      </c>
      <c r="U11" s="8">
        <f t="shared" si="1"/>
        <v>0.39861844941902713</v>
      </c>
      <c r="V11" s="9" t="s">
        <v>5268</v>
      </c>
      <c r="W11" s="9" t="str">
        <f t="shared" si="2"/>
        <v>Greenwich MB</v>
      </c>
      <c r="X11" s="9" t="str">
        <f>INDEX(Lookup!$A$2:$A$1349, MATCH(W11, Lookup!$B$2:$B$1349,0))</f>
        <v>J04000553</v>
      </c>
      <c r="Y11" s="9" t="str">
        <f>INDEX(Lookup!$F$2:$F$1349, MATCH(W11, Lookup!$B$2:$B$1349,0))</f>
        <v>e140381</v>
      </c>
      <c r="Z11" s="6" t="str">
        <f>INDEX(Lookup!$C$2:$C$1300, MATCH(X11, Lookup!$A$2:$A$1300,0))</f>
        <v>Inner London</v>
      </c>
    </row>
    <row r="12" spans="1:28" ht="28.15" customHeight="1" x14ac:dyDescent="0.2">
      <c r="A12" s="6" t="s">
        <v>75</v>
      </c>
      <c r="B12" s="1" t="s">
        <v>75</v>
      </c>
      <c r="C12" s="4">
        <v>21631</v>
      </c>
      <c r="D12" s="4">
        <v>1678613</v>
      </c>
      <c r="E12" s="4">
        <v>18720</v>
      </c>
      <c r="F12" s="4">
        <v>2454814</v>
      </c>
      <c r="G12" s="4">
        <v>753</v>
      </c>
      <c r="H12" s="4">
        <v>170425</v>
      </c>
      <c r="I12" s="4">
        <v>2726</v>
      </c>
      <c r="J12" s="4">
        <v>846994</v>
      </c>
      <c r="K12" s="4">
        <v>224</v>
      </c>
      <c r="L12" s="4">
        <v>80811</v>
      </c>
      <c r="M12" s="4">
        <v>3348</v>
      </c>
      <c r="N12" s="4">
        <v>600339</v>
      </c>
      <c r="O12" s="4">
        <v>1107</v>
      </c>
      <c r="P12" s="4">
        <v>1569788</v>
      </c>
      <c r="Q12" s="4">
        <v>48046</v>
      </c>
      <c r="R12" s="4">
        <v>678255</v>
      </c>
      <c r="S12" s="2">
        <v>8128085</v>
      </c>
      <c r="T12" s="10">
        <f t="shared" si="0"/>
        <v>4303852</v>
      </c>
      <c r="U12" s="8">
        <f t="shared" si="1"/>
        <v>0.52950381301376648</v>
      </c>
      <c r="V12" s="9" t="s">
        <v>5268</v>
      </c>
      <c r="W12" s="9" t="str">
        <f t="shared" si="2"/>
        <v>Hackney MB</v>
      </c>
      <c r="X12" s="9" t="str">
        <f>INDEX(Lookup!$A$2:$A$1349, MATCH(W12, Lookup!$B$2:$B$1349,0))</f>
        <v>J04000560</v>
      </c>
      <c r="Y12" s="9" t="str">
        <f>INDEX(Lookup!$F$2:$F$1349, MATCH(W12, Lookup!$B$2:$B$1349,0))</f>
        <v>e140382</v>
      </c>
      <c r="Z12" s="6" t="str">
        <f>INDEX(Lookup!$C$2:$C$1300, MATCH(X12, Lookup!$A$2:$A$1300,0))</f>
        <v>Inner London</v>
      </c>
    </row>
    <row r="13" spans="1:28" ht="28.15" customHeight="1" x14ac:dyDescent="0.2">
      <c r="A13" s="6" t="s">
        <v>76</v>
      </c>
      <c r="B13" s="1" t="s">
        <v>76</v>
      </c>
      <c r="C13" s="4">
        <v>11284</v>
      </c>
      <c r="D13" s="4">
        <v>879768</v>
      </c>
      <c r="E13" s="4">
        <v>12815</v>
      </c>
      <c r="F13" s="4">
        <v>1707302</v>
      </c>
      <c r="G13" s="4">
        <v>1149</v>
      </c>
      <c r="H13" s="4">
        <v>296839</v>
      </c>
      <c r="I13" s="4">
        <v>1725</v>
      </c>
      <c r="J13" s="4">
        <v>913223</v>
      </c>
      <c r="K13" s="4">
        <v>263</v>
      </c>
      <c r="L13" s="4">
        <v>482021</v>
      </c>
      <c r="M13" s="4">
        <v>1534</v>
      </c>
      <c r="N13" s="4">
        <v>628238</v>
      </c>
      <c r="O13" s="4">
        <v>250</v>
      </c>
      <c r="P13" s="4">
        <v>1514683</v>
      </c>
      <c r="Q13" s="4">
        <v>127038</v>
      </c>
      <c r="R13" s="4">
        <v>1139569</v>
      </c>
      <c r="S13" s="4">
        <v>7688681</v>
      </c>
      <c r="T13" s="10">
        <f t="shared" si="0"/>
        <v>2883909</v>
      </c>
      <c r="U13" s="8">
        <f t="shared" si="1"/>
        <v>0.37508501133029187</v>
      </c>
      <c r="V13" s="9" t="s">
        <v>5268</v>
      </c>
      <c r="W13" s="9" t="str">
        <f t="shared" si="2"/>
        <v>Hammersmith MB</v>
      </c>
      <c r="X13" s="9" t="str">
        <f>INDEX(Lookup!$A$2:$A$1349, MATCH(W13, Lookup!$B$2:$B$1349,0))</f>
        <v>J04000572</v>
      </c>
      <c r="Y13" s="9" t="str">
        <f>INDEX(Lookup!$F$2:$F$1349, MATCH(W13, Lookup!$B$2:$B$1349,0))</f>
        <v>e140384</v>
      </c>
      <c r="Z13" s="6" t="str">
        <f>INDEX(Lookup!$C$2:$C$1300, MATCH(X13, Lookup!$A$2:$A$1300,0))</f>
        <v>Inner London</v>
      </c>
    </row>
    <row r="14" spans="1:28" ht="28.15" customHeight="1" x14ac:dyDescent="0.3">
      <c r="A14" s="6" t="s">
        <v>77</v>
      </c>
      <c r="B14" s="1" t="s">
        <v>77</v>
      </c>
      <c r="C14" s="4">
        <v>1769</v>
      </c>
      <c r="D14" s="4">
        <v>125011</v>
      </c>
      <c r="E14" s="4">
        <v>12211</v>
      </c>
      <c r="F14" s="4">
        <v>1864792</v>
      </c>
      <c r="G14" s="4">
        <v>10606</v>
      </c>
      <c r="H14" s="4">
        <v>3401215</v>
      </c>
      <c r="I14" s="4">
        <v>1509</v>
      </c>
      <c r="J14" s="4">
        <v>806015</v>
      </c>
      <c r="K14" s="4">
        <v>213</v>
      </c>
      <c r="L14" s="4">
        <v>82191</v>
      </c>
      <c r="M14" s="4">
        <v>3415</v>
      </c>
      <c r="N14" s="4">
        <v>701408</v>
      </c>
      <c r="O14" s="4">
        <v>24</v>
      </c>
      <c r="P14" s="4">
        <v>76495</v>
      </c>
      <c r="Q14" s="4">
        <v>4851</v>
      </c>
      <c r="R14" s="4">
        <v>453822</v>
      </c>
      <c r="S14" s="2">
        <v>7559461</v>
      </c>
      <c r="T14" s="10">
        <f t="shared" si="0"/>
        <v>5391018</v>
      </c>
      <c r="U14" s="8">
        <f t="shared" si="1"/>
        <v>0.71314846389180397</v>
      </c>
      <c r="V14" s="9" t="s">
        <v>5268</v>
      </c>
      <c r="W14" s="9" t="str">
        <f t="shared" si="2"/>
        <v>Hampstead MB</v>
      </c>
      <c r="X14" s="9" t="str">
        <f>INDEX(Lookup!$A$2:$A$1349, MATCH(W14, Lookup!$B$2:$B$1349,0))</f>
        <v>J04000573</v>
      </c>
      <c r="Y14" s="9" t="str">
        <f>INDEX(Lookup!$F$2:$F$1349, MATCH(W14, Lookup!$B$2:$B$1349,0))</f>
        <v>e140376</v>
      </c>
      <c r="Z14" s="6" t="str">
        <f>INDEX(Lookup!$C$2:$C$1300, MATCH(X14, Lookup!$A$2:$A$1300,0))</f>
        <v>Inner London</v>
      </c>
      <c r="AB14" s="12"/>
    </row>
    <row r="15" spans="1:28" ht="28.15" customHeight="1" x14ac:dyDescent="0.2">
      <c r="A15" s="6" t="s">
        <v>78</v>
      </c>
      <c r="B15" s="1" t="s">
        <v>78</v>
      </c>
      <c r="C15" s="4">
        <v>2347</v>
      </c>
      <c r="D15" s="4">
        <v>142421</v>
      </c>
      <c r="E15" s="4">
        <v>2806</v>
      </c>
      <c r="F15" s="4">
        <v>399637</v>
      </c>
      <c r="G15" s="4">
        <v>694</v>
      </c>
      <c r="H15" s="4">
        <v>182657</v>
      </c>
      <c r="I15" s="4">
        <v>1076</v>
      </c>
      <c r="J15" s="4">
        <v>1246455</v>
      </c>
      <c r="K15" s="4">
        <v>3648</v>
      </c>
      <c r="L15" s="4">
        <v>5195510</v>
      </c>
      <c r="M15" s="4">
        <v>2025</v>
      </c>
      <c r="N15" s="4">
        <v>1608850</v>
      </c>
      <c r="O15" s="4">
        <v>30</v>
      </c>
      <c r="P15" s="4">
        <v>280520</v>
      </c>
      <c r="Q15" s="4">
        <v>708215</v>
      </c>
      <c r="R15" s="4">
        <v>1135731</v>
      </c>
      <c r="S15" s="4">
        <v>10899996</v>
      </c>
      <c r="T15" s="10">
        <f t="shared" si="0"/>
        <v>724715</v>
      </c>
      <c r="U15" s="8">
        <f t="shared" si="1"/>
        <v>6.6487639078032693E-2</v>
      </c>
      <c r="V15" s="9" t="s">
        <v>5268</v>
      </c>
      <c r="W15" s="9" t="str">
        <f t="shared" si="2"/>
        <v>Holborn MB</v>
      </c>
      <c r="X15" s="9" t="str">
        <f>INDEX(Lookup!$A$2:$A$1349, MATCH(W15, Lookup!$B$2:$B$1349,0))</f>
        <v>J04000630</v>
      </c>
      <c r="Y15" s="9" t="str">
        <f>INDEX(Lookup!$F$2:$F$1349, MATCH(W15, Lookup!$B$2:$B$1349,0))</f>
        <v>e140376</v>
      </c>
      <c r="Z15" s="6" t="str">
        <f>INDEX(Lookup!$C$2:$C$1300, MATCH(X15, Lookup!$A$2:$A$1300,0))</f>
        <v>Inner London</v>
      </c>
    </row>
    <row r="16" spans="1:28" ht="28.15" customHeight="1" x14ac:dyDescent="0.2">
      <c r="A16" s="6" t="s">
        <v>79</v>
      </c>
      <c r="B16" s="1" t="s">
        <v>79</v>
      </c>
      <c r="C16" s="4">
        <v>18878</v>
      </c>
      <c r="D16" s="4">
        <v>1455931</v>
      </c>
      <c r="E16" s="4">
        <v>25753</v>
      </c>
      <c r="F16" s="4">
        <v>3298793</v>
      </c>
      <c r="G16" s="4">
        <v>848</v>
      </c>
      <c r="H16" s="4">
        <v>198608</v>
      </c>
      <c r="I16" s="4">
        <v>3720</v>
      </c>
      <c r="J16" s="4">
        <v>1119963</v>
      </c>
      <c r="K16" s="4">
        <v>432</v>
      </c>
      <c r="L16" s="4">
        <v>132254</v>
      </c>
      <c r="M16" s="4">
        <v>3676</v>
      </c>
      <c r="N16" s="4">
        <v>1056137</v>
      </c>
      <c r="O16" s="4">
        <v>1214</v>
      </c>
      <c r="P16" s="4">
        <v>1619025</v>
      </c>
      <c r="Q16" s="4">
        <v>136610</v>
      </c>
      <c r="R16" s="4">
        <v>684990</v>
      </c>
      <c r="S16" s="2">
        <v>9702311</v>
      </c>
      <c r="T16" s="10">
        <f t="shared" si="0"/>
        <v>4953332</v>
      </c>
      <c r="U16" s="8">
        <f t="shared" si="1"/>
        <v>0.51053115077428457</v>
      </c>
      <c r="V16" s="9" t="s">
        <v>5268</v>
      </c>
      <c r="W16" s="9" t="str">
        <f t="shared" si="2"/>
        <v>Islington MB</v>
      </c>
      <c r="X16" s="9" t="str">
        <f>INDEX(Lookup!$A$2:$A$1349, MATCH(W16, Lookup!$B$2:$B$1349,0))</f>
        <v>J04000677</v>
      </c>
      <c r="Y16" s="9" t="str">
        <f>INDEX(Lookup!$F$2:$F$1349, MATCH(W16, Lookup!$B$2:$B$1349,0))</f>
        <v>e140390</v>
      </c>
      <c r="Z16" s="6" t="str">
        <f>INDEX(Lookup!$C$2:$C$1300, MATCH(X16, Lookup!$A$2:$A$1300,0))</f>
        <v>Inner London</v>
      </c>
    </row>
    <row r="17" spans="1:26" ht="28.15" customHeight="1" x14ac:dyDescent="0.2">
      <c r="A17" s="6" t="s">
        <v>80</v>
      </c>
      <c r="B17" s="1" t="s">
        <v>80</v>
      </c>
      <c r="C17" s="4">
        <v>4705</v>
      </c>
      <c r="D17" s="4">
        <v>348131</v>
      </c>
      <c r="E17" s="4">
        <v>15881</v>
      </c>
      <c r="F17" s="4">
        <v>2355555</v>
      </c>
      <c r="G17" s="4">
        <v>21321</v>
      </c>
      <c r="H17" s="4">
        <v>7657589</v>
      </c>
      <c r="I17" s="4">
        <v>2903</v>
      </c>
      <c r="J17" s="4">
        <v>2611322</v>
      </c>
      <c r="K17" s="4">
        <v>754</v>
      </c>
      <c r="L17" s="4">
        <v>810718</v>
      </c>
      <c r="M17" s="4">
        <v>5827</v>
      </c>
      <c r="N17" s="4">
        <v>2510324</v>
      </c>
      <c r="O17" s="4">
        <v>162</v>
      </c>
      <c r="P17" s="4">
        <v>349003</v>
      </c>
      <c r="Q17" s="4">
        <v>242536</v>
      </c>
      <c r="R17" s="4">
        <v>1110635</v>
      </c>
      <c r="S17" s="4">
        <v>17995813</v>
      </c>
      <c r="T17" s="10">
        <f t="shared" si="0"/>
        <v>10361275</v>
      </c>
      <c r="U17" s="8">
        <f t="shared" si="1"/>
        <v>0.57576031713599163</v>
      </c>
      <c r="V17" s="9" t="s">
        <v>5268</v>
      </c>
      <c r="W17" s="9" t="str">
        <f t="shared" si="2"/>
        <v>Kensington MB</v>
      </c>
      <c r="X17" s="9" t="str">
        <f>INDEX(Lookup!$A$2:$A$1349, MATCH(W17, Lookup!$B$2:$B$1349,0))</f>
        <v>J04000684</v>
      </c>
      <c r="Y17" s="9" t="str">
        <f>INDEX(Lookup!$F$2:$F$1349, MATCH(W17, Lookup!$B$2:$B$1349,0))</f>
        <v>e140392</v>
      </c>
      <c r="Z17" s="6" t="str">
        <f>INDEX(Lookup!$C$2:$C$1300, MATCH(X17, Lookup!$A$2:$A$1300,0))</f>
        <v>Inner London</v>
      </c>
    </row>
    <row r="18" spans="1:26" ht="28.15" customHeight="1" x14ac:dyDescent="0.2">
      <c r="A18" s="6" t="s">
        <v>81</v>
      </c>
      <c r="B18" s="1" t="s">
        <v>81</v>
      </c>
      <c r="C18" s="4">
        <v>31733</v>
      </c>
      <c r="D18" s="4">
        <v>2303726</v>
      </c>
      <c r="E18" s="4">
        <v>24456</v>
      </c>
      <c r="F18" s="4">
        <v>2976483</v>
      </c>
      <c r="G18" s="4">
        <v>888</v>
      </c>
      <c r="H18" s="4">
        <v>190653</v>
      </c>
      <c r="I18" s="4">
        <v>3480</v>
      </c>
      <c r="J18" s="4">
        <v>1236125</v>
      </c>
      <c r="K18" s="4">
        <v>483</v>
      </c>
      <c r="L18" s="4">
        <v>2799393</v>
      </c>
      <c r="M18" s="4">
        <v>4416</v>
      </c>
      <c r="N18" s="4">
        <v>1044467</v>
      </c>
      <c r="O18" s="4">
        <v>460</v>
      </c>
      <c r="P18" s="4">
        <v>1101428</v>
      </c>
      <c r="Q18" s="4">
        <v>423452</v>
      </c>
      <c r="R18" s="4">
        <v>811973</v>
      </c>
      <c r="S18" s="2">
        <v>12887700</v>
      </c>
      <c r="T18" s="10">
        <f t="shared" si="0"/>
        <v>5470862</v>
      </c>
      <c r="U18" s="8">
        <f t="shared" si="1"/>
        <v>0.42450258773869659</v>
      </c>
      <c r="V18" s="9" t="s">
        <v>5268</v>
      </c>
      <c r="W18" s="9" t="str">
        <f t="shared" si="2"/>
        <v>Lambeth MB</v>
      </c>
      <c r="X18" s="9" t="str">
        <f>INDEX(Lookup!$A$2:$A$1349, MATCH(W18, Lookup!$B$2:$B$1349,0))</f>
        <v>J04000716</v>
      </c>
      <c r="Y18" s="9" t="str">
        <f>INDEX(Lookup!$F$2:$F$1349, MATCH(W18, Lookup!$B$2:$B$1349,0))</f>
        <v>e140395</v>
      </c>
      <c r="Z18" s="6" t="str">
        <f>INDEX(Lookup!$C$2:$C$1300, MATCH(X18, Lookup!$A$2:$A$1300,0))</f>
        <v>Inner London</v>
      </c>
    </row>
    <row r="19" spans="1:26" ht="28.15" customHeight="1" x14ac:dyDescent="0.2">
      <c r="A19" s="6" t="s">
        <v>82</v>
      </c>
      <c r="B19" s="1" t="s">
        <v>82</v>
      </c>
      <c r="C19" s="4">
        <v>41212</v>
      </c>
      <c r="D19" s="4">
        <v>2982177</v>
      </c>
      <c r="E19" s="4">
        <v>24576</v>
      </c>
      <c r="F19" s="4">
        <v>3063590</v>
      </c>
      <c r="G19" s="4">
        <v>519</v>
      </c>
      <c r="H19" s="4">
        <v>118841</v>
      </c>
      <c r="I19" s="4">
        <v>2709</v>
      </c>
      <c r="J19" s="4">
        <v>1092059</v>
      </c>
      <c r="K19" s="4">
        <v>345</v>
      </c>
      <c r="L19" s="4">
        <v>70595</v>
      </c>
      <c r="M19" s="4">
        <v>5505</v>
      </c>
      <c r="N19" s="4">
        <v>399158</v>
      </c>
      <c r="O19" s="4">
        <v>169</v>
      </c>
      <c r="P19" s="4">
        <v>364997</v>
      </c>
      <c r="Q19" s="4">
        <v>55231</v>
      </c>
      <c r="R19" s="4">
        <v>707378</v>
      </c>
      <c r="S19" s="4">
        <v>8854026</v>
      </c>
      <c r="T19" s="10">
        <f t="shared" si="0"/>
        <v>6164608</v>
      </c>
      <c r="U19" s="8">
        <f t="shared" si="1"/>
        <v>0.69624914135106453</v>
      </c>
      <c r="V19" s="9" t="s">
        <v>5268</v>
      </c>
      <c r="W19" s="9" t="str">
        <f t="shared" si="2"/>
        <v>Lewisham MB</v>
      </c>
      <c r="X19" s="9" t="str">
        <f>INDEX(Lookup!$A$2:$A$1349, MATCH(W19, Lookup!$B$2:$B$1349,0))</f>
        <v>J04000739</v>
      </c>
      <c r="Y19" s="9" t="str">
        <f>INDEX(Lookup!$F$2:$F$1349, MATCH(W19, Lookup!$B$2:$B$1349,0))</f>
        <v>e140397</v>
      </c>
      <c r="Z19" s="6" t="str">
        <f>INDEX(Lookup!$C$2:$C$1300, MATCH(X19, Lookup!$A$2:$A$1300,0))</f>
        <v>Inner London</v>
      </c>
    </row>
    <row r="20" spans="1:26" ht="28.15" customHeight="1" x14ac:dyDescent="0.2">
      <c r="A20" s="6" t="s">
        <v>83</v>
      </c>
      <c r="B20" s="1" t="s">
        <v>83</v>
      </c>
      <c r="C20" s="4">
        <v>14679</v>
      </c>
      <c r="D20" s="4">
        <v>948327</v>
      </c>
      <c r="E20" s="4">
        <v>9097</v>
      </c>
      <c r="F20" s="4">
        <v>1364261</v>
      </c>
      <c r="G20" s="4">
        <v>7880</v>
      </c>
      <c r="H20" s="4">
        <v>3062463</v>
      </c>
      <c r="I20" s="4">
        <v>1677</v>
      </c>
      <c r="J20" s="4">
        <v>877104</v>
      </c>
      <c r="K20" s="4">
        <v>406</v>
      </c>
      <c r="L20" s="4">
        <v>670032</v>
      </c>
      <c r="M20" s="4">
        <v>2636</v>
      </c>
      <c r="N20" s="4">
        <v>1289032</v>
      </c>
      <c r="O20" s="4">
        <v>14</v>
      </c>
      <c r="P20" s="4">
        <v>41805</v>
      </c>
      <c r="Q20" s="4">
        <v>225601</v>
      </c>
      <c r="R20" s="4">
        <v>549463</v>
      </c>
      <c r="S20" s="2">
        <v>9028088</v>
      </c>
      <c r="T20" s="10">
        <f t="shared" si="0"/>
        <v>5375051</v>
      </c>
      <c r="U20" s="8">
        <f t="shared" si="1"/>
        <v>0.59536980587694754</v>
      </c>
      <c r="V20" s="9" t="s">
        <v>5268</v>
      </c>
      <c r="W20" s="9" t="str">
        <f t="shared" si="2"/>
        <v>Paddington MB</v>
      </c>
      <c r="X20" s="9" t="str">
        <f>INDEX(Lookup!$A$2:$A$1349, MATCH(W20, Lookup!$B$2:$B$1349,0))</f>
        <v>J04000968</v>
      </c>
      <c r="Y20" s="9" t="str">
        <f>INDEX(Lookup!$F$2:$F$1349, MATCH(W20, Lookup!$B$2:$B$1349,0))</f>
        <v>e140409</v>
      </c>
      <c r="Z20" s="6" t="str">
        <f>INDEX(Lookup!$C$2:$C$1300, MATCH(X20, Lookup!$A$2:$A$1300,0))</f>
        <v>Inner London</v>
      </c>
    </row>
    <row r="21" spans="1:26" ht="28.15" customHeight="1" x14ac:dyDescent="0.2">
      <c r="A21" s="6" t="s">
        <v>84</v>
      </c>
      <c r="B21" s="1" t="s">
        <v>84</v>
      </c>
      <c r="C21" s="4">
        <v>15184</v>
      </c>
      <c r="D21" s="4">
        <v>1087526</v>
      </c>
      <c r="E21" s="4">
        <v>3149</v>
      </c>
      <c r="F21" s="4">
        <v>349474</v>
      </c>
      <c r="G21" s="4">
        <v>3</v>
      </c>
      <c r="H21" s="4">
        <v>638</v>
      </c>
      <c r="I21" s="4">
        <v>967</v>
      </c>
      <c r="J21" s="4">
        <v>222656</v>
      </c>
      <c r="K21" s="4">
        <v>129</v>
      </c>
      <c r="L21" s="4">
        <v>50215</v>
      </c>
      <c r="M21" s="4">
        <v>1315</v>
      </c>
      <c r="N21" s="4">
        <v>641316</v>
      </c>
      <c r="O21" s="4">
        <v>382</v>
      </c>
      <c r="P21" s="4">
        <v>1715989</v>
      </c>
      <c r="Q21" s="4">
        <v>24622</v>
      </c>
      <c r="R21" s="4">
        <v>547395</v>
      </c>
      <c r="S21" s="4">
        <v>4639831</v>
      </c>
      <c r="T21" s="10">
        <f t="shared" si="0"/>
        <v>1437638</v>
      </c>
      <c r="U21" s="8">
        <f t="shared" si="1"/>
        <v>0.30984706123994604</v>
      </c>
      <c r="V21" s="9" t="s">
        <v>5268</v>
      </c>
      <c r="W21" s="9" t="str">
        <f t="shared" si="2"/>
        <v>Poplar MB</v>
      </c>
      <c r="X21" s="9" t="str">
        <f>INDEX(Lookup!$A$2:$A$1349, MATCH(W21, Lookup!$B$2:$B$1349,0))</f>
        <v>J04001005</v>
      </c>
      <c r="Y21" s="9" t="str">
        <f>INDEX(Lookup!$F$2:$F$1349, MATCH(W21, Lookup!$B$2:$B$1349,0))</f>
        <v>e140405</v>
      </c>
      <c r="Z21" s="6" t="str">
        <f>INDEX(Lookup!$C$2:$C$1300, MATCH(X21, Lookup!$A$2:$A$1300,0))</f>
        <v>Inner London</v>
      </c>
    </row>
    <row r="22" spans="1:26" ht="28.15" customHeight="1" x14ac:dyDescent="0.2">
      <c r="A22" s="6" t="s">
        <v>85</v>
      </c>
      <c r="B22" s="1" t="s">
        <v>5273</v>
      </c>
      <c r="C22" s="4">
        <v>4451</v>
      </c>
      <c r="D22" s="4">
        <v>275336</v>
      </c>
      <c r="E22" s="4">
        <v>8138</v>
      </c>
      <c r="F22" s="4">
        <v>1228401</v>
      </c>
      <c r="G22" s="4">
        <v>12576</v>
      </c>
      <c r="H22" s="4">
        <v>4612722</v>
      </c>
      <c r="I22" s="4">
        <v>2733</v>
      </c>
      <c r="J22" s="4">
        <v>6882196</v>
      </c>
      <c r="K22" s="4">
        <v>2706</v>
      </c>
      <c r="L22" s="4">
        <v>6319600</v>
      </c>
      <c r="M22" s="4">
        <v>3978</v>
      </c>
      <c r="N22" s="4">
        <v>2382029</v>
      </c>
      <c r="O22" s="4">
        <v>16</v>
      </c>
      <c r="P22" s="4">
        <v>110750</v>
      </c>
      <c r="Q22" s="4">
        <v>198316</v>
      </c>
      <c r="R22" s="4">
        <v>1614248</v>
      </c>
      <c r="S22" s="2">
        <v>23623598</v>
      </c>
      <c r="T22" s="10">
        <f t="shared" si="0"/>
        <v>6116459</v>
      </c>
      <c r="U22" s="8">
        <f t="shared" si="1"/>
        <v>0.25891310036684506</v>
      </c>
      <c r="V22" s="9" t="s">
        <v>5268</v>
      </c>
      <c r="W22" s="9" t="str">
        <f t="shared" si="2"/>
        <v>St. Marylebone MB</v>
      </c>
      <c r="X22" s="9" t="str">
        <f>INDEX(Lookup!$A$2:$A$1349, MATCH(W22, Lookup!$B$2:$B$1349,0))</f>
        <v>J04001191</v>
      </c>
      <c r="Y22" s="9" t="str">
        <f>INDEX(Lookup!$F$2:$F$1349, MATCH(W22, Lookup!$B$2:$B$1349,0))</f>
        <v>e140409</v>
      </c>
      <c r="Z22" s="6" t="str">
        <f>INDEX(Lookup!$C$2:$C$1300, MATCH(X22, Lookup!$A$2:$A$1300,0))</f>
        <v>Inner London</v>
      </c>
    </row>
    <row r="23" spans="1:26" ht="28.15" customHeight="1" x14ac:dyDescent="0.2">
      <c r="A23" s="6" t="s">
        <v>86</v>
      </c>
      <c r="B23" s="1" t="s">
        <v>5274</v>
      </c>
      <c r="C23" s="4">
        <v>9778</v>
      </c>
      <c r="D23" s="4">
        <v>701768</v>
      </c>
      <c r="E23" s="4">
        <v>16455</v>
      </c>
      <c r="F23" s="4">
        <v>2214509</v>
      </c>
      <c r="G23" s="4">
        <v>3211</v>
      </c>
      <c r="H23" s="4">
        <v>949072</v>
      </c>
      <c r="I23" s="4">
        <v>2809</v>
      </c>
      <c r="J23" s="4">
        <v>1592405</v>
      </c>
      <c r="K23" s="4">
        <v>1231</v>
      </c>
      <c r="L23" s="4">
        <v>2290649</v>
      </c>
      <c r="M23" s="4">
        <v>3695</v>
      </c>
      <c r="N23" s="4">
        <v>1966025</v>
      </c>
      <c r="O23" s="4">
        <v>872</v>
      </c>
      <c r="P23" s="4">
        <v>1612428</v>
      </c>
      <c r="Q23" s="4">
        <v>292291</v>
      </c>
      <c r="R23" s="4">
        <v>1340612</v>
      </c>
      <c r="S23" s="4">
        <v>12959759</v>
      </c>
      <c r="T23" s="10">
        <f t="shared" si="0"/>
        <v>3865349</v>
      </c>
      <c r="U23" s="8">
        <f t="shared" si="1"/>
        <v>0.29825778396033442</v>
      </c>
      <c r="V23" s="9" t="s">
        <v>5268</v>
      </c>
      <c r="W23" s="9" t="str">
        <f t="shared" si="2"/>
        <v>St. Pancras MB</v>
      </c>
      <c r="X23" s="9" t="str">
        <f>INDEX(Lookup!$A$2:$A$1349, MATCH(W23, Lookup!$B$2:$B$1349,0))</f>
        <v>J04001194</v>
      </c>
      <c r="Y23" s="9" t="str">
        <f>INDEX(Lookup!$F$2:$F$1349, MATCH(W23, Lookup!$B$2:$B$1349,0))</f>
        <v>e140376</v>
      </c>
      <c r="Z23" s="6" t="str">
        <f>INDEX(Lookup!$C$2:$C$1300, MATCH(X23, Lookup!$A$2:$A$1300,0))</f>
        <v>Inner London</v>
      </c>
    </row>
    <row r="24" spans="1:26" ht="28.15" customHeight="1" x14ac:dyDescent="0.2">
      <c r="A24" s="6" t="s">
        <v>87</v>
      </c>
      <c r="B24" s="1" t="s">
        <v>87</v>
      </c>
      <c r="C24" s="4">
        <v>8592</v>
      </c>
      <c r="D24" s="4">
        <v>642759</v>
      </c>
      <c r="E24" s="4">
        <v>3207</v>
      </c>
      <c r="F24" s="4">
        <v>356654</v>
      </c>
      <c r="G24" s="4">
        <v>2</v>
      </c>
      <c r="H24" s="4">
        <v>432</v>
      </c>
      <c r="I24" s="4">
        <v>765</v>
      </c>
      <c r="J24" s="4">
        <v>179915</v>
      </c>
      <c r="K24" s="4">
        <v>197</v>
      </c>
      <c r="L24" s="4">
        <v>144220</v>
      </c>
      <c r="M24" s="4">
        <v>1536</v>
      </c>
      <c r="N24" s="4">
        <v>817233</v>
      </c>
      <c r="O24" s="4">
        <v>982</v>
      </c>
      <c r="P24" s="4">
        <v>1519005</v>
      </c>
      <c r="Q24" s="4">
        <v>36987</v>
      </c>
      <c r="R24" s="4">
        <v>210789</v>
      </c>
      <c r="S24" s="2">
        <v>3907994</v>
      </c>
      <c r="T24" s="10">
        <f t="shared" si="0"/>
        <v>999845</v>
      </c>
      <c r="U24" s="8">
        <f t="shared" si="1"/>
        <v>0.25584609392951985</v>
      </c>
      <c r="V24" s="9" t="s">
        <v>5268</v>
      </c>
      <c r="W24" s="9" t="str">
        <f t="shared" si="2"/>
        <v>Shoreditch MB</v>
      </c>
      <c r="X24" s="9" t="str">
        <f>INDEX(Lookup!$A$2:$A$1349, MATCH(W24, Lookup!$B$2:$B$1349,0))</f>
        <v>J04001138</v>
      </c>
      <c r="Y24" s="9" t="str">
        <f>INDEX(Lookup!$F$2:$F$1349, MATCH(W24, Lookup!$B$2:$B$1349,0))</f>
        <v>e140382</v>
      </c>
      <c r="Z24" s="6" t="str">
        <f>INDEX(Lookup!$C$2:$C$1300, MATCH(X24, Lookup!$A$2:$A$1300,0))</f>
        <v>Inner London</v>
      </c>
    </row>
    <row r="25" spans="1:26" ht="28.15" customHeight="1" x14ac:dyDescent="0.2">
      <c r="A25" s="6" t="s">
        <v>88</v>
      </c>
      <c r="B25" s="1" t="s">
        <v>88</v>
      </c>
      <c r="C25" s="4">
        <v>22272</v>
      </c>
      <c r="D25" s="4">
        <v>1301076</v>
      </c>
      <c r="E25" s="4">
        <v>2786</v>
      </c>
      <c r="F25" s="4">
        <v>328285</v>
      </c>
      <c r="G25" s="4">
        <v>14</v>
      </c>
      <c r="H25" s="4">
        <v>3161</v>
      </c>
      <c r="I25" s="4">
        <v>1396</v>
      </c>
      <c r="J25" s="4">
        <v>429604</v>
      </c>
      <c r="K25" s="4">
        <v>461</v>
      </c>
      <c r="L25" s="4">
        <v>685887</v>
      </c>
      <c r="M25" s="4">
        <v>1792</v>
      </c>
      <c r="N25" s="4">
        <v>1189653</v>
      </c>
      <c r="O25" s="4">
        <v>473</v>
      </c>
      <c r="P25" s="4">
        <v>1074509</v>
      </c>
      <c r="Q25" s="4">
        <v>364108</v>
      </c>
      <c r="R25" s="4">
        <v>495671</v>
      </c>
      <c r="S25" s="4">
        <v>5871954</v>
      </c>
      <c r="T25" s="10">
        <f t="shared" si="0"/>
        <v>1632522</v>
      </c>
      <c r="U25" s="8">
        <f t="shared" si="1"/>
        <v>0.27802022972250806</v>
      </c>
      <c r="V25" s="9" t="s">
        <v>5268</v>
      </c>
      <c r="W25" s="9" t="str">
        <f t="shared" si="2"/>
        <v>Southwark MB</v>
      </c>
      <c r="X25" s="9" t="str">
        <f>INDEX(Lookup!$A$2:$A$1349, MATCH(W25, Lookup!$B$2:$B$1349,0))</f>
        <v>J04001169</v>
      </c>
      <c r="Y25" s="9" t="str">
        <f>INDEX(Lookup!$F$2:$F$1349, MATCH(W25, Lookup!$B$2:$B$1349,0))</f>
        <v>e140402</v>
      </c>
      <c r="Z25" s="6" t="str">
        <f>INDEX(Lookup!$C$2:$C$1300, MATCH(X25, Lookup!$A$2:$A$1300,0))</f>
        <v>Inner London</v>
      </c>
    </row>
    <row r="26" spans="1:26" ht="28.15" customHeight="1" x14ac:dyDescent="0.2">
      <c r="A26" s="6" t="s">
        <v>89</v>
      </c>
      <c r="B26" s="1" t="s">
        <v>89</v>
      </c>
      <c r="C26" s="4">
        <v>21324</v>
      </c>
      <c r="D26" s="4">
        <v>1472231</v>
      </c>
      <c r="E26" s="4">
        <v>4998</v>
      </c>
      <c r="F26" s="4">
        <v>572385</v>
      </c>
      <c r="G26" s="4">
        <v>44</v>
      </c>
      <c r="H26" s="4">
        <v>10234</v>
      </c>
      <c r="I26" s="4">
        <v>2438</v>
      </c>
      <c r="J26" s="4">
        <v>701421</v>
      </c>
      <c r="K26" s="4">
        <v>432</v>
      </c>
      <c r="L26" s="4">
        <v>494767</v>
      </c>
      <c r="M26" s="4">
        <v>2455</v>
      </c>
      <c r="N26" s="4">
        <v>1557677</v>
      </c>
      <c r="O26" s="4">
        <v>1320</v>
      </c>
      <c r="P26" s="4">
        <v>1744644</v>
      </c>
      <c r="Q26" s="4">
        <v>108043</v>
      </c>
      <c r="R26" s="4">
        <v>670636</v>
      </c>
      <c r="S26" s="2">
        <v>7332038</v>
      </c>
      <c r="T26" s="10">
        <f t="shared" si="0"/>
        <v>2054850</v>
      </c>
      <c r="U26" s="8">
        <f t="shared" si="1"/>
        <v>0.28025632163935865</v>
      </c>
      <c r="V26" s="9" t="s">
        <v>5268</v>
      </c>
      <c r="W26" s="9" t="str">
        <f t="shared" si="2"/>
        <v>Stepney MB</v>
      </c>
      <c r="X26" s="9" t="str">
        <f>INDEX(Lookup!$A$2:$A$1349, MATCH(W26, Lookup!$B$2:$B$1349,0))</f>
        <v>J04001206</v>
      </c>
      <c r="Y26" s="9" t="str">
        <f>INDEX(Lookup!$F$2:$F$1349, MATCH(W26, Lookup!$B$2:$B$1349,0))</f>
        <v>e140405</v>
      </c>
      <c r="Z26" s="6" t="str">
        <f>INDEX(Lookup!$C$2:$C$1300, MATCH(X26, Lookup!$A$2:$A$1300,0))</f>
        <v>Inner London</v>
      </c>
    </row>
    <row r="27" spans="1:26" ht="28.15" customHeight="1" x14ac:dyDescent="0.2">
      <c r="A27" s="6" t="s">
        <v>90</v>
      </c>
      <c r="B27" s="1" t="s">
        <v>90</v>
      </c>
      <c r="C27" s="4">
        <v>3386</v>
      </c>
      <c r="D27" s="4">
        <v>256920</v>
      </c>
      <c r="E27" s="4">
        <v>8344</v>
      </c>
      <c r="F27" s="4">
        <v>1040302</v>
      </c>
      <c r="G27" s="4">
        <v>376</v>
      </c>
      <c r="H27" s="4">
        <v>87161</v>
      </c>
      <c r="I27" s="4">
        <v>751</v>
      </c>
      <c r="J27" s="4">
        <v>179110</v>
      </c>
      <c r="K27" s="4">
        <v>88</v>
      </c>
      <c r="L27" s="4">
        <v>25820</v>
      </c>
      <c r="M27" s="4">
        <v>904</v>
      </c>
      <c r="N27" s="4">
        <v>129547</v>
      </c>
      <c r="O27" s="4">
        <v>182</v>
      </c>
      <c r="P27" s="4">
        <v>174524</v>
      </c>
      <c r="Q27" s="4">
        <v>6871</v>
      </c>
      <c r="R27" s="4">
        <v>189323</v>
      </c>
      <c r="S27" s="4">
        <v>2089578</v>
      </c>
      <c r="T27" s="10">
        <f t="shared" si="0"/>
        <v>1384383</v>
      </c>
      <c r="U27" s="8">
        <f t="shared" si="1"/>
        <v>0.662517982099735</v>
      </c>
      <c r="V27" s="9" t="s">
        <v>5268</v>
      </c>
      <c r="W27" s="9" t="str">
        <f t="shared" si="2"/>
        <v>Stoke Newington MB</v>
      </c>
      <c r="X27" s="9" t="str">
        <f>INDEX(Lookup!$A$2:$A$1349, MATCH(W27, Lookup!$B$2:$B$1349,0))</f>
        <v>J04001212</v>
      </c>
      <c r="Y27" s="9" t="str">
        <f>INDEX(Lookup!$F$2:$F$1349, MATCH(W27, Lookup!$B$2:$B$1349,0))</f>
        <v>e140382</v>
      </c>
      <c r="Z27" s="6" t="str">
        <f>INDEX(Lookup!$C$2:$C$1300, MATCH(X27, Lookup!$A$2:$A$1300,0))</f>
        <v>Inner London</v>
      </c>
    </row>
    <row r="28" spans="1:26" ht="28.15" customHeight="1" x14ac:dyDescent="0.2">
      <c r="A28" s="6" t="s">
        <v>91</v>
      </c>
      <c r="B28" s="1" t="s">
        <v>91</v>
      </c>
      <c r="C28" s="4">
        <v>48950</v>
      </c>
      <c r="D28" s="4">
        <v>3606689</v>
      </c>
      <c r="E28" s="4">
        <v>44086</v>
      </c>
      <c r="F28" s="4">
        <v>5604976</v>
      </c>
      <c r="G28" s="4">
        <v>3837</v>
      </c>
      <c r="H28" s="4">
        <v>943528</v>
      </c>
      <c r="I28" s="4">
        <v>4799</v>
      </c>
      <c r="J28" s="4">
        <v>1685905</v>
      </c>
      <c r="K28" s="4">
        <v>545</v>
      </c>
      <c r="L28" s="4">
        <v>221768</v>
      </c>
      <c r="M28" s="4">
        <v>9088</v>
      </c>
      <c r="N28" s="4">
        <v>960807</v>
      </c>
      <c r="O28" s="4">
        <v>523</v>
      </c>
      <c r="P28" s="4">
        <v>1186969</v>
      </c>
      <c r="Q28" s="4">
        <v>113578</v>
      </c>
      <c r="R28" s="4">
        <v>1506962</v>
      </c>
      <c r="S28" s="2">
        <v>15831182</v>
      </c>
      <c r="T28" s="10">
        <f t="shared" si="0"/>
        <v>10155193</v>
      </c>
      <c r="U28" s="8">
        <f t="shared" si="1"/>
        <v>0.64146776911540782</v>
      </c>
      <c r="V28" s="9" t="s">
        <v>5268</v>
      </c>
      <c r="W28" s="9" t="str">
        <f t="shared" si="2"/>
        <v>Wandsworth MB</v>
      </c>
      <c r="X28" s="9" t="str">
        <f>INDEX(Lookup!$A$2:$A$1349, MATCH(W28, Lookup!$B$2:$B$1349,0))</f>
        <v>J04001334</v>
      </c>
      <c r="Y28" s="9" t="str">
        <f>INDEX(Lookup!$F$2:$F$1349, MATCH(W28, Lookup!$B$2:$B$1349,0))</f>
        <v>e140408</v>
      </c>
      <c r="Z28" s="6" t="str">
        <f>INDEX(Lookup!$C$2:$C$1300, MATCH(X28, Lookup!$A$2:$A$1300,0))</f>
        <v>Inner London</v>
      </c>
    </row>
    <row r="29" spans="1:26" ht="28.15" customHeight="1" x14ac:dyDescent="0.2">
      <c r="A29" s="6" t="s">
        <v>92</v>
      </c>
      <c r="B29" s="1" t="s">
        <v>3104</v>
      </c>
      <c r="C29" s="4">
        <v>8216</v>
      </c>
      <c r="D29" s="4">
        <v>508990</v>
      </c>
      <c r="E29" s="4">
        <v>7916</v>
      </c>
      <c r="F29" s="4">
        <v>1167472</v>
      </c>
      <c r="G29" s="4">
        <v>12083</v>
      </c>
      <c r="H29" s="4">
        <v>6628898</v>
      </c>
      <c r="I29" s="4">
        <v>4878</v>
      </c>
      <c r="J29" s="4">
        <v>11539201</v>
      </c>
      <c r="K29" s="4">
        <v>12338</v>
      </c>
      <c r="L29" s="4">
        <v>29463213</v>
      </c>
      <c r="M29" s="4">
        <v>6813</v>
      </c>
      <c r="N29" s="4">
        <v>7522628</v>
      </c>
      <c r="O29" s="4">
        <v>49</v>
      </c>
      <c r="P29" s="4">
        <v>405478</v>
      </c>
      <c r="Q29" s="2">
        <v>2840207</v>
      </c>
      <c r="R29" s="4">
        <v>4514220</v>
      </c>
      <c r="S29" s="4">
        <v>64590307</v>
      </c>
      <c r="T29" s="10">
        <f t="shared" si="0"/>
        <v>8305360</v>
      </c>
      <c r="U29" s="8">
        <f t="shared" si="1"/>
        <v>0.12858523802960095</v>
      </c>
      <c r="V29" s="9" t="s">
        <v>5268</v>
      </c>
      <c r="W29" s="9" t="str">
        <f t="shared" si="2"/>
        <v>Westminster MB</v>
      </c>
      <c r="X29" s="9" t="str">
        <f>INDEX(Lookup!$A$2:$A$1349, MATCH(W29, Lookup!$B$2:$B$1349,0))</f>
        <v>J04001391</v>
      </c>
      <c r="Y29" s="9" t="str">
        <f>INDEX(Lookup!$F$2:$F$1349, MATCH(W29, Lookup!$B$2:$B$1349,0))</f>
        <v>e140409</v>
      </c>
      <c r="Z29" s="6" t="str">
        <f>INDEX(Lookup!$C$2:$C$1300, MATCH(X29, Lookup!$A$2:$A$1300,0))</f>
        <v>Inner London</v>
      </c>
    </row>
    <row r="30" spans="1:26" ht="28.15" customHeight="1" x14ac:dyDescent="0.2">
      <c r="A30" s="6" t="s">
        <v>93</v>
      </c>
      <c r="B30" s="1" t="s">
        <v>93</v>
      </c>
      <c r="C30" s="4">
        <v>35894</v>
      </c>
      <c r="D30" s="4">
        <v>2644842</v>
      </c>
      <c r="E30" s="4">
        <v>9426</v>
      </c>
      <c r="F30" s="4">
        <v>1123459</v>
      </c>
      <c r="G30" s="4">
        <v>138</v>
      </c>
      <c r="H30" s="4">
        <v>32562</v>
      </c>
      <c r="I30" s="4">
        <v>1654</v>
      </c>
      <c r="J30" s="4">
        <v>873344</v>
      </c>
      <c r="K30" s="4">
        <v>212</v>
      </c>
      <c r="L30" s="4">
        <v>109729</v>
      </c>
      <c r="M30" s="4">
        <v>3329</v>
      </c>
      <c r="N30" s="2">
        <v>434119</v>
      </c>
      <c r="O30" s="2">
        <v>129</v>
      </c>
      <c r="P30" s="2">
        <v>953561</v>
      </c>
      <c r="Q30" s="2">
        <v>317484</v>
      </c>
      <c r="R30" s="2">
        <v>1075469</v>
      </c>
      <c r="S30" s="2">
        <v>7564569</v>
      </c>
      <c r="T30" s="10">
        <f t="shared" si="0"/>
        <v>3800863</v>
      </c>
      <c r="U30" s="8">
        <f t="shared" si="1"/>
        <v>0.50245598923084711</v>
      </c>
      <c r="V30" s="9" t="s">
        <v>5268</v>
      </c>
      <c r="W30" s="9" t="str">
        <f t="shared" si="2"/>
        <v>Woolwich MB</v>
      </c>
      <c r="X30" s="9" t="str">
        <f>INDEX(Lookup!$A$2:$A$1349, MATCH(W30, Lookup!$B$2:$B$1349,0))</f>
        <v>J04001449</v>
      </c>
      <c r="Y30" s="9" t="str">
        <f>INDEX(Lookup!$F$2:$F$1349, MATCH(W30, Lookup!$B$2:$B$1349,0))</f>
        <v>e140381</v>
      </c>
      <c r="Z30" s="6" t="str">
        <f>INDEX(Lookup!$C$2:$C$1300, MATCH(X30, Lookup!$A$2:$A$1300,0))</f>
        <v>Inner London</v>
      </c>
    </row>
    <row r="31" spans="1:26" ht="28.15" customHeight="1" x14ac:dyDescent="0.2">
      <c r="A31" s="6" t="s">
        <v>94</v>
      </c>
      <c r="B31" s="1" t="s">
        <v>94</v>
      </c>
      <c r="T31" s="10"/>
      <c r="W31" s="9" t="str">
        <f t="shared" si="2"/>
        <v xml:space="preserve">ENGLAND </v>
      </c>
      <c r="X31" s="9" t="e">
        <f>INDEX(Lookup!$A$2:$A$1349, MATCH(W31, Lookup!$B$2:$B$1349,0))</f>
        <v>#N/A</v>
      </c>
      <c r="Y31" s="9" t="e">
        <f>INDEX(Lookup!$F$2:$F$1349, MATCH(W31, Lookup!$B$2:$B$1349,0))</f>
        <v>#N/A</v>
      </c>
      <c r="Z31" s="6" t="e">
        <f>INDEX(Lookup!$C$2:$C$1300, MATCH(X31, Lookup!$A$2:$A$1300,0))</f>
        <v>#N/A</v>
      </c>
    </row>
    <row r="32" spans="1:26" ht="28.15" customHeight="1" x14ac:dyDescent="0.2">
      <c r="A32" s="6" t="s">
        <v>95</v>
      </c>
      <c r="B32" s="1" t="s">
        <v>95</v>
      </c>
      <c r="T32" s="10"/>
      <c r="W32" s="9" t="str">
        <f t="shared" si="2"/>
        <v xml:space="preserve">County Boroughs-- </v>
      </c>
      <c r="X32" s="9" t="e">
        <f>INDEX(Lookup!$A$2:$A$1349, MATCH(W32, Lookup!$B$2:$B$1349,0))</f>
        <v>#N/A</v>
      </c>
      <c r="Y32" s="9" t="e">
        <f>INDEX(Lookup!$F$2:$F$1349, MATCH(W32, Lookup!$B$2:$B$1349,0))</f>
        <v>#N/A</v>
      </c>
      <c r="Z32" s="6" t="e">
        <f>INDEX(Lookup!$C$2:$C$1300, MATCH(X32, Lookup!$A$2:$A$1300,0))</f>
        <v>#N/A</v>
      </c>
    </row>
    <row r="33" spans="1:26" ht="28.15" customHeight="1" x14ac:dyDescent="0.2">
      <c r="A33" s="6" t="s">
        <v>96</v>
      </c>
      <c r="B33" s="1" t="s">
        <v>96</v>
      </c>
      <c r="C33" s="4">
        <v>23444</v>
      </c>
      <c r="D33" s="4">
        <v>875640</v>
      </c>
      <c r="E33" s="4">
        <v>216</v>
      </c>
      <c r="F33" s="4">
        <v>26155</v>
      </c>
      <c r="G33" s="4">
        <v>4</v>
      </c>
      <c r="H33" s="4">
        <v>932</v>
      </c>
      <c r="I33" s="4">
        <v>1063</v>
      </c>
      <c r="J33" s="4">
        <v>416081</v>
      </c>
      <c r="K33" s="4">
        <v>163</v>
      </c>
      <c r="L33" s="4">
        <v>27086</v>
      </c>
      <c r="M33" s="4">
        <v>2402</v>
      </c>
      <c r="N33" s="4">
        <v>162525</v>
      </c>
      <c r="O33" s="4">
        <v>118</v>
      </c>
      <c r="P33" s="4">
        <v>198882</v>
      </c>
      <c r="Q33" s="4">
        <v>16607</v>
      </c>
      <c r="R33" s="4">
        <v>411708</v>
      </c>
      <c r="S33" s="4">
        <v>2135616</v>
      </c>
      <c r="T33" s="10">
        <f>SUM(D33+F33+H33)</f>
        <v>902727</v>
      </c>
      <c r="U33" s="8">
        <f t="shared" si="1"/>
        <v>0.42270099118942733</v>
      </c>
      <c r="V33" s="9" t="s">
        <v>5269</v>
      </c>
      <c r="W33" s="9" t="str">
        <f t="shared" si="2"/>
        <v>Barnsley CB</v>
      </c>
      <c r="X33" s="9" t="str">
        <f>INDEX(Lookup!$A$2:$A$1349, MATCH(W33, Lookup!$B$2:$B$1349,0))</f>
        <v>J04000087</v>
      </c>
      <c r="Y33" s="9" t="str">
        <f>INDEX(Lookup!$F$2:$F$1349, MATCH(W33, Lookup!$B$2:$B$1349,0))</f>
        <v>e461199</v>
      </c>
      <c r="Z33" s="6" t="str">
        <f>INDEX(Lookup!$C$2:$C$1300, MATCH(X33, Lookup!$A$2:$A$1300,0))</f>
        <v>South Yorkshire</v>
      </c>
    </row>
    <row r="34" spans="1:26" ht="28.15" customHeight="1" x14ac:dyDescent="0.2">
      <c r="A34" s="6" t="s">
        <v>97</v>
      </c>
      <c r="B34" s="1" t="s">
        <v>97</v>
      </c>
      <c r="C34" s="4">
        <v>20299</v>
      </c>
      <c r="D34" s="4">
        <v>961141</v>
      </c>
      <c r="E34" s="4">
        <v>356</v>
      </c>
      <c r="F34" s="4">
        <v>41398</v>
      </c>
      <c r="G34" s="4">
        <v>1</v>
      </c>
      <c r="H34" s="4">
        <v>202</v>
      </c>
      <c r="I34" s="4">
        <v>1079</v>
      </c>
      <c r="J34" s="4">
        <v>174073</v>
      </c>
      <c r="K34" s="4">
        <v>132</v>
      </c>
      <c r="L34" s="4">
        <v>16816</v>
      </c>
      <c r="M34" s="4">
        <v>1754</v>
      </c>
      <c r="N34" s="4">
        <v>77607</v>
      </c>
      <c r="O34" s="2">
        <v>59</v>
      </c>
      <c r="P34" s="4">
        <v>514594</v>
      </c>
      <c r="Q34" s="4">
        <v>20343</v>
      </c>
      <c r="R34" s="4">
        <v>289138</v>
      </c>
      <c r="S34" s="4">
        <v>2095312</v>
      </c>
      <c r="T34" s="10">
        <f t="shared" si="0"/>
        <v>1002741</v>
      </c>
      <c r="U34" s="8">
        <f t="shared" si="1"/>
        <v>0.47856405155890863</v>
      </c>
      <c r="V34" s="9" t="s">
        <v>5269</v>
      </c>
      <c r="W34" s="9" t="str">
        <f t="shared" si="2"/>
        <v>Barrow-in-Furness CB</v>
      </c>
      <c r="X34" s="9" t="str">
        <f>INDEX(Lookup!$A$2:$A$1349, MATCH(W34, Lookup!$B$2:$B$1349,0))</f>
        <v>J04000092</v>
      </c>
      <c r="Y34" s="9" t="str">
        <f>INDEX(Lookup!$F$2:$F$1349, MATCH(W34, Lookup!$B$2:$B$1349,0))</f>
        <v>e200560</v>
      </c>
      <c r="Z34" s="6" t="str">
        <f>INDEX(Lookup!$C$2:$C$1300, MATCH(X34, Lookup!$A$2:$A$1300,0))</f>
        <v>Cumbria</v>
      </c>
    </row>
    <row r="35" spans="1:26" ht="28.15" customHeight="1" x14ac:dyDescent="0.2">
      <c r="A35" s="6" t="s">
        <v>98</v>
      </c>
      <c r="B35" s="1" t="s">
        <v>5275</v>
      </c>
      <c r="C35" s="4">
        <v>21135</v>
      </c>
      <c r="D35" s="4">
        <v>1157161</v>
      </c>
      <c r="E35" s="4">
        <v>4007</v>
      </c>
      <c r="F35" s="4">
        <v>514717</v>
      </c>
      <c r="G35" s="4">
        <v>212</v>
      </c>
      <c r="H35" s="4">
        <v>51026</v>
      </c>
      <c r="I35" s="4">
        <v>1448</v>
      </c>
      <c r="J35" s="4">
        <v>481372</v>
      </c>
      <c r="K35" s="4">
        <v>301</v>
      </c>
      <c r="L35" s="4">
        <v>40881</v>
      </c>
      <c r="M35" s="4">
        <v>3151</v>
      </c>
      <c r="N35" s="4">
        <v>196374</v>
      </c>
      <c r="O35" s="4">
        <v>121</v>
      </c>
      <c r="P35" s="4">
        <v>174381</v>
      </c>
      <c r="Q35" s="4">
        <v>46812</v>
      </c>
      <c r="R35" s="4">
        <v>336580</v>
      </c>
      <c r="S35" s="4">
        <v>2999304</v>
      </c>
      <c r="T35" s="10">
        <f t="shared" si="0"/>
        <v>1722904</v>
      </c>
      <c r="U35" s="8">
        <f t="shared" si="1"/>
        <v>0.5744346021610347</v>
      </c>
      <c r="V35" s="9" t="s">
        <v>5269</v>
      </c>
      <c r="W35" s="9" t="str">
        <f t="shared" si="2"/>
        <v>Bath, CITY OF CB</v>
      </c>
      <c r="X35" s="9" t="str">
        <f>INDEX(Lookup!$A$2:$A$1349, MATCH(W35, Lookup!$B$2:$B$1349,0))</f>
        <v>J04000099</v>
      </c>
      <c r="Y35" s="9" t="str">
        <f>INDEX(Lookup!$F$2:$F$1349, MATCH(W35, Lookup!$B$2:$B$1349,0))</f>
        <v>e320902</v>
      </c>
      <c r="Z35" s="6" t="str">
        <f>INDEX(Lookup!$C$2:$C$1300, MATCH(X35, Lookup!$A$2:$A$1300,0))</f>
        <v>Avon</v>
      </c>
    </row>
    <row r="36" spans="1:26" ht="28.15" customHeight="1" x14ac:dyDescent="0.2">
      <c r="A36" s="6" t="s">
        <v>99</v>
      </c>
      <c r="B36" s="1" t="s">
        <v>99</v>
      </c>
      <c r="C36" s="4">
        <v>37106</v>
      </c>
      <c r="D36" s="4">
        <v>2048259</v>
      </c>
      <c r="E36" s="4">
        <v>3840</v>
      </c>
      <c r="F36" s="4">
        <v>478440</v>
      </c>
      <c r="G36" s="4">
        <v>232</v>
      </c>
      <c r="H36" s="4">
        <v>60836</v>
      </c>
      <c r="I36" s="4">
        <v>2427</v>
      </c>
      <c r="J36" s="4">
        <v>494646</v>
      </c>
      <c r="K36" s="4">
        <v>380</v>
      </c>
      <c r="L36" s="4">
        <v>55099</v>
      </c>
      <c r="M36" s="4">
        <v>2845</v>
      </c>
      <c r="N36" s="4">
        <v>228978</v>
      </c>
      <c r="O36" s="2">
        <v>225</v>
      </c>
      <c r="P36" s="4">
        <v>623009</v>
      </c>
      <c r="Q36" s="4">
        <v>23511</v>
      </c>
      <c r="R36" s="4">
        <v>648336</v>
      </c>
      <c r="S36" s="4">
        <v>4661114</v>
      </c>
      <c r="T36" s="10">
        <f t="shared" si="0"/>
        <v>2587535</v>
      </c>
      <c r="U36" s="8">
        <f t="shared" si="1"/>
        <v>0.55513231386316664</v>
      </c>
      <c r="V36" s="9" t="s">
        <v>5269</v>
      </c>
      <c r="W36" s="9" t="str">
        <f t="shared" si="2"/>
        <v>Birkenhead CB</v>
      </c>
      <c r="X36" s="9" t="str">
        <f>INDEX(Lookup!$A$2:$A$1349, MATCH(W36, Lookup!$B$2:$B$1349,0))</f>
        <v>J04000149</v>
      </c>
      <c r="Y36" s="9" t="str">
        <f>INDEX(Lookup!$F$2:$F$1349, MATCH(W36, Lookup!$B$2:$B$1349,0))</f>
        <v>e050068</v>
      </c>
      <c r="Z36" s="6" t="str">
        <f>INDEX(Lookup!$C$2:$C$1300, MATCH(X36, Lookup!$A$2:$A$1300,0))</f>
        <v>Merseyside</v>
      </c>
    </row>
    <row r="37" spans="1:26" ht="28.15" customHeight="1" x14ac:dyDescent="0.2">
      <c r="A37" s="6" t="s">
        <v>100</v>
      </c>
      <c r="B37" s="1" t="s">
        <v>5276</v>
      </c>
      <c r="C37" s="4">
        <v>298127</v>
      </c>
      <c r="D37" s="4">
        <v>15620023</v>
      </c>
      <c r="E37" s="4">
        <v>17713</v>
      </c>
      <c r="F37" s="4">
        <v>2210280</v>
      </c>
      <c r="G37" s="4">
        <v>1426</v>
      </c>
      <c r="H37" s="4">
        <v>335902</v>
      </c>
      <c r="I37" s="4">
        <v>16927</v>
      </c>
      <c r="J37" s="4">
        <v>6237203</v>
      </c>
      <c r="K37" s="4">
        <v>4075</v>
      </c>
      <c r="L37" s="4">
        <v>2322500</v>
      </c>
      <c r="M37" s="4">
        <v>23294</v>
      </c>
      <c r="N37" s="4">
        <v>4322194</v>
      </c>
      <c r="O37" s="4">
        <v>4850</v>
      </c>
      <c r="P37" s="4">
        <v>12538511</v>
      </c>
      <c r="Q37" s="4">
        <v>520025</v>
      </c>
      <c r="R37" s="4">
        <v>5476681</v>
      </c>
      <c r="S37" s="4">
        <v>49603319</v>
      </c>
      <c r="T37" s="10">
        <f t="shared" si="0"/>
        <v>18166205</v>
      </c>
      <c r="U37" s="8">
        <f t="shared" si="1"/>
        <v>0.36622962669090753</v>
      </c>
      <c r="V37" s="9" t="s">
        <v>5269</v>
      </c>
      <c r="W37" s="9" t="str">
        <f t="shared" si="2"/>
        <v>Birmingham, city of CB</v>
      </c>
      <c r="X37" s="9" t="str">
        <f>INDEX(Lookup!$A$2:$A$1349, MATCH(W37, Lookup!$B$2:$B$1349,0))</f>
        <v>J04000150</v>
      </c>
      <c r="Y37" s="9" t="str">
        <f>INDEX(Lookup!$F$2:$F$1349, MATCH(W37, Lookup!$B$2:$B$1349,0))</f>
        <v>e391064</v>
      </c>
      <c r="Z37" s="6" t="str">
        <f>INDEX(Lookup!$C$2:$C$1300, MATCH(X37, Lookup!$A$2:$A$1300,0))</f>
        <v>West Midlands</v>
      </c>
    </row>
    <row r="38" spans="1:26" ht="28.15" customHeight="1" x14ac:dyDescent="0.2">
      <c r="A38" s="6" t="s">
        <v>101</v>
      </c>
      <c r="B38" s="1" t="s">
        <v>101</v>
      </c>
      <c r="C38" s="4">
        <v>36202</v>
      </c>
      <c r="D38" s="4">
        <v>1312575</v>
      </c>
      <c r="E38" s="4">
        <v>618</v>
      </c>
      <c r="F38" s="4">
        <v>80297</v>
      </c>
      <c r="G38" s="4">
        <v>44</v>
      </c>
      <c r="H38" s="4">
        <v>10751</v>
      </c>
      <c r="I38" s="4">
        <v>2732</v>
      </c>
      <c r="J38" s="4">
        <v>376537</v>
      </c>
      <c r="K38" s="4">
        <v>362</v>
      </c>
      <c r="L38" s="4">
        <v>42817</v>
      </c>
      <c r="M38" s="4">
        <v>5916</v>
      </c>
      <c r="N38" s="4">
        <v>224512</v>
      </c>
      <c r="O38" s="2">
        <v>444</v>
      </c>
      <c r="P38" s="4">
        <v>648539</v>
      </c>
      <c r="Q38" s="4">
        <v>35319</v>
      </c>
      <c r="R38" s="4">
        <v>360615</v>
      </c>
      <c r="S38" s="4">
        <v>3091962</v>
      </c>
      <c r="T38" s="10">
        <f t="shared" si="0"/>
        <v>1403623</v>
      </c>
      <c r="U38" s="8">
        <f t="shared" si="1"/>
        <v>0.45395868383893462</v>
      </c>
      <c r="V38" s="9" t="s">
        <v>5269</v>
      </c>
      <c r="W38" s="9" t="str">
        <f t="shared" si="2"/>
        <v>Blackburn CB</v>
      </c>
      <c r="X38" s="9" t="str">
        <f>INDEX(Lookup!$A$2:$A$1349, MATCH(W38, Lookup!$B$2:$B$1349,0))</f>
        <v>J04000155</v>
      </c>
      <c r="Y38" s="9" t="str">
        <f>INDEX(Lookup!$F$2:$F$1349, MATCH(W38, Lookup!$B$2:$B$1349,0))</f>
        <v>e200561</v>
      </c>
      <c r="Z38" s="6" t="str">
        <f>INDEX(Lookup!$C$2:$C$1300, MATCH(X38, Lookup!$A$2:$A$1300,0))</f>
        <v>Lancashire</v>
      </c>
    </row>
    <row r="39" spans="1:26" ht="28.15" customHeight="1" x14ac:dyDescent="0.2">
      <c r="A39" s="6" t="s">
        <v>102</v>
      </c>
      <c r="B39" s="1" t="s">
        <v>102</v>
      </c>
      <c r="C39" s="4">
        <v>34752</v>
      </c>
      <c r="D39" s="4">
        <v>2485935</v>
      </c>
      <c r="E39" s="4">
        <v>12629</v>
      </c>
      <c r="F39" s="4">
        <v>1520254</v>
      </c>
      <c r="G39" s="4">
        <v>205</v>
      </c>
      <c r="H39" s="4">
        <v>49456</v>
      </c>
      <c r="I39" s="4">
        <v>3479</v>
      </c>
      <c r="J39" s="4">
        <v>1300317</v>
      </c>
      <c r="K39" s="4">
        <v>590</v>
      </c>
      <c r="L39" s="4">
        <v>111950</v>
      </c>
      <c r="M39" s="4">
        <v>7766</v>
      </c>
      <c r="N39" s="4">
        <v>1135972</v>
      </c>
      <c r="O39" s="4">
        <v>369</v>
      </c>
      <c r="P39" s="4">
        <v>251552</v>
      </c>
      <c r="Q39" s="4">
        <v>41338</v>
      </c>
      <c r="R39" s="4">
        <v>915197</v>
      </c>
      <c r="S39" s="4">
        <v>7811971</v>
      </c>
      <c r="T39" s="10">
        <f t="shared" si="0"/>
        <v>4055645</v>
      </c>
      <c r="U39" s="8">
        <f t="shared" si="1"/>
        <v>0.51915771320707671</v>
      </c>
      <c r="V39" s="9" t="s">
        <v>5269</v>
      </c>
      <c r="W39" s="9" t="str">
        <f t="shared" si="2"/>
        <v>Blackpool CB</v>
      </c>
      <c r="X39" s="9" t="str">
        <f>INDEX(Lookup!$A$2:$A$1349, MATCH(W39, Lookup!$B$2:$B$1349,0))</f>
        <v>J04000157</v>
      </c>
      <c r="Y39" s="9" t="str">
        <f>INDEX(Lookup!$F$2:$F$1349, MATCH(W39, Lookup!$B$2:$B$1349,0))</f>
        <v>e200562</v>
      </c>
      <c r="Z39" s="6" t="str">
        <f>INDEX(Lookup!$C$2:$C$1300, MATCH(X39, Lookup!$A$2:$A$1300,0))</f>
        <v>Lancashire</v>
      </c>
    </row>
    <row r="40" spans="1:26" ht="28.15" customHeight="1" x14ac:dyDescent="0.2">
      <c r="A40" s="6" t="s">
        <v>103</v>
      </c>
      <c r="B40" s="1" t="s">
        <v>103</v>
      </c>
      <c r="C40" s="4">
        <v>52745</v>
      </c>
      <c r="D40" s="4">
        <v>2142426</v>
      </c>
      <c r="E40" s="4">
        <v>1612</v>
      </c>
      <c r="F40" s="4">
        <v>209031</v>
      </c>
      <c r="G40" s="4">
        <v>127</v>
      </c>
      <c r="H40" s="4">
        <v>30445</v>
      </c>
      <c r="I40" s="4">
        <v>3336</v>
      </c>
      <c r="J40" s="4">
        <v>651397</v>
      </c>
      <c r="K40" s="4">
        <v>470</v>
      </c>
      <c r="L40" s="4">
        <v>68930</v>
      </c>
      <c r="M40" s="4">
        <v>5327</v>
      </c>
      <c r="N40" s="4">
        <v>413499</v>
      </c>
      <c r="O40" s="2">
        <v>543</v>
      </c>
      <c r="P40" s="4">
        <v>1074152</v>
      </c>
      <c r="Q40" s="4">
        <v>37408</v>
      </c>
      <c r="R40" s="4">
        <v>689293</v>
      </c>
      <c r="S40" s="4">
        <v>5316581</v>
      </c>
      <c r="T40" s="10">
        <f t="shared" si="0"/>
        <v>2381902</v>
      </c>
      <c r="U40" s="8">
        <f t="shared" si="1"/>
        <v>0.44801386454941627</v>
      </c>
      <c r="V40" s="9" t="s">
        <v>5269</v>
      </c>
      <c r="W40" s="9" t="str">
        <f t="shared" si="2"/>
        <v>Bolton CB</v>
      </c>
      <c r="X40" s="9" t="str">
        <f>INDEX(Lookup!$A$2:$A$1349, MATCH(W40, Lookup!$B$2:$B$1349,0))</f>
        <v>J04000173</v>
      </c>
      <c r="Y40" s="9" t="str">
        <f>INDEX(Lookup!$F$2:$F$1349, MATCH(W40, Lookup!$B$2:$B$1349,0))</f>
        <v>e200563</v>
      </c>
      <c r="Z40" s="6" t="str">
        <f>INDEX(Lookup!$C$2:$C$1300, MATCH(X40, Lookup!$A$2:$A$1300,0))</f>
        <v>Greater Manchester</v>
      </c>
    </row>
    <row r="41" spans="1:26" ht="28.15" customHeight="1" x14ac:dyDescent="0.2">
      <c r="A41" s="6" t="s">
        <v>104</v>
      </c>
      <c r="B41" s="1" t="s">
        <v>104</v>
      </c>
      <c r="C41" s="4">
        <v>21009</v>
      </c>
      <c r="D41" s="4">
        <v>1130490</v>
      </c>
      <c r="E41" s="4">
        <v>223</v>
      </c>
      <c r="F41" s="4">
        <v>24807</v>
      </c>
      <c r="G41" s="4">
        <v>3</v>
      </c>
      <c r="H41" s="4">
        <v>750</v>
      </c>
      <c r="I41" s="4">
        <v>920</v>
      </c>
      <c r="J41" s="4">
        <v>139191</v>
      </c>
      <c r="K41" s="4">
        <v>221</v>
      </c>
      <c r="L41" s="4">
        <v>52449</v>
      </c>
      <c r="M41" s="4">
        <v>1316</v>
      </c>
      <c r="N41" s="4">
        <v>392272</v>
      </c>
      <c r="O41" s="4">
        <v>164</v>
      </c>
      <c r="P41" s="4">
        <v>534430</v>
      </c>
      <c r="Q41" s="4">
        <v>8452</v>
      </c>
      <c r="R41" s="4">
        <v>447480</v>
      </c>
      <c r="S41" s="4">
        <v>2730321</v>
      </c>
      <c r="T41" s="10">
        <f t="shared" si="0"/>
        <v>1156047</v>
      </c>
      <c r="U41" s="8">
        <f t="shared" si="1"/>
        <v>0.4234106539121224</v>
      </c>
      <c r="V41" s="9" t="s">
        <v>5269</v>
      </c>
      <c r="W41" s="9" t="str">
        <f t="shared" si="2"/>
        <v>Bootle CB</v>
      </c>
      <c r="X41" s="9" t="str">
        <f>INDEX(Lookup!$A$2:$A$1349, MATCH(W41, Lookup!$B$2:$B$1349,0))</f>
        <v>J04000174</v>
      </c>
      <c r="Y41" s="9" t="str">
        <f>INDEX(Lookup!$F$2:$F$1349, MATCH(W41, Lookup!$B$2:$B$1349,0))</f>
        <v>e200564</v>
      </c>
      <c r="Z41" s="6" t="str">
        <f>INDEX(Lookup!$C$2:$C$1300, MATCH(X41, Lookup!$A$2:$A$1300,0))</f>
        <v>Merseyside</v>
      </c>
    </row>
    <row r="42" spans="1:26" ht="28.15" customHeight="1" x14ac:dyDescent="0.2">
      <c r="A42" s="6" t="s">
        <v>105</v>
      </c>
      <c r="B42" s="1" t="s">
        <v>105</v>
      </c>
      <c r="C42" s="4">
        <v>22105</v>
      </c>
      <c r="D42" s="4">
        <v>1811831</v>
      </c>
      <c r="E42" s="4">
        <v>22142</v>
      </c>
      <c r="F42" s="4">
        <v>2945582</v>
      </c>
      <c r="G42" s="4">
        <v>3877</v>
      </c>
      <c r="H42" s="4">
        <v>805974</v>
      </c>
      <c r="I42" s="4">
        <v>3225</v>
      </c>
      <c r="J42" s="4">
        <v>1605835</v>
      </c>
      <c r="K42" s="4">
        <v>817</v>
      </c>
      <c r="L42" s="4">
        <v>247813</v>
      </c>
      <c r="M42" s="4">
        <v>5767</v>
      </c>
      <c r="N42" s="4">
        <v>1116669</v>
      </c>
      <c r="O42" s="2">
        <v>161</v>
      </c>
      <c r="P42" s="4">
        <v>222387</v>
      </c>
      <c r="Q42" s="4">
        <v>58966</v>
      </c>
      <c r="R42" s="4">
        <v>765817</v>
      </c>
      <c r="S42" s="4">
        <v>9580874</v>
      </c>
      <c r="T42" s="10">
        <f t="shared" si="0"/>
        <v>5563387</v>
      </c>
      <c r="U42" s="8">
        <f t="shared" si="1"/>
        <v>0.58067635583141997</v>
      </c>
      <c r="V42" s="9" t="s">
        <v>5269</v>
      </c>
      <c r="W42" s="9" t="str">
        <f t="shared" si="2"/>
        <v>Bournemouth CB</v>
      </c>
      <c r="X42" s="9" t="str">
        <f>INDEX(Lookup!$A$2:$A$1349, MATCH(W42, Lookup!$B$2:$B$1349,0))</f>
        <v>J04000179</v>
      </c>
      <c r="Y42" s="9" t="str">
        <f>INDEX(Lookup!$F$2:$F$1349, MATCH(W42, Lookup!$B$2:$B$1349,0))</f>
        <v>e150411</v>
      </c>
      <c r="Z42" s="6" t="str">
        <f>INDEX(Lookup!$C$2:$C$1300, MATCH(X42, Lookup!$A$2:$A$1300,0))</f>
        <v>Dorset</v>
      </c>
    </row>
    <row r="43" spans="1:26" ht="28.15" customHeight="1" x14ac:dyDescent="0.2">
      <c r="A43" s="6" t="s">
        <v>106</v>
      </c>
      <c r="B43" s="1" t="s">
        <v>5277</v>
      </c>
      <c r="C43" s="4">
        <v>98258</v>
      </c>
      <c r="D43" s="4">
        <v>3899162</v>
      </c>
      <c r="E43" s="4">
        <v>1111</v>
      </c>
      <c r="F43" s="4">
        <v>138110</v>
      </c>
      <c r="G43" s="4">
        <v>33</v>
      </c>
      <c r="H43" s="4">
        <v>7458</v>
      </c>
      <c r="I43" s="4">
        <v>5256</v>
      </c>
      <c r="J43" s="4">
        <v>1148744</v>
      </c>
      <c r="K43" s="4">
        <v>1302</v>
      </c>
      <c r="L43" s="4">
        <v>303018</v>
      </c>
      <c r="M43" s="4">
        <v>11690</v>
      </c>
      <c r="N43" s="4">
        <v>684441</v>
      </c>
      <c r="O43" s="4">
        <v>1678</v>
      </c>
      <c r="P43" s="4">
        <v>1810134</v>
      </c>
      <c r="Q43" s="4">
        <v>100276</v>
      </c>
      <c r="R43" s="4">
        <v>1096481</v>
      </c>
      <c r="S43" s="4">
        <v>9187824</v>
      </c>
      <c r="T43" s="10">
        <f t="shared" si="0"/>
        <v>4044730</v>
      </c>
      <c r="U43" s="8">
        <f t="shared" si="1"/>
        <v>0.44022719634159296</v>
      </c>
      <c r="V43" s="9" t="s">
        <v>5269</v>
      </c>
      <c r="W43" s="9" t="str">
        <f t="shared" si="2"/>
        <v>Bradford, city of CB</v>
      </c>
      <c r="X43" s="9" t="str">
        <f>INDEX(Lookup!$A$2:$A$1349, MATCH(W43, Lookup!$B$2:$B$1349,0))</f>
        <v>J04000187</v>
      </c>
      <c r="Y43" s="9" t="str">
        <f>INDEX(Lookup!$F$2:$F$1349, MATCH(W43, Lookup!$B$2:$B$1349,0))</f>
        <v>e461200</v>
      </c>
      <c r="Z43" s="6" t="str">
        <f>INDEX(Lookup!$C$2:$C$1300, MATCH(X43, Lookup!$A$2:$A$1300,0))</f>
        <v>West Yorkshire</v>
      </c>
    </row>
    <row r="44" spans="1:26" ht="28.15" customHeight="1" x14ac:dyDescent="0.2">
      <c r="A44" s="6" t="s">
        <v>107</v>
      </c>
      <c r="B44" s="1" t="s">
        <v>107</v>
      </c>
      <c r="C44" s="4">
        <v>20233</v>
      </c>
      <c r="D44" s="4">
        <v>1649094</v>
      </c>
      <c r="E44" s="4">
        <v>29417</v>
      </c>
      <c r="F44" s="4">
        <v>3937245</v>
      </c>
      <c r="G44" s="4">
        <v>4150</v>
      </c>
      <c r="H44" s="4">
        <v>1081353</v>
      </c>
      <c r="I44" s="4">
        <v>3382</v>
      </c>
      <c r="J44" s="4">
        <v>1715810</v>
      </c>
      <c r="K44" s="4">
        <v>819</v>
      </c>
      <c r="L44" s="4">
        <v>271582</v>
      </c>
      <c r="M44" s="4">
        <v>4528</v>
      </c>
      <c r="N44" s="4">
        <v>722154</v>
      </c>
      <c r="O44" s="4">
        <v>340</v>
      </c>
      <c r="P44" s="4">
        <v>540628</v>
      </c>
      <c r="Q44" s="4">
        <v>69459</v>
      </c>
      <c r="R44" s="4">
        <v>833888</v>
      </c>
      <c r="S44" s="4">
        <v>10821213</v>
      </c>
      <c r="T44" s="10">
        <f t="shared" si="0"/>
        <v>6667692</v>
      </c>
      <c r="U44" s="8">
        <f t="shared" si="1"/>
        <v>0.61616863100282748</v>
      </c>
      <c r="V44" s="9" t="s">
        <v>5269</v>
      </c>
      <c r="W44" s="9" t="str">
        <f t="shared" si="2"/>
        <v>Brighton CB</v>
      </c>
      <c r="X44" s="9" t="str">
        <f>INDEX(Lookup!$A$2:$A$1349, MATCH(W44, Lookup!$B$2:$B$1349,0))</f>
        <v>J04000212</v>
      </c>
      <c r="Y44" s="9" t="str">
        <f>INDEX(Lookup!$F$2:$F$1349, MATCH(W44, Lookup!$B$2:$B$1349,0))</f>
        <v>e371029</v>
      </c>
      <c r="Z44" s="6" t="str">
        <f>INDEX(Lookup!$C$2:$C$1300, MATCH(X44, Lookup!$A$2:$A$1300,0))</f>
        <v>East Sussex</v>
      </c>
    </row>
    <row r="45" spans="1:26" ht="28.15" customHeight="1" x14ac:dyDescent="0.2">
      <c r="A45" s="6" t="s">
        <v>108</v>
      </c>
      <c r="B45" s="1" t="s">
        <v>5278</v>
      </c>
      <c r="C45" s="4">
        <v>116235</v>
      </c>
      <c r="D45" s="4">
        <v>7244204</v>
      </c>
      <c r="E45" s="4">
        <v>13086</v>
      </c>
      <c r="F45" s="4">
        <v>1634442</v>
      </c>
      <c r="G45" s="4">
        <v>664</v>
      </c>
      <c r="H45" s="4">
        <v>166425</v>
      </c>
      <c r="I45" s="4">
        <v>7070</v>
      </c>
      <c r="J45" s="4">
        <v>2979480</v>
      </c>
      <c r="K45" s="4">
        <v>1904</v>
      </c>
      <c r="L45" s="4">
        <v>789750</v>
      </c>
      <c r="M45" s="4">
        <v>11672</v>
      </c>
      <c r="N45" s="4">
        <v>1671319</v>
      </c>
      <c r="O45" s="4">
        <v>764</v>
      </c>
      <c r="P45" s="4">
        <v>2519939</v>
      </c>
      <c r="Q45" s="4">
        <v>180554</v>
      </c>
      <c r="R45" s="4">
        <v>2339272</v>
      </c>
      <c r="S45" s="4">
        <v>19525382</v>
      </c>
      <c r="T45" s="10">
        <f t="shared" si="0"/>
        <v>9045071</v>
      </c>
      <c r="U45" s="8">
        <f t="shared" si="1"/>
        <v>0.46324681381393717</v>
      </c>
      <c r="V45" s="9" t="s">
        <v>5269</v>
      </c>
      <c r="W45" s="9" t="str">
        <f t="shared" si="2"/>
        <v>Bristol, city and county of CB</v>
      </c>
      <c r="X45" s="9" t="str">
        <f>INDEX(Lookup!$A$2:$A$1349, MATCH(W45, Lookup!$B$2:$B$1349,0))</f>
        <v>J04000213</v>
      </c>
      <c r="Y45" s="9" t="str">
        <f>INDEX(Lookup!$F$2:$F$1349, MATCH(W45, Lookup!$B$2:$B$1349,0))</f>
        <v>e130345</v>
      </c>
      <c r="Z45" s="6" t="str">
        <f>INDEX(Lookup!$C$2:$C$1300, MATCH(X45, Lookup!$A$2:$A$1300,0))</f>
        <v>Avon</v>
      </c>
    </row>
    <row r="46" spans="1:26" ht="28.15" customHeight="1" x14ac:dyDescent="0.2">
      <c r="A46" s="6" t="s">
        <v>109</v>
      </c>
      <c r="B46" s="1" t="s">
        <v>109</v>
      </c>
      <c r="C46" s="4">
        <v>27359</v>
      </c>
      <c r="D46" s="4">
        <v>885696</v>
      </c>
      <c r="E46" s="4">
        <v>232</v>
      </c>
      <c r="F46" s="4">
        <v>30340</v>
      </c>
      <c r="G46" s="4">
        <v>6</v>
      </c>
      <c r="H46" s="4">
        <v>1558</v>
      </c>
      <c r="I46" s="4">
        <v>2032</v>
      </c>
      <c r="J46" s="4">
        <v>320378</v>
      </c>
      <c r="K46" s="4">
        <v>234</v>
      </c>
      <c r="L46" s="4">
        <v>50535</v>
      </c>
      <c r="M46" s="4">
        <v>4725</v>
      </c>
      <c r="N46" s="4">
        <v>188285</v>
      </c>
      <c r="O46" s="4">
        <v>355</v>
      </c>
      <c r="P46" s="4">
        <v>524023</v>
      </c>
      <c r="Q46" s="4">
        <v>25120</v>
      </c>
      <c r="R46" s="4">
        <v>309764</v>
      </c>
      <c r="S46" s="4">
        <v>2335699</v>
      </c>
      <c r="T46" s="10">
        <f t="shared" si="0"/>
        <v>917594</v>
      </c>
      <c r="U46" s="8">
        <f t="shared" si="1"/>
        <v>0.392856271291806</v>
      </c>
      <c r="V46" s="9" t="s">
        <v>5269</v>
      </c>
      <c r="W46" s="9" t="str">
        <f t="shared" si="2"/>
        <v>Burnley CB</v>
      </c>
      <c r="X46" s="9" t="str">
        <f>INDEX(Lookup!$A$2:$A$1349, MATCH(W46, Lookup!$B$2:$B$1349,0))</f>
        <v>J04000239</v>
      </c>
      <c r="Y46" s="9" t="str">
        <f>INDEX(Lookup!$F$2:$F$1349, MATCH(W46, Lookup!$B$2:$B$1349,0))</f>
        <v>e200565</v>
      </c>
      <c r="Z46" s="6" t="str">
        <f>INDEX(Lookup!$C$2:$C$1300, MATCH(X46, Lookup!$A$2:$A$1300,0))</f>
        <v>Lancashire</v>
      </c>
    </row>
    <row r="47" spans="1:26" ht="28.15" customHeight="1" x14ac:dyDescent="0.2">
      <c r="A47" s="6" t="s">
        <v>110</v>
      </c>
      <c r="B47" s="1" t="s">
        <v>5279</v>
      </c>
      <c r="C47" s="4">
        <v>15591</v>
      </c>
      <c r="D47" s="4">
        <v>751474</v>
      </c>
      <c r="E47" s="4">
        <v>487</v>
      </c>
      <c r="F47" s="4">
        <v>60428</v>
      </c>
      <c r="G47" s="4">
        <v>12</v>
      </c>
      <c r="H47" s="4">
        <v>2742</v>
      </c>
      <c r="I47" s="4">
        <v>911</v>
      </c>
      <c r="J47" s="4">
        <v>246384</v>
      </c>
      <c r="K47" s="4">
        <v>150</v>
      </c>
      <c r="L47" s="4">
        <v>20504</v>
      </c>
      <c r="M47" s="4">
        <v>1816</v>
      </c>
      <c r="N47" s="4">
        <v>170321</v>
      </c>
      <c r="O47" s="4">
        <v>105</v>
      </c>
      <c r="P47" s="4">
        <v>752173</v>
      </c>
      <c r="Q47" s="4">
        <v>16502</v>
      </c>
      <c r="R47" s="4">
        <v>196365</v>
      </c>
      <c r="S47" s="4">
        <v>2216893</v>
      </c>
      <c r="T47" s="10">
        <f t="shared" si="0"/>
        <v>814644</v>
      </c>
      <c r="U47" s="8">
        <f t="shared" si="1"/>
        <v>0.36747105070023678</v>
      </c>
      <c r="V47" s="9" t="s">
        <v>5269</v>
      </c>
      <c r="W47" s="9" t="str">
        <f t="shared" si="2"/>
        <v>Burton upon Trent CB</v>
      </c>
      <c r="X47" s="9" t="str">
        <f>INDEX(Lookup!$A$2:$A$1349, MATCH(W47, Lookup!$B$2:$B$1349,0))</f>
        <v>J04000243</v>
      </c>
      <c r="Y47" s="9" t="str">
        <f>INDEX(Lookup!$F$2:$F$1349, MATCH(W47, Lookup!$B$2:$B$1349,0))</f>
        <v>e330940</v>
      </c>
      <c r="Z47" s="6" t="str">
        <f>INDEX(Lookup!$C$2:$C$1300, MATCH(X47, Lookup!$A$2:$A$1300,0))</f>
        <v>Staffordshire</v>
      </c>
    </row>
    <row r="48" spans="1:26" ht="28.15" customHeight="1" x14ac:dyDescent="0.2">
      <c r="A48" s="6" t="s">
        <v>111</v>
      </c>
      <c r="B48" s="1" t="s">
        <v>111</v>
      </c>
      <c r="C48" s="4">
        <v>20974</v>
      </c>
      <c r="D48" s="4">
        <v>891021</v>
      </c>
      <c r="E48" s="4">
        <v>468</v>
      </c>
      <c r="F48" s="4">
        <v>56536</v>
      </c>
      <c r="G48" s="4">
        <v>7</v>
      </c>
      <c r="H48" s="4">
        <v>1466</v>
      </c>
      <c r="I48" s="4">
        <v>1086</v>
      </c>
      <c r="J48" s="4">
        <v>141701</v>
      </c>
      <c r="K48" s="4">
        <v>190</v>
      </c>
      <c r="L48" s="4">
        <v>16243</v>
      </c>
      <c r="M48" s="4">
        <v>2347</v>
      </c>
      <c r="N48" s="4">
        <v>110926</v>
      </c>
      <c r="O48" s="4">
        <v>259</v>
      </c>
      <c r="P48" s="4">
        <v>405803</v>
      </c>
      <c r="Q48" s="4">
        <v>18764</v>
      </c>
      <c r="R48" s="4">
        <v>255275</v>
      </c>
      <c r="S48" s="4">
        <v>1897735</v>
      </c>
      <c r="T48" s="10">
        <f t="shared" si="0"/>
        <v>949023</v>
      </c>
      <c r="U48" s="8">
        <f t="shared" si="1"/>
        <v>0.50008193978611348</v>
      </c>
      <c r="V48" s="9" t="s">
        <v>5269</v>
      </c>
      <c r="W48" s="9" t="str">
        <f t="shared" si="2"/>
        <v>Bury CB</v>
      </c>
      <c r="X48" s="9" t="str">
        <f>INDEX(Lookup!$A$2:$A$1349, MATCH(W48, Lookup!$B$2:$B$1349,0))</f>
        <v>J04000244</v>
      </c>
      <c r="Y48" s="9" t="str">
        <f>INDEX(Lookup!$F$2:$F$1349, MATCH(W48, Lookup!$B$2:$B$1349,0))</f>
        <v>e200566</v>
      </c>
      <c r="Z48" s="6" t="str">
        <f>INDEX(Lookup!$C$2:$C$1300, MATCH(X48, Lookup!$A$2:$A$1300,0))</f>
        <v>Greater Manchester</v>
      </c>
    </row>
    <row r="49" spans="1:26" ht="28.15" customHeight="1" x14ac:dyDescent="0.2">
      <c r="A49" s="6" t="s">
        <v>112</v>
      </c>
      <c r="B49" s="1" t="s">
        <v>5280</v>
      </c>
      <c r="C49" s="4">
        <v>8906</v>
      </c>
      <c r="D49" s="4">
        <v>478899</v>
      </c>
      <c r="E49" s="4">
        <v>796</v>
      </c>
      <c r="F49" s="4">
        <v>103155</v>
      </c>
      <c r="G49" s="4">
        <v>21</v>
      </c>
      <c r="H49" s="4">
        <v>5422</v>
      </c>
      <c r="I49" s="4">
        <v>641</v>
      </c>
      <c r="J49" s="4">
        <v>338636</v>
      </c>
      <c r="K49" s="4">
        <v>194</v>
      </c>
      <c r="L49" s="4">
        <v>35518</v>
      </c>
      <c r="M49" s="4">
        <v>1252</v>
      </c>
      <c r="N49" s="4">
        <v>135763</v>
      </c>
      <c r="O49" s="4">
        <v>34</v>
      </c>
      <c r="P49" s="4">
        <v>47805</v>
      </c>
      <c r="Q49" s="4">
        <v>39677</v>
      </c>
      <c r="R49" s="4">
        <v>149457</v>
      </c>
      <c r="S49" s="4">
        <v>1334332</v>
      </c>
      <c r="T49" s="10">
        <f t="shared" si="0"/>
        <v>587476</v>
      </c>
      <c r="U49" s="8">
        <f t="shared" si="1"/>
        <v>0.44027723235296762</v>
      </c>
      <c r="V49" s="9" t="s">
        <v>5269</v>
      </c>
      <c r="W49" s="9" t="str">
        <f t="shared" si="2"/>
        <v>Canterbury, city and county of CB</v>
      </c>
      <c r="X49" s="9" t="str">
        <f>INDEX(Lookup!$A$2:$A$1349, MATCH(W49, Lookup!$B$2:$B$1349,0))</f>
        <v>J04000260</v>
      </c>
      <c r="Y49" s="9" t="str">
        <f>INDEX(Lookup!$F$2:$F$1349, MATCH(W49, Lookup!$B$2:$B$1349,0))</f>
        <v>e190513</v>
      </c>
      <c r="Z49" s="6" t="str">
        <f>INDEX(Lookup!$C$2:$C$1300, MATCH(X49, Lookup!$A$2:$A$1300,0))</f>
        <v>Kent</v>
      </c>
    </row>
    <row r="50" spans="1:26" ht="28.15" customHeight="1" x14ac:dyDescent="0.2">
      <c r="A50" s="6" t="s">
        <v>113</v>
      </c>
      <c r="B50" s="1" t="s">
        <v>5281</v>
      </c>
      <c r="C50" s="4">
        <v>22465</v>
      </c>
      <c r="D50" s="4">
        <v>1069819</v>
      </c>
      <c r="E50" s="4">
        <v>886</v>
      </c>
      <c r="F50" s="4">
        <v>102875</v>
      </c>
      <c r="G50" s="4">
        <v>14</v>
      </c>
      <c r="H50" s="4">
        <v>2996</v>
      </c>
      <c r="I50" s="4">
        <v>1029</v>
      </c>
      <c r="J50" s="4">
        <v>369668</v>
      </c>
      <c r="K50" s="4">
        <v>354</v>
      </c>
      <c r="L50" s="4">
        <v>70996</v>
      </c>
      <c r="M50" s="4">
        <v>1661</v>
      </c>
      <c r="N50" s="4">
        <v>204648</v>
      </c>
      <c r="O50" s="4">
        <v>94</v>
      </c>
      <c r="P50" s="4">
        <v>262751</v>
      </c>
      <c r="Q50" s="4">
        <v>64475</v>
      </c>
      <c r="R50" s="4">
        <v>292332</v>
      </c>
      <c r="S50" s="4">
        <v>2440560</v>
      </c>
      <c r="T50" s="10">
        <f t="shared" si="0"/>
        <v>1175690</v>
      </c>
      <c r="U50" s="8">
        <f t="shared" si="1"/>
        <v>0.4817296030419248</v>
      </c>
      <c r="V50" s="9" t="s">
        <v>5269</v>
      </c>
      <c r="W50" s="9" t="str">
        <f t="shared" si="2"/>
        <v>Carlisle, city of CB</v>
      </c>
      <c r="X50" s="9" t="str">
        <f>INDEX(Lookup!$A$2:$A$1349, MATCH(W50, Lookup!$B$2:$B$1349,0))</f>
        <v>J04000265</v>
      </c>
      <c r="Y50" s="9" t="str">
        <f>INDEX(Lookup!$F$2:$F$1349, MATCH(W50, Lookup!$B$2:$B$1349,0))</f>
        <v>e070149</v>
      </c>
      <c r="Z50" s="6" t="str">
        <f>INDEX(Lookup!$C$2:$C$1300, MATCH(X50, Lookup!$A$2:$A$1300,0))</f>
        <v>Cumbria</v>
      </c>
    </row>
    <row r="51" spans="1:26" ht="28.15" customHeight="1" x14ac:dyDescent="0.2">
      <c r="A51" s="6" t="s">
        <v>20</v>
      </c>
      <c r="B51" s="1" t="s">
        <v>5282</v>
      </c>
      <c r="C51" s="4">
        <v>16483</v>
      </c>
      <c r="D51" s="4">
        <v>910597</v>
      </c>
      <c r="E51" s="4">
        <v>2250</v>
      </c>
      <c r="F51" s="4">
        <v>284489</v>
      </c>
      <c r="G51" s="4">
        <v>124</v>
      </c>
      <c r="H51" s="4">
        <v>30029</v>
      </c>
      <c r="I51" s="4">
        <v>1115</v>
      </c>
      <c r="J51" s="4">
        <v>699405</v>
      </c>
      <c r="K51" s="4">
        <v>424</v>
      </c>
      <c r="L51" s="4">
        <v>85438</v>
      </c>
      <c r="M51" s="4">
        <v>1360</v>
      </c>
      <c r="N51" s="4">
        <v>204648</v>
      </c>
      <c r="O51" s="4">
        <v>83</v>
      </c>
      <c r="P51" s="4">
        <v>163208</v>
      </c>
      <c r="Q51" s="4">
        <v>31837</v>
      </c>
      <c r="R51" s="4">
        <v>300108</v>
      </c>
      <c r="S51" s="4">
        <v>2709864</v>
      </c>
      <c r="T51" s="10">
        <f t="shared" si="0"/>
        <v>1225115</v>
      </c>
      <c r="U51" s="8">
        <f t="shared" si="1"/>
        <v>0.4520946438640463</v>
      </c>
      <c r="V51" s="9" t="s">
        <v>5269</v>
      </c>
      <c r="W51" s="9" t="str">
        <f t="shared" si="2"/>
        <v>Chester, city and county of CB</v>
      </c>
      <c r="X51" s="9" t="str">
        <f>INDEX(Lookup!$A$2:$A$1349, MATCH(W51, Lookup!$B$2:$B$1349,0))</f>
        <v>J04000301</v>
      </c>
      <c r="Y51" s="9" t="str">
        <f>INDEX(Lookup!$F$2:$F$1349, MATCH(W51, Lookup!$B$2:$B$1349,0))</f>
        <v>e050069</v>
      </c>
      <c r="Z51" s="6" t="str">
        <f>INDEX(Lookup!$C$2:$C$1300, MATCH(X51, Lookup!$A$2:$A$1300,0))</f>
        <v>Cheshire</v>
      </c>
    </row>
    <row r="52" spans="1:26" ht="28.15" customHeight="1" x14ac:dyDescent="0.2">
      <c r="A52" s="6" t="s">
        <v>114</v>
      </c>
      <c r="B52" s="1" t="s">
        <v>5283</v>
      </c>
      <c r="C52" s="4">
        <v>90298</v>
      </c>
      <c r="D52" s="4">
        <v>5231698</v>
      </c>
      <c r="E52" s="4">
        <v>3792</v>
      </c>
      <c r="F52" s="4">
        <v>476413</v>
      </c>
      <c r="G52" s="4">
        <v>282</v>
      </c>
      <c r="H52" s="4">
        <v>73310</v>
      </c>
      <c r="I52" s="4">
        <v>3866</v>
      </c>
      <c r="J52" s="4">
        <v>1320532</v>
      </c>
      <c r="K52" s="4">
        <v>738</v>
      </c>
      <c r="L52" s="4">
        <v>206771</v>
      </c>
      <c r="M52" s="4">
        <v>11011</v>
      </c>
      <c r="N52" s="4">
        <v>697491</v>
      </c>
      <c r="O52" s="4">
        <v>582</v>
      </c>
      <c r="P52" s="4">
        <v>2632080</v>
      </c>
      <c r="Q52" s="4">
        <v>89776</v>
      </c>
      <c r="R52" s="4">
        <v>1473175</v>
      </c>
      <c r="S52" s="4">
        <v>12201246</v>
      </c>
      <c r="T52" s="10">
        <f t="shared" si="0"/>
        <v>5781421</v>
      </c>
      <c r="U52" s="8">
        <f t="shared" si="1"/>
        <v>0.47383857353585035</v>
      </c>
      <c r="V52" s="9" t="s">
        <v>5269</v>
      </c>
      <c r="W52" s="9" t="str">
        <f t="shared" si="2"/>
        <v>Coventry, city of CB</v>
      </c>
      <c r="X52" s="9" t="str">
        <f>INDEX(Lookup!$A$2:$A$1349, MATCH(W52, Lookup!$B$2:$B$1349,0))</f>
        <v>J04000352</v>
      </c>
      <c r="Y52" s="9" t="str">
        <f>INDEX(Lookup!$F$2:$F$1349, MATCH(W52, Lookup!$B$2:$B$1349,0))</f>
        <v>e391067</v>
      </c>
      <c r="Z52" s="6" t="str">
        <f>INDEX(Lookup!$C$2:$C$1300, MATCH(X52, Lookup!$A$2:$A$1300,0))</f>
        <v>West Midlands</v>
      </c>
    </row>
    <row r="53" spans="1:26" ht="28.15" customHeight="1" x14ac:dyDescent="0.2">
      <c r="A53" s="6" t="s">
        <v>115</v>
      </c>
      <c r="B53" s="1" t="s">
        <v>115</v>
      </c>
      <c r="C53" s="4">
        <v>48042</v>
      </c>
      <c r="D53" s="4">
        <v>3540552</v>
      </c>
      <c r="E53" s="4">
        <v>26823</v>
      </c>
      <c r="F53" s="4">
        <v>3401934</v>
      </c>
      <c r="G53" s="4">
        <v>1515</v>
      </c>
      <c r="H53" s="4">
        <v>387467</v>
      </c>
      <c r="I53" s="4">
        <v>3824</v>
      </c>
      <c r="J53" s="4">
        <v>1892455</v>
      </c>
      <c r="K53" s="4">
        <v>851</v>
      </c>
      <c r="L53" s="4">
        <v>569818</v>
      </c>
      <c r="M53" s="4">
        <v>7907</v>
      </c>
      <c r="N53" s="4">
        <v>770328</v>
      </c>
      <c r="O53" s="4">
        <v>734</v>
      </c>
      <c r="P53" s="4">
        <v>1842229</v>
      </c>
      <c r="Q53" s="4">
        <v>92325</v>
      </c>
      <c r="R53" s="4">
        <v>1388713</v>
      </c>
      <c r="S53" s="4">
        <v>13885821</v>
      </c>
      <c r="T53" s="10">
        <f t="shared" si="0"/>
        <v>7329953</v>
      </c>
      <c r="U53" s="8">
        <f t="shared" si="1"/>
        <v>0.52787321685912558</v>
      </c>
      <c r="V53" s="9" t="s">
        <v>5269</v>
      </c>
      <c r="W53" s="9" t="str">
        <f t="shared" si="2"/>
        <v>Croydon CB</v>
      </c>
      <c r="X53" s="9" t="str">
        <f>INDEX(Lookup!$A$2:$A$1349, MATCH(W53, Lookup!$B$2:$B$1349,0))</f>
        <v>J04000371</v>
      </c>
      <c r="Y53" s="9" t="str">
        <f>INDEX(Lookup!$F$2:$F$1349, MATCH(W53, Lookup!$B$2:$B$1349,0))</f>
        <v>e140378</v>
      </c>
      <c r="Z53" s="6" t="str">
        <f>INDEX(Lookup!$C$2:$C$1300, MATCH(X53, Lookup!$A$2:$A$1300,0))</f>
        <v>Outer London</v>
      </c>
    </row>
    <row r="54" spans="1:26" ht="28.15" customHeight="1" x14ac:dyDescent="0.2">
      <c r="A54" s="6" t="s">
        <v>116</v>
      </c>
      <c r="B54" s="1" t="s">
        <v>116</v>
      </c>
      <c r="C54" s="4">
        <v>24744</v>
      </c>
      <c r="D54" s="4">
        <v>1288499</v>
      </c>
      <c r="E54" s="4">
        <v>2264</v>
      </c>
      <c r="F54" s="4">
        <v>270047</v>
      </c>
      <c r="G54" s="4">
        <v>42</v>
      </c>
      <c r="H54" s="4">
        <v>10102</v>
      </c>
      <c r="I54" s="4">
        <v>1237</v>
      </c>
      <c r="J54" s="4">
        <v>507284</v>
      </c>
      <c r="K54" s="4">
        <v>277</v>
      </c>
      <c r="L54" s="4">
        <v>64014</v>
      </c>
      <c r="M54" s="4">
        <v>1589</v>
      </c>
      <c r="N54" s="4">
        <v>191735</v>
      </c>
      <c r="O54" s="4">
        <v>98</v>
      </c>
      <c r="P54" s="4">
        <v>822349</v>
      </c>
      <c r="Q54" s="4">
        <v>29181</v>
      </c>
      <c r="R54" s="4">
        <v>390025</v>
      </c>
      <c r="S54" s="4">
        <v>3573236</v>
      </c>
      <c r="T54" s="10">
        <f t="shared" si="0"/>
        <v>1568648</v>
      </c>
      <c r="U54" s="8">
        <f t="shared" si="1"/>
        <v>0.43899927124880639</v>
      </c>
      <c r="V54" s="9" t="s">
        <v>5269</v>
      </c>
      <c r="W54" s="9" t="str">
        <f t="shared" si="2"/>
        <v>Darlington CB</v>
      </c>
      <c r="X54" s="9" t="str">
        <f>INDEX(Lookup!$A$2:$A$1349, MATCH(W54, Lookup!$B$2:$B$1349,0))</f>
        <v>J04000381</v>
      </c>
      <c r="Y54" s="9" t="str">
        <f>INDEX(Lookup!$F$2:$F$1349, MATCH(W54, Lookup!$B$2:$B$1349,0))</f>
        <v>e110260</v>
      </c>
      <c r="Z54" s="6" t="str">
        <f>INDEX(Lookup!$C$2:$C$1300, MATCH(X54, Lookup!$A$2:$A$1300,0))</f>
        <v>Durham</v>
      </c>
    </row>
    <row r="55" spans="1:26" ht="28.15" customHeight="1" x14ac:dyDescent="0.2">
      <c r="A55" s="6" t="s">
        <v>117</v>
      </c>
      <c r="B55" s="1" t="s">
        <v>117</v>
      </c>
      <c r="C55" s="4">
        <v>40166</v>
      </c>
      <c r="D55" s="4">
        <v>1981876</v>
      </c>
      <c r="E55" s="4">
        <v>1109</v>
      </c>
      <c r="F55" s="4">
        <v>138884</v>
      </c>
      <c r="G55" s="4">
        <v>48</v>
      </c>
      <c r="H55" s="4">
        <v>11892</v>
      </c>
      <c r="I55" s="4">
        <v>2450</v>
      </c>
      <c r="J55" s="4">
        <v>1041766</v>
      </c>
      <c r="K55" s="4">
        <v>488</v>
      </c>
      <c r="L55" s="4">
        <v>127148</v>
      </c>
      <c r="M55" s="4">
        <v>3634</v>
      </c>
      <c r="N55" s="4">
        <v>553994</v>
      </c>
      <c r="O55" s="4">
        <v>292</v>
      </c>
      <c r="P55" s="4">
        <v>1744659</v>
      </c>
      <c r="Q55" s="4">
        <v>72173</v>
      </c>
      <c r="R55" s="4">
        <v>860547</v>
      </c>
      <c r="S55" s="4">
        <v>6532939</v>
      </c>
      <c r="T55" s="10">
        <f t="shared" si="0"/>
        <v>2132652</v>
      </c>
      <c r="U55" s="8">
        <f t="shared" si="1"/>
        <v>0.32644602988027288</v>
      </c>
      <c r="V55" s="9" t="s">
        <v>5269</v>
      </c>
      <c r="W55" s="9" t="str">
        <f t="shared" si="2"/>
        <v>Derby CB</v>
      </c>
      <c r="X55" s="9" t="str">
        <f>INDEX(Lookup!$A$2:$A$1349, MATCH(W55, Lookup!$B$2:$B$1349,0))</f>
        <v>J04000401</v>
      </c>
      <c r="Y55" s="9" t="str">
        <f>INDEX(Lookup!$F$2:$F$1349, MATCH(W55, Lookup!$B$2:$B$1349,0))</f>
        <v>e080163</v>
      </c>
      <c r="Z55" s="6" t="str">
        <f>INDEX(Lookup!$C$2:$C$1300, MATCH(X55, Lookup!$A$2:$A$1300,0))</f>
        <v>Derbyshire</v>
      </c>
    </row>
    <row r="56" spans="1:26" ht="28.15" customHeight="1" x14ac:dyDescent="0.2">
      <c r="A56" s="6" t="s">
        <v>118</v>
      </c>
      <c r="B56" s="1" t="s">
        <v>5284</v>
      </c>
      <c r="C56" s="4">
        <v>18523</v>
      </c>
      <c r="D56" s="4">
        <v>599452</v>
      </c>
      <c r="E56" s="4">
        <v>143</v>
      </c>
      <c r="F56" s="4">
        <v>17759</v>
      </c>
      <c r="G56" s="4">
        <v>6</v>
      </c>
      <c r="H56" s="4">
        <v>1420</v>
      </c>
      <c r="I56" s="4">
        <v>897</v>
      </c>
      <c r="J56" s="4">
        <v>225151</v>
      </c>
      <c r="K56" s="4">
        <v>130</v>
      </c>
      <c r="L56" s="4">
        <v>23241</v>
      </c>
      <c r="M56" s="4">
        <v>2222</v>
      </c>
      <c r="N56" s="4">
        <v>100371</v>
      </c>
      <c r="O56" s="4">
        <v>248</v>
      </c>
      <c r="P56" s="4">
        <v>207666</v>
      </c>
      <c r="Q56" s="4">
        <v>14115</v>
      </c>
      <c r="R56" s="4">
        <v>288534</v>
      </c>
      <c r="S56" s="4">
        <v>1477709</v>
      </c>
      <c r="T56" s="10">
        <f t="shared" si="0"/>
        <v>618631</v>
      </c>
      <c r="U56" s="8">
        <f t="shared" si="1"/>
        <v>0.41864196536665882</v>
      </c>
      <c r="V56" s="9" t="s">
        <v>5269</v>
      </c>
      <c r="W56" s="9" t="str">
        <f t="shared" si="2"/>
        <v>Dewsbury CB</v>
      </c>
      <c r="X56" s="9" t="str">
        <f>INDEX(Lookup!$A$2:$A$1349, MATCH(W56, Lookup!$B$2:$B$1349,0))</f>
        <v>J04000407</v>
      </c>
      <c r="Y56" s="9" t="str">
        <f>INDEX(Lookup!$F$2:$F$1349, MATCH(W56, Lookup!$B$2:$B$1349,0))</f>
        <v>e461201</v>
      </c>
      <c r="Z56" s="6" t="str">
        <f>INDEX(Lookup!$C$2:$C$1300, MATCH(X56, Lookup!$A$2:$A$1300,0))</f>
        <v>West Yorkshire</v>
      </c>
    </row>
    <row r="57" spans="1:26" ht="28.15" customHeight="1" x14ac:dyDescent="0.2">
      <c r="A57" s="6" t="s">
        <v>119</v>
      </c>
      <c r="B57" s="1" t="s">
        <v>119</v>
      </c>
      <c r="C57" s="4">
        <v>25752</v>
      </c>
      <c r="D57" s="4">
        <v>1422431</v>
      </c>
      <c r="E57" s="4">
        <v>1189</v>
      </c>
      <c r="F57" s="4">
        <v>148810</v>
      </c>
      <c r="G57" s="4">
        <v>45</v>
      </c>
      <c r="H57" s="4">
        <v>10494</v>
      </c>
      <c r="I57" s="4">
        <v>1415</v>
      </c>
      <c r="J57" s="4">
        <v>659256</v>
      </c>
      <c r="K57" s="4">
        <v>449</v>
      </c>
      <c r="L57" s="4">
        <v>79088</v>
      </c>
      <c r="M57" s="4">
        <v>1747</v>
      </c>
      <c r="N57" s="4">
        <v>252053</v>
      </c>
      <c r="O57" s="4">
        <v>118</v>
      </c>
      <c r="P57" s="4">
        <v>527848</v>
      </c>
      <c r="Q57" s="4">
        <v>45805</v>
      </c>
      <c r="R57" s="4">
        <v>516872</v>
      </c>
      <c r="S57" s="4">
        <v>3662657</v>
      </c>
      <c r="T57" s="10">
        <f t="shared" si="0"/>
        <v>1581735</v>
      </c>
      <c r="U57" s="8">
        <f t="shared" si="1"/>
        <v>0.43185452528041801</v>
      </c>
      <c r="V57" s="9" t="s">
        <v>5269</v>
      </c>
      <c r="W57" s="9" t="str">
        <f t="shared" si="2"/>
        <v>Doncaster CB</v>
      </c>
      <c r="X57" s="9" t="str">
        <f>INDEX(Lookup!$A$2:$A$1349, MATCH(W57, Lookup!$B$2:$B$1349,0))</f>
        <v>J04000414</v>
      </c>
      <c r="Y57" s="9" t="str">
        <f>INDEX(Lookup!$F$2:$F$1349, MATCH(W57, Lookup!$B$2:$B$1349,0))</f>
        <v>e461202</v>
      </c>
      <c r="Z57" s="6" t="str">
        <f>INDEX(Lookup!$C$2:$C$1300, MATCH(X57, Lookup!$A$2:$A$1300,0))</f>
        <v>South Yorkshire</v>
      </c>
    </row>
    <row r="58" spans="1:26" ht="28.15" customHeight="1" x14ac:dyDescent="0.2">
      <c r="A58" s="6" t="s">
        <v>120</v>
      </c>
      <c r="B58" s="1" t="s">
        <v>120</v>
      </c>
      <c r="C58" s="4">
        <v>18078</v>
      </c>
      <c r="D58" s="4">
        <v>945741</v>
      </c>
      <c r="E58" s="4">
        <v>575</v>
      </c>
      <c r="F58" s="4">
        <v>69417</v>
      </c>
      <c r="G58" s="4">
        <v>32</v>
      </c>
      <c r="H58" s="4">
        <v>7468</v>
      </c>
      <c r="I58" s="4">
        <v>932</v>
      </c>
      <c r="J58" s="4">
        <v>364918</v>
      </c>
      <c r="K58" s="4">
        <v>195</v>
      </c>
      <c r="L58" s="4">
        <v>69887</v>
      </c>
      <c r="M58" s="4">
        <v>2226</v>
      </c>
      <c r="N58" s="4">
        <v>299865</v>
      </c>
      <c r="O58" s="4">
        <v>245</v>
      </c>
      <c r="P58" s="4">
        <v>656689</v>
      </c>
      <c r="Q58" s="4">
        <v>14776</v>
      </c>
      <c r="R58" s="4">
        <v>318762</v>
      </c>
      <c r="S58" s="4">
        <v>2677523</v>
      </c>
      <c r="T58" s="10">
        <f t="shared" si="0"/>
        <v>1022626</v>
      </c>
      <c r="U58" s="8">
        <f t="shared" si="1"/>
        <v>0.38192986577519594</v>
      </c>
      <c r="V58" s="9" t="s">
        <v>5269</v>
      </c>
      <c r="W58" s="9" t="str">
        <f t="shared" si="2"/>
        <v>Dudley CB</v>
      </c>
      <c r="X58" s="9" t="str">
        <f>INDEX(Lookup!$A$2:$A$1349, MATCH(W58, Lookup!$B$2:$B$1349,0))</f>
        <v>J04000433</v>
      </c>
      <c r="Y58" s="9" t="str">
        <f>INDEX(Lookup!$F$2:$F$1349, MATCH(W58, Lookup!$B$2:$B$1349,0))</f>
        <v>e330941</v>
      </c>
      <c r="Z58" s="6" t="str">
        <f>INDEX(Lookup!$C$2:$C$1300, MATCH(X58, Lookup!$A$2:$A$1300,0))</f>
        <v>West Midlands</v>
      </c>
    </row>
    <row r="59" spans="1:26" ht="28.15" customHeight="1" x14ac:dyDescent="0.2">
      <c r="A59" s="6" t="s">
        <v>121</v>
      </c>
      <c r="B59" s="1" t="s">
        <v>121</v>
      </c>
      <c r="C59" s="4">
        <v>12270</v>
      </c>
      <c r="D59" s="4">
        <v>811619</v>
      </c>
      <c r="E59" s="4">
        <v>7460</v>
      </c>
      <c r="F59" s="4">
        <v>1015402</v>
      </c>
      <c r="G59" s="4">
        <v>1079</v>
      </c>
      <c r="H59" s="4">
        <v>276374</v>
      </c>
      <c r="I59" s="4">
        <v>1168</v>
      </c>
      <c r="J59" s="4">
        <v>373119</v>
      </c>
      <c r="K59" s="4">
        <v>217</v>
      </c>
      <c r="L59" s="4">
        <v>34467</v>
      </c>
      <c r="M59" s="4">
        <v>2811</v>
      </c>
      <c r="N59" s="4">
        <v>299865</v>
      </c>
      <c r="O59" s="4">
        <v>78</v>
      </c>
      <c r="P59" s="4">
        <v>98665</v>
      </c>
      <c r="Q59" s="4">
        <v>24848</v>
      </c>
      <c r="R59" s="4">
        <v>335767</v>
      </c>
      <c r="S59" s="4">
        <v>3269726</v>
      </c>
      <c r="T59" s="10">
        <f t="shared" si="0"/>
        <v>2103395</v>
      </c>
      <c r="U59" s="8">
        <f t="shared" si="1"/>
        <v>0.64329396408139394</v>
      </c>
      <c r="V59" s="9" t="s">
        <v>5269</v>
      </c>
      <c r="W59" s="9" t="str">
        <f t="shared" si="2"/>
        <v>Eastbourne CB</v>
      </c>
      <c r="X59" s="9" t="str">
        <f>INDEX(Lookup!$A$2:$A$1349, MATCH(W59, Lookup!$B$2:$B$1349,0))</f>
        <v>J04000455</v>
      </c>
      <c r="Y59" s="9" t="str">
        <f>INDEX(Lookup!$F$2:$F$1349, MATCH(W59, Lookup!$B$2:$B$1349,0))</f>
        <v>e371030</v>
      </c>
      <c r="Z59" s="6" t="str">
        <f>INDEX(Lookup!$C$2:$C$1300, MATCH(X59, Lookup!$A$2:$A$1300,0))</f>
        <v>East Sussex</v>
      </c>
    </row>
    <row r="60" spans="1:26" ht="28.15" customHeight="1" x14ac:dyDescent="0.2">
      <c r="A60" s="6" t="s">
        <v>122</v>
      </c>
      <c r="B60" s="1" t="s">
        <v>122</v>
      </c>
      <c r="C60" s="4">
        <v>30352</v>
      </c>
      <c r="D60" s="4">
        <v>2116125</v>
      </c>
      <c r="E60" s="4">
        <v>1243</v>
      </c>
      <c r="F60" s="4">
        <v>148216</v>
      </c>
      <c r="G60" s="4">
        <v>25</v>
      </c>
      <c r="H60" s="4">
        <v>5550</v>
      </c>
      <c r="I60" s="4">
        <v>1846</v>
      </c>
      <c r="J60" s="4">
        <v>783704</v>
      </c>
      <c r="K60" s="4">
        <v>147</v>
      </c>
      <c r="L60" s="4">
        <v>57838</v>
      </c>
      <c r="M60" s="4">
        <v>1401</v>
      </c>
      <c r="N60" s="4">
        <v>180297</v>
      </c>
      <c r="O60" s="4">
        <v>140</v>
      </c>
      <c r="P60" s="4">
        <v>313142</v>
      </c>
      <c r="Q60" s="4">
        <v>13602</v>
      </c>
      <c r="R60" s="4">
        <v>398881</v>
      </c>
      <c r="S60" s="4">
        <v>4017361</v>
      </c>
      <c r="T60" s="10">
        <f t="shared" si="0"/>
        <v>2269891</v>
      </c>
      <c r="U60" s="8">
        <f t="shared" si="1"/>
        <v>0.56502042012156739</v>
      </c>
      <c r="V60" s="9" t="s">
        <v>5269</v>
      </c>
      <c r="W60" s="9" t="str">
        <f t="shared" si="2"/>
        <v>East Ham CB</v>
      </c>
      <c r="X60" s="9" t="str">
        <f>INDEX(Lookup!$A$2:$A$1349, MATCH(W60, Lookup!$B$2:$B$1349,0))</f>
        <v>J04000451</v>
      </c>
      <c r="Y60" s="9" t="str">
        <f>INDEX(Lookup!$F$2:$F$1349, MATCH(W60, Lookup!$B$2:$B$1349,0))</f>
        <v>e140399</v>
      </c>
      <c r="Z60" s="6" t="str">
        <f>INDEX(Lookup!$C$2:$C$1300, MATCH(X60, Lookup!$A$2:$A$1300,0))</f>
        <v>Outer London</v>
      </c>
    </row>
    <row r="61" spans="1:26" ht="28.15" customHeight="1" x14ac:dyDescent="0.2">
      <c r="A61" s="6" t="s">
        <v>123</v>
      </c>
      <c r="B61" s="1" t="s">
        <v>5285</v>
      </c>
      <c r="C61" s="4">
        <v>19347</v>
      </c>
      <c r="D61" s="4">
        <v>1162279</v>
      </c>
      <c r="E61" s="4">
        <v>4420</v>
      </c>
      <c r="F61" s="4">
        <v>565643</v>
      </c>
      <c r="G61" s="4">
        <v>458</v>
      </c>
      <c r="H61" s="4">
        <v>111543</v>
      </c>
      <c r="I61" s="4">
        <v>1299</v>
      </c>
      <c r="J61" s="4">
        <v>962076</v>
      </c>
      <c r="K61" s="4">
        <v>540</v>
      </c>
      <c r="L61" s="4">
        <v>209711</v>
      </c>
      <c r="M61" s="4">
        <v>2331</v>
      </c>
      <c r="N61" s="4">
        <v>391907</v>
      </c>
      <c r="O61" s="4">
        <v>147</v>
      </c>
      <c r="P61" s="4">
        <v>298315</v>
      </c>
      <c r="Q61" s="4">
        <v>81616</v>
      </c>
      <c r="R61" s="4">
        <v>611054</v>
      </c>
      <c r="S61" s="4">
        <v>4394144</v>
      </c>
      <c r="T61" s="10">
        <f t="shared" si="0"/>
        <v>1839465</v>
      </c>
      <c r="U61" s="8">
        <f t="shared" si="1"/>
        <v>0.41861736893465484</v>
      </c>
      <c r="V61" s="9" t="s">
        <v>5269</v>
      </c>
      <c r="W61" s="9" t="str">
        <f t="shared" si="2"/>
        <v>Exeter, city and county of CB</v>
      </c>
      <c r="X61" s="9" t="str">
        <f>INDEX(Lookup!$A$2:$A$1349, MATCH(W61, Lookup!$B$2:$B$1349,0))</f>
        <v>J04000486</v>
      </c>
      <c r="Y61" s="9" t="str">
        <f>INDEX(Lookup!$F$2:$F$1349, MATCH(W61, Lookup!$B$2:$B$1349,0))</f>
        <v>e090196</v>
      </c>
      <c r="Z61" s="6" t="str">
        <f>INDEX(Lookup!$C$2:$C$1300, MATCH(X61, Lookup!$A$2:$A$1300,0))</f>
        <v>Devon</v>
      </c>
    </row>
    <row r="62" spans="1:26" ht="28.15" customHeight="1" x14ac:dyDescent="0.2">
      <c r="A62" s="6" t="s">
        <v>124</v>
      </c>
      <c r="B62" s="1" t="s">
        <v>124</v>
      </c>
      <c r="C62" s="4">
        <v>33143</v>
      </c>
      <c r="D62" s="4">
        <v>1306395</v>
      </c>
      <c r="E62" s="4">
        <v>537</v>
      </c>
      <c r="F62" s="4">
        <v>62939</v>
      </c>
      <c r="G62" s="4">
        <v>6</v>
      </c>
      <c r="H62" s="4">
        <v>1452</v>
      </c>
      <c r="I62" s="4">
        <v>1489</v>
      </c>
      <c r="J62" s="4">
        <v>229802</v>
      </c>
      <c r="K62" s="4">
        <v>155</v>
      </c>
      <c r="L62" s="4">
        <v>25178</v>
      </c>
      <c r="M62" s="4">
        <v>1858</v>
      </c>
      <c r="N62" s="4">
        <v>257658</v>
      </c>
      <c r="O62" s="2">
        <v>195</v>
      </c>
      <c r="P62" s="4">
        <v>840132</v>
      </c>
      <c r="Q62" s="4">
        <v>22766</v>
      </c>
      <c r="R62" s="4">
        <v>453979</v>
      </c>
      <c r="S62" s="4">
        <v>3200301</v>
      </c>
      <c r="T62" s="10">
        <f t="shared" si="0"/>
        <v>1370786</v>
      </c>
      <c r="U62" s="8">
        <f t="shared" si="1"/>
        <v>0.42833033517784735</v>
      </c>
      <c r="V62" s="9" t="s">
        <v>5269</v>
      </c>
      <c r="W62" s="9" t="str">
        <f t="shared" si="2"/>
        <v>Gateshead CB</v>
      </c>
      <c r="X62" s="9" t="str">
        <f>INDEX(Lookup!$A$2:$A$1349, MATCH(W62, Lookup!$B$2:$B$1349,0))</f>
        <v>J04000528</v>
      </c>
      <c r="Y62" s="9" t="str">
        <f>INDEX(Lookup!$F$2:$F$1349, MATCH(W62, Lookup!$B$2:$B$1349,0))</f>
        <v>e110261</v>
      </c>
      <c r="Z62" s="6" t="str">
        <f>INDEX(Lookup!$C$2:$C$1300, MATCH(X62, Lookup!$A$2:$A$1300,0))</f>
        <v>Tyne And Wear</v>
      </c>
    </row>
    <row r="63" spans="1:26" ht="28.15" customHeight="1" x14ac:dyDescent="0.2">
      <c r="A63" s="6" t="s">
        <v>11</v>
      </c>
      <c r="B63" s="1" t="s">
        <v>94</v>
      </c>
      <c r="T63" s="10"/>
      <c r="V63" s="9" t="s">
        <v>5269</v>
      </c>
      <c r="W63" s="9" t="str">
        <f t="shared" si="2"/>
        <v>ENGLAND CB</v>
      </c>
      <c r="X63" s="9" t="e">
        <f>INDEX(Lookup!$A$2:$A$1349, MATCH(W63, Lookup!$B$2:$B$1349,0))</f>
        <v>#N/A</v>
      </c>
      <c r="Y63" s="9" t="e">
        <f>INDEX(Lookup!$F$2:$F$1349, MATCH(W63, Lookup!$B$2:$B$1349,0))</f>
        <v>#N/A</v>
      </c>
      <c r="Z63" s="6" t="e">
        <f>INDEX(Lookup!$C$2:$C$1300, MATCH(X63, Lookup!$A$2:$A$1300,0))</f>
        <v>#N/A</v>
      </c>
    </row>
    <row r="64" spans="1:26" ht="28.15" customHeight="1" x14ac:dyDescent="0.2">
      <c r="A64" s="6" t="s">
        <v>125</v>
      </c>
      <c r="B64" s="1" t="s">
        <v>125</v>
      </c>
      <c r="T64" s="10"/>
      <c r="V64" s="9" t="s">
        <v>5269</v>
      </c>
      <c r="W64" s="9" t="str">
        <f t="shared" si="2"/>
        <v>County Boroughs--contd. CB</v>
      </c>
      <c r="X64" s="9" t="e">
        <f>INDEX(Lookup!$A$2:$A$1349, MATCH(W64, Lookup!$B$2:$B$1349,0))</f>
        <v>#N/A</v>
      </c>
      <c r="Y64" s="9" t="e">
        <f>INDEX(Lookup!$F$2:$F$1349, MATCH(W64, Lookup!$B$2:$B$1349,0))</f>
        <v>#N/A</v>
      </c>
      <c r="Z64" s="6" t="e">
        <f>INDEX(Lookup!$C$2:$C$1300, MATCH(X64, Lookup!$A$2:$A$1300,0))</f>
        <v>#N/A</v>
      </c>
    </row>
    <row r="65" spans="1:26" ht="28.15" customHeight="1" x14ac:dyDescent="0.2">
      <c r="A65" s="6" t="s">
        <v>126</v>
      </c>
      <c r="B65" s="1" t="s">
        <v>5286</v>
      </c>
      <c r="C65" s="4">
        <v>18935</v>
      </c>
      <c r="D65" s="4">
        <v>960031</v>
      </c>
      <c r="E65" s="4">
        <v>1011</v>
      </c>
      <c r="F65" s="4">
        <v>120557</v>
      </c>
      <c r="G65" s="4">
        <v>7</v>
      </c>
      <c r="H65" s="4">
        <v>2004</v>
      </c>
      <c r="I65" s="4">
        <v>1126</v>
      </c>
      <c r="J65" s="4">
        <v>427087</v>
      </c>
      <c r="K65" s="4">
        <v>360</v>
      </c>
      <c r="L65" s="4">
        <v>62100</v>
      </c>
      <c r="M65" s="4">
        <v>2027</v>
      </c>
      <c r="N65" s="4">
        <v>223832</v>
      </c>
      <c r="O65" s="4">
        <v>127</v>
      </c>
      <c r="P65" s="4">
        <v>405461</v>
      </c>
      <c r="Q65" s="4">
        <v>32363</v>
      </c>
      <c r="R65" s="4">
        <v>326172</v>
      </c>
      <c r="S65" s="4">
        <v>2559607</v>
      </c>
      <c r="T65" s="10">
        <f t="shared" si="0"/>
        <v>1082592</v>
      </c>
      <c r="U65" s="8">
        <f t="shared" si="1"/>
        <v>0.42295242980660702</v>
      </c>
      <c r="V65" s="9" t="s">
        <v>5269</v>
      </c>
      <c r="W65" s="9" t="str">
        <f t="shared" si="2"/>
        <v>Gloucester, city and county of CB</v>
      </c>
      <c r="X65" s="9" t="str">
        <f>INDEX(Lookup!$A$2:$A$1349, MATCH(W65, Lookup!$B$2:$B$1349,0))</f>
        <v>J04000537</v>
      </c>
      <c r="Y65" s="9" t="str">
        <f>INDEX(Lookup!$F$2:$F$1349, MATCH(W65, Lookup!$B$2:$B$1349,0))</f>
        <v>e130346</v>
      </c>
      <c r="Z65" s="6" t="str">
        <f>INDEX(Lookup!$C$2:$C$1300, MATCH(X65, Lookup!$A$2:$A$1300,0))</f>
        <v>Gloucestershire</v>
      </c>
    </row>
    <row r="66" spans="1:26" ht="28.15" customHeight="1" x14ac:dyDescent="0.2">
      <c r="A66" s="6" t="s">
        <v>127</v>
      </c>
      <c r="B66" s="1" t="s">
        <v>5287</v>
      </c>
      <c r="C66" s="4">
        <v>16551</v>
      </c>
      <c r="D66" s="4">
        <v>746097</v>
      </c>
      <c r="E66" s="4">
        <v>729</v>
      </c>
      <c r="F66" s="4">
        <v>87446</v>
      </c>
      <c r="G66" s="4">
        <v>36</v>
      </c>
      <c r="H66" s="4">
        <v>10161</v>
      </c>
      <c r="I66" s="4">
        <v>1156</v>
      </c>
      <c r="J66" s="4">
        <v>289704</v>
      </c>
      <c r="K66" s="4">
        <v>205</v>
      </c>
      <c r="L66" s="4">
        <v>24641</v>
      </c>
      <c r="M66" s="4">
        <v>2108</v>
      </c>
      <c r="N66" s="4">
        <v>308643</v>
      </c>
      <c r="O66" s="2">
        <v>189</v>
      </c>
      <c r="P66" s="4">
        <v>328013</v>
      </c>
      <c r="Q66" s="4">
        <v>17523</v>
      </c>
      <c r="R66" s="4">
        <v>413968</v>
      </c>
      <c r="S66" s="4">
        <v>2226196</v>
      </c>
      <c r="T66" s="10">
        <f t="shared" si="0"/>
        <v>843704</v>
      </c>
      <c r="U66" s="8">
        <f t="shared" si="1"/>
        <v>0.37898909170621098</v>
      </c>
      <c r="V66" s="9" t="s">
        <v>5269</v>
      </c>
      <c r="W66" s="9" t="str">
        <f t="shared" si="2"/>
        <v>Great Yarmouth CB</v>
      </c>
      <c r="X66" s="9" t="str">
        <f>INDEX(Lookup!$A$2:$A$1349, MATCH(W66, Lookup!$B$2:$B$1349,0))</f>
        <v>J04000552</v>
      </c>
      <c r="Y66" s="9" t="str">
        <f>INDEX(Lookup!$F$2:$F$1349, MATCH(W66, Lookup!$B$2:$B$1349,0))</f>
        <v>e250758</v>
      </c>
      <c r="Z66" s="6" t="str">
        <f>INDEX(Lookup!$C$2:$C$1300, MATCH(X66, Lookup!$A$2:$A$1300,0))</f>
        <v>Norfolk</v>
      </c>
    </row>
    <row r="67" spans="1:26" ht="28.15" customHeight="1" x14ac:dyDescent="0.2">
      <c r="A67" s="6" t="s">
        <v>128</v>
      </c>
      <c r="B67" s="1" t="s">
        <v>128</v>
      </c>
      <c r="C67" s="4">
        <v>27934</v>
      </c>
      <c r="D67" s="4">
        <v>1431700</v>
      </c>
      <c r="E67" s="4">
        <v>1523</v>
      </c>
      <c r="F67" s="4">
        <v>196401</v>
      </c>
      <c r="G67" s="4">
        <v>84</v>
      </c>
      <c r="H67" s="4">
        <v>20483</v>
      </c>
      <c r="I67" s="4">
        <v>1833</v>
      </c>
      <c r="J67" s="4">
        <v>458484</v>
      </c>
      <c r="K67" s="4">
        <v>876</v>
      </c>
      <c r="L67" s="4">
        <v>80022</v>
      </c>
      <c r="M67" s="4">
        <v>1675</v>
      </c>
      <c r="N67" s="4">
        <v>350837</v>
      </c>
      <c r="O67" s="4">
        <v>319</v>
      </c>
      <c r="P67" s="4">
        <v>479710</v>
      </c>
      <c r="Q67" s="4">
        <v>17857</v>
      </c>
      <c r="R67" s="4">
        <v>385183</v>
      </c>
      <c r="S67" s="4">
        <v>3420677</v>
      </c>
      <c r="T67" s="10">
        <f t="shared" ref="T67:T130" si="3">SUM(D67+F67+H67)</f>
        <v>1648584</v>
      </c>
      <c r="U67" s="8">
        <f t="shared" ref="U67:U130" si="4">T67/S67</f>
        <v>0.48194670236330411</v>
      </c>
      <c r="V67" s="9" t="s">
        <v>5269</v>
      </c>
      <c r="W67" s="9" t="str">
        <f t="shared" ref="W67:W130" si="5">_xlfn.CONCAT(B67," ",V67)</f>
        <v>Grimsby CB</v>
      </c>
      <c r="X67" s="9" t="str">
        <f>INDEX(Lookup!$A$2:$A$1349, MATCH(W67, Lookup!$B$2:$B$1349,0))</f>
        <v>J04000554</v>
      </c>
      <c r="Y67" s="9" t="str">
        <f>INDEX(Lookup!$F$2:$F$1349, MATCH(W67, Lookup!$B$2:$B$1349,0))</f>
        <v>e240736</v>
      </c>
      <c r="Z67" s="6" t="str">
        <f>INDEX(Lookup!$C$2:$C$1300, MATCH(X67, Lookup!$A$2:$A$1300,0))</f>
        <v>Humberside</v>
      </c>
    </row>
    <row r="68" spans="1:26" ht="28.15" customHeight="1" x14ac:dyDescent="0.2">
      <c r="A68" s="6" t="s">
        <v>129</v>
      </c>
      <c r="B68" s="1" t="s">
        <v>129</v>
      </c>
      <c r="C68" s="4">
        <v>33863</v>
      </c>
      <c r="D68" s="4">
        <v>1058679</v>
      </c>
      <c r="E68" s="4">
        <v>377</v>
      </c>
      <c r="F68" s="4">
        <v>48347</v>
      </c>
      <c r="G68" s="4">
        <v>28</v>
      </c>
      <c r="H68" s="4">
        <v>6967</v>
      </c>
      <c r="I68" s="4">
        <v>1895</v>
      </c>
      <c r="J68" s="4">
        <v>316541</v>
      </c>
      <c r="K68" s="4">
        <v>318</v>
      </c>
      <c r="L68" s="4">
        <v>54001</v>
      </c>
      <c r="M68" s="4">
        <v>4781</v>
      </c>
      <c r="N68" s="4">
        <v>204676</v>
      </c>
      <c r="O68" s="2">
        <v>465</v>
      </c>
      <c r="P68" s="4">
        <v>487846</v>
      </c>
      <c r="Q68" s="4">
        <v>39681</v>
      </c>
      <c r="R68" s="4">
        <v>361533</v>
      </c>
      <c r="S68" s="4">
        <v>2578274</v>
      </c>
      <c r="T68" s="10">
        <f t="shared" si="3"/>
        <v>1113993</v>
      </c>
      <c r="U68" s="8">
        <f t="shared" si="4"/>
        <v>0.4320692835594665</v>
      </c>
      <c r="V68" s="9" t="s">
        <v>5269</v>
      </c>
      <c r="W68" s="9" t="str">
        <f t="shared" si="5"/>
        <v>Halifax CB</v>
      </c>
      <c r="X68" s="9" t="str">
        <f>INDEX(Lookup!$A$2:$A$1349, MATCH(W68, Lookup!$B$2:$B$1349,0))</f>
        <v>J04000566</v>
      </c>
      <c r="Y68" s="9" t="str">
        <f>INDEX(Lookup!$F$2:$F$1349, MATCH(W68, Lookup!$B$2:$B$1349,0))</f>
        <v>e461203</v>
      </c>
      <c r="Z68" s="6" t="str">
        <f>INDEX(Lookup!$C$2:$C$1300, MATCH(X68, Lookup!$A$2:$A$1300,0))</f>
        <v>West Yorkshire</v>
      </c>
    </row>
    <row r="69" spans="1:26" ht="28.15" customHeight="1" x14ac:dyDescent="0.2">
      <c r="A69" s="6" t="s">
        <v>130</v>
      </c>
      <c r="B69" s="1" t="s">
        <v>130</v>
      </c>
      <c r="C69" s="4">
        <v>18897</v>
      </c>
      <c r="D69" s="4">
        <v>1160802</v>
      </c>
      <c r="E69" s="4">
        <v>4057</v>
      </c>
      <c r="F69" s="4">
        <v>512232</v>
      </c>
      <c r="G69" s="4">
        <v>295</v>
      </c>
      <c r="H69" s="4">
        <v>71318</v>
      </c>
      <c r="I69" s="4">
        <v>1504</v>
      </c>
      <c r="J69" s="4">
        <v>326730</v>
      </c>
      <c r="K69" s="4">
        <v>229</v>
      </c>
      <c r="L69" s="4">
        <v>29600</v>
      </c>
      <c r="M69" s="4">
        <v>2225</v>
      </c>
      <c r="N69" s="4">
        <v>179224</v>
      </c>
      <c r="O69" s="4">
        <v>124</v>
      </c>
      <c r="P69" s="4">
        <v>87502</v>
      </c>
      <c r="Q69" s="4">
        <v>25094</v>
      </c>
      <c r="R69" s="4">
        <v>245069</v>
      </c>
      <c r="S69" s="4">
        <v>2637571</v>
      </c>
      <c r="T69" s="10">
        <f t="shared" si="3"/>
        <v>1744352</v>
      </c>
      <c r="U69" s="8">
        <f t="shared" si="4"/>
        <v>0.66134788409487366</v>
      </c>
      <c r="V69" s="9" t="s">
        <v>5269</v>
      </c>
      <c r="W69" s="9" t="str">
        <f t="shared" si="5"/>
        <v>Hastings CB</v>
      </c>
      <c r="X69" s="9" t="str">
        <f>INDEX(Lookup!$A$2:$A$1349, MATCH(W69, Lookup!$B$2:$B$1349,0))</f>
        <v>J04000584</v>
      </c>
      <c r="Y69" s="9" t="str">
        <f>INDEX(Lookup!$F$2:$F$1349, MATCH(W69, Lookup!$B$2:$B$1349,0))</f>
        <v>e371031</v>
      </c>
      <c r="Z69" s="6" t="str">
        <f>INDEX(Lookup!$C$2:$C$1300, MATCH(X69, Lookup!$A$2:$A$1300,0))</f>
        <v>East Sussex</v>
      </c>
    </row>
    <row r="70" spans="1:26" ht="28.15" customHeight="1" x14ac:dyDescent="0.2">
      <c r="A70" s="6" t="s">
        <v>131</v>
      </c>
      <c r="B70" s="1" t="s">
        <v>5288</v>
      </c>
      <c r="C70" s="4">
        <v>45045</v>
      </c>
      <c r="D70" s="4">
        <v>1576792</v>
      </c>
      <c r="E70" s="4">
        <v>892</v>
      </c>
      <c r="F70" s="4">
        <v>113813</v>
      </c>
      <c r="G70" s="4">
        <v>65</v>
      </c>
      <c r="H70" s="4">
        <v>17248</v>
      </c>
      <c r="I70" s="4">
        <v>2153</v>
      </c>
      <c r="J70" s="4">
        <v>445194</v>
      </c>
      <c r="K70" s="4">
        <v>443</v>
      </c>
      <c r="L70" s="4">
        <v>65205</v>
      </c>
      <c r="M70" s="4">
        <v>6440</v>
      </c>
      <c r="N70" s="4">
        <v>280980</v>
      </c>
      <c r="O70" s="2">
        <v>534</v>
      </c>
      <c r="P70" s="4">
        <v>867566</v>
      </c>
      <c r="Q70" s="4">
        <v>31274</v>
      </c>
      <c r="R70" s="4">
        <v>603572</v>
      </c>
      <c r="S70" s="4">
        <v>4001644</v>
      </c>
      <c r="T70" s="10">
        <f t="shared" si="3"/>
        <v>1707853</v>
      </c>
      <c r="U70" s="8">
        <f t="shared" si="4"/>
        <v>0.42678784019767874</v>
      </c>
      <c r="V70" s="9" t="s">
        <v>5269</v>
      </c>
      <c r="W70" s="9" t="str">
        <f t="shared" si="5"/>
        <v>Huddersfield CB</v>
      </c>
      <c r="X70" s="9" t="str">
        <f>INDEX(Lookup!$A$2:$A$1349, MATCH(W70, Lookup!$B$2:$B$1349,0))</f>
        <v>J04000657</v>
      </c>
      <c r="Y70" s="9" t="str">
        <f>INDEX(Lookup!$F$2:$F$1349, MATCH(W70, Lookup!$B$2:$B$1349,0))</f>
        <v>e461204</v>
      </c>
      <c r="Z70" s="6" t="str">
        <f>INDEX(Lookup!$C$2:$C$1300, MATCH(X70, Lookup!$A$2:$A$1300,0))</f>
        <v>West Yorkshire</v>
      </c>
    </row>
    <row r="71" spans="1:26" ht="28.15" customHeight="1" x14ac:dyDescent="0.2">
      <c r="A71" s="6" t="s">
        <v>132</v>
      </c>
      <c r="B71" s="1" t="s">
        <v>5289</v>
      </c>
      <c r="C71" s="4">
        <v>34720</v>
      </c>
      <c r="D71" s="4">
        <v>2024568</v>
      </c>
      <c r="E71" s="4">
        <v>2234</v>
      </c>
      <c r="F71" s="4">
        <v>270399</v>
      </c>
      <c r="G71" s="4">
        <v>38</v>
      </c>
      <c r="H71" s="4">
        <v>9471</v>
      </c>
      <c r="I71" s="4">
        <v>1581</v>
      </c>
      <c r="J71" s="4">
        <v>690249</v>
      </c>
      <c r="K71" s="4">
        <v>442</v>
      </c>
      <c r="L71" s="4">
        <v>152271</v>
      </c>
      <c r="M71" s="4">
        <v>2811</v>
      </c>
      <c r="N71" s="4">
        <v>347806</v>
      </c>
      <c r="O71" s="4">
        <v>173</v>
      </c>
      <c r="P71" s="4">
        <v>739435</v>
      </c>
      <c r="Q71" s="4">
        <v>34244</v>
      </c>
      <c r="R71" s="4">
        <v>660506</v>
      </c>
      <c r="S71" s="4">
        <v>4928949</v>
      </c>
      <c r="T71" s="10">
        <f t="shared" si="3"/>
        <v>2304438</v>
      </c>
      <c r="U71" s="8">
        <f t="shared" si="4"/>
        <v>0.46753131347068105</v>
      </c>
      <c r="V71" s="9" t="s">
        <v>5269</v>
      </c>
      <c r="W71" s="9" t="str">
        <f t="shared" si="5"/>
        <v>Ipswich CB</v>
      </c>
      <c r="X71" s="9" t="str">
        <f>INDEX(Lookup!$A$2:$A$1349, MATCH(W71, Lookup!$B$2:$B$1349,0))</f>
        <v>J04000671</v>
      </c>
      <c r="Y71" s="9" t="str">
        <f>INDEX(Lookup!$F$2:$F$1349, MATCH(W71, Lookup!$B$2:$B$1349,0))</f>
        <v>e340971</v>
      </c>
      <c r="Z71" s="6" t="str">
        <f>INDEX(Lookup!$C$2:$C$1300, MATCH(X71, Lookup!$A$2:$A$1300,0))</f>
        <v>Suffolk</v>
      </c>
    </row>
    <row r="72" spans="1:26" ht="28.15" customHeight="1" x14ac:dyDescent="0.2">
      <c r="A72" s="6" t="s">
        <v>133</v>
      </c>
      <c r="B72" s="1" t="s">
        <v>5290</v>
      </c>
      <c r="C72" s="4">
        <v>92686</v>
      </c>
      <c r="D72" s="4">
        <v>3589054</v>
      </c>
      <c r="E72" s="4">
        <v>825</v>
      </c>
      <c r="F72" s="4">
        <v>101940</v>
      </c>
      <c r="G72" s="4">
        <v>23</v>
      </c>
      <c r="H72" s="4">
        <v>5214</v>
      </c>
      <c r="I72" s="4">
        <v>4617</v>
      </c>
      <c r="J72" s="4">
        <v>1342001</v>
      </c>
      <c r="K72" s="4">
        <v>1591</v>
      </c>
      <c r="L72" s="4">
        <v>200498</v>
      </c>
      <c r="M72" s="4">
        <v>5849</v>
      </c>
      <c r="N72" s="4">
        <v>620175</v>
      </c>
      <c r="O72" s="2">
        <v>808</v>
      </c>
      <c r="P72" s="4">
        <v>1416887</v>
      </c>
      <c r="Q72" s="4">
        <v>54878</v>
      </c>
      <c r="R72" s="4">
        <v>1381152</v>
      </c>
      <c r="S72" s="4">
        <v>8711799</v>
      </c>
      <c r="T72" s="10">
        <f t="shared" si="3"/>
        <v>3696208</v>
      </c>
      <c r="U72" s="8">
        <f t="shared" si="4"/>
        <v>0.42427608809615558</v>
      </c>
      <c r="V72" s="9" t="s">
        <v>5269</v>
      </c>
      <c r="W72" s="9" t="str">
        <f t="shared" si="5"/>
        <v>Kingston upon Hull, city and county of CB</v>
      </c>
      <c r="X72" s="9" t="str">
        <f>INDEX(Lookup!$A$2:$A$1349, MATCH(W72, Lookup!$B$2:$B$1349,0))</f>
        <v>J04000699</v>
      </c>
      <c r="Y72" s="9" t="str">
        <f>INDEX(Lookup!$F$2:$F$1349, MATCH(W72, Lookup!$B$2:$B$1349,0))</f>
        <v>e441148</v>
      </c>
      <c r="Z72" s="6" t="str">
        <f>INDEX(Lookup!$C$2:$C$1300, MATCH(X72, Lookup!$A$2:$A$1300,0))</f>
        <v>Humberside</v>
      </c>
    </row>
    <row r="73" spans="1:26" ht="28.15" customHeight="1" x14ac:dyDescent="0.2">
      <c r="A73" s="6" t="s">
        <v>134</v>
      </c>
      <c r="B73" s="1" t="s">
        <v>5291</v>
      </c>
      <c r="C73" s="4">
        <v>165232</v>
      </c>
      <c r="D73" s="4">
        <v>7461600</v>
      </c>
      <c r="E73" s="4">
        <v>7163</v>
      </c>
      <c r="F73" s="4">
        <v>887228</v>
      </c>
      <c r="G73" s="4">
        <v>453</v>
      </c>
      <c r="H73" s="4">
        <v>115686</v>
      </c>
      <c r="I73" s="4">
        <v>7824</v>
      </c>
      <c r="J73" s="4">
        <v>2419309</v>
      </c>
      <c r="K73" s="4">
        <v>2486</v>
      </c>
      <c r="L73" s="4">
        <v>1176159</v>
      </c>
      <c r="M73" s="4">
        <v>15160</v>
      </c>
      <c r="N73" s="4">
        <v>1833802</v>
      </c>
      <c r="O73" s="4">
        <v>1963</v>
      </c>
      <c r="P73" s="4">
        <v>2739656</v>
      </c>
      <c r="Q73" s="4">
        <v>240894</v>
      </c>
      <c r="R73" s="4">
        <v>2842098</v>
      </c>
      <c r="S73" s="4">
        <v>19716432</v>
      </c>
      <c r="T73" s="10">
        <f t="shared" si="3"/>
        <v>8464514</v>
      </c>
      <c r="U73" s="8">
        <f t="shared" si="4"/>
        <v>0.42931266671373403</v>
      </c>
      <c r="V73" s="9" t="s">
        <v>5269</v>
      </c>
      <c r="W73" s="9" t="str">
        <f t="shared" si="5"/>
        <v>Leeds, city of CB</v>
      </c>
      <c r="X73" s="9" t="str">
        <f>INDEX(Lookup!$A$2:$A$1349, MATCH(W73, Lookup!$B$2:$B$1349,0))</f>
        <v>J04000727</v>
      </c>
      <c r="Y73" s="9" t="str">
        <f>INDEX(Lookup!$F$2:$F$1349, MATCH(W73, Lookup!$B$2:$B$1349,0))</f>
        <v>e461205</v>
      </c>
      <c r="Z73" s="6" t="str">
        <f>INDEX(Lookup!$C$2:$C$1300, MATCH(X73, Lookup!$A$2:$A$1300,0))</f>
        <v>West Yorkshire</v>
      </c>
    </row>
    <row r="74" spans="1:26" ht="28.15" customHeight="1" x14ac:dyDescent="0.2">
      <c r="A74" s="6" t="s">
        <v>37</v>
      </c>
      <c r="B74" s="1" t="s">
        <v>5292</v>
      </c>
      <c r="C74" s="4">
        <v>77962</v>
      </c>
      <c r="D74" s="4">
        <v>4342875</v>
      </c>
      <c r="E74" s="4">
        <v>8205</v>
      </c>
      <c r="F74" s="4">
        <v>1052781</v>
      </c>
      <c r="G74" s="4">
        <v>711</v>
      </c>
      <c r="H74" s="4">
        <v>172460</v>
      </c>
      <c r="I74" s="4">
        <v>4877</v>
      </c>
      <c r="J74" s="4">
        <v>2015985</v>
      </c>
      <c r="K74" s="4">
        <v>1333</v>
      </c>
      <c r="L74" s="4">
        <v>385839</v>
      </c>
      <c r="M74" s="4">
        <v>7247</v>
      </c>
      <c r="N74" s="4">
        <v>1248029</v>
      </c>
      <c r="O74" s="2">
        <v>1264</v>
      </c>
      <c r="P74" s="4">
        <v>2569718</v>
      </c>
      <c r="Q74" s="4">
        <v>126290</v>
      </c>
      <c r="R74" s="4">
        <v>1314076</v>
      </c>
      <c r="S74" s="4">
        <v>13228053</v>
      </c>
      <c r="T74" s="10">
        <f t="shared" si="3"/>
        <v>5568116</v>
      </c>
      <c r="U74" s="8">
        <f t="shared" si="4"/>
        <v>0.42093239269603772</v>
      </c>
      <c r="V74" s="9" t="s">
        <v>5269</v>
      </c>
      <c r="W74" s="9" t="str">
        <f t="shared" si="5"/>
        <v>Leicester, city of CB</v>
      </c>
      <c r="X74" s="9" t="str">
        <f>INDEX(Lookup!$A$2:$A$1349, MATCH(W74, Lookup!$B$2:$B$1349,0))</f>
        <v>J04000731</v>
      </c>
      <c r="Y74" s="9" t="str">
        <f>INDEX(Lookup!$F$2:$F$1349, MATCH(W74, Lookup!$B$2:$B$1349,0))</f>
        <v>e210702</v>
      </c>
      <c r="Z74" s="6" t="str">
        <f>INDEX(Lookup!$C$2:$C$1300, MATCH(X74, Lookup!$A$2:$A$1300,0))</f>
        <v>Leicestershire</v>
      </c>
    </row>
    <row r="75" spans="1:26" ht="28.15" customHeight="1" x14ac:dyDescent="0.2">
      <c r="A75" s="6" t="s">
        <v>135</v>
      </c>
      <c r="B75" s="1" t="s">
        <v>5293</v>
      </c>
      <c r="C75" s="4">
        <v>24281</v>
      </c>
      <c r="D75" s="4">
        <v>1149419</v>
      </c>
      <c r="E75" s="4">
        <v>845</v>
      </c>
      <c r="F75" s="4">
        <v>104108</v>
      </c>
      <c r="G75" s="4">
        <v>16</v>
      </c>
      <c r="H75" s="4">
        <v>3673</v>
      </c>
      <c r="I75" s="4">
        <v>1094</v>
      </c>
      <c r="J75" s="4">
        <v>315061</v>
      </c>
      <c r="K75" s="4">
        <v>236</v>
      </c>
      <c r="L75" s="4">
        <v>42849</v>
      </c>
      <c r="M75" s="4">
        <v>3420</v>
      </c>
      <c r="N75" s="4">
        <v>151268</v>
      </c>
      <c r="O75" s="4">
        <v>82</v>
      </c>
      <c r="P75" s="4">
        <v>386070</v>
      </c>
      <c r="Q75" s="4">
        <v>34107</v>
      </c>
      <c r="R75" s="4">
        <v>317719</v>
      </c>
      <c r="S75" s="4">
        <v>2504274</v>
      </c>
      <c r="T75" s="10">
        <f t="shared" si="3"/>
        <v>1257200</v>
      </c>
      <c r="U75" s="8">
        <f t="shared" si="4"/>
        <v>0.50202174362709506</v>
      </c>
      <c r="V75" s="9" t="s">
        <v>5269</v>
      </c>
      <c r="W75" s="9" t="str">
        <f t="shared" si="5"/>
        <v>Lincoln, city and county of CB</v>
      </c>
      <c r="X75" s="9" t="str">
        <f>INDEX(Lookup!$A$2:$A$1349, MATCH(W75, Lookup!$B$2:$B$1349,0))</f>
        <v>J04000746</v>
      </c>
      <c r="Y75" s="9" t="str">
        <f>INDEX(Lookup!$F$2:$F$1349, MATCH(W75, Lookup!$B$2:$B$1349,0))</f>
        <v>e230727</v>
      </c>
      <c r="Z75" s="6" t="str">
        <f>INDEX(Lookup!$C$2:$C$1300, MATCH(X75, Lookup!$A$2:$A$1300,0))</f>
        <v>Lincolnshire</v>
      </c>
    </row>
    <row r="76" spans="1:26" ht="28.15" customHeight="1" x14ac:dyDescent="0.2">
      <c r="A76" s="6" t="s">
        <v>136</v>
      </c>
      <c r="B76" s="1" t="s">
        <v>5294</v>
      </c>
      <c r="C76" s="4">
        <v>192693</v>
      </c>
      <c r="D76" s="4">
        <v>10086295</v>
      </c>
      <c r="E76" s="4">
        <v>9970</v>
      </c>
      <c r="F76" s="4">
        <v>1234743</v>
      </c>
      <c r="G76" s="4">
        <v>432</v>
      </c>
      <c r="H76" s="4">
        <v>108905</v>
      </c>
      <c r="I76" s="4">
        <v>12250</v>
      </c>
      <c r="J76" s="4">
        <v>3868495</v>
      </c>
      <c r="K76" s="4">
        <v>4726</v>
      </c>
      <c r="L76" s="4">
        <v>1556231</v>
      </c>
      <c r="M76" s="4">
        <v>12328</v>
      </c>
      <c r="N76" s="4">
        <v>2003589</v>
      </c>
      <c r="O76" s="2">
        <v>1673</v>
      </c>
      <c r="P76" s="4">
        <v>3277547</v>
      </c>
      <c r="Q76" s="4">
        <v>342052</v>
      </c>
      <c r="R76" s="4">
        <v>3605965</v>
      </c>
      <c r="S76" s="4">
        <v>26083822</v>
      </c>
      <c r="T76" s="10">
        <f t="shared" si="3"/>
        <v>11429943</v>
      </c>
      <c r="U76" s="8">
        <f t="shared" si="4"/>
        <v>0.43820046770753152</v>
      </c>
      <c r="V76" s="9" t="s">
        <v>5269</v>
      </c>
      <c r="W76" s="9" t="str">
        <f t="shared" si="5"/>
        <v>Liverpool, city of CB</v>
      </c>
      <c r="X76" s="9" t="str">
        <f>INDEX(Lookup!$A$2:$A$1349, MATCH(W76, Lookup!$B$2:$B$1349,0))</f>
        <v>J04000754</v>
      </c>
      <c r="Y76" s="9" t="str">
        <f>INDEX(Lookup!$F$2:$F$1349, MATCH(W76, Lookup!$B$2:$B$1349,0))</f>
        <v>e200567</v>
      </c>
      <c r="Z76" s="6" t="str">
        <f>INDEX(Lookup!$C$2:$C$1300, MATCH(X76, Lookup!$A$2:$A$1300,0))</f>
        <v>Merseyside</v>
      </c>
    </row>
    <row r="77" spans="1:26" ht="28.15" customHeight="1" x14ac:dyDescent="0.2">
      <c r="A77" s="6" t="s">
        <v>137</v>
      </c>
      <c r="B77" s="1" t="s">
        <v>5295</v>
      </c>
      <c r="C77" s="4">
        <v>190863</v>
      </c>
      <c r="D77" s="4">
        <v>9374608</v>
      </c>
      <c r="E77" s="4">
        <v>9002</v>
      </c>
      <c r="F77" s="4">
        <v>1104404</v>
      </c>
      <c r="G77" s="4">
        <v>218</v>
      </c>
      <c r="H77" s="4">
        <v>52161</v>
      </c>
      <c r="I77" s="4">
        <v>13811</v>
      </c>
      <c r="J77" s="4">
        <v>3889111</v>
      </c>
      <c r="K77" s="4">
        <v>7027</v>
      </c>
      <c r="L77" s="4">
        <v>2924643</v>
      </c>
      <c r="M77" s="4">
        <v>19119</v>
      </c>
      <c r="N77" s="4">
        <v>3149182</v>
      </c>
      <c r="O77" s="4">
        <v>2688</v>
      </c>
      <c r="P77" s="4">
        <v>3064171</v>
      </c>
      <c r="Q77" s="4">
        <v>391033</v>
      </c>
      <c r="R77" s="4">
        <v>3427976</v>
      </c>
      <c r="S77" s="4">
        <v>27377289</v>
      </c>
      <c r="T77" s="10">
        <f t="shared" si="3"/>
        <v>10531173</v>
      </c>
      <c r="U77" s="8">
        <f t="shared" si="4"/>
        <v>0.3846682189752243</v>
      </c>
      <c r="V77" s="9" t="s">
        <v>5269</v>
      </c>
      <c r="W77" s="9" t="str">
        <f t="shared" si="5"/>
        <v>Manchester, city of CB</v>
      </c>
      <c r="X77" s="9" t="str">
        <f>INDEX(Lookup!$A$2:$A$1349, MATCH(W77, Lookup!$B$2:$B$1349,0))</f>
        <v>J04000821</v>
      </c>
      <c r="Y77" s="9" t="str">
        <f>INDEX(Lookup!$F$2:$F$1349, MATCH(W77, Lookup!$B$2:$B$1349,0))</f>
        <v>e200569</v>
      </c>
      <c r="Z77" s="6" t="str">
        <f>INDEX(Lookup!$C$2:$C$1300, MATCH(X77, Lookup!$A$2:$A$1300,0))</f>
        <v>Greater Manchester</v>
      </c>
    </row>
    <row r="78" spans="1:26" ht="28.15" customHeight="1" x14ac:dyDescent="0.2">
      <c r="A78" s="6" t="s">
        <v>138</v>
      </c>
      <c r="B78" s="1" t="s">
        <v>138</v>
      </c>
      <c r="C78" s="4">
        <v>43510</v>
      </c>
      <c r="D78" s="4">
        <v>2169619</v>
      </c>
      <c r="E78" s="4">
        <v>1618</v>
      </c>
      <c r="F78" s="4">
        <v>190261</v>
      </c>
      <c r="G78" s="4">
        <v>10</v>
      </c>
      <c r="H78" s="4">
        <v>2526</v>
      </c>
      <c r="I78" s="4">
        <v>2121</v>
      </c>
      <c r="J78" s="4">
        <v>784730</v>
      </c>
      <c r="K78" s="4">
        <v>610</v>
      </c>
      <c r="L78" s="4">
        <v>137364</v>
      </c>
      <c r="M78" s="4">
        <v>2759</v>
      </c>
      <c r="N78" s="4">
        <v>277313</v>
      </c>
      <c r="O78" s="2">
        <v>157</v>
      </c>
      <c r="P78" s="4">
        <v>716412</v>
      </c>
      <c r="Q78" s="4">
        <v>48121</v>
      </c>
      <c r="R78" s="4">
        <v>601562</v>
      </c>
      <c r="S78" s="4">
        <v>4927908</v>
      </c>
      <c r="T78" s="10">
        <f t="shared" si="3"/>
        <v>2362406</v>
      </c>
      <c r="U78" s="8">
        <f t="shared" si="4"/>
        <v>0.47939328412786925</v>
      </c>
      <c r="V78" s="9" t="s">
        <v>5269</v>
      </c>
      <c r="W78" s="9" t="str">
        <f t="shared" si="5"/>
        <v>Middlesbrough CB</v>
      </c>
      <c r="X78" s="9" t="str">
        <f>INDEX(Lookup!$A$2:$A$1349, MATCH(W78, Lookup!$B$2:$B$1349,0))</f>
        <v>J04000852</v>
      </c>
      <c r="Y78" s="9" t="str">
        <f>INDEX(Lookup!$F$2:$F$1349, MATCH(W78, Lookup!$B$2:$B$1349,0))</f>
        <v>e451167</v>
      </c>
      <c r="Z78" s="6" t="str">
        <f>INDEX(Lookup!$C$2:$C$1300, MATCH(X78, Lookup!$A$2:$A$1300,0))</f>
        <v>Cleveland</v>
      </c>
    </row>
    <row r="79" spans="1:26" ht="28.15" customHeight="1" x14ac:dyDescent="0.2">
      <c r="A79" s="6" t="s">
        <v>139</v>
      </c>
      <c r="B79" s="1" t="s">
        <v>5296</v>
      </c>
      <c r="C79" s="4">
        <v>81430</v>
      </c>
      <c r="D79" s="4">
        <v>3924209</v>
      </c>
      <c r="E79" s="4">
        <v>5756</v>
      </c>
      <c r="F79" s="4">
        <v>694617</v>
      </c>
      <c r="G79" s="4">
        <v>244</v>
      </c>
      <c r="H79" s="4">
        <v>61816</v>
      </c>
      <c r="I79" s="4">
        <v>4152</v>
      </c>
      <c r="J79" s="4">
        <v>1854502</v>
      </c>
      <c r="K79" s="4">
        <v>2781</v>
      </c>
      <c r="L79" s="4">
        <v>735470</v>
      </c>
      <c r="M79" s="4">
        <v>4914</v>
      </c>
      <c r="N79" s="4">
        <v>1129530</v>
      </c>
      <c r="O79" s="4">
        <v>519</v>
      </c>
      <c r="P79" s="4">
        <v>1761949</v>
      </c>
      <c r="Q79" s="4">
        <v>204881</v>
      </c>
      <c r="R79" s="4">
        <v>1544306</v>
      </c>
      <c r="S79" s="4">
        <v>11911280</v>
      </c>
      <c r="T79" s="10">
        <f t="shared" si="3"/>
        <v>4680642</v>
      </c>
      <c r="U79" s="8">
        <f t="shared" si="4"/>
        <v>0.39295877521139627</v>
      </c>
      <c r="V79" s="9" t="s">
        <v>5269</v>
      </c>
      <c r="W79" s="9" t="str">
        <f t="shared" si="5"/>
        <v>Newcastle upon Tyne, city and county of CB</v>
      </c>
      <c r="X79" s="9" t="str">
        <f>INDEX(Lookup!$A$2:$A$1349, MATCH(W79, Lookup!$B$2:$B$1349,0))</f>
        <v>J04000902</v>
      </c>
      <c r="Y79" s="9" t="str">
        <f>INDEX(Lookup!$F$2:$F$1349, MATCH(W79, Lookup!$B$2:$B$1349,0))</f>
        <v>e270813</v>
      </c>
      <c r="Z79" s="6" t="str">
        <f>INDEX(Lookup!$C$2:$C$1300, MATCH(X79, Lookup!$A$2:$A$1300,0))</f>
        <v>Tyne And Wear</v>
      </c>
    </row>
    <row r="80" spans="1:26" ht="28.15" customHeight="1" x14ac:dyDescent="0.2">
      <c r="A80" s="6" t="s">
        <v>140</v>
      </c>
      <c r="B80" s="1" t="s">
        <v>140</v>
      </c>
      <c r="C80" s="4">
        <v>32699</v>
      </c>
      <c r="D80" s="4">
        <v>1780216</v>
      </c>
      <c r="E80" s="4">
        <v>2154</v>
      </c>
      <c r="F80" s="4">
        <v>268843</v>
      </c>
      <c r="G80" s="4">
        <v>162</v>
      </c>
      <c r="H80" s="4">
        <v>34035</v>
      </c>
      <c r="I80" s="4">
        <v>1963</v>
      </c>
      <c r="J80" s="4">
        <v>699925</v>
      </c>
      <c r="K80" s="4">
        <v>422</v>
      </c>
      <c r="L80" s="4">
        <v>83161</v>
      </c>
      <c r="M80" s="4">
        <v>2810</v>
      </c>
      <c r="N80" s="4">
        <v>355742</v>
      </c>
      <c r="O80" s="2">
        <v>403</v>
      </c>
      <c r="P80" s="4">
        <v>585903</v>
      </c>
      <c r="Q80" s="4">
        <v>52385</v>
      </c>
      <c r="R80" s="4">
        <v>457607</v>
      </c>
      <c r="S80" s="4">
        <v>4317817</v>
      </c>
      <c r="T80" s="10">
        <f t="shared" si="3"/>
        <v>2083094</v>
      </c>
      <c r="U80" s="8">
        <f t="shared" si="4"/>
        <v>0.48244147447656999</v>
      </c>
      <c r="V80" s="9" t="s">
        <v>5269</v>
      </c>
      <c r="W80" s="9" t="str">
        <f t="shared" si="5"/>
        <v>Northampton CB</v>
      </c>
      <c r="X80" s="9" t="str">
        <f>INDEX(Lookup!$A$2:$A$1349, MATCH(W80, Lookup!$B$2:$B$1349,0))</f>
        <v>J04000932</v>
      </c>
      <c r="Y80" s="9" t="str">
        <f>INDEX(Lookup!$F$2:$F$1349, MATCH(W80, Lookup!$B$2:$B$1349,0))</f>
        <v>e260787</v>
      </c>
      <c r="Z80" s="6" t="str">
        <f>INDEX(Lookup!$C$2:$C$1300, MATCH(X80, Lookup!$A$2:$A$1300,0))</f>
        <v>Northamptonshire</v>
      </c>
    </row>
    <row r="81" spans="1:26" ht="28.15" customHeight="1" x14ac:dyDescent="0.2">
      <c r="A81" s="6" t="s">
        <v>141</v>
      </c>
      <c r="B81" s="1" t="s">
        <v>5297</v>
      </c>
      <c r="C81" s="4">
        <v>38738</v>
      </c>
      <c r="D81" s="4">
        <v>1779193</v>
      </c>
      <c r="E81" s="4">
        <v>1932</v>
      </c>
      <c r="F81" s="4">
        <v>246753</v>
      </c>
      <c r="G81" s="4">
        <v>80</v>
      </c>
      <c r="H81" s="4">
        <v>20230</v>
      </c>
      <c r="I81" s="4">
        <v>1958</v>
      </c>
      <c r="J81" s="4">
        <v>908119</v>
      </c>
      <c r="K81" s="4">
        <v>520</v>
      </c>
      <c r="L81" s="4">
        <v>254566</v>
      </c>
      <c r="M81" s="4">
        <v>4530</v>
      </c>
      <c r="N81" s="4">
        <v>451652</v>
      </c>
      <c r="O81" s="4">
        <v>236</v>
      </c>
      <c r="P81" s="4">
        <v>806595</v>
      </c>
      <c r="Q81" s="4">
        <v>49156</v>
      </c>
      <c r="R81" s="4">
        <v>545614</v>
      </c>
      <c r="S81" s="4">
        <v>5061878</v>
      </c>
      <c r="T81" s="10">
        <f t="shared" si="3"/>
        <v>2046176</v>
      </c>
      <c r="U81" s="8">
        <f t="shared" si="4"/>
        <v>0.40423257929171741</v>
      </c>
      <c r="V81" s="9" t="s">
        <v>5269</v>
      </c>
      <c r="W81" s="9" t="str">
        <f t="shared" si="5"/>
        <v>Norwich, city and county of CB</v>
      </c>
      <c r="X81" s="9" t="str">
        <f>INDEX(Lookup!$A$2:$A$1349, MATCH(W81, Lookup!$B$2:$B$1349,0))</f>
        <v>J04000941</v>
      </c>
      <c r="Y81" s="9" t="str">
        <f>INDEX(Lookup!$F$2:$F$1349, MATCH(W81, Lookup!$B$2:$B$1349,0))</f>
        <v>e250759</v>
      </c>
      <c r="Z81" s="6" t="str">
        <f>INDEX(Lookup!$C$2:$C$1300, MATCH(X81, Lookup!$A$2:$A$1300,0))</f>
        <v>Norfolk</v>
      </c>
    </row>
    <row r="82" spans="1:26" ht="28.15" customHeight="1" x14ac:dyDescent="0.2">
      <c r="A82" s="6" t="s">
        <v>142</v>
      </c>
      <c r="B82" s="1" t="s">
        <v>5298</v>
      </c>
      <c r="C82" s="4">
        <v>91805</v>
      </c>
      <c r="D82" s="4">
        <v>4631396</v>
      </c>
      <c r="E82" s="4">
        <v>5778</v>
      </c>
      <c r="F82" s="4">
        <v>724121</v>
      </c>
      <c r="G82" s="4">
        <v>517</v>
      </c>
      <c r="H82" s="4">
        <v>130650</v>
      </c>
      <c r="I82" s="4">
        <v>6154</v>
      </c>
      <c r="J82" s="4">
        <v>2277055</v>
      </c>
      <c r="K82" s="4">
        <v>1442</v>
      </c>
      <c r="L82" s="4">
        <v>417559</v>
      </c>
      <c r="M82" s="4">
        <v>9428</v>
      </c>
      <c r="N82" s="4">
        <v>1394612</v>
      </c>
      <c r="O82" s="2">
        <v>1162</v>
      </c>
      <c r="P82" s="4">
        <v>2476698</v>
      </c>
      <c r="Q82" s="4">
        <v>194999</v>
      </c>
      <c r="R82" s="4">
        <v>1893312</v>
      </c>
      <c r="S82" s="4">
        <v>14140402</v>
      </c>
      <c r="T82" s="10">
        <f t="shared" si="3"/>
        <v>5486167</v>
      </c>
      <c r="U82" s="8">
        <f t="shared" si="4"/>
        <v>0.38797814941894865</v>
      </c>
      <c r="V82" s="9" t="s">
        <v>5269</v>
      </c>
      <c r="W82" s="9" t="str">
        <f t="shared" si="5"/>
        <v>Nottingham, city and county of CB</v>
      </c>
      <c r="X82" s="9" t="str">
        <f>INDEX(Lookup!$A$2:$A$1349, MATCH(W82, Lookup!$B$2:$B$1349,0))</f>
        <v>J04000942</v>
      </c>
      <c r="Y82" s="9" t="str">
        <f>INDEX(Lookup!$F$2:$F$1349, MATCH(W82, Lookup!$B$2:$B$1349,0))</f>
        <v>e280843</v>
      </c>
      <c r="Z82" s="6" t="str">
        <f>INDEX(Lookup!$C$2:$C$1300, MATCH(X82, Lookup!$A$2:$A$1300,0))</f>
        <v>Nottinghamshire</v>
      </c>
    </row>
    <row r="83" spans="1:26" ht="28.15" customHeight="1" x14ac:dyDescent="0.2">
      <c r="A83" s="6" t="s">
        <v>143</v>
      </c>
      <c r="B83" s="1" t="s">
        <v>2521</v>
      </c>
      <c r="C83" s="4">
        <v>40018</v>
      </c>
      <c r="D83" s="4">
        <v>1430941</v>
      </c>
      <c r="E83" s="4">
        <v>276</v>
      </c>
      <c r="F83" s="4">
        <v>33583</v>
      </c>
      <c r="G83" s="4">
        <v>16</v>
      </c>
      <c r="H83" s="4">
        <v>4036</v>
      </c>
      <c r="I83" s="4">
        <v>2811</v>
      </c>
      <c r="J83" s="4">
        <v>386688</v>
      </c>
      <c r="K83" s="4">
        <v>349</v>
      </c>
      <c r="L83" s="4">
        <v>206754</v>
      </c>
      <c r="M83" s="4">
        <v>3194</v>
      </c>
      <c r="N83" s="4">
        <v>518568</v>
      </c>
      <c r="O83" s="4">
        <v>116</v>
      </c>
      <c r="P83" s="4">
        <v>976538</v>
      </c>
      <c r="Q83" s="4">
        <v>85915</v>
      </c>
      <c r="R83" s="4">
        <v>920082</v>
      </c>
      <c r="S83" s="4">
        <v>6306234</v>
      </c>
      <c r="T83" s="10">
        <f t="shared" si="3"/>
        <v>1468560</v>
      </c>
      <c r="U83" s="8">
        <f t="shared" si="4"/>
        <v>0.23287432721335746</v>
      </c>
      <c r="V83" s="9" t="s">
        <v>5269</v>
      </c>
      <c r="W83" s="9" t="str">
        <f t="shared" si="5"/>
        <v>Oldham CB</v>
      </c>
      <c r="X83" s="9" t="str">
        <f>INDEX(Lookup!$A$2:$A$1349, MATCH(W83, Lookup!$B$2:$B$1349,0))</f>
        <v>J04000954</v>
      </c>
      <c r="Y83" s="9" t="str">
        <f>INDEX(Lookup!$F$2:$F$1349, MATCH(W83, Lookup!$B$2:$B$1349,0))</f>
        <v>e200571</v>
      </c>
      <c r="Z83" s="6" t="str">
        <f>INDEX(Lookup!$C$2:$C$1300, MATCH(X83, Lookup!$A$2:$A$1300,0))</f>
        <v>Greater Manchester</v>
      </c>
    </row>
    <row r="84" spans="1:26" ht="28.15" customHeight="1" x14ac:dyDescent="0.2">
      <c r="A84" s="6" t="s">
        <v>47</v>
      </c>
      <c r="B84" s="1" t="s">
        <v>5299</v>
      </c>
      <c r="C84" s="4">
        <v>21185</v>
      </c>
      <c r="D84" s="4">
        <v>1461829</v>
      </c>
      <c r="E84" s="4">
        <v>7247</v>
      </c>
      <c r="F84" s="4">
        <v>916513</v>
      </c>
      <c r="G84" s="4">
        <v>1059</v>
      </c>
      <c r="H84" s="4">
        <v>271859</v>
      </c>
      <c r="I84" s="4">
        <v>1400</v>
      </c>
      <c r="J84" s="4">
        <v>948176</v>
      </c>
      <c r="K84" s="4">
        <v>442</v>
      </c>
      <c r="L84" s="4">
        <v>206754</v>
      </c>
      <c r="M84" s="4">
        <v>3197</v>
      </c>
      <c r="N84" s="4">
        <v>518568</v>
      </c>
      <c r="O84" s="4">
        <v>116</v>
      </c>
      <c r="P84" s="4">
        <v>976538</v>
      </c>
      <c r="Q84" s="4">
        <v>85915</v>
      </c>
      <c r="R84" s="4">
        <v>920082</v>
      </c>
      <c r="S84" s="4">
        <v>6306234</v>
      </c>
      <c r="T84" s="10">
        <f t="shared" si="3"/>
        <v>2650201</v>
      </c>
      <c r="U84" s="8">
        <f t="shared" si="4"/>
        <v>0.42025097704905973</v>
      </c>
      <c r="V84" s="9" t="s">
        <v>5269</v>
      </c>
      <c r="W84" s="9" t="str">
        <f t="shared" si="5"/>
        <v>Oxford, city of CB</v>
      </c>
      <c r="X84" s="9" t="str">
        <f>INDEX(Lookup!$A$2:$A$1349, MATCH(W84, Lookup!$B$2:$B$1349,0))</f>
        <v>J04000967</v>
      </c>
      <c r="Y84" s="9" t="str">
        <f>INDEX(Lookup!$F$2:$F$1349, MATCH(W84, Lookup!$B$2:$B$1349,0))</f>
        <v>e290865</v>
      </c>
      <c r="Z84" s="6" t="str">
        <f>INDEX(Lookup!$C$2:$C$1300, MATCH(X84, Lookup!$A$2:$A$1300,0))</f>
        <v>Oxfordshire</v>
      </c>
    </row>
    <row r="85" spans="1:26" ht="28.15" customHeight="1" x14ac:dyDescent="0.2">
      <c r="A85" s="6" t="s">
        <v>144</v>
      </c>
      <c r="B85" s="1" t="s">
        <v>5300</v>
      </c>
      <c r="C85" s="4">
        <v>43122</v>
      </c>
      <c r="D85" s="4">
        <v>2828032</v>
      </c>
      <c r="E85" s="4">
        <v>9264</v>
      </c>
      <c r="F85" s="4">
        <v>1156614</v>
      </c>
      <c r="G85" s="4">
        <v>378</v>
      </c>
      <c r="H85" s="4">
        <v>89334</v>
      </c>
      <c r="I85" s="4">
        <v>2460</v>
      </c>
      <c r="J85" s="4">
        <v>1150731</v>
      </c>
      <c r="K85" s="4">
        <v>621</v>
      </c>
      <c r="L85" s="4">
        <v>155803</v>
      </c>
      <c r="M85" s="4">
        <v>3952</v>
      </c>
      <c r="N85" s="4">
        <v>464773</v>
      </c>
      <c r="O85" s="2">
        <v>188</v>
      </c>
      <c r="P85" s="4">
        <v>705821</v>
      </c>
      <c r="Q85" s="4">
        <v>363924</v>
      </c>
      <c r="R85" s="4">
        <v>1037305</v>
      </c>
      <c r="S85" s="4">
        <v>7952331</v>
      </c>
      <c r="T85" s="10">
        <f t="shared" si="3"/>
        <v>4073980</v>
      </c>
      <c r="U85" s="8">
        <f t="shared" si="4"/>
        <v>0.51230010420843897</v>
      </c>
      <c r="V85" s="9" t="s">
        <v>5269</v>
      </c>
      <c r="W85" s="9" t="str">
        <f t="shared" si="5"/>
        <v>Plymouth, city of CB</v>
      </c>
      <c r="X85" s="9" t="str">
        <f>INDEX(Lookup!$A$2:$A$1349, MATCH(W85, Lookup!$B$2:$B$1349,0))</f>
        <v>J04000996</v>
      </c>
      <c r="Y85" s="9" t="str">
        <f>INDEX(Lookup!$F$2:$F$1349, MATCH(W85, Lookup!$B$2:$B$1349,0))</f>
        <v>e090197</v>
      </c>
      <c r="Z85" s="6" t="str">
        <f>INDEX(Lookup!$C$2:$C$1300, MATCH(X85, Lookup!$A$2:$A$1300,0))</f>
        <v>Devon</v>
      </c>
    </row>
    <row r="86" spans="1:26" ht="28.15" customHeight="1" x14ac:dyDescent="0.2">
      <c r="A86" s="6" t="s">
        <v>145</v>
      </c>
      <c r="B86" s="1" t="s">
        <v>5301</v>
      </c>
      <c r="C86" s="4">
        <v>55549</v>
      </c>
      <c r="D86" s="4">
        <v>3782770</v>
      </c>
      <c r="E86" s="4">
        <v>7482</v>
      </c>
      <c r="F86" s="4">
        <v>913918</v>
      </c>
      <c r="G86" s="4">
        <v>329</v>
      </c>
      <c r="H86" s="4">
        <v>79707</v>
      </c>
      <c r="I86" s="4">
        <v>3860</v>
      </c>
      <c r="J86" s="4">
        <v>1375336</v>
      </c>
      <c r="K86" s="4">
        <v>534</v>
      </c>
      <c r="L86" s="4">
        <v>102762</v>
      </c>
      <c r="M86" s="4">
        <v>5135</v>
      </c>
      <c r="N86" s="4">
        <v>568276</v>
      </c>
      <c r="O86" s="4">
        <v>227</v>
      </c>
      <c r="P86" s="4">
        <v>532782</v>
      </c>
      <c r="Q86" s="4">
        <v>405109</v>
      </c>
      <c r="R86" s="4">
        <v>904045</v>
      </c>
      <c r="S86" s="4">
        <v>8664705</v>
      </c>
      <c r="T86" s="10">
        <f t="shared" si="3"/>
        <v>4776395</v>
      </c>
      <c r="U86" s="8">
        <f t="shared" si="4"/>
        <v>0.55124727269999385</v>
      </c>
      <c r="V86" s="9" t="s">
        <v>5269</v>
      </c>
      <c r="W86" s="9" t="str">
        <f t="shared" si="5"/>
        <v>Portsmouth, city of CB</v>
      </c>
      <c r="X86" s="9" t="str">
        <f>INDEX(Lookup!$A$2:$A$1349, MATCH(W86, Lookup!$B$2:$B$1349,0))</f>
        <v>J04001012</v>
      </c>
      <c r="Y86" s="9" t="str">
        <f>INDEX(Lookup!$F$2:$F$1349, MATCH(W86, Lookup!$B$2:$B$1349,0))</f>
        <v>e150412</v>
      </c>
      <c r="Z86" s="6" t="str">
        <f>INDEX(Lookup!$C$2:$C$1300, MATCH(X86, Lookup!$A$2:$A$1300,0))</f>
        <v>Hampshire</v>
      </c>
    </row>
    <row r="87" spans="1:26" ht="28.15" customHeight="1" x14ac:dyDescent="0.2">
      <c r="A87" s="6" t="s">
        <v>146</v>
      </c>
      <c r="B87" s="1" t="s">
        <v>146</v>
      </c>
      <c r="C87" s="4">
        <v>35178</v>
      </c>
      <c r="D87" s="4">
        <v>1667875</v>
      </c>
      <c r="E87" s="4">
        <v>627</v>
      </c>
      <c r="F87" s="4">
        <v>77347</v>
      </c>
      <c r="G87" s="4">
        <v>32</v>
      </c>
      <c r="H87" s="4">
        <v>8705</v>
      </c>
      <c r="I87" s="4">
        <v>2832</v>
      </c>
      <c r="J87" s="4">
        <v>670236</v>
      </c>
      <c r="K87" s="4">
        <v>595</v>
      </c>
      <c r="L87" s="4">
        <v>173507</v>
      </c>
      <c r="M87" s="4">
        <v>3242</v>
      </c>
      <c r="N87" s="4">
        <v>399592</v>
      </c>
      <c r="O87" s="4">
        <v>281</v>
      </c>
      <c r="P87" s="4">
        <v>715612</v>
      </c>
      <c r="Q87" s="4">
        <v>38822</v>
      </c>
      <c r="R87" s="4">
        <v>495265</v>
      </c>
      <c r="S87" s="4">
        <v>4256961</v>
      </c>
      <c r="T87" s="10">
        <f t="shared" si="3"/>
        <v>1753927</v>
      </c>
      <c r="U87" s="8">
        <f t="shared" si="4"/>
        <v>0.41201387562629771</v>
      </c>
      <c r="V87" s="9" t="s">
        <v>5269</v>
      </c>
      <c r="W87" s="9" t="str">
        <f t="shared" si="5"/>
        <v>Preston CB</v>
      </c>
      <c r="X87" s="9" t="str">
        <f>INDEX(Lookup!$A$2:$A$1349, MATCH(W87, Lookup!$B$2:$B$1349,0))</f>
        <v>J04001019</v>
      </c>
      <c r="Y87" s="9" t="str">
        <f>INDEX(Lookup!$F$2:$F$1349, MATCH(W87, Lookup!$B$2:$B$1349,0))</f>
        <v>e200572</v>
      </c>
      <c r="Z87" s="6" t="str">
        <f>INDEX(Lookup!$C$2:$C$1300, MATCH(X87, Lookup!$A$2:$A$1300,0))</f>
        <v>Lancashire</v>
      </c>
    </row>
    <row r="88" spans="1:26" ht="28.15" customHeight="1" x14ac:dyDescent="0.2">
      <c r="A88" s="6" t="s">
        <v>147</v>
      </c>
      <c r="B88" s="1" t="s">
        <v>5302</v>
      </c>
      <c r="C88" s="4">
        <v>30429</v>
      </c>
      <c r="D88" s="4">
        <v>1999172</v>
      </c>
      <c r="E88" s="4">
        <v>5829</v>
      </c>
      <c r="F88" s="4">
        <v>721400</v>
      </c>
      <c r="G88" s="4">
        <v>113</v>
      </c>
      <c r="H88" s="4">
        <v>25731</v>
      </c>
      <c r="I88" s="4">
        <v>1786</v>
      </c>
      <c r="J88" s="4">
        <v>1132383</v>
      </c>
      <c r="K88" s="4">
        <v>525</v>
      </c>
      <c r="L88" s="4">
        <v>210090</v>
      </c>
      <c r="M88" s="4">
        <v>3472</v>
      </c>
      <c r="N88" s="4">
        <v>470665</v>
      </c>
      <c r="O88" s="4">
        <v>203</v>
      </c>
      <c r="P88" s="4">
        <v>940946</v>
      </c>
      <c r="Q88" s="4">
        <v>54288</v>
      </c>
      <c r="R88" s="4">
        <v>670316</v>
      </c>
      <c r="S88" s="4">
        <v>6224991</v>
      </c>
      <c r="T88" s="10">
        <f t="shared" si="3"/>
        <v>2746303</v>
      </c>
      <c r="U88" s="8">
        <f t="shared" si="4"/>
        <v>0.44117381053241683</v>
      </c>
      <c r="V88" s="9" t="s">
        <v>5269</v>
      </c>
      <c r="W88" s="9" t="str">
        <f t="shared" si="5"/>
        <v>Reading CB</v>
      </c>
      <c r="X88" s="9" t="str">
        <f>INDEX(Lookup!$A$2:$A$1349, MATCH(W88, Lookup!$B$2:$B$1349,0))</f>
        <v>J04001036</v>
      </c>
      <c r="Y88" s="9" t="str">
        <f>INDEX(Lookup!$F$2:$F$1349, MATCH(W88, Lookup!$B$2:$B$1349,0))</f>
        <v>e020012</v>
      </c>
      <c r="Z88" s="6" t="str">
        <f>INDEX(Lookup!$C$2:$C$1300, MATCH(X88, Lookup!$A$2:$A$1300,0))</f>
        <v>Berkshire</v>
      </c>
    </row>
    <row r="89" spans="1:26" ht="28.15" customHeight="1" x14ac:dyDescent="0.2">
      <c r="A89" s="6" t="s">
        <v>148</v>
      </c>
      <c r="B89" s="1" t="s">
        <v>148</v>
      </c>
      <c r="C89" s="4">
        <v>30334</v>
      </c>
      <c r="D89" s="4">
        <v>1081590</v>
      </c>
      <c r="E89" s="4">
        <v>583</v>
      </c>
      <c r="F89" s="4">
        <v>76070</v>
      </c>
      <c r="G89" s="4">
        <v>54</v>
      </c>
      <c r="H89" s="4">
        <v>13219</v>
      </c>
      <c r="I89" s="4">
        <v>1875</v>
      </c>
      <c r="J89" s="4">
        <v>219143</v>
      </c>
      <c r="K89" s="4">
        <v>239</v>
      </c>
      <c r="L89" s="4">
        <v>25462</v>
      </c>
      <c r="M89" s="4">
        <v>5276</v>
      </c>
      <c r="N89" s="4">
        <v>168323</v>
      </c>
      <c r="O89" s="4">
        <v>399</v>
      </c>
      <c r="P89" s="4">
        <v>613299</v>
      </c>
      <c r="Q89" s="4">
        <v>15110</v>
      </c>
      <c r="R89" s="4">
        <v>322286</v>
      </c>
      <c r="S89" s="4">
        <v>2534502</v>
      </c>
      <c r="T89" s="10">
        <f t="shared" si="3"/>
        <v>1170879</v>
      </c>
      <c r="U89" s="8">
        <f t="shared" si="4"/>
        <v>0.46197596214167519</v>
      </c>
      <c r="V89" s="9" t="s">
        <v>5269</v>
      </c>
      <c r="W89" s="9" t="str">
        <f t="shared" si="5"/>
        <v>Rochdale CB</v>
      </c>
      <c r="X89" s="9" t="str">
        <f>INDEX(Lookup!$A$2:$A$1349, MATCH(W89, Lookup!$B$2:$B$1349,0))</f>
        <v>J04001057</v>
      </c>
      <c r="Y89" s="9" t="str">
        <f>INDEX(Lookup!$F$2:$F$1349, MATCH(W89, Lookup!$B$2:$B$1349,0))</f>
        <v>e200573</v>
      </c>
      <c r="Z89" s="6" t="str">
        <f>INDEX(Lookup!$C$2:$C$1300, MATCH(X89, Lookup!$A$2:$A$1300,0))</f>
        <v>Greater Manchester</v>
      </c>
    </row>
    <row r="90" spans="1:26" ht="28.15" customHeight="1" x14ac:dyDescent="0.2">
      <c r="A90" s="6" t="s">
        <v>149</v>
      </c>
      <c r="B90" s="1" t="s">
        <v>4506</v>
      </c>
      <c r="C90" s="4">
        <v>26368</v>
      </c>
      <c r="D90" s="4">
        <v>1136430</v>
      </c>
      <c r="E90" s="4">
        <v>430</v>
      </c>
      <c r="F90" s="4">
        <v>54660</v>
      </c>
      <c r="G90" s="4">
        <v>24</v>
      </c>
      <c r="H90" s="4">
        <v>5993</v>
      </c>
      <c r="I90" s="4">
        <v>1191</v>
      </c>
      <c r="J90" s="4">
        <v>335207</v>
      </c>
      <c r="K90" s="4">
        <v>179</v>
      </c>
      <c r="L90" s="4">
        <v>42249</v>
      </c>
      <c r="M90" s="4">
        <v>2814</v>
      </c>
      <c r="N90" s="4">
        <v>197176</v>
      </c>
      <c r="O90" s="4">
        <v>128</v>
      </c>
      <c r="P90" s="4">
        <v>1004048</v>
      </c>
      <c r="Q90" s="4">
        <v>16668</v>
      </c>
      <c r="R90" s="4">
        <v>509464</v>
      </c>
      <c r="S90" s="4">
        <v>3301895</v>
      </c>
      <c r="T90" s="10">
        <f t="shared" si="3"/>
        <v>1197083</v>
      </c>
      <c r="U90" s="8">
        <f t="shared" si="4"/>
        <v>0.36254423596147062</v>
      </c>
      <c r="V90" s="9" t="s">
        <v>5269</v>
      </c>
      <c r="W90" s="9" t="str">
        <f t="shared" si="5"/>
        <v>Rotherham CB</v>
      </c>
      <c r="X90" s="9" t="str">
        <f>INDEX(Lookup!$A$2:$A$1349, MATCH(W90, Lookup!$B$2:$B$1349,0))</f>
        <v>J04001067</v>
      </c>
      <c r="Y90" s="9" t="str">
        <f>INDEX(Lookup!$F$2:$F$1349, MATCH(W90, Lookup!$B$2:$B$1349,0))</f>
        <v>e461206</v>
      </c>
      <c r="Z90" s="6" t="str">
        <f>INDEX(Lookup!$C$2:$C$1300, MATCH(X90, Lookup!$A$2:$A$1300,0))</f>
        <v>South Yorkshire</v>
      </c>
    </row>
    <row r="91" spans="1:26" ht="28.15" customHeight="1" x14ac:dyDescent="0.2">
      <c r="A91" s="6" t="s">
        <v>150</v>
      </c>
      <c r="B91" s="1" t="s">
        <v>5303</v>
      </c>
      <c r="C91" s="4">
        <v>31114</v>
      </c>
      <c r="D91" s="4">
        <v>1376137</v>
      </c>
      <c r="E91" s="4">
        <v>434</v>
      </c>
      <c r="F91" s="4">
        <v>52916</v>
      </c>
      <c r="G91" s="4">
        <v>5</v>
      </c>
      <c r="H91" s="4">
        <v>1299</v>
      </c>
      <c r="I91" s="4">
        <v>1643</v>
      </c>
      <c r="J91" s="4">
        <v>361774</v>
      </c>
      <c r="K91" s="4">
        <v>206</v>
      </c>
      <c r="L91" s="4">
        <v>34015</v>
      </c>
      <c r="M91" s="4">
        <v>2471</v>
      </c>
      <c r="N91" s="4">
        <v>164903</v>
      </c>
      <c r="O91" s="4">
        <v>143</v>
      </c>
      <c r="P91" s="4">
        <v>844606</v>
      </c>
      <c r="Q91" s="4">
        <v>14116</v>
      </c>
      <c r="R91" s="4">
        <v>454791</v>
      </c>
      <c r="S91" s="4">
        <v>3304557</v>
      </c>
      <c r="T91" s="10">
        <f t="shared" si="3"/>
        <v>1430352</v>
      </c>
      <c r="U91" s="8">
        <f t="shared" si="4"/>
        <v>0.43284228415488069</v>
      </c>
      <c r="V91" s="9" t="s">
        <v>5269</v>
      </c>
      <c r="W91" s="9" t="str">
        <f t="shared" si="5"/>
        <v>St. Helens CB</v>
      </c>
      <c r="X91" s="9" t="str">
        <f>INDEX(Lookup!$A$2:$A$1349, MATCH(W91, Lookup!$B$2:$B$1349,0))</f>
        <v>J04001186</v>
      </c>
      <c r="Y91" s="9" t="str">
        <f>INDEX(Lookup!$F$2:$F$1349, MATCH(W91, Lookup!$B$2:$B$1349,0))</f>
        <v>e200574</v>
      </c>
      <c r="Z91" s="6" t="str">
        <f>INDEX(Lookup!$C$2:$C$1300, MATCH(X91, Lookup!$A$2:$A$1300,0))</f>
        <v>Merseyside</v>
      </c>
    </row>
    <row r="92" spans="1:26" ht="28.15" customHeight="1" x14ac:dyDescent="0.2">
      <c r="A92" s="6" t="s">
        <v>151</v>
      </c>
      <c r="B92" s="1" t="s">
        <v>5304</v>
      </c>
      <c r="C92" s="4">
        <v>45691</v>
      </c>
      <c r="D92" s="4">
        <v>1857589</v>
      </c>
      <c r="E92" s="4">
        <v>1549</v>
      </c>
      <c r="F92" s="4">
        <v>202102</v>
      </c>
      <c r="G92" s="4">
        <v>103</v>
      </c>
      <c r="H92" s="4">
        <v>24730</v>
      </c>
      <c r="I92" s="4">
        <v>3259</v>
      </c>
      <c r="J92" s="4">
        <v>389401</v>
      </c>
      <c r="K92" s="4">
        <v>397</v>
      </c>
      <c r="L92" s="4">
        <v>100035</v>
      </c>
      <c r="M92" s="4">
        <v>3269</v>
      </c>
      <c r="N92" s="4">
        <v>452613</v>
      </c>
      <c r="O92" s="4">
        <v>619</v>
      </c>
      <c r="P92" s="4">
        <v>976912</v>
      </c>
      <c r="Q92" s="4">
        <v>47457</v>
      </c>
      <c r="R92" s="4">
        <v>715737</v>
      </c>
      <c r="S92" s="4">
        <v>4766576</v>
      </c>
      <c r="T92" s="10">
        <f t="shared" si="3"/>
        <v>2084421</v>
      </c>
      <c r="U92" s="8">
        <f t="shared" si="4"/>
        <v>0.43729943674453109</v>
      </c>
      <c r="V92" s="9" t="s">
        <v>5269</v>
      </c>
      <c r="W92" s="9" t="str">
        <f t="shared" si="5"/>
        <v>Salford, city of CB</v>
      </c>
      <c r="X92" s="9" t="str">
        <f>INDEX(Lookup!$A$2:$A$1349, MATCH(W92, Lookup!$B$2:$B$1349,0))</f>
        <v>J04001094</v>
      </c>
      <c r="Y92" s="9" t="str">
        <f>INDEX(Lookup!$F$2:$F$1349, MATCH(W92, Lookup!$B$2:$B$1349,0))</f>
        <v>e200575</v>
      </c>
      <c r="Z92" s="6" t="str">
        <f>INDEX(Lookup!$C$2:$C$1300, MATCH(X92, Lookup!$A$2:$A$1300,0))</f>
        <v>Greater Manchester</v>
      </c>
    </row>
    <row r="93" spans="1:26" ht="28.15" customHeight="1" x14ac:dyDescent="0.2">
      <c r="A93" s="6" t="s">
        <v>152</v>
      </c>
      <c r="B93" s="1" t="s">
        <v>5305</v>
      </c>
      <c r="C93" s="4">
        <v>155362</v>
      </c>
      <c r="D93" s="4">
        <v>6338262</v>
      </c>
      <c r="E93" s="4">
        <v>5583</v>
      </c>
      <c r="F93" s="4">
        <v>717921</v>
      </c>
      <c r="G93" s="4">
        <v>504</v>
      </c>
      <c r="H93" s="4">
        <v>132605</v>
      </c>
      <c r="I93" s="4">
        <v>8039</v>
      </c>
      <c r="J93" s="4">
        <v>2389689</v>
      </c>
      <c r="K93" s="4">
        <v>1541</v>
      </c>
      <c r="L93" s="4">
        <v>422513</v>
      </c>
      <c r="M93" s="4">
        <v>16920</v>
      </c>
      <c r="N93" s="4">
        <v>1442022</v>
      </c>
      <c r="O93" s="4">
        <v>1608</v>
      </c>
      <c r="P93" s="4">
        <v>5808699</v>
      </c>
      <c r="Q93" s="4">
        <v>193233</v>
      </c>
      <c r="R93" s="4">
        <v>2510302</v>
      </c>
      <c r="S93" s="4">
        <v>19955246</v>
      </c>
      <c r="T93" s="10">
        <f t="shared" si="3"/>
        <v>7188788</v>
      </c>
      <c r="U93" s="8">
        <f t="shared" si="4"/>
        <v>0.36024552140324406</v>
      </c>
      <c r="V93" s="9" t="s">
        <v>5269</v>
      </c>
      <c r="W93" s="9" t="str">
        <f t="shared" si="5"/>
        <v>Sheffield, city of CB</v>
      </c>
      <c r="X93" s="9" t="str">
        <f>INDEX(Lookup!$A$2:$A$1349, MATCH(W93, Lookup!$B$2:$B$1349,0))</f>
        <v>J04001126</v>
      </c>
      <c r="Y93" s="9" t="str">
        <f>INDEX(Lookup!$F$2:$F$1349, MATCH(W93, Lookup!$B$2:$B$1349,0))</f>
        <v>e461207</v>
      </c>
      <c r="Z93" s="6" t="str">
        <f>INDEX(Lookup!$C$2:$C$1300, MATCH(X93, Lookup!$A$2:$A$1300,0))</f>
        <v>South Yorkshire</v>
      </c>
    </row>
    <row r="94" spans="1:26" ht="28.15" customHeight="1" x14ac:dyDescent="0.2">
      <c r="A94" s="6" t="s">
        <v>153</v>
      </c>
      <c r="B94" s="1" t="s">
        <v>153</v>
      </c>
      <c r="C94" s="4">
        <v>21048</v>
      </c>
      <c r="D94" s="4">
        <v>931878</v>
      </c>
      <c r="E94" s="4">
        <v>188</v>
      </c>
      <c r="F94" s="4">
        <v>22758</v>
      </c>
      <c r="G94" s="2" t="s">
        <v>173</v>
      </c>
      <c r="H94" s="2" t="s">
        <v>173</v>
      </c>
      <c r="I94" s="4">
        <v>1482</v>
      </c>
      <c r="J94" s="4">
        <v>268923</v>
      </c>
      <c r="K94" s="4">
        <v>110</v>
      </c>
      <c r="L94" s="4">
        <v>16012</v>
      </c>
      <c r="M94" s="4">
        <v>1650</v>
      </c>
      <c r="N94" s="4">
        <v>149406</v>
      </c>
      <c r="O94" s="4">
        <v>176</v>
      </c>
      <c r="P94" s="4">
        <v>983486</v>
      </c>
      <c r="Q94" s="4">
        <v>5944</v>
      </c>
      <c r="R94" s="4">
        <v>254644</v>
      </c>
      <c r="S94" s="4">
        <v>2633051</v>
      </c>
      <c r="T94" s="10">
        <f>SUM(D94+F94)</f>
        <v>954636</v>
      </c>
      <c r="U94" s="8">
        <f t="shared" si="4"/>
        <v>0.36255887181828228</v>
      </c>
      <c r="V94" s="9" t="s">
        <v>5269</v>
      </c>
      <c r="W94" s="9" t="str">
        <f t="shared" si="5"/>
        <v>Smethwick CB</v>
      </c>
      <c r="X94" s="9" t="str">
        <f>INDEX(Lookup!$A$2:$A$1349, MATCH(W94, Lookup!$B$2:$B$1349,0))</f>
        <v>J04001152</v>
      </c>
      <c r="Y94" s="9" t="str">
        <f>INDEX(Lookup!$F$2:$F$1349, MATCH(W94, Lookup!$B$2:$B$1349,0))</f>
        <v>e431127</v>
      </c>
      <c r="Z94" s="6" t="str">
        <f>INDEX(Lookup!$C$2:$C$1300, MATCH(X94, Lookup!$A$2:$A$1300,0))</f>
        <v>West Midlands</v>
      </c>
    </row>
    <row r="95" spans="1:26" ht="28.15" customHeight="1" x14ac:dyDescent="0.2">
      <c r="A95" s="6" t="s">
        <v>154</v>
      </c>
      <c r="B95" s="1" t="s">
        <v>5306</v>
      </c>
      <c r="C95" s="4">
        <v>54547</v>
      </c>
      <c r="D95" s="4">
        <v>3700545</v>
      </c>
      <c r="E95" s="4">
        <v>8121</v>
      </c>
      <c r="F95" s="4">
        <v>981126</v>
      </c>
      <c r="G95" s="4">
        <v>180</v>
      </c>
      <c r="H95" s="4">
        <v>43846</v>
      </c>
      <c r="I95" s="4">
        <v>2831</v>
      </c>
      <c r="J95" s="4">
        <v>1526473</v>
      </c>
      <c r="K95" s="4">
        <v>913</v>
      </c>
      <c r="L95" s="4">
        <v>351908</v>
      </c>
      <c r="M95" s="4">
        <v>4937351</v>
      </c>
      <c r="N95" s="4">
        <v>795710</v>
      </c>
      <c r="O95" s="4">
        <v>234</v>
      </c>
      <c r="P95" s="4">
        <v>1177240</v>
      </c>
      <c r="Q95" s="4">
        <v>108937</v>
      </c>
      <c r="R95" s="4">
        <v>1603032</v>
      </c>
      <c r="S95" s="4">
        <v>10288817</v>
      </c>
      <c r="T95" s="10">
        <f t="shared" si="3"/>
        <v>4725517</v>
      </c>
      <c r="U95" s="8">
        <f t="shared" si="4"/>
        <v>0.45928671877437416</v>
      </c>
      <c r="V95" s="9" t="s">
        <v>5269</v>
      </c>
      <c r="W95" s="9" t="str">
        <f t="shared" si="5"/>
        <v>Southampton, city of CB</v>
      </c>
      <c r="X95" s="9" t="str">
        <f>INDEX(Lookup!$A$2:$A$1349, MATCH(W95, Lookup!$B$2:$B$1349,0))</f>
        <v>J04001164</v>
      </c>
      <c r="Y95" s="9" t="str">
        <f>INDEX(Lookup!$F$2:$F$1349, MATCH(W95, Lookup!$B$2:$B$1349,0))</f>
        <v>e150413</v>
      </c>
      <c r="Z95" s="6" t="str">
        <f>INDEX(Lookup!$C$2:$C$1300, MATCH(X95, Lookup!$A$2:$A$1300,0))</f>
        <v>Hampshire</v>
      </c>
    </row>
    <row r="96" spans="1:26" ht="28.15" customHeight="1" x14ac:dyDescent="0.2">
      <c r="A96" s="6" t="s">
        <v>155</v>
      </c>
      <c r="B96" s="1" t="s">
        <v>155</v>
      </c>
      <c r="C96" s="4">
        <v>35970</v>
      </c>
      <c r="D96" s="4">
        <v>2695003</v>
      </c>
      <c r="E96" s="4">
        <v>16242</v>
      </c>
      <c r="F96" s="4">
        <v>2051028</v>
      </c>
      <c r="G96" s="4">
        <v>877</v>
      </c>
      <c r="H96" s="4">
        <v>204022</v>
      </c>
      <c r="I96" s="4">
        <v>3334</v>
      </c>
      <c r="J96" s="4">
        <v>974277</v>
      </c>
      <c r="K96" s="4">
        <v>475</v>
      </c>
      <c r="L96" s="4">
        <v>112393</v>
      </c>
      <c r="M96" s="4">
        <v>3975</v>
      </c>
      <c r="N96" s="4">
        <v>383952</v>
      </c>
      <c r="O96" s="4">
        <v>292</v>
      </c>
      <c r="P96" s="4">
        <v>494441</v>
      </c>
      <c r="Q96" s="4">
        <v>57975</v>
      </c>
      <c r="R96" s="4">
        <v>644136</v>
      </c>
      <c r="S96" s="4">
        <v>7617227</v>
      </c>
      <c r="T96" s="10">
        <f t="shared" si="3"/>
        <v>4950053</v>
      </c>
      <c r="U96" s="8">
        <f t="shared" si="4"/>
        <v>0.64984974190738964</v>
      </c>
      <c r="V96" s="9" t="s">
        <v>5269</v>
      </c>
      <c r="W96" s="9" t="str">
        <f t="shared" si="5"/>
        <v>Southend-on-Sea CB</v>
      </c>
      <c r="X96" s="9" t="str">
        <f>INDEX(Lookup!$A$2:$A$1349, MATCH(W96, Lookup!$B$2:$B$1349,0))</f>
        <v>J04001166</v>
      </c>
      <c r="Y96" s="9" t="str">
        <f>INDEX(Lookup!$F$2:$F$1349, MATCH(W96, Lookup!$B$2:$B$1349,0))</f>
        <v>e120307</v>
      </c>
      <c r="Z96" s="6" t="str">
        <f>INDEX(Lookup!$C$2:$C$1300, MATCH(X96, Lookup!$A$2:$A$1300,0))</f>
        <v>Essex</v>
      </c>
    </row>
    <row r="97" spans="1:26" ht="28.15" customHeight="1" x14ac:dyDescent="0.2">
      <c r="A97" s="6" t="s">
        <v>156</v>
      </c>
      <c r="B97" s="1" t="s">
        <v>156</v>
      </c>
      <c r="C97" s="4">
        <v>17918</v>
      </c>
      <c r="D97" s="4">
        <v>1223815</v>
      </c>
      <c r="E97" s="4">
        <v>7139</v>
      </c>
      <c r="F97" s="4">
        <v>952168</v>
      </c>
      <c r="G97" s="4">
        <v>888</v>
      </c>
      <c r="H97" s="4">
        <v>213687</v>
      </c>
      <c r="I97" s="4">
        <v>1804</v>
      </c>
      <c r="J97" s="4">
        <v>566939</v>
      </c>
      <c r="K97" s="4">
        <v>317</v>
      </c>
      <c r="L97" s="4">
        <v>45758</v>
      </c>
      <c r="M97" s="4">
        <v>2672</v>
      </c>
      <c r="N97" s="4">
        <v>219917</v>
      </c>
      <c r="O97" s="4">
        <v>184</v>
      </c>
      <c r="P97" s="4">
        <v>129936</v>
      </c>
      <c r="Q97" s="4">
        <v>25601</v>
      </c>
      <c r="R97" s="4">
        <v>417824</v>
      </c>
      <c r="S97" s="4">
        <v>3795645</v>
      </c>
      <c r="T97" s="10">
        <f t="shared" si="3"/>
        <v>2389670</v>
      </c>
      <c r="U97" s="8">
        <f t="shared" si="4"/>
        <v>0.62958206049301235</v>
      </c>
      <c r="V97" s="9" t="s">
        <v>5269</v>
      </c>
      <c r="W97" s="9" t="str">
        <f t="shared" si="5"/>
        <v>Southport CB</v>
      </c>
      <c r="X97" s="9" t="str">
        <f>INDEX(Lookup!$A$2:$A$1349, MATCH(W97, Lookup!$B$2:$B$1349,0))</f>
        <v>J04001168</v>
      </c>
      <c r="Y97" s="9" t="str">
        <f>INDEX(Lookup!$F$2:$F$1349, MATCH(W97, Lookup!$B$2:$B$1349,0))</f>
        <v>e200576</v>
      </c>
      <c r="Z97" s="6" t="str">
        <f>INDEX(Lookup!$C$2:$C$1300, MATCH(X97, Lookup!$A$2:$A$1300,0))</f>
        <v>Merseyside</v>
      </c>
    </row>
    <row r="98" spans="1:26" ht="28.15" customHeight="1" x14ac:dyDescent="0.2">
      <c r="A98" s="6" t="s">
        <v>157</v>
      </c>
      <c r="B98" s="1" t="s">
        <v>157</v>
      </c>
      <c r="C98" s="4">
        <v>35685</v>
      </c>
      <c r="D98" s="4">
        <v>1558859</v>
      </c>
      <c r="E98" s="2">
        <v>664</v>
      </c>
      <c r="F98" s="4">
        <v>76804</v>
      </c>
      <c r="G98" s="4">
        <v>6</v>
      </c>
      <c r="H98" s="4">
        <v>1372</v>
      </c>
      <c r="I98" s="4">
        <v>1504</v>
      </c>
      <c r="J98" s="4">
        <v>394428</v>
      </c>
      <c r="K98" s="4">
        <v>249</v>
      </c>
      <c r="L98" s="4">
        <v>28629</v>
      </c>
      <c r="M98" s="4">
        <v>2222</v>
      </c>
      <c r="N98" s="4">
        <v>165736</v>
      </c>
      <c r="O98" s="4">
        <v>112</v>
      </c>
      <c r="P98" s="4">
        <v>324082</v>
      </c>
      <c r="Q98" s="4">
        <v>16353</v>
      </c>
      <c r="R98" s="4">
        <v>425806</v>
      </c>
      <c r="S98" s="4">
        <v>2992069</v>
      </c>
      <c r="T98" s="10">
        <f t="shared" si="3"/>
        <v>1637035</v>
      </c>
      <c r="U98" s="8">
        <f t="shared" si="4"/>
        <v>0.54712474879422901</v>
      </c>
      <c r="V98" s="9" t="s">
        <v>5269</v>
      </c>
      <c r="W98" s="9" t="str">
        <f t="shared" si="5"/>
        <v>South Shields CB</v>
      </c>
      <c r="X98" s="9" t="str">
        <f>INDEX(Lookup!$A$2:$A$1349, MATCH(W98, Lookup!$B$2:$B$1349,0))</f>
        <v>J04001160</v>
      </c>
      <c r="Y98" s="9" t="str">
        <f>INDEX(Lookup!$F$2:$F$1349, MATCH(W98, Lookup!$B$2:$B$1349,0))</f>
        <v>e110263</v>
      </c>
      <c r="Z98" s="6" t="str">
        <f>INDEX(Lookup!$C$2:$C$1300, MATCH(X98, Lookup!$A$2:$A$1300,0))</f>
        <v>Tyne And Wear</v>
      </c>
    </row>
    <row r="99" spans="1:26" ht="28.15" customHeight="1" x14ac:dyDescent="0.2">
      <c r="A99" s="6" t="s">
        <v>158</v>
      </c>
      <c r="B99" s="1" t="s">
        <v>158</v>
      </c>
      <c r="C99" s="4">
        <v>44765</v>
      </c>
      <c r="D99" s="4">
        <v>2258793</v>
      </c>
      <c r="E99" s="4">
        <v>3725</v>
      </c>
      <c r="F99" s="4">
        <v>465736</v>
      </c>
      <c r="G99" s="4">
        <v>69</v>
      </c>
      <c r="H99" s="4">
        <v>16466</v>
      </c>
      <c r="I99" s="4">
        <v>2774</v>
      </c>
      <c r="J99" s="4">
        <v>624481</v>
      </c>
      <c r="K99" s="4">
        <v>320</v>
      </c>
      <c r="L99" s="4">
        <v>52185</v>
      </c>
      <c r="M99" s="4">
        <v>3483</v>
      </c>
      <c r="N99" s="4">
        <v>263783</v>
      </c>
      <c r="O99" s="4">
        <v>528</v>
      </c>
      <c r="P99" s="4">
        <v>791615</v>
      </c>
      <c r="Q99" s="4">
        <v>27507</v>
      </c>
      <c r="R99" s="4">
        <v>538629</v>
      </c>
      <c r="S99" s="4">
        <v>5039195</v>
      </c>
      <c r="T99" s="10">
        <f t="shared" si="3"/>
        <v>2740995</v>
      </c>
      <c r="U99" s="8">
        <f t="shared" si="4"/>
        <v>0.5439350928074822</v>
      </c>
      <c r="V99" s="9" t="s">
        <v>5269</v>
      </c>
      <c r="W99" s="9" t="str">
        <f t="shared" si="5"/>
        <v>Stockport CB</v>
      </c>
      <c r="X99" s="9" t="str">
        <f>INDEX(Lookup!$A$2:$A$1349, MATCH(W99, Lookup!$B$2:$B$1349,0))</f>
        <v>J04001208</v>
      </c>
      <c r="Y99" s="9" t="str">
        <f>INDEX(Lookup!$F$2:$F$1349, MATCH(W99, Lookup!$B$2:$B$1349,0))</f>
        <v>e050070</v>
      </c>
      <c r="Z99" s="6" t="str">
        <f>INDEX(Lookup!$C$2:$C$1300, MATCH(X99, Lookup!$A$2:$A$1300,0))</f>
        <v>Greater Manchester</v>
      </c>
    </row>
    <row r="100" spans="1:26" ht="28.15" customHeight="1" x14ac:dyDescent="0.2">
      <c r="A100" s="6" t="s">
        <v>159</v>
      </c>
      <c r="B100" s="1" t="s">
        <v>5307</v>
      </c>
      <c r="C100" s="4">
        <v>81716</v>
      </c>
      <c r="D100" s="4">
        <v>3312121</v>
      </c>
      <c r="E100" s="2">
        <v>567</v>
      </c>
      <c r="F100" s="4">
        <v>71438</v>
      </c>
      <c r="G100" s="4">
        <v>23</v>
      </c>
      <c r="H100" s="4">
        <v>6438</v>
      </c>
      <c r="I100" s="4">
        <v>4481</v>
      </c>
      <c r="J100" s="4">
        <v>978940</v>
      </c>
      <c r="K100" s="4">
        <v>646</v>
      </c>
      <c r="L100" s="4">
        <v>194623</v>
      </c>
      <c r="M100" s="4">
        <v>6467</v>
      </c>
      <c r="N100" s="4">
        <v>688651</v>
      </c>
      <c r="O100" s="4">
        <v>802</v>
      </c>
      <c r="P100" s="4">
        <v>2027669</v>
      </c>
      <c r="Q100" s="4">
        <v>73068</v>
      </c>
      <c r="R100" s="4">
        <v>1321695</v>
      </c>
      <c r="S100" s="4">
        <v>8674643</v>
      </c>
      <c r="T100" s="10">
        <f t="shared" si="3"/>
        <v>3389997</v>
      </c>
      <c r="U100" s="8">
        <f t="shared" si="4"/>
        <v>0.39079383439756543</v>
      </c>
      <c r="V100" s="9" t="s">
        <v>5269</v>
      </c>
      <c r="W100" s="9" t="str">
        <f t="shared" si="5"/>
        <v>Stoke on Trent, city of CB</v>
      </c>
      <c r="X100" s="9" t="str">
        <f>INDEX(Lookup!$A$2:$A$1349, MATCH(W100, Lookup!$B$2:$B$1349,0))</f>
        <v>J04001213</v>
      </c>
      <c r="Y100" s="9" t="str">
        <f>INDEX(Lookup!$F$2:$F$1349, MATCH(W100, Lookup!$B$2:$B$1349,0))</f>
        <v>e330942</v>
      </c>
      <c r="Z100" s="6" t="str">
        <f>INDEX(Lookup!$C$2:$C$1300, MATCH(X100, Lookup!$A$2:$A$1300,0))</f>
        <v>Staffordshire</v>
      </c>
    </row>
    <row r="101" spans="1:26" ht="28.15" customHeight="1" x14ac:dyDescent="0.2">
      <c r="A101" s="6" t="s">
        <v>160</v>
      </c>
      <c r="B101" s="1" t="s">
        <v>160</v>
      </c>
      <c r="C101" s="4">
        <v>55710</v>
      </c>
      <c r="D101" s="4">
        <v>2842680</v>
      </c>
      <c r="E101" s="4">
        <v>2190</v>
      </c>
      <c r="F101" s="4">
        <v>257212</v>
      </c>
      <c r="G101" s="4">
        <v>89</v>
      </c>
      <c r="H101" s="4">
        <v>21947</v>
      </c>
      <c r="I101" s="4">
        <v>2536</v>
      </c>
      <c r="J101" s="4">
        <v>1076134</v>
      </c>
      <c r="K101" s="4">
        <v>497</v>
      </c>
      <c r="L101" s="4">
        <v>81624</v>
      </c>
      <c r="M101" s="4">
        <v>2165</v>
      </c>
      <c r="N101" s="4">
        <v>341749</v>
      </c>
      <c r="O101" s="4">
        <v>261</v>
      </c>
      <c r="P101" s="4">
        <v>957027</v>
      </c>
      <c r="Q101" s="4">
        <v>45491</v>
      </c>
      <c r="R101" s="4">
        <v>822151</v>
      </c>
      <c r="S101" s="4">
        <v>6446722</v>
      </c>
      <c r="T101" s="10">
        <f t="shared" si="3"/>
        <v>3121839</v>
      </c>
      <c r="U101" s="8">
        <f t="shared" si="4"/>
        <v>0.48425215171369262</v>
      </c>
      <c r="V101" s="9" t="s">
        <v>5269</v>
      </c>
      <c r="W101" s="9" t="str">
        <f t="shared" si="5"/>
        <v>Sunderland CB</v>
      </c>
      <c r="X101" s="9" t="str">
        <f>INDEX(Lookup!$A$2:$A$1349, MATCH(W101, Lookup!$B$2:$B$1349,0))</f>
        <v>J04001231</v>
      </c>
      <c r="Y101" s="9" t="str">
        <f>INDEX(Lookup!$F$2:$F$1349, MATCH(W101, Lookup!$B$2:$B$1349,0))</f>
        <v>e110264</v>
      </c>
      <c r="Z101" s="6" t="str">
        <f>INDEX(Lookup!$C$2:$C$1300, MATCH(X101, Lookup!$A$2:$A$1300,0))</f>
        <v>Tyne And Wear</v>
      </c>
    </row>
    <row r="102" spans="1:26" ht="28.15" customHeight="1" x14ac:dyDescent="0.2">
      <c r="A102" s="6" t="s">
        <v>161</v>
      </c>
      <c r="B102" s="1" t="s">
        <v>161</v>
      </c>
      <c r="C102" s="4">
        <v>21107</v>
      </c>
      <c r="D102" s="4">
        <v>1073282</v>
      </c>
      <c r="E102" s="4">
        <v>2140</v>
      </c>
      <c r="F102" s="4">
        <v>252279</v>
      </c>
      <c r="G102" s="4">
        <v>11</v>
      </c>
      <c r="H102" s="4">
        <v>2554</v>
      </c>
      <c r="I102" s="4">
        <v>987</v>
      </c>
      <c r="J102" s="4">
        <v>150784</v>
      </c>
      <c r="K102" s="4">
        <v>220</v>
      </c>
      <c r="L102" s="4">
        <v>28378</v>
      </c>
      <c r="M102" s="4">
        <v>1580</v>
      </c>
      <c r="N102" s="4">
        <v>177747</v>
      </c>
      <c r="O102" s="4">
        <v>105</v>
      </c>
      <c r="P102" s="4">
        <v>450819</v>
      </c>
      <c r="Q102" s="4">
        <v>13109</v>
      </c>
      <c r="R102" s="4">
        <v>244667</v>
      </c>
      <c r="S102" s="4">
        <v>2393619</v>
      </c>
      <c r="T102" s="10">
        <f t="shared" si="3"/>
        <v>1328115</v>
      </c>
      <c r="U102" s="8">
        <f t="shared" si="4"/>
        <v>0.55485647465198096</v>
      </c>
      <c r="V102" s="9" t="s">
        <v>5269</v>
      </c>
      <c r="W102" s="9" t="str">
        <f t="shared" si="5"/>
        <v>Tynemouth CB</v>
      </c>
      <c r="X102" s="9" t="str">
        <f>INDEX(Lookup!$A$2:$A$1349, MATCH(W102, Lookup!$B$2:$B$1349,0))</f>
        <v>J04001306</v>
      </c>
      <c r="Y102" s="9" t="str">
        <f>INDEX(Lookup!$F$2:$F$1349, MATCH(W102, Lookup!$B$2:$B$1349,0))</f>
        <v>e270815</v>
      </c>
      <c r="Z102" s="6" t="str">
        <f>INDEX(Lookup!$C$2:$C$1300, MATCH(X102, Lookup!$A$2:$A$1300,0))</f>
        <v>Tyne And Wear</v>
      </c>
    </row>
    <row r="103" spans="1:26" ht="28.15" customHeight="1" x14ac:dyDescent="0.2">
      <c r="A103" s="6" t="s">
        <v>162</v>
      </c>
      <c r="B103" s="1" t="s">
        <v>5308</v>
      </c>
      <c r="C103" s="4">
        <v>19074</v>
      </c>
      <c r="D103" s="4">
        <v>774805</v>
      </c>
      <c r="E103" s="2">
        <v>276</v>
      </c>
      <c r="F103" s="4">
        <v>34427</v>
      </c>
      <c r="G103" s="4">
        <v>9</v>
      </c>
      <c r="H103" s="4">
        <v>2423</v>
      </c>
      <c r="I103" s="4">
        <v>963</v>
      </c>
      <c r="J103" s="4">
        <v>401583</v>
      </c>
      <c r="K103" s="4">
        <v>247</v>
      </c>
      <c r="L103" s="4">
        <v>60991</v>
      </c>
      <c r="M103" s="4">
        <v>2198</v>
      </c>
      <c r="N103" s="4">
        <v>133078</v>
      </c>
      <c r="O103" s="4">
        <v>167</v>
      </c>
      <c r="P103" s="4">
        <v>274028</v>
      </c>
      <c r="Q103" s="4">
        <v>50777</v>
      </c>
      <c r="R103" s="4">
        <v>342894</v>
      </c>
      <c r="S103" s="4">
        <v>2075006</v>
      </c>
      <c r="T103" s="10">
        <f t="shared" si="3"/>
        <v>811655</v>
      </c>
      <c r="U103" s="8">
        <f t="shared" si="4"/>
        <v>0.39115790508557563</v>
      </c>
      <c r="V103" s="9" t="s">
        <v>5269</v>
      </c>
      <c r="W103" s="9" t="str">
        <f t="shared" si="5"/>
        <v>Wakefield, city of CB</v>
      </c>
      <c r="X103" s="9" t="str">
        <f>INDEX(Lookup!$A$2:$A$1349, MATCH(W103, Lookup!$B$2:$B$1349,0))</f>
        <v>J04001323</v>
      </c>
      <c r="Y103" s="9" t="str">
        <f>INDEX(Lookup!$F$2:$F$1349, MATCH(W103, Lookup!$B$2:$B$1349,0))</f>
        <v>e461208</v>
      </c>
      <c r="Z103" s="6" t="str">
        <f>INDEX(Lookup!$C$2:$C$1300, MATCH(X103, Lookup!$A$2:$A$1300,0))</f>
        <v>West Yorkshire</v>
      </c>
    </row>
    <row r="104" spans="1:26" ht="28.15" customHeight="1" x14ac:dyDescent="0.2">
      <c r="A104" s="6" t="s">
        <v>163</v>
      </c>
      <c r="B104" s="1" t="s">
        <v>163</v>
      </c>
      <c r="C104" s="4">
        <v>26755</v>
      </c>
      <c r="D104" s="4">
        <v>1693056</v>
      </c>
      <c r="E104" s="4">
        <v>4602</v>
      </c>
      <c r="F104" s="4">
        <v>549493</v>
      </c>
      <c r="G104" s="4">
        <v>66</v>
      </c>
      <c r="H104" s="4">
        <v>14325</v>
      </c>
      <c r="I104" s="4">
        <v>1882</v>
      </c>
      <c r="J104" s="4">
        <v>267986</v>
      </c>
      <c r="K104" s="4">
        <v>132</v>
      </c>
      <c r="L104" s="4">
        <v>10160</v>
      </c>
      <c r="M104" s="4">
        <v>1995</v>
      </c>
      <c r="N104" s="4">
        <v>147256</v>
      </c>
      <c r="O104" s="4">
        <v>95</v>
      </c>
      <c r="P104" s="4">
        <v>364387</v>
      </c>
      <c r="Q104" s="4">
        <v>12731</v>
      </c>
      <c r="R104" s="4">
        <v>425669</v>
      </c>
      <c r="S104" s="4">
        <v>3485063</v>
      </c>
      <c r="T104" s="10">
        <f t="shared" si="3"/>
        <v>2256874</v>
      </c>
      <c r="U104" s="8">
        <f t="shared" si="4"/>
        <v>0.64758484997258303</v>
      </c>
      <c r="V104" s="9" t="s">
        <v>5269</v>
      </c>
      <c r="W104" s="9" t="str">
        <f t="shared" si="5"/>
        <v>Wallasey CB</v>
      </c>
      <c r="X104" s="9" t="str">
        <f>INDEX(Lookup!$A$2:$A$1349, MATCH(W104, Lookup!$B$2:$B$1349,0))</f>
        <v>J04001324</v>
      </c>
      <c r="Y104" s="9" t="str">
        <f>INDEX(Lookup!$F$2:$F$1349, MATCH(W104, Lookup!$B$2:$B$1349,0))</f>
        <v>e050071</v>
      </c>
      <c r="Z104" s="6" t="str">
        <f>INDEX(Lookup!$C$2:$C$1300, MATCH(X104, Lookup!$A$2:$A$1300,0))</f>
        <v>Merseyside</v>
      </c>
    </row>
    <row r="105" spans="1:26" ht="28.15" customHeight="1" x14ac:dyDescent="0.2">
      <c r="A105" s="6" t="s">
        <v>164</v>
      </c>
      <c r="B105" s="1" t="s">
        <v>164</v>
      </c>
      <c r="C105" s="4">
        <v>33727</v>
      </c>
      <c r="D105" s="4">
        <v>1604803</v>
      </c>
      <c r="E105" s="4">
        <v>2296</v>
      </c>
      <c r="F105" s="4">
        <v>284710</v>
      </c>
      <c r="G105" s="4">
        <v>37</v>
      </c>
      <c r="H105" s="4">
        <v>1490</v>
      </c>
      <c r="I105" s="4">
        <v>1818</v>
      </c>
      <c r="J105" s="4">
        <v>474818</v>
      </c>
      <c r="K105" s="4">
        <v>324</v>
      </c>
      <c r="L105" s="4">
        <v>72617</v>
      </c>
      <c r="M105" s="4">
        <v>3398</v>
      </c>
      <c r="N105" s="4">
        <v>240887</v>
      </c>
      <c r="O105" s="4">
        <v>580</v>
      </c>
      <c r="P105" s="4">
        <v>884548</v>
      </c>
      <c r="Q105" s="4">
        <v>26822</v>
      </c>
      <c r="R105" s="4">
        <v>559962</v>
      </c>
      <c r="S105" s="4">
        <v>4157960</v>
      </c>
      <c r="T105" s="10">
        <f t="shared" si="3"/>
        <v>1891003</v>
      </c>
      <c r="U105" s="8">
        <f t="shared" si="4"/>
        <v>0.45479105138096565</v>
      </c>
      <c r="V105" s="9" t="s">
        <v>5269</v>
      </c>
      <c r="W105" s="9" t="str">
        <f t="shared" si="5"/>
        <v>Walsall CB</v>
      </c>
      <c r="X105" s="9" t="str">
        <f>INDEX(Lookup!$A$2:$A$1349, MATCH(W105, Lookup!$B$2:$B$1349,0))</f>
        <v>J04001328</v>
      </c>
      <c r="Y105" s="9" t="str">
        <f>INDEX(Lookup!$F$2:$F$1349, MATCH(W105, Lookup!$B$2:$B$1349,0))</f>
        <v>e330943</v>
      </c>
      <c r="Z105" s="6" t="str">
        <f>INDEX(Lookup!$C$2:$C$1300, MATCH(X105, Lookup!$A$2:$A$1300,0))</f>
        <v>West Midlands</v>
      </c>
    </row>
    <row r="106" spans="1:26" ht="28.15" customHeight="1" x14ac:dyDescent="0.2">
      <c r="A106" s="6" t="s">
        <v>165</v>
      </c>
      <c r="B106" s="1" t="s">
        <v>165</v>
      </c>
      <c r="C106" s="4">
        <v>23753</v>
      </c>
      <c r="D106" s="4">
        <v>1021568</v>
      </c>
      <c r="E106" s="2">
        <v>44</v>
      </c>
      <c r="F106" s="4">
        <v>5064</v>
      </c>
      <c r="G106" s="4">
        <v>1</v>
      </c>
      <c r="H106" s="4">
        <v>266</v>
      </c>
      <c r="I106" s="4">
        <v>1490</v>
      </c>
      <c r="J106" s="4">
        <v>361950</v>
      </c>
      <c r="K106" s="4">
        <v>283</v>
      </c>
      <c r="L106" s="4">
        <v>54440</v>
      </c>
      <c r="M106" s="4">
        <v>2198</v>
      </c>
      <c r="N106" s="4">
        <v>161525</v>
      </c>
      <c r="O106" s="4">
        <v>235</v>
      </c>
      <c r="P106" s="4">
        <v>1051983</v>
      </c>
      <c r="Q106" s="4">
        <v>16311</v>
      </c>
      <c r="R106" s="4">
        <v>395675</v>
      </c>
      <c r="S106" s="4">
        <v>3068782</v>
      </c>
      <c r="T106" s="10">
        <f t="shared" si="3"/>
        <v>1026898</v>
      </c>
      <c r="U106" s="8">
        <f t="shared" si="4"/>
        <v>0.33462722343913642</v>
      </c>
      <c r="V106" s="9" t="s">
        <v>5269</v>
      </c>
      <c r="W106" s="9" t="str">
        <f t="shared" si="5"/>
        <v>Warrington CB</v>
      </c>
      <c r="X106" s="9" t="str">
        <f>INDEX(Lookup!$A$2:$A$1349, MATCH(W106, Lookup!$B$2:$B$1349,0))</f>
        <v>J04001346</v>
      </c>
      <c r="Y106" s="9" t="str">
        <f>INDEX(Lookup!$F$2:$F$1349, MATCH(W106, Lookup!$B$2:$B$1349,0))</f>
        <v>e200577</v>
      </c>
      <c r="Z106" s="6" t="str">
        <f>INDEX(Lookup!$C$2:$C$1300, MATCH(X106, Lookup!$A$2:$A$1300,0))</f>
        <v>Cheshire</v>
      </c>
    </row>
    <row r="107" spans="1:26" ht="28.15" customHeight="1" x14ac:dyDescent="0.2">
      <c r="A107" s="6" t="s">
        <v>166</v>
      </c>
      <c r="B107" s="1" t="s">
        <v>166</v>
      </c>
      <c r="C107" s="4">
        <v>27120</v>
      </c>
      <c r="D107" s="4">
        <v>1421993</v>
      </c>
      <c r="E107" s="2">
        <v>668</v>
      </c>
      <c r="F107" s="4">
        <v>79644</v>
      </c>
      <c r="G107" s="4">
        <v>12</v>
      </c>
      <c r="H107" s="4">
        <v>2884</v>
      </c>
      <c r="I107" s="4">
        <v>1240</v>
      </c>
      <c r="J107" s="4">
        <v>352924</v>
      </c>
      <c r="K107" s="4">
        <v>172</v>
      </c>
      <c r="L107" s="4">
        <v>35680</v>
      </c>
      <c r="M107" s="4">
        <v>3107</v>
      </c>
      <c r="N107" s="4">
        <v>292020</v>
      </c>
      <c r="O107" s="4">
        <v>417</v>
      </c>
      <c r="P107" s="4">
        <v>1375463</v>
      </c>
      <c r="Q107" s="4">
        <v>13683</v>
      </c>
      <c r="R107" s="4">
        <v>441297</v>
      </c>
      <c r="S107" s="4">
        <v>4015588</v>
      </c>
      <c r="T107" s="10">
        <f t="shared" si="3"/>
        <v>1504521</v>
      </c>
      <c r="U107" s="8">
        <f t="shared" si="4"/>
        <v>0.37467016038497974</v>
      </c>
      <c r="V107" s="9" t="s">
        <v>5269</v>
      </c>
      <c r="W107" s="9" t="str">
        <f t="shared" si="5"/>
        <v>West Bromwich CB</v>
      </c>
      <c r="X107" s="9" t="str">
        <f>INDEX(Lookup!$A$2:$A$1349, MATCH(W107, Lookup!$B$2:$B$1349,0))</f>
        <v>J04001381</v>
      </c>
      <c r="Y107" s="9" t="str">
        <f>INDEX(Lookup!$F$2:$F$1349, MATCH(W107, Lookup!$B$2:$B$1349,0))</f>
        <v>e330944</v>
      </c>
      <c r="Z107" s="6" t="str">
        <f>INDEX(Lookup!$C$2:$C$1300, MATCH(X107, Lookup!$A$2:$A$1300,0))</f>
        <v>West Midlands</v>
      </c>
    </row>
    <row r="108" spans="1:26" ht="28.15" customHeight="1" x14ac:dyDescent="0.2">
      <c r="A108" s="6" t="s">
        <v>167</v>
      </c>
      <c r="B108" s="1" t="s">
        <v>167</v>
      </c>
      <c r="C108" s="4">
        <v>38459</v>
      </c>
      <c r="D108" s="4">
        <v>2524287</v>
      </c>
      <c r="E108" s="4">
        <v>3347</v>
      </c>
      <c r="F108" s="4">
        <v>416157</v>
      </c>
      <c r="G108" s="4">
        <v>115</v>
      </c>
      <c r="H108" s="4">
        <v>28921</v>
      </c>
      <c r="I108" s="4">
        <v>2504</v>
      </c>
      <c r="J108" s="4">
        <v>917823</v>
      </c>
      <c r="K108" s="4">
        <v>394</v>
      </c>
      <c r="L108" s="4">
        <v>164992</v>
      </c>
      <c r="M108" s="4">
        <v>3366</v>
      </c>
      <c r="N108" s="4">
        <v>717722</v>
      </c>
      <c r="O108" s="4">
        <v>557</v>
      </c>
      <c r="P108" s="4">
        <v>3586575</v>
      </c>
      <c r="Q108" s="4">
        <v>62368</v>
      </c>
      <c r="R108" s="4">
        <v>909664</v>
      </c>
      <c r="S108" s="4">
        <v>9328509</v>
      </c>
      <c r="T108" s="10">
        <f t="shared" si="3"/>
        <v>2969365</v>
      </c>
      <c r="U108" s="8">
        <f t="shared" si="4"/>
        <v>0.31831078256986189</v>
      </c>
      <c r="V108" s="9" t="s">
        <v>5269</v>
      </c>
      <c r="W108" s="9" t="str">
        <f t="shared" si="5"/>
        <v>West Ham CB</v>
      </c>
      <c r="X108" s="9" t="str">
        <f>INDEX(Lookup!$A$2:$A$1349, MATCH(W108, Lookup!$B$2:$B$1349,0))</f>
        <v>J04001383</v>
      </c>
      <c r="Y108" s="9" t="str">
        <f>INDEX(Lookup!$F$2:$F$1349, MATCH(W108, Lookup!$B$2:$B$1349,0))</f>
        <v>e140399</v>
      </c>
      <c r="Z108" s="6" t="str">
        <f>INDEX(Lookup!$C$2:$C$1300, MATCH(X108, Lookup!$A$2:$A$1300,0))</f>
        <v>Outer London</v>
      </c>
    </row>
    <row r="109" spans="1:26" ht="28.15" customHeight="1" x14ac:dyDescent="0.2">
      <c r="A109" s="6" t="s">
        <v>168</v>
      </c>
      <c r="B109" s="1" t="s">
        <v>168</v>
      </c>
      <c r="C109" s="4">
        <v>23213</v>
      </c>
      <c r="D109" s="4">
        <v>1124109</v>
      </c>
      <c r="E109" s="2">
        <v>580</v>
      </c>
      <c r="F109" s="4">
        <v>69799</v>
      </c>
      <c r="G109" s="4">
        <v>24</v>
      </c>
      <c r="H109" s="4">
        <v>5568</v>
      </c>
      <c r="I109" s="4">
        <v>1097</v>
      </c>
      <c r="J109" s="4">
        <v>208754</v>
      </c>
      <c r="K109" s="4">
        <v>189</v>
      </c>
      <c r="L109" s="4">
        <v>20934</v>
      </c>
      <c r="M109" s="4">
        <v>1526</v>
      </c>
      <c r="N109" s="4">
        <v>101083</v>
      </c>
      <c r="O109" s="4">
        <v>77</v>
      </c>
      <c r="P109" s="4">
        <v>410530</v>
      </c>
      <c r="Q109" s="4">
        <v>14930</v>
      </c>
      <c r="R109" s="4">
        <v>320332</v>
      </c>
      <c r="S109" s="4">
        <v>2276039</v>
      </c>
      <c r="T109" s="10">
        <f t="shared" si="3"/>
        <v>1199476</v>
      </c>
      <c r="U109" s="8">
        <f t="shared" si="4"/>
        <v>0.52700151447317023</v>
      </c>
      <c r="V109" s="9" t="s">
        <v>5269</v>
      </c>
      <c r="W109" s="9" t="str">
        <f t="shared" si="5"/>
        <v>West Hartlepool CB</v>
      </c>
      <c r="X109" s="9" t="str">
        <f>INDEX(Lookup!$A$2:$A$1349, MATCH(W109, Lookup!$B$2:$B$1349,0))</f>
        <v>J04001384</v>
      </c>
      <c r="Y109" s="9" t="str">
        <f>INDEX(Lookup!$F$2:$F$1349, MATCH(W109, Lookup!$B$2:$B$1349,0))</f>
        <v>e110262</v>
      </c>
      <c r="Z109" s="6" t="str">
        <f>INDEX(Lookup!$C$2:$C$1300, MATCH(X109, Lookup!$A$2:$A$1300,0))</f>
        <v>Cleveland</v>
      </c>
    </row>
    <row r="110" spans="1:26" ht="28.15" customHeight="1" x14ac:dyDescent="0.2">
      <c r="A110" s="6" t="s">
        <v>169</v>
      </c>
      <c r="B110" s="1" t="s">
        <v>169</v>
      </c>
      <c r="C110" s="4">
        <v>23939</v>
      </c>
      <c r="D110" s="4">
        <v>1116239</v>
      </c>
      <c r="E110" s="2">
        <v>621</v>
      </c>
      <c r="F110" s="4">
        <v>80997</v>
      </c>
      <c r="G110" s="4">
        <v>43</v>
      </c>
      <c r="H110" s="4">
        <v>10147</v>
      </c>
      <c r="I110" s="4">
        <v>1586</v>
      </c>
      <c r="J110" s="4">
        <v>495775</v>
      </c>
      <c r="K110" s="4">
        <v>353</v>
      </c>
      <c r="L110" s="4">
        <v>49554</v>
      </c>
      <c r="M110" s="4">
        <v>3326</v>
      </c>
      <c r="N110" s="4">
        <v>209024</v>
      </c>
      <c r="O110" s="4">
        <v>181</v>
      </c>
      <c r="P110" s="4">
        <v>434326</v>
      </c>
      <c r="Q110" s="4">
        <v>23151</v>
      </c>
      <c r="R110" s="4">
        <v>324731</v>
      </c>
      <c r="S110" s="4">
        <v>2743694</v>
      </c>
      <c r="T110" s="10">
        <f t="shared" si="3"/>
        <v>1207383</v>
      </c>
      <c r="U110" s="8">
        <f t="shared" si="4"/>
        <v>0.44005745538678875</v>
      </c>
      <c r="V110" s="9" t="s">
        <v>5269</v>
      </c>
      <c r="W110" s="9" t="str">
        <f t="shared" si="5"/>
        <v>Wigan CB</v>
      </c>
      <c r="X110" s="9" t="str">
        <f>INDEX(Lookup!$A$2:$A$1349, MATCH(W110, Lookup!$B$2:$B$1349,0))</f>
        <v>J04001409</v>
      </c>
      <c r="Y110" s="9" t="str">
        <f>INDEX(Lookup!$F$2:$F$1349, MATCH(W110, Lookup!$B$2:$B$1349,0))</f>
        <v>e200578</v>
      </c>
      <c r="Z110" s="6" t="str">
        <f>INDEX(Lookup!$C$2:$C$1300, MATCH(X110, Lookup!$A$2:$A$1300,0))</f>
        <v>Greater Manchester</v>
      </c>
    </row>
    <row r="111" spans="1:26" ht="28.15" customHeight="1" x14ac:dyDescent="0.2">
      <c r="A111" s="6" t="s">
        <v>170</v>
      </c>
      <c r="B111" s="1" t="s">
        <v>170</v>
      </c>
      <c r="C111" s="4">
        <v>42353</v>
      </c>
      <c r="D111" s="4">
        <v>2333125</v>
      </c>
      <c r="E111" s="4">
        <v>2681</v>
      </c>
      <c r="F111" s="4">
        <v>331663</v>
      </c>
      <c r="G111" s="4">
        <v>77</v>
      </c>
      <c r="H111" s="4">
        <v>17928</v>
      </c>
      <c r="I111" s="4">
        <v>2426</v>
      </c>
      <c r="J111" s="4">
        <v>1048310</v>
      </c>
      <c r="K111" s="4">
        <v>629</v>
      </c>
      <c r="L111" s="4">
        <v>169471</v>
      </c>
      <c r="M111" s="4">
        <v>4548</v>
      </c>
      <c r="N111" s="4">
        <v>577694</v>
      </c>
      <c r="O111" s="4">
        <v>510</v>
      </c>
      <c r="P111" s="4">
        <v>2057533</v>
      </c>
      <c r="Q111" s="4">
        <v>54454</v>
      </c>
      <c r="R111" s="4">
        <v>753516</v>
      </c>
      <c r="S111" s="4">
        <v>7343694</v>
      </c>
      <c r="T111" s="10">
        <f t="shared" si="3"/>
        <v>2682716</v>
      </c>
      <c r="U111" s="8">
        <f t="shared" si="4"/>
        <v>0.36530879418450712</v>
      </c>
      <c r="V111" s="9" t="s">
        <v>5269</v>
      </c>
      <c r="W111" s="9" t="str">
        <f t="shared" si="5"/>
        <v>Wolverhampton CB</v>
      </c>
      <c r="X111" s="9" t="str">
        <f>INDEX(Lookup!$A$2:$A$1349, MATCH(W111, Lookup!$B$2:$B$1349,0))</f>
        <v>J04001442</v>
      </c>
      <c r="Y111" s="9" t="str">
        <f>INDEX(Lookup!$F$2:$F$1349, MATCH(W111, Lookup!$B$2:$B$1349,0))</f>
        <v>e330945</v>
      </c>
      <c r="Z111" s="6" t="str">
        <f>INDEX(Lookup!$C$2:$C$1300, MATCH(X111, Lookup!$A$2:$A$1300,0))</f>
        <v>West Midlands</v>
      </c>
    </row>
    <row r="112" spans="1:26" ht="28.15" customHeight="1" x14ac:dyDescent="0.2">
      <c r="A112" s="6" t="s">
        <v>171</v>
      </c>
      <c r="B112" s="1" t="s">
        <v>5310</v>
      </c>
      <c r="C112" s="4">
        <v>19922</v>
      </c>
      <c r="D112" s="4">
        <v>1074834</v>
      </c>
      <c r="E112" s="4">
        <v>1092</v>
      </c>
      <c r="F112" s="4">
        <v>135565</v>
      </c>
      <c r="G112" s="4">
        <v>23</v>
      </c>
      <c r="H112" s="4">
        <v>5648</v>
      </c>
      <c r="I112" s="4">
        <v>1074</v>
      </c>
      <c r="J112" s="4">
        <v>518623</v>
      </c>
      <c r="K112" s="4">
        <v>317</v>
      </c>
      <c r="L112" s="4">
        <v>59618</v>
      </c>
      <c r="M112" s="4">
        <v>1669</v>
      </c>
      <c r="N112" s="4">
        <v>193140</v>
      </c>
      <c r="O112" s="4">
        <v>166</v>
      </c>
      <c r="P112" s="4">
        <v>479963</v>
      </c>
      <c r="Q112" s="4">
        <v>30901</v>
      </c>
      <c r="R112" s="4">
        <v>348389</v>
      </c>
      <c r="S112" s="4">
        <v>2846681</v>
      </c>
      <c r="T112" s="10">
        <f t="shared" si="3"/>
        <v>1216047</v>
      </c>
      <c r="U112" s="8">
        <f t="shared" si="4"/>
        <v>0.42718063597572048</v>
      </c>
      <c r="V112" s="9" t="s">
        <v>5269</v>
      </c>
      <c r="W112" s="9" t="str">
        <f t="shared" si="5"/>
        <v>Worcester, city and county of CB</v>
      </c>
      <c r="X112" s="9" t="str">
        <f>INDEX(Lookup!$A$2:$A$1349, MATCH(W112, Lookup!$B$2:$B$1349,0))</f>
        <v>J04001450</v>
      </c>
      <c r="Y112" s="9" t="str">
        <f>INDEX(Lookup!$F$2:$F$1349, MATCH(W112, Lookup!$B$2:$B$1349,0))</f>
        <v>e431128</v>
      </c>
      <c r="Z112" s="6" t="str">
        <f>INDEX(Lookup!$C$2:$C$1300, MATCH(X112, Lookup!$A$2:$A$1300,0))</f>
        <v>Hereford And Worcs</v>
      </c>
    </row>
    <row r="113" spans="1:26" ht="28.15" customHeight="1" x14ac:dyDescent="0.2">
      <c r="A113" s="6" t="s">
        <v>172</v>
      </c>
      <c r="B113" s="1" t="s">
        <v>5309</v>
      </c>
      <c r="C113" s="4">
        <v>33023</v>
      </c>
      <c r="D113" s="4">
        <v>1486335</v>
      </c>
      <c r="E113" s="2">
        <v>793</v>
      </c>
      <c r="F113" s="4">
        <v>98962</v>
      </c>
      <c r="G113" s="4">
        <v>45</v>
      </c>
      <c r="H113" s="4">
        <v>12574</v>
      </c>
      <c r="I113" s="4">
        <v>1813</v>
      </c>
      <c r="J113" s="4">
        <v>640466</v>
      </c>
      <c r="K113" s="4">
        <v>443</v>
      </c>
      <c r="L113" s="4">
        <v>80095</v>
      </c>
      <c r="M113" s="4">
        <v>2365</v>
      </c>
      <c r="N113" s="4">
        <v>260330</v>
      </c>
      <c r="O113" s="4">
        <v>136</v>
      </c>
      <c r="P113" s="4">
        <v>364561</v>
      </c>
      <c r="Q113" s="4">
        <v>63805</v>
      </c>
      <c r="R113" s="4">
        <v>433791</v>
      </c>
      <c r="S113" s="4">
        <v>3440919</v>
      </c>
      <c r="T113" s="10">
        <f t="shared" si="3"/>
        <v>1597871</v>
      </c>
      <c r="U113" s="8">
        <f t="shared" si="4"/>
        <v>0.46437332584696123</v>
      </c>
      <c r="V113" s="9" t="s">
        <v>5269</v>
      </c>
      <c r="W113" s="9" t="str">
        <f t="shared" si="5"/>
        <v>York, city and county of CB</v>
      </c>
      <c r="X113" s="9" t="str">
        <f>INDEX(Lookup!$A$2:$A$1349, MATCH(W113, Lookup!$B$2:$B$1349,0))</f>
        <v>J04001466</v>
      </c>
      <c r="Y113" s="9" t="str">
        <f>INDEX(Lookup!$F$2:$F$1349, MATCH(W113, Lookup!$B$2:$B$1349,0))</f>
        <v>e461209</v>
      </c>
      <c r="Z113" s="6" t="str">
        <f>INDEX(Lookup!$C$2:$C$1300, MATCH(X113, Lookup!$A$2:$A$1300,0))</f>
        <v>North Yorkshire</v>
      </c>
    </row>
    <row r="114" spans="1:26" ht="28.15" customHeight="1" x14ac:dyDescent="0.2">
      <c r="A114" s="6" t="s">
        <v>94</v>
      </c>
      <c r="B114" s="1" t="s">
        <v>94</v>
      </c>
      <c r="T114" s="10"/>
      <c r="W114" s="9" t="str">
        <f t="shared" si="5"/>
        <v xml:space="preserve">ENGLAND </v>
      </c>
      <c r="X114" s="9" t="e">
        <f>INDEX(Lookup!$A$2:$A$1349, MATCH(W114, Lookup!$B$2:$B$1349,0))</f>
        <v>#N/A</v>
      </c>
      <c r="Y114" s="9" t="e">
        <f>INDEX(Lookup!$F$2:$F$1349, MATCH(W114, Lookup!$B$2:$B$1349,0))</f>
        <v>#N/A</v>
      </c>
      <c r="Z114" s="6" t="e">
        <f>INDEX(Lookup!$C$2:$C$1300, MATCH(X114, Lookup!$A$2:$A$1300,0))</f>
        <v>#N/A</v>
      </c>
    </row>
    <row r="115" spans="1:26" ht="28.15" customHeight="1" x14ac:dyDescent="0.2">
      <c r="A115" s="6" t="s">
        <v>174</v>
      </c>
      <c r="B115" s="1" t="s">
        <v>174</v>
      </c>
      <c r="T115" s="10"/>
      <c r="W115" s="9" t="str">
        <f t="shared" si="5"/>
        <v xml:space="preserve">BEDFORD </v>
      </c>
      <c r="X115" s="9" t="e">
        <f>INDEX(Lookup!$A$2:$A$1349, MATCH(W115, Lookup!$B$2:$B$1349,0))</f>
        <v>#N/A</v>
      </c>
      <c r="Y115" s="9" t="e">
        <f>INDEX(Lookup!$F$2:$F$1349, MATCH(W115, Lookup!$B$2:$B$1349,0))</f>
        <v>#N/A</v>
      </c>
      <c r="Z115" s="6" t="e">
        <f>INDEX(Lookup!$C$2:$C$1300, MATCH(X115, Lookup!$A$2:$A$1300,0))</f>
        <v>#N/A</v>
      </c>
    </row>
    <row r="116" spans="1:26" ht="28.15" customHeight="1" x14ac:dyDescent="0.2">
      <c r="A116" s="6" t="s">
        <v>175</v>
      </c>
      <c r="B116" s="1" t="s">
        <v>175</v>
      </c>
      <c r="T116" s="10"/>
      <c r="W116" s="9" t="str">
        <f t="shared" si="5"/>
        <v xml:space="preserve">Non-County Boroughs-- </v>
      </c>
      <c r="X116" s="9" t="e">
        <f>INDEX(Lookup!$A$2:$A$1349, MATCH(W116, Lookup!$B$2:$B$1349,0))</f>
        <v>#N/A</v>
      </c>
      <c r="Y116" s="9" t="e">
        <f>INDEX(Lookup!$F$2:$F$1349, MATCH(W116, Lookup!$B$2:$B$1349,0))</f>
        <v>#N/A</v>
      </c>
      <c r="Z116" s="6" t="e">
        <f>INDEX(Lookup!$C$2:$C$1300, MATCH(X116, Lookup!$A$2:$A$1300,0))</f>
        <v>#N/A</v>
      </c>
    </row>
    <row r="117" spans="1:26" ht="28.15" customHeight="1" x14ac:dyDescent="0.2">
      <c r="A117" s="6" t="s">
        <v>12</v>
      </c>
      <c r="B117" s="1" t="s">
        <v>12</v>
      </c>
      <c r="C117" s="4">
        <v>14278</v>
      </c>
      <c r="D117" s="4">
        <v>900155</v>
      </c>
      <c r="E117" s="4">
        <v>4739</v>
      </c>
      <c r="F117" s="4">
        <v>580847</v>
      </c>
      <c r="G117" s="4">
        <v>107</v>
      </c>
      <c r="H117" s="4">
        <v>23878</v>
      </c>
      <c r="I117" s="4">
        <v>968</v>
      </c>
      <c r="J117" s="4">
        <v>652189</v>
      </c>
      <c r="K117" s="4">
        <v>227</v>
      </c>
      <c r="L117" s="4">
        <v>59722</v>
      </c>
      <c r="M117" s="4">
        <v>1790</v>
      </c>
      <c r="N117" s="4">
        <v>261260</v>
      </c>
      <c r="O117" s="4">
        <v>101</v>
      </c>
      <c r="P117" s="4">
        <v>595845</v>
      </c>
      <c r="Q117" s="4">
        <v>25945</v>
      </c>
      <c r="R117" s="4">
        <v>371854</v>
      </c>
      <c r="S117" s="4">
        <v>3471695</v>
      </c>
      <c r="T117" s="10">
        <f t="shared" si="3"/>
        <v>1504880</v>
      </c>
      <c r="U117" s="8">
        <f t="shared" si="4"/>
        <v>0.43347125827585659</v>
      </c>
      <c r="V117" s="9" t="s">
        <v>5268</v>
      </c>
      <c r="W117" s="9" t="str">
        <f t="shared" si="5"/>
        <v>Bedford MB</v>
      </c>
      <c r="X117" s="9" t="str">
        <f>INDEX(Lookup!$A$2:$A$1349, MATCH(W117, Lookup!$B$2:$B$1349,0))</f>
        <v>J04000112</v>
      </c>
      <c r="Y117" s="9" t="str">
        <f>INDEX(Lookup!$F$2:$F$1349, MATCH(W117, Lookup!$B$2:$B$1349,0))</f>
        <v>e010002</v>
      </c>
      <c r="Z117" s="6" t="str">
        <f>INDEX(Lookup!$C$2:$C$1300, MATCH(X117, Lookup!$A$2:$A$1300,0))</f>
        <v>Bedfordshire</v>
      </c>
    </row>
    <row r="118" spans="1:26" ht="28.15" customHeight="1" x14ac:dyDescent="0.2">
      <c r="A118" s="6" t="s">
        <v>176</v>
      </c>
      <c r="B118" s="1" t="s">
        <v>176</v>
      </c>
      <c r="C118" s="4">
        <v>5436</v>
      </c>
      <c r="D118" s="4">
        <v>418585</v>
      </c>
      <c r="E118" s="4">
        <v>2972</v>
      </c>
      <c r="F118" s="4">
        <v>344138</v>
      </c>
      <c r="G118" s="4">
        <v>37</v>
      </c>
      <c r="H118" s="4">
        <v>8476</v>
      </c>
      <c r="I118" s="4">
        <v>332</v>
      </c>
      <c r="J118" s="4">
        <v>145798</v>
      </c>
      <c r="K118" s="4">
        <v>92</v>
      </c>
      <c r="L118" s="4">
        <v>17833</v>
      </c>
      <c r="M118" s="4">
        <v>1093</v>
      </c>
      <c r="N118" s="4">
        <v>72111</v>
      </c>
      <c r="O118" s="4">
        <v>61</v>
      </c>
      <c r="P118" s="4">
        <v>1076750</v>
      </c>
      <c r="Q118" s="4">
        <v>2495</v>
      </c>
      <c r="R118" s="4">
        <v>123141</v>
      </c>
      <c r="S118" s="4">
        <v>2209327</v>
      </c>
      <c r="T118" s="10">
        <f t="shared" si="3"/>
        <v>771199</v>
      </c>
      <c r="U118" s="8">
        <f t="shared" si="4"/>
        <v>0.34906512254636818</v>
      </c>
      <c r="V118" s="9" t="s">
        <v>5268</v>
      </c>
      <c r="W118" s="9" t="str">
        <f t="shared" si="5"/>
        <v>Dunstable MB</v>
      </c>
      <c r="X118" s="9" t="str">
        <f>INDEX(Lookup!$A$2:$A$1349, MATCH(W118, Lookup!$B$2:$B$1349,0))</f>
        <v>J04000437</v>
      </c>
      <c r="Y118" s="9" t="str">
        <f>INDEX(Lookup!$F$2:$F$1349, MATCH(W118, Lookup!$B$2:$B$1349,0))</f>
        <v>e010000</v>
      </c>
      <c r="Z118" s="6" t="str">
        <f>INDEX(Lookup!$C$2:$C$1300, MATCH(X118, Lookup!$A$2:$A$1300,0))</f>
        <v>Bedfordshire</v>
      </c>
    </row>
    <row r="119" spans="1:26" ht="28.15" customHeight="1" x14ac:dyDescent="0.2">
      <c r="A119" s="6" t="s">
        <v>177</v>
      </c>
      <c r="B119" s="1" t="s">
        <v>177</v>
      </c>
      <c r="C119" s="4">
        <v>30389</v>
      </c>
      <c r="D119" s="4">
        <v>2303735</v>
      </c>
      <c r="E119" s="4">
        <v>11132</v>
      </c>
      <c r="F119" s="4">
        <v>1319428</v>
      </c>
      <c r="G119" s="4">
        <v>326</v>
      </c>
      <c r="H119" s="4">
        <v>77708</v>
      </c>
      <c r="I119" s="4">
        <v>1909</v>
      </c>
      <c r="J119" s="4">
        <v>1011918</v>
      </c>
      <c r="K119" s="4">
        <v>403</v>
      </c>
      <c r="L119" s="4">
        <v>113535</v>
      </c>
      <c r="M119" s="4">
        <v>4879</v>
      </c>
      <c r="N119" s="4">
        <v>440061</v>
      </c>
      <c r="O119" s="4">
        <v>524</v>
      </c>
      <c r="P119" s="4">
        <v>2531051</v>
      </c>
      <c r="Q119" s="4">
        <v>31974</v>
      </c>
      <c r="R119" s="4">
        <v>547956</v>
      </c>
      <c r="S119" s="4">
        <v>8377366</v>
      </c>
      <c r="T119" s="10">
        <f t="shared" si="3"/>
        <v>3700871</v>
      </c>
      <c r="U119" s="8">
        <f t="shared" si="4"/>
        <v>0.44177024138613497</v>
      </c>
      <c r="V119" s="9" t="s">
        <v>5268</v>
      </c>
      <c r="W119" s="9" t="str">
        <f t="shared" si="5"/>
        <v>Luton MB</v>
      </c>
      <c r="X119" s="9" t="str">
        <f>INDEX(Lookup!$A$2:$A$1349, MATCH(W119, Lookup!$B$2:$B$1349,0))</f>
        <v>J04000790</v>
      </c>
      <c r="Y119" s="9" t="str">
        <f>INDEX(Lookup!$F$2:$F$1349, MATCH(W119, Lookup!$B$2:$B$1349,0))</f>
        <v>e010000</v>
      </c>
      <c r="Z119" s="6" t="str">
        <f>INDEX(Lookup!$C$2:$C$1300, MATCH(X119, Lookup!$A$2:$A$1300,0))</f>
        <v>Bedfordshire</v>
      </c>
    </row>
    <row r="120" spans="1:26" ht="28.15" customHeight="1" x14ac:dyDescent="0.2">
      <c r="A120" s="6" t="s">
        <v>178</v>
      </c>
      <c r="B120" s="1" t="s">
        <v>5355</v>
      </c>
      <c r="T120" s="10"/>
      <c r="W120" s="9" t="str">
        <f t="shared" si="5"/>
        <v xml:space="preserve">BEDFORD-contd. . </v>
      </c>
      <c r="X120" s="9" t="e">
        <f>INDEX(Lookup!$A$2:$A$1349, MATCH(W120, Lookup!$B$2:$B$1349,0))</f>
        <v>#N/A</v>
      </c>
      <c r="Y120" s="9" t="e">
        <f>INDEX(Lookup!$F$2:$F$1349, MATCH(W120, Lookup!$B$2:$B$1349,0))</f>
        <v>#N/A</v>
      </c>
      <c r="Z120" s="6" t="e">
        <f>INDEX(Lookup!$C$2:$C$1300, MATCH(X120, Lookup!$A$2:$A$1300,0))</f>
        <v>#N/A</v>
      </c>
    </row>
    <row r="121" spans="1:26" ht="28.15" customHeight="1" x14ac:dyDescent="0.2">
      <c r="A121" s="6" t="s">
        <v>179</v>
      </c>
      <c r="B121" s="1" t="s">
        <v>179</v>
      </c>
      <c r="T121" s="10"/>
      <c r="W121" s="9" t="str">
        <f t="shared" si="5"/>
        <v xml:space="preserve">Urban Districts-- </v>
      </c>
      <c r="X121" s="9" t="e">
        <f>INDEX(Lookup!$A$2:$A$1349, MATCH(W121, Lookup!$B$2:$B$1349,0))</f>
        <v>#N/A</v>
      </c>
      <c r="Y121" s="9" t="e">
        <f>INDEX(Lookup!$F$2:$F$1349, MATCH(W121, Lookup!$B$2:$B$1349,0))</f>
        <v>#N/A</v>
      </c>
      <c r="Z121" s="6" t="e">
        <f>INDEX(Lookup!$C$2:$C$1300, MATCH(X121, Lookup!$A$2:$A$1300,0))</f>
        <v>#N/A</v>
      </c>
    </row>
    <row r="122" spans="1:26" ht="28.15" customHeight="1" x14ac:dyDescent="0.2">
      <c r="A122" s="6" t="s">
        <v>180</v>
      </c>
      <c r="B122" s="1" t="s">
        <v>180</v>
      </c>
      <c r="C122" s="4">
        <v>1122</v>
      </c>
      <c r="D122" s="4">
        <v>85532</v>
      </c>
      <c r="E122" s="4">
        <v>168</v>
      </c>
      <c r="F122" s="4">
        <v>20002</v>
      </c>
      <c r="G122" s="4">
        <v>2</v>
      </c>
      <c r="H122" s="4">
        <v>464</v>
      </c>
      <c r="I122" s="4">
        <v>74</v>
      </c>
      <c r="J122" s="4">
        <v>11006</v>
      </c>
      <c r="K122" s="4">
        <v>24</v>
      </c>
      <c r="L122" s="4">
        <v>4697</v>
      </c>
      <c r="M122" s="4">
        <v>148</v>
      </c>
      <c r="N122" s="4">
        <v>6596</v>
      </c>
      <c r="O122" s="4">
        <v>6</v>
      </c>
      <c r="P122" s="4">
        <v>4703</v>
      </c>
      <c r="Q122" s="4">
        <v>129</v>
      </c>
      <c r="R122" s="4">
        <v>19668</v>
      </c>
      <c r="S122" s="4">
        <v>125797</v>
      </c>
      <c r="T122" s="10">
        <f t="shared" si="3"/>
        <v>105998</v>
      </c>
      <c r="U122" s="8">
        <f t="shared" si="4"/>
        <v>0.84261150901849802</v>
      </c>
      <c r="V122" s="9" t="s">
        <v>5270</v>
      </c>
      <c r="W122" s="9" t="str">
        <f t="shared" si="5"/>
        <v>Ampthill UD</v>
      </c>
      <c r="X122" s="9" t="str">
        <f>INDEX(Lookup!$A$2:$A$1349, MATCH(W122, Lookup!$B$2:$B$1349,0))</f>
        <v>J04000042</v>
      </c>
      <c r="Y122" s="9" t="str">
        <f>INDEX(Lookup!$F$2:$F$1349, MATCH(W122, Lookup!$B$2:$B$1349,0))</f>
        <v>e010001</v>
      </c>
      <c r="Z122" s="6" t="str">
        <f>INDEX(Lookup!$C$2:$C$1300, MATCH(X122, Lookup!$A$2:$A$1300,0))</f>
        <v>Bedfordshire</v>
      </c>
    </row>
    <row r="123" spans="1:26" ht="28.15" customHeight="1" x14ac:dyDescent="0.2">
      <c r="A123" s="6" t="s">
        <v>181</v>
      </c>
      <c r="B123" s="1" t="s">
        <v>181</v>
      </c>
      <c r="C123" s="4">
        <v>2523</v>
      </c>
      <c r="D123" s="4">
        <v>125711</v>
      </c>
      <c r="E123" s="4">
        <v>80</v>
      </c>
      <c r="F123" s="4">
        <v>9528</v>
      </c>
      <c r="G123" s="4">
        <v>1</v>
      </c>
      <c r="H123" s="4">
        <v>278</v>
      </c>
      <c r="I123" s="4">
        <v>155</v>
      </c>
      <c r="J123" s="4">
        <v>32564</v>
      </c>
      <c r="K123" s="4">
        <v>31</v>
      </c>
      <c r="L123" s="4">
        <v>8464</v>
      </c>
      <c r="M123" s="4">
        <v>369</v>
      </c>
      <c r="N123" s="4">
        <v>21191</v>
      </c>
      <c r="O123" s="4">
        <v>25</v>
      </c>
      <c r="P123" s="4">
        <v>83030</v>
      </c>
      <c r="Q123" s="4">
        <v>1484</v>
      </c>
      <c r="R123" s="4">
        <v>37663</v>
      </c>
      <c r="S123" s="4">
        <v>319913</v>
      </c>
      <c r="T123" s="10">
        <f t="shared" si="3"/>
        <v>135517</v>
      </c>
      <c r="U123" s="8">
        <f t="shared" si="4"/>
        <v>0.42360579282492428</v>
      </c>
      <c r="V123" s="9" t="s">
        <v>5270</v>
      </c>
      <c r="W123" s="9" t="str">
        <f t="shared" si="5"/>
        <v>Biggleswade UD</v>
      </c>
      <c r="X123" s="9" t="str">
        <f>INDEX(Lookup!$A$2:$A$1349, MATCH(W123, Lookup!$B$2:$B$1349,0))</f>
        <v>J04000142</v>
      </c>
      <c r="Y123" s="9" t="str">
        <f>INDEX(Lookup!$F$2:$F$1349, MATCH(W123, Lookup!$B$2:$B$1349,0))</f>
        <v>e010003</v>
      </c>
      <c r="Z123" s="6" t="str">
        <f>INDEX(Lookup!$C$2:$C$1300, MATCH(X123, Lookup!$A$2:$A$1300,0))</f>
        <v>Bedfordshire</v>
      </c>
    </row>
    <row r="124" spans="1:26" ht="28.15" customHeight="1" x14ac:dyDescent="0.2">
      <c r="A124" s="6" t="s">
        <v>182</v>
      </c>
      <c r="B124" s="1" t="s">
        <v>182</v>
      </c>
      <c r="C124" s="4">
        <v>2718</v>
      </c>
      <c r="D124" s="4">
        <v>179454</v>
      </c>
      <c r="E124" s="4">
        <v>177</v>
      </c>
      <c r="F124" s="4">
        <v>19950</v>
      </c>
      <c r="G124" s="4">
        <v>4</v>
      </c>
      <c r="H124" s="4">
        <v>736</v>
      </c>
      <c r="I124" s="4">
        <v>89</v>
      </c>
      <c r="J124" s="4">
        <v>13626</v>
      </c>
      <c r="K124" s="4">
        <v>12</v>
      </c>
      <c r="L124" s="4">
        <v>1306</v>
      </c>
      <c r="M124" s="4">
        <v>224</v>
      </c>
      <c r="N124" s="4">
        <v>42790</v>
      </c>
      <c r="O124" s="4">
        <v>26</v>
      </c>
      <c r="P124" s="4">
        <v>77070</v>
      </c>
      <c r="Q124" s="4">
        <v>5080</v>
      </c>
      <c r="R124" s="4">
        <v>27259</v>
      </c>
      <c r="S124" s="4">
        <v>367271</v>
      </c>
      <c r="T124" s="10">
        <f t="shared" si="3"/>
        <v>200140</v>
      </c>
      <c r="U124" s="8">
        <f t="shared" si="4"/>
        <v>0.54493820639255486</v>
      </c>
      <c r="V124" s="9" t="s">
        <v>5270</v>
      </c>
      <c r="W124" s="9" t="str">
        <f t="shared" si="5"/>
        <v>Kempston UD</v>
      </c>
      <c r="X124" s="9" t="str">
        <f>INDEX(Lookup!$A$2:$A$1349, MATCH(W124, Lookup!$B$2:$B$1349,0))</f>
        <v>J04000681</v>
      </c>
      <c r="Y124" s="9" t="str">
        <f>INDEX(Lookup!$F$2:$F$1349, MATCH(W124, Lookup!$B$2:$B$1349,0))</f>
        <v>e010005</v>
      </c>
      <c r="Z124" s="6" t="str">
        <f>INDEX(Lookup!$C$2:$C$1300, MATCH(X124, Lookup!$A$2:$A$1300,0))</f>
        <v>Bedfordshire</v>
      </c>
    </row>
    <row r="125" spans="1:26" ht="28.15" customHeight="1" x14ac:dyDescent="0.2">
      <c r="A125" s="6" t="s">
        <v>183</v>
      </c>
      <c r="B125" s="1" t="s">
        <v>183</v>
      </c>
      <c r="C125" s="4">
        <v>3192</v>
      </c>
      <c r="D125" s="4">
        <v>197933</v>
      </c>
      <c r="E125" s="4">
        <v>475</v>
      </c>
      <c r="F125" s="4">
        <v>59012</v>
      </c>
      <c r="G125" s="4">
        <v>26</v>
      </c>
      <c r="H125" s="4">
        <v>6458</v>
      </c>
      <c r="I125" s="4">
        <v>217</v>
      </c>
      <c r="J125" s="4">
        <v>54565</v>
      </c>
      <c r="K125" s="4">
        <v>41</v>
      </c>
      <c r="L125" s="4">
        <v>7914</v>
      </c>
      <c r="M125" s="4">
        <v>330</v>
      </c>
      <c r="N125" s="4">
        <v>56646</v>
      </c>
      <c r="O125" s="4">
        <v>31</v>
      </c>
      <c r="P125" s="4">
        <v>91220</v>
      </c>
      <c r="Q125" s="4">
        <v>6063</v>
      </c>
      <c r="R125" s="4">
        <v>47196</v>
      </c>
      <c r="S125" s="4">
        <v>527007</v>
      </c>
      <c r="T125" s="10">
        <f t="shared" si="3"/>
        <v>263403</v>
      </c>
      <c r="U125" s="8">
        <f t="shared" si="4"/>
        <v>0.49980930044572464</v>
      </c>
      <c r="V125" s="9" t="s">
        <v>5270</v>
      </c>
      <c r="W125" s="9" t="str">
        <f t="shared" si="5"/>
        <v>Leighton Buzzard UD</v>
      </c>
      <c r="X125" s="9" t="str">
        <f>INDEX(Lookup!$A$2:$A$1349, MATCH(W125, Lookup!$B$2:$B$1349,0))</f>
        <v>J04000733</v>
      </c>
      <c r="Y125" s="9" t="str">
        <f>INDEX(Lookup!$F$2:$F$1349, MATCH(W125, Lookup!$B$2:$B$1349,0))</f>
        <v>e010006</v>
      </c>
      <c r="Z125" s="6" t="str">
        <f>INDEX(Lookup!$C$2:$C$1300, MATCH(X125, Lookup!$A$2:$A$1300,0))</f>
        <v>Bedfordshire</v>
      </c>
    </row>
    <row r="126" spans="1:26" ht="28.15" customHeight="1" x14ac:dyDescent="0.2">
      <c r="A126" s="6" t="s">
        <v>184</v>
      </c>
      <c r="B126" s="1" t="s">
        <v>184</v>
      </c>
      <c r="C126" s="4">
        <v>1215</v>
      </c>
      <c r="D126" s="4">
        <v>52319</v>
      </c>
      <c r="E126" s="4">
        <v>50</v>
      </c>
      <c r="F126" s="4">
        <v>5894</v>
      </c>
      <c r="G126" s="4">
        <v>7</v>
      </c>
      <c r="H126" s="4">
        <v>1658</v>
      </c>
      <c r="I126" s="4">
        <v>59</v>
      </c>
      <c r="J126" s="4">
        <v>7768</v>
      </c>
      <c r="K126" s="4">
        <v>9</v>
      </c>
      <c r="L126" s="4">
        <v>2994</v>
      </c>
      <c r="M126" s="4">
        <v>111</v>
      </c>
      <c r="N126" s="4">
        <v>7764</v>
      </c>
      <c r="O126" s="4">
        <v>8</v>
      </c>
      <c r="P126" s="4">
        <v>9100</v>
      </c>
      <c r="Q126" s="4">
        <v>7725</v>
      </c>
      <c r="R126" s="4">
        <v>13787</v>
      </c>
      <c r="S126" s="4">
        <v>109009</v>
      </c>
      <c r="T126" s="10">
        <f t="shared" si="3"/>
        <v>59871</v>
      </c>
      <c r="U126" s="8">
        <f t="shared" si="4"/>
        <v>0.54922988010164298</v>
      </c>
      <c r="V126" s="9" t="s">
        <v>5270</v>
      </c>
      <c r="W126" s="9" t="str">
        <f t="shared" si="5"/>
        <v>Sandy UD</v>
      </c>
      <c r="X126" s="9" t="str">
        <f>INDEX(Lookup!$A$2:$A$1349, MATCH(W126, Lookup!$B$2:$B$1349,0))</f>
        <v>J04001103</v>
      </c>
      <c r="Y126" s="9" t="str">
        <f>INDEX(Lookup!$F$2:$F$1349, MATCH(W126, Lookup!$B$2:$B$1349,0))</f>
        <v>e010007</v>
      </c>
      <c r="Z126" s="6" t="str">
        <f>INDEX(Lookup!$C$2:$C$1300, MATCH(X126, Lookup!$A$2:$A$1300,0))</f>
        <v>Bedfordshire</v>
      </c>
    </row>
    <row r="127" spans="1:26" ht="28.15" customHeight="1" x14ac:dyDescent="0.2">
      <c r="A127" s="6" t="s">
        <v>185</v>
      </c>
      <c r="B127" s="1" t="s">
        <v>185</v>
      </c>
      <c r="T127" s="10"/>
      <c r="W127" s="9" t="str">
        <f t="shared" si="5"/>
        <v xml:space="preserve">Rural District </v>
      </c>
      <c r="X127" s="9" t="e">
        <f>INDEX(Lookup!$A$2:$A$1349, MATCH(W127, Lookup!$B$2:$B$1349,0))</f>
        <v>#N/A</v>
      </c>
      <c r="Y127" s="9" t="e">
        <f>INDEX(Lookup!$F$2:$F$1349, MATCH(W127, Lookup!$B$2:$B$1349,0))</f>
        <v>#N/A</v>
      </c>
      <c r="Z127" s="6" t="e">
        <f>INDEX(Lookup!$C$2:$C$1300, MATCH(X127, Lookup!$A$2:$A$1300,0))</f>
        <v>#N/A</v>
      </c>
    </row>
    <row r="128" spans="1:26" ht="28.15" customHeight="1" x14ac:dyDescent="0.2">
      <c r="A128" s="6" t="s">
        <v>180</v>
      </c>
      <c r="B128" s="1" t="s">
        <v>180</v>
      </c>
      <c r="C128" s="4">
        <v>7730</v>
      </c>
      <c r="D128" s="4">
        <v>362011</v>
      </c>
      <c r="E128" s="4">
        <v>483</v>
      </c>
      <c r="F128" s="4">
        <v>60101</v>
      </c>
      <c r="G128" s="4">
        <v>22</v>
      </c>
      <c r="H128" s="4">
        <v>5356</v>
      </c>
      <c r="I128" s="4">
        <v>178</v>
      </c>
      <c r="J128" s="4">
        <v>18360</v>
      </c>
      <c r="K128" s="4">
        <v>18</v>
      </c>
      <c r="L128" s="4">
        <v>1049</v>
      </c>
      <c r="M128" s="4">
        <v>725</v>
      </c>
      <c r="N128" s="4">
        <v>50607</v>
      </c>
      <c r="O128" s="4">
        <v>15</v>
      </c>
      <c r="P128" s="4">
        <v>30316</v>
      </c>
      <c r="Q128" s="4">
        <v>13082</v>
      </c>
      <c r="R128" s="4">
        <v>320993</v>
      </c>
      <c r="S128" s="4">
        <v>861875</v>
      </c>
      <c r="T128" s="10">
        <f t="shared" si="3"/>
        <v>427468</v>
      </c>
      <c r="U128" s="8">
        <f t="shared" si="4"/>
        <v>0.49597447425670776</v>
      </c>
      <c r="V128" s="9" t="s">
        <v>5271</v>
      </c>
      <c r="W128" s="9" t="str">
        <f t="shared" si="5"/>
        <v>Ampthill RD</v>
      </c>
      <c r="X128" s="9" t="str">
        <f>INDEX(Lookup!$A$2:$A$1349, MATCH(W128, Lookup!$B$2:$B$1349,0))</f>
        <v>J04000041</v>
      </c>
      <c r="Y128" s="9" t="str">
        <f>INDEX(Lookup!$F$2:$F$1349, MATCH(W128, Lookup!$B$2:$B$1349,0))</f>
        <v>e010008</v>
      </c>
      <c r="Z128" s="6" t="str">
        <f>INDEX(Lookup!$C$2:$C$1300, MATCH(X128, Lookup!$A$2:$A$1300,0))</f>
        <v>Bedfordshire</v>
      </c>
    </row>
    <row r="129" spans="1:26" ht="28.15" customHeight="1" x14ac:dyDescent="0.2">
      <c r="A129" s="6" t="s">
        <v>12</v>
      </c>
      <c r="B129" s="1" t="s">
        <v>12</v>
      </c>
      <c r="C129" s="4">
        <v>9277</v>
      </c>
      <c r="D129" s="4">
        <v>438037</v>
      </c>
      <c r="E129" s="4">
        <v>738</v>
      </c>
      <c r="F129" s="4">
        <v>94214</v>
      </c>
      <c r="G129" s="4">
        <v>83</v>
      </c>
      <c r="H129" s="4">
        <v>22063</v>
      </c>
      <c r="I129" s="4">
        <v>149</v>
      </c>
      <c r="J129" s="4">
        <v>15865</v>
      </c>
      <c r="K129" s="4">
        <v>5</v>
      </c>
      <c r="L129" s="4">
        <v>1275</v>
      </c>
      <c r="M129" s="4">
        <v>661</v>
      </c>
      <c r="N129" s="4">
        <v>42006</v>
      </c>
      <c r="O129" s="4">
        <v>29</v>
      </c>
      <c r="P129" s="4">
        <v>70320</v>
      </c>
      <c r="Q129" s="4">
        <v>139538</v>
      </c>
      <c r="R129" s="4">
        <v>483684</v>
      </c>
      <c r="S129" s="4">
        <v>1307002</v>
      </c>
      <c r="T129" s="10">
        <f t="shared" si="3"/>
        <v>554314</v>
      </c>
      <c r="U129" s="8">
        <f t="shared" si="4"/>
        <v>0.42411105721337838</v>
      </c>
      <c r="V129" s="9" t="s">
        <v>5271</v>
      </c>
      <c r="W129" s="9" t="str">
        <f t="shared" si="5"/>
        <v>Bedford RD</v>
      </c>
      <c r="X129" s="9" t="str">
        <f>INDEX(Lookup!$A$2:$A$1349, MATCH(W129, Lookup!$B$2:$B$1349,0))</f>
        <v>J04000113</v>
      </c>
      <c r="Y129" s="9" t="str">
        <f>INDEX(Lookup!$F$2:$F$1349, MATCH(W129, Lookup!$B$2:$B$1349,0))</f>
        <v>e010009</v>
      </c>
      <c r="Z129" s="6" t="str">
        <f>INDEX(Lookup!$C$2:$C$1300, MATCH(X129, Lookup!$A$2:$A$1300,0))</f>
        <v>Bedfordshire</v>
      </c>
    </row>
    <row r="130" spans="1:26" ht="28.15" customHeight="1" x14ac:dyDescent="0.2">
      <c r="A130" s="6" t="s">
        <v>181</v>
      </c>
      <c r="B130" s="1" t="s">
        <v>181</v>
      </c>
      <c r="C130" s="4">
        <v>7357</v>
      </c>
      <c r="D130" s="4">
        <v>322211</v>
      </c>
      <c r="E130" s="4">
        <v>124</v>
      </c>
      <c r="F130" s="4">
        <v>14917</v>
      </c>
      <c r="G130" s="4">
        <v>8</v>
      </c>
      <c r="H130" s="4">
        <v>2446</v>
      </c>
      <c r="I130" s="4">
        <v>228</v>
      </c>
      <c r="J130" s="4">
        <v>25549</v>
      </c>
      <c r="K130" s="4">
        <v>21</v>
      </c>
      <c r="L130" s="4">
        <v>1309</v>
      </c>
      <c r="M130" s="4">
        <v>582</v>
      </c>
      <c r="N130" s="4">
        <v>33950</v>
      </c>
      <c r="O130" s="4">
        <v>31</v>
      </c>
      <c r="P130" s="4">
        <v>30127</v>
      </c>
      <c r="Q130" s="4">
        <v>64260</v>
      </c>
      <c r="R130" s="4">
        <v>111083</v>
      </c>
      <c r="S130" s="4">
        <v>605852</v>
      </c>
      <c r="T130" s="10">
        <f t="shared" si="3"/>
        <v>339574</v>
      </c>
      <c r="U130" s="8">
        <f t="shared" si="4"/>
        <v>0.56049002066511289</v>
      </c>
      <c r="V130" s="9" t="s">
        <v>5271</v>
      </c>
      <c r="W130" s="9" t="str">
        <f t="shared" si="5"/>
        <v>Biggleswade RD</v>
      </c>
      <c r="X130" s="9" t="str">
        <f>INDEX(Lookup!$A$2:$A$1349, MATCH(W130, Lookup!$B$2:$B$1349,0))</f>
        <v>J04000141</v>
      </c>
      <c r="Y130" s="9" t="str">
        <f>INDEX(Lookup!$F$2:$F$1349, MATCH(W130, Lookup!$B$2:$B$1349,0))</f>
        <v>e010010</v>
      </c>
      <c r="Z130" s="6" t="str">
        <f>INDEX(Lookup!$C$2:$C$1300, MATCH(X130, Lookup!$A$2:$A$1300,0))</f>
        <v>Bedfordshire</v>
      </c>
    </row>
    <row r="131" spans="1:26" ht="28.15" customHeight="1" x14ac:dyDescent="0.2">
      <c r="A131" s="6" t="s">
        <v>177</v>
      </c>
      <c r="B131" s="1" t="s">
        <v>177</v>
      </c>
      <c r="C131" s="4">
        <v>9158</v>
      </c>
      <c r="D131" s="4">
        <v>637268</v>
      </c>
      <c r="E131" s="4">
        <v>2336</v>
      </c>
      <c r="F131" s="4">
        <v>273926</v>
      </c>
      <c r="G131" s="4">
        <v>46</v>
      </c>
      <c r="H131" s="4">
        <v>16375</v>
      </c>
      <c r="I131" s="4">
        <v>186</v>
      </c>
      <c r="J131" s="4">
        <v>36925</v>
      </c>
      <c r="K131" s="4">
        <v>9</v>
      </c>
      <c r="L131" s="4">
        <v>2669</v>
      </c>
      <c r="M131" s="4">
        <v>1099</v>
      </c>
      <c r="N131" s="4">
        <v>76524</v>
      </c>
      <c r="O131" s="4">
        <v>33</v>
      </c>
      <c r="P131" s="4">
        <v>357185</v>
      </c>
      <c r="Q131" s="4">
        <v>7467</v>
      </c>
      <c r="R131" s="4">
        <v>229244</v>
      </c>
      <c r="S131" s="4">
        <v>1637583</v>
      </c>
      <c r="T131" s="10">
        <f t="shared" ref="T131:T194" si="6">SUM(D131+F131+H131)</f>
        <v>927569</v>
      </c>
      <c r="U131" s="8">
        <f t="shared" ref="U131:U194" si="7">T131/S131</f>
        <v>0.56642564071561563</v>
      </c>
      <c r="V131" s="9" t="s">
        <v>5271</v>
      </c>
      <c r="W131" s="9" t="str">
        <f t="shared" ref="W131:W194" si="8">_xlfn.CONCAT(B131," ",V131)</f>
        <v>Luton RD</v>
      </c>
      <c r="X131" s="9" t="str">
        <f>INDEX(Lookup!$A$2:$A$1349, MATCH(W131, Lookup!$B$2:$B$1349,0))</f>
        <v>J04000791</v>
      </c>
      <c r="Y131" s="9" t="str">
        <f>INDEX(Lookup!$F$2:$F$1349, MATCH(W131, Lookup!$B$2:$B$1349,0))</f>
        <v>e010000</v>
      </c>
      <c r="Z131" s="6" t="str">
        <f>INDEX(Lookup!$C$2:$C$1300, MATCH(X131, Lookup!$A$2:$A$1300,0))</f>
        <v>Bedfordshire</v>
      </c>
    </row>
    <row r="132" spans="1:26" ht="28.15" customHeight="1" x14ac:dyDescent="0.2">
      <c r="A132" s="6" t="s">
        <v>186</v>
      </c>
      <c r="B132" s="1" t="s">
        <v>186</v>
      </c>
      <c r="T132" s="10"/>
      <c r="W132" s="9" t="str">
        <f t="shared" si="8"/>
        <v xml:space="preserve">BERKSHIRE: </v>
      </c>
      <c r="X132" s="9" t="e">
        <f>INDEX(Lookup!$A$2:$A$1349, MATCH(W132, Lookup!$B$2:$B$1349,0))</f>
        <v>#N/A</v>
      </c>
      <c r="Y132" s="9" t="e">
        <f>INDEX(Lookup!$F$2:$F$1349, MATCH(W132, Lookup!$B$2:$B$1349,0))</f>
        <v>#N/A</v>
      </c>
      <c r="Z132" s="6" t="e">
        <f>INDEX(Lookup!$C$2:$C$1300, MATCH(X132, Lookup!$A$2:$A$1300,0))</f>
        <v>#N/A</v>
      </c>
    </row>
    <row r="133" spans="1:26" ht="28.15" customHeight="1" x14ac:dyDescent="0.2">
      <c r="A133" s="6" t="s">
        <v>175</v>
      </c>
      <c r="B133" s="1" t="s">
        <v>175</v>
      </c>
      <c r="T133" s="10"/>
      <c r="W133" s="9" t="str">
        <f t="shared" si="8"/>
        <v xml:space="preserve">Non-County Boroughs-- </v>
      </c>
      <c r="X133" s="9" t="e">
        <f>INDEX(Lookup!$A$2:$A$1349, MATCH(W133, Lookup!$B$2:$B$1349,0))</f>
        <v>#N/A</v>
      </c>
      <c r="Y133" s="9" t="e">
        <f>INDEX(Lookup!$F$2:$F$1349, MATCH(W133, Lookup!$B$2:$B$1349,0))</f>
        <v>#N/A</v>
      </c>
      <c r="Z133" s="6" t="e">
        <f>INDEX(Lookup!$C$2:$C$1300, MATCH(X133, Lookup!$A$2:$A$1300,0))</f>
        <v>#N/A</v>
      </c>
    </row>
    <row r="134" spans="1:26" ht="28.15" customHeight="1" x14ac:dyDescent="0.2">
      <c r="A134" s="6" t="s">
        <v>187</v>
      </c>
      <c r="B134" s="1" t="s">
        <v>187</v>
      </c>
      <c r="C134" s="4">
        <v>3647</v>
      </c>
      <c r="D134" s="4">
        <v>223886</v>
      </c>
      <c r="E134" s="4">
        <v>587</v>
      </c>
      <c r="F134" s="4">
        <v>72642</v>
      </c>
      <c r="G134" s="4">
        <v>14</v>
      </c>
      <c r="H134" s="4">
        <v>3164</v>
      </c>
      <c r="I134" s="4">
        <v>207</v>
      </c>
      <c r="J134" s="4">
        <v>67541</v>
      </c>
      <c r="K134" s="4">
        <v>26</v>
      </c>
      <c r="L134" s="4">
        <v>4127</v>
      </c>
      <c r="M134" s="4">
        <v>694</v>
      </c>
      <c r="N134" s="4">
        <v>33650</v>
      </c>
      <c r="O134" s="4">
        <v>24</v>
      </c>
      <c r="P134" s="4">
        <v>96945</v>
      </c>
      <c r="Q134" s="4">
        <v>7075</v>
      </c>
      <c r="R134" s="4">
        <v>69866</v>
      </c>
      <c r="S134" s="4">
        <v>578896</v>
      </c>
      <c r="T134" s="10">
        <f t="shared" si="6"/>
        <v>299692</v>
      </c>
      <c r="U134" s="8">
        <f t="shared" si="7"/>
        <v>0.51769575191398798</v>
      </c>
      <c r="V134" s="9" t="s">
        <v>5268</v>
      </c>
      <c r="W134" s="9" t="str">
        <f t="shared" si="8"/>
        <v>Abingdon MB</v>
      </c>
      <c r="X134" s="9" t="str">
        <f>INDEX(Lookup!$A$2:$A$1349, MATCH(W134, Lookup!$B$2:$B$1349,0))</f>
        <v>J04000011</v>
      </c>
      <c r="Y134" s="9" t="str">
        <f>INDEX(Lookup!$F$2:$F$1349, MATCH(W134, Lookup!$B$2:$B$1349,0))</f>
        <v>e020013</v>
      </c>
      <c r="Z134" s="6" t="str">
        <f>INDEX(Lookup!$C$2:$C$1300, MATCH(X134, Lookup!$A$2:$A$1300,0))</f>
        <v>Oxfordshire</v>
      </c>
    </row>
    <row r="135" spans="1:26" ht="28.15" customHeight="1" x14ac:dyDescent="0.2">
      <c r="A135" s="6" t="s">
        <v>188</v>
      </c>
      <c r="B135" s="1" t="s">
        <v>188</v>
      </c>
      <c r="C135" s="4">
        <v>6605</v>
      </c>
      <c r="D135" s="4">
        <v>479134</v>
      </c>
      <c r="E135" s="4">
        <v>4018</v>
      </c>
      <c r="F135" s="4">
        <v>520598</v>
      </c>
      <c r="G135" s="4">
        <v>398</v>
      </c>
      <c r="H135" s="4">
        <v>102957</v>
      </c>
      <c r="I135" s="4">
        <v>509</v>
      </c>
      <c r="J135" s="4">
        <v>254441</v>
      </c>
      <c r="K135" s="4">
        <v>102</v>
      </c>
      <c r="L135" s="4">
        <v>21524</v>
      </c>
      <c r="M135" s="4">
        <v>993</v>
      </c>
      <c r="N135" s="4">
        <v>146598</v>
      </c>
      <c r="O135" s="4">
        <v>93</v>
      </c>
      <c r="P135" s="4">
        <v>349415</v>
      </c>
      <c r="Q135" s="4">
        <v>10192</v>
      </c>
      <c r="R135" s="4">
        <v>158301</v>
      </c>
      <c r="S135" s="4">
        <v>2043160</v>
      </c>
      <c r="T135" s="10">
        <f t="shared" si="6"/>
        <v>1102689</v>
      </c>
      <c r="U135" s="8">
        <f t="shared" si="7"/>
        <v>0.53969782102233799</v>
      </c>
      <c r="V135" s="9" t="s">
        <v>5268</v>
      </c>
      <c r="W135" s="9" t="str">
        <f t="shared" si="8"/>
        <v>Maidenhead MB</v>
      </c>
      <c r="X135" s="9" t="str">
        <f>INDEX(Lookup!$A$2:$A$1349, MATCH(W135, Lookup!$B$2:$B$1349,0))</f>
        <v>J04000808</v>
      </c>
      <c r="Y135" s="9" t="str">
        <f>INDEX(Lookup!$F$2:$F$1349, MATCH(W135, Lookup!$B$2:$B$1349,0))</f>
        <v>e020014</v>
      </c>
      <c r="Z135" s="6" t="str">
        <f>INDEX(Lookup!$C$2:$C$1300, MATCH(X135, Lookup!$A$2:$A$1300,0))</f>
        <v>Berkshire</v>
      </c>
    </row>
    <row r="136" spans="1:26" ht="28.15" customHeight="1" x14ac:dyDescent="0.2">
      <c r="A136" s="6" t="s">
        <v>189</v>
      </c>
      <c r="B136" s="1" t="s">
        <v>189</v>
      </c>
      <c r="C136" s="4">
        <v>5515</v>
      </c>
      <c r="D136" s="4">
        <v>364890</v>
      </c>
      <c r="E136" s="4">
        <v>1063</v>
      </c>
      <c r="F136" s="4">
        <v>127480</v>
      </c>
      <c r="G136" s="4">
        <v>26</v>
      </c>
      <c r="H136" s="4">
        <v>6100</v>
      </c>
      <c r="I136" s="4">
        <v>395</v>
      </c>
      <c r="J136" s="4">
        <v>233351</v>
      </c>
      <c r="K136" s="4">
        <v>99</v>
      </c>
      <c r="L136" s="4">
        <v>21247</v>
      </c>
      <c r="M136" s="4">
        <v>750</v>
      </c>
      <c r="N136" s="4">
        <v>72229</v>
      </c>
      <c r="O136" s="4">
        <v>41</v>
      </c>
      <c r="P136" s="4">
        <v>82442</v>
      </c>
      <c r="Q136" s="4">
        <v>10563</v>
      </c>
      <c r="R136" s="4">
        <v>85724</v>
      </c>
      <c r="S136" s="4">
        <v>1004026</v>
      </c>
      <c r="T136" s="10">
        <f t="shared" si="6"/>
        <v>498470</v>
      </c>
      <c r="U136" s="8">
        <f t="shared" si="7"/>
        <v>0.49647120692093633</v>
      </c>
      <c r="V136" s="9" t="s">
        <v>5268</v>
      </c>
      <c r="W136" s="9" t="str">
        <f t="shared" si="8"/>
        <v>Newbury MB</v>
      </c>
      <c r="X136" s="9" t="str">
        <f>INDEX(Lookup!$A$2:$A$1349, MATCH(W136, Lookup!$B$2:$B$1349,0))</f>
        <v>J04000896</v>
      </c>
      <c r="Y136" s="9" t="str">
        <f>INDEX(Lookup!$F$2:$F$1349, MATCH(W136, Lookup!$B$2:$B$1349,0))</f>
        <v>e020015</v>
      </c>
      <c r="Z136" s="6" t="str">
        <f>INDEX(Lookup!$C$2:$C$1300, MATCH(X136, Lookup!$A$2:$A$1300,0))</f>
        <v>Berkshire</v>
      </c>
    </row>
    <row r="137" spans="1:26" ht="28.15" customHeight="1" x14ac:dyDescent="0.2">
      <c r="A137" s="6" t="s">
        <v>190</v>
      </c>
      <c r="B137" s="1" t="s">
        <v>5311</v>
      </c>
      <c r="C137" s="4">
        <v>5560</v>
      </c>
      <c r="D137" s="4">
        <v>376692</v>
      </c>
      <c r="E137" s="4">
        <v>2056</v>
      </c>
      <c r="F137" s="4">
        <v>255612</v>
      </c>
      <c r="G137" s="4">
        <v>165</v>
      </c>
      <c r="H137" s="4">
        <v>43590</v>
      </c>
      <c r="I137" s="4">
        <v>475</v>
      </c>
      <c r="J137" s="4">
        <v>202241</v>
      </c>
      <c r="K137" s="4">
        <v>76</v>
      </c>
      <c r="L137" s="4">
        <v>11753</v>
      </c>
      <c r="M137" s="4">
        <v>845</v>
      </c>
      <c r="N137" s="4">
        <v>97409</v>
      </c>
      <c r="O137" s="4">
        <v>32</v>
      </c>
      <c r="P137" s="4">
        <v>51070</v>
      </c>
      <c r="Q137" s="4">
        <v>29258</v>
      </c>
      <c r="R137" s="4">
        <v>109906</v>
      </c>
      <c r="S137" s="4">
        <v>1177531</v>
      </c>
      <c r="T137" s="10">
        <f t="shared" si="6"/>
        <v>675894</v>
      </c>
      <c r="U137" s="8">
        <f t="shared" si="7"/>
        <v>0.57399253183143373</v>
      </c>
      <c r="V137" s="9" t="s">
        <v>5268</v>
      </c>
      <c r="W137" s="9" t="str">
        <f t="shared" si="8"/>
        <v>New Windsor MB</v>
      </c>
      <c r="X137" s="9" t="str">
        <f>INDEX(Lookup!$A$2:$A$1349, MATCH(W137, Lookup!$B$2:$B$1349,0))</f>
        <v>J04000891</v>
      </c>
      <c r="Y137" s="9" t="str">
        <f>INDEX(Lookup!$F$2:$F$1349, MATCH(W137, Lookup!$B$2:$B$1349,0))</f>
        <v>e020016</v>
      </c>
      <c r="Z137" s="6" t="str">
        <f>INDEX(Lookup!$C$2:$C$1300, MATCH(X137, Lookup!$A$2:$A$1300,0))</f>
        <v>Berkshire</v>
      </c>
    </row>
    <row r="138" spans="1:26" ht="28.15" customHeight="1" x14ac:dyDescent="0.2">
      <c r="A138" s="6" t="s">
        <v>191</v>
      </c>
      <c r="B138" s="1" t="s">
        <v>191</v>
      </c>
      <c r="C138" s="4">
        <v>1308</v>
      </c>
      <c r="D138" s="4">
        <v>77787</v>
      </c>
      <c r="E138" s="4">
        <v>213</v>
      </c>
      <c r="F138" s="4">
        <v>25450</v>
      </c>
      <c r="G138" s="4">
        <v>13</v>
      </c>
      <c r="H138" s="4">
        <v>2890</v>
      </c>
      <c r="I138" s="4">
        <v>126</v>
      </c>
      <c r="J138" s="4">
        <v>43390</v>
      </c>
      <c r="K138" s="4">
        <v>20</v>
      </c>
      <c r="L138" s="4">
        <v>3653</v>
      </c>
      <c r="M138" s="4">
        <v>294</v>
      </c>
      <c r="N138" s="4">
        <v>18575</v>
      </c>
      <c r="O138" s="2">
        <v>14</v>
      </c>
      <c r="P138" s="4">
        <v>69875</v>
      </c>
      <c r="Q138" s="4">
        <v>2842</v>
      </c>
      <c r="R138" s="4">
        <v>24593</v>
      </c>
      <c r="S138" s="4">
        <v>269055</v>
      </c>
      <c r="T138" s="10">
        <f t="shared" si="6"/>
        <v>106127</v>
      </c>
      <c r="U138" s="8">
        <f t="shared" si="7"/>
        <v>0.39444351526639537</v>
      </c>
      <c r="V138" s="9" t="s">
        <v>5268</v>
      </c>
      <c r="W138" s="9" t="str">
        <f t="shared" si="8"/>
        <v>Wallingford MB</v>
      </c>
      <c r="X138" s="9" t="str">
        <f>INDEX(Lookup!$A$2:$A$1349, MATCH(W138, Lookup!$B$2:$B$1349,0))</f>
        <v>J04001325</v>
      </c>
      <c r="Y138" s="9" t="str">
        <f>INDEX(Lookup!$F$2:$F$1349, MATCH(W138, Lookup!$B$2:$B$1349,0))</f>
        <v>e020017</v>
      </c>
      <c r="Z138" s="6" t="str">
        <f>INDEX(Lookup!$C$2:$C$1300, MATCH(X138, Lookup!$A$2:$A$1300,0))</f>
        <v>Oxfordshire</v>
      </c>
    </row>
    <row r="139" spans="1:26" ht="28.15" customHeight="1" x14ac:dyDescent="0.2">
      <c r="A139" s="6" t="s">
        <v>192</v>
      </c>
      <c r="B139" s="1" t="s">
        <v>192</v>
      </c>
      <c r="C139" s="4">
        <v>2375</v>
      </c>
      <c r="D139" s="4">
        <v>153353</v>
      </c>
      <c r="E139" s="4">
        <v>1487</v>
      </c>
      <c r="F139" s="4">
        <v>199325</v>
      </c>
      <c r="G139" s="4">
        <v>125</v>
      </c>
      <c r="H139" s="4">
        <v>31142</v>
      </c>
      <c r="I139" s="4">
        <v>173</v>
      </c>
      <c r="J139" s="4">
        <v>69856</v>
      </c>
      <c r="K139" s="4">
        <v>43</v>
      </c>
      <c r="L139" s="4">
        <v>8304</v>
      </c>
      <c r="M139" s="4">
        <v>230</v>
      </c>
      <c r="N139" s="4">
        <v>31472</v>
      </c>
      <c r="O139" s="4">
        <v>31</v>
      </c>
      <c r="P139" s="4">
        <v>143090</v>
      </c>
      <c r="Q139" s="4">
        <v>2780</v>
      </c>
      <c r="R139" s="4">
        <v>53778</v>
      </c>
      <c r="S139" s="4">
        <v>693100</v>
      </c>
      <c r="T139" s="10">
        <f t="shared" si="6"/>
        <v>383820</v>
      </c>
      <c r="U139" s="8">
        <f t="shared" si="7"/>
        <v>0.55377290434280768</v>
      </c>
      <c r="V139" s="9" t="s">
        <v>5268</v>
      </c>
      <c r="W139" s="9" t="str">
        <f t="shared" si="8"/>
        <v>Wokingham MB</v>
      </c>
      <c r="X139" s="9" t="str">
        <f>INDEX(Lookup!$A$2:$A$1349, MATCH(W139, Lookup!$B$2:$B$1349,0))</f>
        <v>J04001440</v>
      </c>
      <c r="Y139" s="9" t="str">
        <f>INDEX(Lookup!$F$2:$F$1349, MATCH(W139, Lookup!$B$2:$B$1349,0))</f>
        <v>e020019</v>
      </c>
      <c r="Z139" s="6" t="str">
        <f>INDEX(Lookup!$C$2:$C$1300, MATCH(X139, Lookup!$A$2:$A$1300,0))</f>
        <v>Berkshire</v>
      </c>
    </row>
    <row r="140" spans="1:26" ht="28.15" customHeight="1" x14ac:dyDescent="0.2">
      <c r="A140" s="6" t="s">
        <v>179</v>
      </c>
      <c r="B140" s="1" t="s">
        <v>179</v>
      </c>
      <c r="T140" s="10"/>
      <c r="W140" s="9" t="str">
        <f t="shared" si="8"/>
        <v xml:space="preserve">Urban Districts-- </v>
      </c>
      <c r="X140" s="9" t="e">
        <f>INDEX(Lookup!$A$2:$A$1349, MATCH(W140, Lookup!$B$2:$B$1349,0))</f>
        <v>#N/A</v>
      </c>
      <c r="Y140" s="9" t="e">
        <f>INDEX(Lookup!$F$2:$F$1349, MATCH(W140, Lookup!$B$2:$B$1349,0))</f>
        <v>#N/A</v>
      </c>
      <c r="Z140" s="6" t="e">
        <f>INDEX(Lookup!$C$2:$C$1300, MATCH(X140, Lookup!$A$2:$A$1300,0))</f>
        <v>#N/A</v>
      </c>
    </row>
    <row r="141" spans="1:26" ht="28.15" customHeight="1" x14ac:dyDescent="0.2">
      <c r="A141" s="6" t="s">
        <v>193</v>
      </c>
      <c r="B141" s="1" t="s">
        <v>193</v>
      </c>
      <c r="C141" s="4">
        <v>1532</v>
      </c>
      <c r="D141" s="4">
        <v>90505</v>
      </c>
      <c r="E141" s="4">
        <v>186</v>
      </c>
      <c r="F141" s="4">
        <v>23710</v>
      </c>
      <c r="G141" s="4">
        <v>10</v>
      </c>
      <c r="H141" s="4">
        <v>2690</v>
      </c>
      <c r="I141" s="4">
        <v>107</v>
      </c>
      <c r="J141" s="4">
        <v>27883</v>
      </c>
      <c r="K141" s="4">
        <v>15</v>
      </c>
      <c r="L141" s="4">
        <v>2500</v>
      </c>
      <c r="M141" s="4">
        <v>275</v>
      </c>
      <c r="N141" s="4">
        <v>15949</v>
      </c>
      <c r="O141" s="4">
        <v>4</v>
      </c>
      <c r="P141" s="4">
        <v>7575</v>
      </c>
      <c r="Q141" s="4">
        <v>1146</v>
      </c>
      <c r="R141" s="4">
        <v>29500</v>
      </c>
      <c r="S141" s="4">
        <v>201458</v>
      </c>
      <c r="T141" s="10">
        <f t="shared" si="6"/>
        <v>116905</v>
      </c>
      <c r="U141" s="8">
        <f t="shared" si="7"/>
        <v>0.58029465198701469</v>
      </c>
      <c r="V141" s="9" t="s">
        <v>5270</v>
      </c>
      <c r="W141" s="9" t="str">
        <f t="shared" si="8"/>
        <v>Wantage UD</v>
      </c>
      <c r="X141" s="9" t="str">
        <f>INDEX(Lookup!$A$2:$A$1349, MATCH(W141, Lookup!$B$2:$B$1349,0))</f>
        <v>J04001337</v>
      </c>
      <c r="Y141" s="9" t="str">
        <f>INDEX(Lookup!$F$2:$F$1349, MATCH(W141, Lookup!$B$2:$B$1349,0))</f>
        <v>e020018</v>
      </c>
      <c r="Z141" s="6" t="str">
        <f>INDEX(Lookup!$C$2:$C$1300, MATCH(X141, Lookup!$A$2:$A$1300,0))</f>
        <v>Oxfordshire</v>
      </c>
    </row>
    <row r="142" spans="1:26" ht="28.15" customHeight="1" x14ac:dyDescent="0.2">
      <c r="A142" s="6" t="s">
        <v>185</v>
      </c>
      <c r="B142" s="1" t="s">
        <v>185</v>
      </c>
      <c r="T142" s="10"/>
      <c r="W142" s="9" t="str">
        <f t="shared" si="8"/>
        <v xml:space="preserve">Rural District </v>
      </c>
      <c r="X142" s="9" t="e">
        <f>INDEX(Lookup!$A$2:$A$1349, MATCH(W142, Lookup!$B$2:$B$1349,0))</f>
        <v>#N/A</v>
      </c>
      <c r="Y142" s="9" t="e">
        <f>INDEX(Lookup!$F$2:$F$1349, MATCH(W142, Lookup!$B$2:$B$1349,0))</f>
        <v>#N/A</v>
      </c>
      <c r="Z142" s="6" t="e">
        <f>INDEX(Lookup!$C$2:$C$1300, MATCH(X142, Lookup!$A$2:$A$1300,0))</f>
        <v>#N/A</v>
      </c>
    </row>
    <row r="143" spans="1:26" ht="28.15" customHeight="1" x14ac:dyDescent="0.2">
      <c r="A143" s="6" t="s">
        <v>187</v>
      </c>
      <c r="B143" s="1" t="s">
        <v>187</v>
      </c>
      <c r="C143" s="4">
        <v>6259</v>
      </c>
      <c r="D143" s="4">
        <v>398418</v>
      </c>
      <c r="E143" s="4">
        <v>1459</v>
      </c>
      <c r="F143" s="4">
        <v>189907</v>
      </c>
      <c r="G143" s="4">
        <v>300</v>
      </c>
      <c r="H143" s="4">
        <v>78518</v>
      </c>
      <c r="I143" s="4">
        <v>118</v>
      </c>
      <c r="J143" s="4">
        <v>25340</v>
      </c>
      <c r="K143" s="4">
        <v>10</v>
      </c>
      <c r="L143" s="4">
        <v>27449</v>
      </c>
      <c r="M143" s="4">
        <v>583</v>
      </c>
      <c r="N143" s="4">
        <v>64793</v>
      </c>
      <c r="O143" s="4">
        <v>11</v>
      </c>
      <c r="P143" s="4">
        <v>14130</v>
      </c>
      <c r="Q143" s="4">
        <v>98864</v>
      </c>
      <c r="R143" s="4">
        <v>165373</v>
      </c>
      <c r="S143" s="4">
        <v>1062792</v>
      </c>
      <c r="T143" s="10">
        <f t="shared" si="6"/>
        <v>666843</v>
      </c>
      <c r="U143" s="8">
        <f t="shared" si="7"/>
        <v>0.62744450466318902</v>
      </c>
      <c r="V143" s="9" t="s">
        <v>5271</v>
      </c>
      <c r="W143" s="9" t="str">
        <f t="shared" si="8"/>
        <v>Abingdon RD</v>
      </c>
      <c r="X143" s="9" t="str">
        <f>INDEX(Lookup!$A$2:$A$1349, MATCH(W143, Lookup!$B$2:$B$1349,0))</f>
        <v>J04000012</v>
      </c>
      <c r="Y143" s="9" t="str">
        <f>INDEX(Lookup!$F$2:$F$1349, MATCH(W143, Lookup!$B$2:$B$1349,0))</f>
        <v>e020020</v>
      </c>
      <c r="Z143" s="6" t="str">
        <f>INDEX(Lookup!$C$2:$C$1300, MATCH(X143, Lookup!$A$2:$A$1300,0))</f>
        <v>Oxfordshire</v>
      </c>
    </row>
    <row r="144" spans="1:26" ht="28.15" customHeight="1" x14ac:dyDescent="0.2">
      <c r="A144" s="6" t="s">
        <v>194</v>
      </c>
      <c r="B144" s="1" t="s">
        <v>5312</v>
      </c>
      <c r="C144" s="4">
        <v>7474</v>
      </c>
      <c r="D144" s="2">
        <v>466984</v>
      </c>
      <c r="E144" s="2">
        <v>949</v>
      </c>
      <c r="F144" s="2">
        <v>120911</v>
      </c>
      <c r="G144" s="2">
        <v>129</v>
      </c>
      <c r="H144" s="2">
        <v>40919</v>
      </c>
      <c r="I144" s="2">
        <v>171</v>
      </c>
      <c r="J144" s="2">
        <v>32432</v>
      </c>
      <c r="K144" s="2">
        <v>13</v>
      </c>
      <c r="L144" s="2">
        <v>1541</v>
      </c>
      <c r="M144" s="2">
        <v>739</v>
      </c>
      <c r="N144" s="2">
        <v>72752</v>
      </c>
      <c r="O144" s="2">
        <v>20</v>
      </c>
      <c r="P144" s="2">
        <v>74160</v>
      </c>
      <c r="Q144" s="2">
        <v>144395</v>
      </c>
      <c r="R144" s="2">
        <v>166075</v>
      </c>
      <c r="S144" s="2">
        <v>1120169</v>
      </c>
      <c r="T144" s="10">
        <f t="shared" si="6"/>
        <v>628814</v>
      </c>
      <c r="U144" s="8">
        <f t="shared" si="7"/>
        <v>0.56135636676251532</v>
      </c>
      <c r="V144" s="9" t="s">
        <v>5271</v>
      </c>
      <c r="W144" s="9" t="str">
        <f t="shared" si="8"/>
        <v>Bradfield RD</v>
      </c>
      <c r="X144" s="9" t="str">
        <f>INDEX(Lookup!$A$2:$A$1349, MATCH(W144, Lookup!$B$2:$B$1349,0))</f>
        <v>J04000184</v>
      </c>
      <c r="Y144" s="9" t="str">
        <f>INDEX(Lookup!$F$2:$F$1349, MATCH(W144, Lookup!$B$2:$B$1349,0))</f>
        <v>e020021</v>
      </c>
      <c r="Z144" s="6" t="str">
        <f>INDEX(Lookup!$C$2:$C$1300, MATCH(X144, Lookup!$A$2:$A$1300,0))</f>
        <v>Berkshire</v>
      </c>
    </row>
    <row r="145" spans="1:26" ht="28.15" customHeight="1" x14ac:dyDescent="0.2">
      <c r="A145" s="6" t="s">
        <v>195</v>
      </c>
      <c r="B145" s="1" t="s">
        <v>5313</v>
      </c>
      <c r="C145" s="4">
        <v>3019</v>
      </c>
      <c r="D145" s="4">
        <v>181358</v>
      </c>
      <c r="E145" s="4">
        <v>1344</v>
      </c>
      <c r="F145" s="4">
        <v>180096</v>
      </c>
      <c r="G145" s="4">
        <v>451</v>
      </c>
      <c r="H145" s="4">
        <v>130143</v>
      </c>
      <c r="I145" s="4">
        <v>101</v>
      </c>
      <c r="J145" s="4">
        <v>20134</v>
      </c>
      <c r="K145" s="4">
        <v>18</v>
      </c>
      <c r="L145" s="4">
        <v>11148</v>
      </c>
      <c r="M145" s="4">
        <v>388</v>
      </c>
      <c r="N145" s="4">
        <v>54287</v>
      </c>
      <c r="O145" s="4">
        <v>13</v>
      </c>
      <c r="P145" s="4">
        <v>108050</v>
      </c>
      <c r="Q145" s="4">
        <v>11453</v>
      </c>
      <c r="R145" s="4">
        <v>71460</v>
      </c>
      <c r="S145" s="4">
        <v>768129</v>
      </c>
      <c r="T145" s="10">
        <f t="shared" si="6"/>
        <v>491597</v>
      </c>
      <c r="U145" s="8">
        <f t="shared" si="7"/>
        <v>0.6399927616324862</v>
      </c>
      <c r="V145" s="9" t="s">
        <v>5271</v>
      </c>
      <c r="W145" s="9" t="str">
        <f t="shared" si="8"/>
        <v>Cookham RD</v>
      </c>
      <c r="X145" s="9" t="str">
        <f>INDEX(Lookup!$A$2:$A$1349, MATCH(W145, Lookup!$B$2:$B$1349,0))</f>
        <v>J04000347</v>
      </c>
      <c r="Y145" s="9" t="str">
        <f>INDEX(Lookup!$F$2:$F$1349, MATCH(W145, Lookup!$B$2:$B$1349,0))</f>
        <v>e020022</v>
      </c>
      <c r="Z145" s="6" t="str">
        <f>INDEX(Lookup!$C$2:$C$1300, MATCH(X145, Lookup!$A$2:$A$1300,0))</f>
        <v>Berkshire</v>
      </c>
    </row>
    <row r="146" spans="1:26" ht="28.15" customHeight="1" x14ac:dyDescent="0.2">
      <c r="A146" s="6" t="s">
        <v>196</v>
      </c>
      <c r="B146" s="1" t="s">
        <v>196</v>
      </c>
      <c r="C146" s="4">
        <v>9705</v>
      </c>
      <c r="D146" s="4">
        <v>707731</v>
      </c>
      <c r="E146" s="4">
        <v>2881</v>
      </c>
      <c r="F146" s="4">
        <v>351066</v>
      </c>
      <c r="G146" s="4">
        <v>232</v>
      </c>
      <c r="H146" s="4">
        <v>74180</v>
      </c>
      <c r="I146" s="4">
        <v>364</v>
      </c>
      <c r="J146" s="4">
        <v>140881</v>
      </c>
      <c r="K146" s="4">
        <v>78</v>
      </c>
      <c r="L146" s="4">
        <v>52174</v>
      </c>
      <c r="M146" s="4">
        <v>2810</v>
      </c>
      <c r="N146" s="4">
        <v>122434</v>
      </c>
      <c r="O146" s="4">
        <v>56</v>
      </c>
      <c r="P146" s="4">
        <v>360229</v>
      </c>
      <c r="Q146" s="4">
        <v>86646</v>
      </c>
      <c r="R146" s="4">
        <v>212916</v>
      </c>
      <c r="S146" s="4">
        <v>2108257</v>
      </c>
      <c r="T146" s="10">
        <f t="shared" si="6"/>
        <v>1132977</v>
      </c>
      <c r="U146" s="8">
        <f t="shared" si="7"/>
        <v>0.53739985210531738</v>
      </c>
      <c r="V146" s="9" t="s">
        <v>5271</v>
      </c>
      <c r="W146" s="9" t="str">
        <f t="shared" si="8"/>
        <v>Easthampstead RD</v>
      </c>
      <c r="X146" s="9" t="str">
        <f>INDEX(Lookup!$A$2:$A$1349, MATCH(W146, Lookup!$B$2:$B$1349,0))</f>
        <v>J04000456</v>
      </c>
      <c r="Y146" s="9" t="str">
        <f>INDEX(Lookup!$F$2:$F$1349, MATCH(W146, Lookup!$B$2:$B$1349,0))</f>
        <v>e020023</v>
      </c>
      <c r="Z146" s="6" t="str">
        <f>INDEX(Lookup!$C$2:$C$1300, MATCH(X146, Lookup!$A$2:$A$1300,0))</f>
        <v>Berkshire</v>
      </c>
    </row>
    <row r="147" spans="1:26" ht="28.15" customHeight="1" x14ac:dyDescent="0.2">
      <c r="A147" s="6" t="s">
        <v>197</v>
      </c>
      <c r="B147" s="1" t="s">
        <v>5314</v>
      </c>
      <c r="C147" s="4">
        <v>2761</v>
      </c>
      <c r="D147" s="4">
        <v>123650</v>
      </c>
      <c r="E147" s="4">
        <v>190</v>
      </c>
      <c r="F147" s="4">
        <v>24140</v>
      </c>
      <c r="G147" s="4">
        <v>40</v>
      </c>
      <c r="H147" s="4">
        <v>11378</v>
      </c>
      <c r="I147" s="4">
        <v>127</v>
      </c>
      <c r="J147" s="4">
        <v>18115</v>
      </c>
      <c r="K147" s="4">
        <v>26</v>
      </c>
      <c r="L147" s="4">
        <v>2749</v>
      </c>
      <c r="M147" s="4">
        <v>273</v>
      </c>
      <c r="N147" s="4">
        <v>20167</v>
      </c>
      <c r="O147" s="4">
        <v>14</v>
      </c>
      <c r="P147" s="4">
        <v>5667</v>
      </c>
      <c r="Q147" s="4">
        <v>43889</v>
      </c>
      <c r="R147" s="4">
        <v>72854</v>
      </c>
      <c r="S147" s="4">
        <v>322609</v>
      </c>
      <c r="T147" s="10">
        <f t="shared" si="6"/>
        <v>159168</v>
      </c>
      <c r="U147" s="8">
        <f t="shared" si="7"/>
        <v>0.49337743212371632</v>
      </c>
      <c r="V147" s="9" t="s">
        <v>5271</v>
      </c>
      <c r="W147" s="9" t="str">
        <f t="shared" si="8"/>
        <v>Faringdon RD</v>
      </c>
      <c r="X147" s="9" t="str">
        <f>INDEX(Lookup!$A$2:$A$1349, MATCH(W147, Lookup!$B$2:$B$1349,0))</f>
        <v>J04000492</v>
      </c>
      <c r="Y147" s="9" t="str">
        <f>INDEX(Lookup!$F$2:$F$1349, MATCH(W147, Lookup!$B$2:$B$1349,0))</f>
        <v>e020025</v>
      </c>
      <c r="Z147" s="6" t="str">
        <f>INDEX(Lookup!$C$2:$C$1300, MATCH(X147, Lookup!$A$2:$A$1300,0))</f>
        <v>Oxfordshire</v>
      </c>
    </row>
    <row r="148" spans="1:26" ht="28.15" customHeight="1" x14ac:dyDescent="0.2">
      <c r="A148" s="6" t="s">
        <v>198</v>
      </c>
      <c r="B148" s="1" t="s">
        <v>198</v>
      </c>
      <c r="C148" s="4">
        <v>2585</v>
      </c>
      <c r="D148" s="4">
        <v>133003</v>
      </c>
      <c r="E148" s="4">
        <v>105</v>
      </c>
      <c r="F148" s="4">
        <v>14119</v>
      </c>
      <c r="G148" s="4">
        <v>44</v>
      </c>
      <c r="H148" s="4">
        <v>15237</v>
      </c>
      <c r="I148" s="4">
        <v>115</v>
      </c>
      <c r="J148" s="4">
        <v>16809</v>
      </c>
      <c r="K148" s="4">
        <v>20</v>
      </c>
      <c r="L148" s="4">
        <v>2712</v>
      </c>
      <c r="M148" s="4">
        <v>290</v>
      </c>
      <c r="N148" s="4">
        <v>20974</v>
      </c>
      <c r="O148" s="4">
        <v>14</v>
      </c>
      <c r="P148" s="4">
        <v>21285</v>
      </c>
      <c r="Q148" s="4">
        <v>3083</v>
      </c>
      <c r="R148" s="4">
        <v>46785</v>
      </c>
      <c r="S148" s="4">
        <v>254007</v>
      </c>
      <c r="T148" s="10">
        <f t="shared" si="6"/>
        <v>162359</v>
      </c>
      <c r="U148" s="8">
        <f t="shared" si="7"/>
        <v>0.63919104591605747</v>
      </c>
      <c r="V148" s="9" t="s">
        <v>5271</v>
      </c>
      <c r="W148" s="9" t="str">
        <f t="shared" si="8"/>
        <v>Hungerford RD</v>
      </c>
      <c r="X148" s="9" t="str">
        <f>INDEX(Lookup!$A$2:$A$1349, MATCH(W148, Lookup!$B$2:$B$1349,0))</f>
        <v>J04000658</v>
      </c>
      <c r="Y148" s="9" t="str">
        <f>INDEX(Lookup!$F$2:$F$1349, MATCH(W148, Lookup!$B$2:$B$1349,0))</f>
        <v>e020026</v>
      </c>
      <c r="Z148" s="6" t="str">
        <f>INDEX(Lookup!$C$2:$C$1300, MATCH(X148, Lookup!$A$2:$A$1300,0))</f>
        <v>Berkshire</v>
      </c>
    </row>
    <row r="149" spans="1:26" ht="28.15" customHeight="1" x14ac:dyDescent="0.2">
      <c r="A149" s="6" t="s">
        <v>189</v>
      </c>
      <c r="B149" s="1" t="s">
        <v>189</v>
      </c>
      <c r="C149" s="4">
        <v>4708</v>
      </c>
      <c r="D149" s="4">
        <v>289598</v>
      </c>
      <c r="E149" s="4">
        <v>335</v>
      </c>
      <c r="F149" s="4">
        <v>42900</v>
      </c>
      <c r="G149" s="4">
        <v>91</v>
      </c>
      <c r="H149" s="4">
        <v>29575</v>
      </c>
      <c r="I149" s="4">
        <v>105</v>
      </c>
      <c r="J149" s="4">
        <v>24165</v>
      </c>
      <c r="K149" s="4">
        <v>10</v>
      </c>
      <c r="L149" s="4">
        <v>1104</v>
      </c>
      <c r="M149" s="4">
        <v>441</v>
      </c>
      <c r="N149" s="4">
        <v>35936</v>
      </c>
      <c r="O149" s="4">
        <v>23</v>
      </c>
      <c r="P149" s="4">
        <v>266872</v>
      </c>
      <c r="Q149" s="4">
        <v>66431</v>
      </c>
      <c r="R149" s="4">
        <v>123685</v>
      </c>
      <c r="S149" s="4">
        <v>879982</v>
      </c>
      <c r="T149" s="10">
        <f t="shared" si="6"/>
        <v>362073</v>
      </c>
      <c r="U149" s="8">
        <f t="shared" si="7"/>
        <v>0.41145500703423477</v>
      </c>
      <c r="V149" s="9" t="s">
        <v>5271</v>
      </c>
      <c r="W149" s="9" t="str">
        <f t="shared" si="8"/>
        <v>Newbury RD</v>
      </c>
      <c r="X149" s="9" t="str">
        <f>INDEX(Lookup!$A$2:$A$1349, MATCH(W149, Lookup!$B$2:$B$1349,0))</f>
        <v>J04000897</v>
      </c>
      <c r="Y149" s="9" t="str">
        <f>INDEX(Lookup!$F$2:$F$1349, MATCH(W149, Lookup!$B$2:$B$1349,0))</f>
        <v>e020027</v>
      </c>
      <c r="Z149" s="6" t="str">
        <f>INDEX(Lookup!$C$2:$C$1300, MATCH(X149, Lookup!$A$2:$A$1300,0))</f>
        <v>Berkshire</v>
      </c>
    </row>
    <row r="150" spans="1:26" ht="28.15" customHeight="1" x14ac:dyDescent="0.2">
      <c r="A150" s="6" t="s">
        <v>191</v>
      </c>
      <c r="B150" s="1" t="s">
        <v>191</v>
      </c>
      <c r="C150" s="4">
        <v>4455</v>
      </c>
      <c r="D150" s="4">
        <v>269598</v>
      </c>
      <c r="E150" s="4">
        <v>379</v>
      </c>
      <c r="F150" s="4">
        <v>45206</v>
      </c>
      <c r="G150" s="4">
        <v>32</v>
      </c>
      <c r="H150" s="4">
        <v>7674</v>
      </c>
      <c r="I150" s="4">
        <v>168</v>
      </c>
      <c r="J150" s="4">
        <v>42869</v>
      </c>
      <c r="K150" s="4">
        <v>23</v>
      </c>
      <c r="L150" s="4">
        <v>1999</v>
      </c>
      <c r="M150" s="4">
        <v>419</v>
      </c>
      <c r="N150" s="4">
        <v>31165</v>
      </c>
      <c r="O150" s="4">
        <v>15</v>
      </c>
      <c r="P150" s="4">
        <v>24885</v>
      </c>
      <c r="Q150" s="4">
        <v>26949</v>
      </c>
      <c r="R150" s="4">
        <v>71547</v>
      </c>
      <c r="S150" s="4">
        <v>521892</v>
      </c>
      <c r="T150" s="10">
        <f t="shared" si="6"/>
        <v>322478</v>
      </c>
      <c r="U150" s="8">
        <f t="shared" si="7"/>
        <v>0.61790178810941732</v>
      </c>
      <c r="V150" s="9" t="s">
        <v>5271</v>
      </c>
      <c r="W150" s="9" t="str">
        <f t="shared" si="8"/>
        <v>Wallingford RD</v>
      </c>
      <c r="X150" s="9" t="str">
        <f>INDEX(Lookup!$A$2:$A$1349, MATCH(W150, Lookup!$B$2:$B$1349,0))</f>
        <v>J04001326</v>
      </c>
      <c r="Y150" s="9" t="str">
        <f>INDEX(Lookup!$F$2:$F$1349, MATCH(W150, Lookup!$B$2:$B$1349,0))</f>
        <v>e020028</v>
      </c>
      <c r="Z150" s="6" t="str">
        <f>INDEX(Lookup!$C$2:$C$1300, MATCH(X150, Lookup!$A$2:$A$1300,0))</f>
        <v>Oxfordshire</v>
      </c>
    </row>
    <row r="151" spans="1:26" ht="28.15" customHeight="1" x14ac:dyDescent="0.2">
      <c r="A151" s="6" t="s">
        <v>193</v>
      </c>
      <c r="B151" s="1" t="s">
        <v>193</v>
      </c>
      <c r="C151" s="4">
        <v>3557</v>
      </c>
      <c r="D151" s="4">
        <v>179548</v>
      </c>
      <c r="E151" s="4">
        <v>363</v>
      </c>
      <c r="F151" s="4">
        <v>45388</v>
      </c>
      <c r="G151" s="4">
        <v>54</v>
      </c>
      <c r="H151" s="4">
        <v>14144</v>
      </c>
      <c r="I151" s="4">
        <v>81</v>
      </c>
      <c r="J151" s="4">
        <v>10791</v>
      </c>
      <c r="K151" s="4">
        <v>6</v>
      </c>
      <c r="L151" s="4">
        <v>215</v>
      </c>
      <c r="M151" s="4">
        <v>396</v>
      </c>
      <c r="N151" s="4">
        <v>22888</v>
      </c>
      <c r="O151" s="4">
        <v>7</v>
      </c>
      <c r="P151" s="4">
        <v>12935</v>
      </c>
      <c r="Q151" s="4">
        <v>165134</v>
      </c>
      <c r="R151" s="4">
        <v>107276</v>
      </c>
      <c r="S151" s="4">
        <v>558319</v>
      </c>
      <c r="T151" s="10">
        <f t="shared" si="6"/>
        <v>239080</v>
      </c>
      <c r="U151" s="8">
        <f t="shared" si="7"/>
        <v>0.42821397803048078</v>
      </c>
      <c r="V151" s="9" t="s">
        <v>5271</v>
      </c>
      <c r="W151" s="9" t="str">
        <f t="shared" si="8"/>
        <v>Wantage RD</v>
      </c>
      <c r="X151" s="9" t="str">
        <f>INDEX(Lookup!$A$2:$A$1349, MATCH(W151, Lookup!$B$2:$B$1349,0))</f>
        <v>J04001336</v>
      </c>
      <c r="Y151" s="9" t="str">
        <f>INDEX(Lookup!$F$2:$F$1349, MATCH(W151, Lookup!$B$2:$B$1349,0))</f>
        <v>e020029</v>
      </c>
      <c r="Z151" s="6" t="str">
        <f>INDEX(Lookup!$C$2:$C$1300, MATCH(X151, Lookup!$A$2:$A$1300,0))</f>
        <v>Oxfordshire</v>
      </c>
    </row>
    <row r="152" spans="1:26" ht="28.15" customHeight="1" x14ac:dyDescent="0.2">
      <c r="A152" s="6" t="s">
        <v>199</v>
      </c>
      <c r="B152" s="1" t="s">
        <v>199</v>
      </c>
      <c r="C152" s="4">
        <v>2571</v>
      </c>
      <c r="D152" s="4">
        <v>175149</v>
      </c>
      <c r="E152" s="4">
        <v>1445</v>
      </c>
      <c r="F152" s="4">
        <v>191556</v>
      </c>
      <c r="G152" s="4">
        <v>364</v>
      </c>
      <c r="H152" s="4">
        <v>107622</v>
      </c>
      <c r="I152" s="4">
        <v>167</v>
      </c>
      <c r="J152" s="4">
        <v>32687</v>
      </c>
      <c r="K152" s="4">
        <v>24</v>
      </c>
      <c r="L152" s="4">
        <v>6557</v>
      </c>
      <c r="M152" s="4">
        <v>462</v>
      </c>
      <c r="N152" s="4">
        <v>41190</v>
      </c>
      <c r="O152" s="4">
        <v>13</v>
      </c>
      <c r="P152" s="4">
        <v>23105</v>
      </c>
      <c r="Q152" s="4">
        <v>16888</v>
      </c>
      <c r="R152" s="4">
        <v>182034</v>
      </c>
      <c r="S152" s="4">
        <v>776788</v>
      </c>
      <c r="T152" s="10">
        <f t="shared" si="6"/>
        <v>474327</v>
      </c>
      <c r="U152" s="8">
        <f t="shared" si="7"/>
        <v>0.6106260652842217</v>
      </c>
      <c r="V152" s="9" t="s">
        <v>5271</v>
      </c>
      <c r="W152" s="9" t="str">
        <f t="shared" si="8"/>
        <v>Windsor RD</v>
      </c>
      <c r="X152" s="9" t="str">
        <f>INDEX(Lookup!$A$2:$A$1349, MATCH(W152, Lookup!$B$2:$B$1349,0))</f>
        <v>J04001425</v>
      </c>
      <c r="Y152" s="9" t="str">
        <f>INDEX(Lookup!$F$2:$F$1349, MATCH(W152, Lookup!$B$2:$B$1349,0))</f>
        <v>e020031</v>
      </c>
      <c r="Z152" s="6" t="str">
        <f>INDEX(Lookup!$C$2:$C$1300, MATCH(X152, Lookup!$A$2:$A$1300,0))</f>
        <v>Berkshire</v>
      </c>
    </row>
    <row r="153" spans="1:26" ht="28.15" customHeight="1" x14ac:dyDescent="0.2">
      <c r="A153" s="6" t="s">
        <v>192</v>
      </c>
      <c r="B153" s="1" t="s">
        <v>192</v>
      </c>
      <c r="C153" s="4">
        <v>10247</v>
      </c>
      <c r="D153" s="4">
        <v>740141</v>
      </c>
      <c r="E153" s="4">
        <v>5524</v>
      </c>
      <c r="F153" s="4">
        <v>699411</v>
      </c>
      <c r="G153" s="4">
        <v>562</v>
      </c>
      <c r="H153" s="4">
        <v>158949</v>
      </c>
      <c r="I153" s="4">
        <v>230</v>
      </c>
      <c r="J153" s="4">
        <v>56120</v>
      </c>
      <c r="K153" s="4">
        <v>27</v>
      </c>
      <c r="L153" s="4">
        <v>4681</v>
      </c>
      <c r="M153" s="4">
        <v>680</v>
      </c>
      <c r="N153" s="4">
        <v>108124</v>
      </c>
      <c r="O153" s="4">
        <v>39</v>
      </c>
      <c r="P153" s="4">
        <v>301965</v>
      </c>
      <c r="Q153" s="4">
        <v>49118</v>
      </c>
      <c r="R153" s="4">
        <v>296196</v>
      </c>
      <c r="S153" s="4">
        <v>2414705</v>
      </c>
      <c r="T153" s="10">
        <f t="shared" si="6"/>
        <v>1598501</v>
      </c>
      <c r="U153" s="8">
        <f t="shared" si="7"/>
        <v>0.66198603970257242</v>
      </c>
      <c r="V153" s="9" t="s">
        <v>5271</v>
      </c>
      <c r="W153" s="9" t="str">
        <f t="shared" si="8"/>
        <v>Wokingham RD</v>
      </c>
      <c r="X153" s="9" t="str">
        <f>INDEX(Lookup!$A$2:$A$1349, MATCH(W153, Lookup!$B$2:$B$1349,0))</f>
        <v>J04001441</v>
      </c>
      <c r="Y153" s="9" t="str">
        <f>INDEX(Lookup!$F$2:$F$1349, MATCH(W153, Lookup!$B$2:$B$1349,0))</f>
        <v>e020032</v>
      </c>
      <c r="Z153" s="6" t="str">
        <f>INDEX(Lookup!$C$2:$C$1300, MATCH(X153, Lookup!$A$2:$A$1300,0))</f>
        <v>Berkshire</v>
      </c>
    </row>
    <row r="154" spans="1:26" ht="28.15" customHeight="1" x14ac:dyDescent="0.2">
      <c r="A154" s="6" t="s">
        <v>200</v>
      </c>
      <c r="B154" s="1" t="s">
        <v>200</v>
      </c>
      <c r="T154" s="10"/>
      <c r="W154" s="9" t="str">
        <f t="shared" si="8"/>
        <v xml:space="preserve">BUCKINGHAM: </v>
      </c>
      <c r="X154" s="9" t="e">
        <f>INDEX(Lookup!$A$2:$A$1349, MATCH(W154, Lookup!$B$2:$B$1349,0))</f>
        <v>#N/A</v>
      </c>
      <c r="Y154" s="9" t="e">
        <f>INDEX(Lookup!$F$2:$F$1349, MATCH(W154, Lookup!$B$2:$B$1349,0))</f>
        <v>#N/A</v>
      </c>
      <c r="Z154" s="6" t="e">
        <f>INDEX(Lookup!$C$2:$C$1300, MATCH(X154, Lookup!$A$2:$A$1300,0))</f>
        <v>#N/A</v>
      </c>
    </row>
    <row r="155" spans="1:26" ht="28.15" customHeight="1" x14ac:dyDescent="0.2">
      <c r="A155" s="6" t="s">
        <v>175</v>
      </c>
      <c r="B155" s="1" t="s">
        <v>175</v>
      </c>
      <c r="T155" s="10"/>
      <c r="W155" s="9" t="str">
        <f t="shared" si="8"/>
        <v xml:space="preserve">Non-County Boroughs-- </v>
      </c>
      <c r="X155" s="9" t="e">
        <f>INDEX(Lookup!$A$2:$A$1349, MATCH(W155, Lookup!$B$2:$B$1349,0))</f>
        <v>#N/A</v>
      </c>
      <c r="Y155" s="9" t="e">
        <f>INDEX(Lookup!$F$2:$F$1349, MATCH(W155, Lookup!$B$2:$B$1349,0))</f>
        <v>#N/A</v>
      </c>
      <c r="Z155" s="6" t="e">
        <f>INDEX(Lookup!$C$2:$C$1300, MATCH(X155, Lookup!$A$2:$A$1300,0))</f>
        <v>#N/A</v>
      </c>
    </row>
    <row r="156" spans="1:26" ht="28.15" customHeight="1" x14ac:dyDescent="0.2">
      <c r="A156" s="6" t="s">
        <v>201</v>
      </c>
      <c r="B156" s="1" t="s">
        <v>201</v>
      </c>
      <c r="C156" s="4">
        <v>7762</v>
      </c>
      <c r="D156" s="4">
        <v>528891</v>
      </c>
      <c r="E156" s="4">
        <v>1269</v>
      </c>
      <c r="F156" s="4">
        <v>149051</v>
      </c>
      <c r="G156" s="4">
        <v>43</v>
      </c>
      <c r="H156" s="4">
        <v>9238</v>
      </c>
      <c r="I156" s="4">
        <v>366</v>
      </c>
      <c r="J156" s="4">
        <v>205226</v>
      </c>
      <c r="K156" s="4">
        <v>130</v>
      </c>
      <c r="L156" s="4">
        <v>36704</v>
      </c>
      <c r="M156" s="4">
        <v>1515</v>
      </c>
      <c r="N156" s="4">
        <v>132023</v>
      </c>
      <c r="O156" s="4">
        <v>72</v>
      </c>
      <c r="P156" s="4">
        <v>451100</v>
      </c>
      <c r="Q156" s="4">
        <v>33937</v>
      </c>
      <c r="R156" s="4">
        <v>141655</v>
      </c>
      <c r="S156" s="4">
        <v>1687825</v>
      </c>
      <c r="T156" s="10">
        <f t="shared" si="6"/>
        <v>687180</v>
      </c>
      <c r="U156" s="8">
        <f t="shared" si="7"/>
        <v>0.40713936575178111</v>
      </c>
      <c r="V156" s="9" t="s">
        <v>5268</v>
      </c>
      <c r="W156" s="9" t="str">
        <f t="shared" si="8"/>
        <v>Aylesbury MB</v>
      </c>
      <c r="X156" s="9" t="str">
        <f>INDEX(Lookup!$A$2:$A$1349, MATCH(W156, Lookup!$B$2:$B$1349,0))</f>
        <v>J04000065</v>
      </c>
      <c r="Y156" s="9" t="str">
        <f>INDEX(Lookup!$F$2:$F$1349, MATCH(W156, Lookup!$B$2:$B$1349,0))</f>
        <v>e030033</v>
      </c>
      <c r="Z156" s="6" t="str">
        <f>INDEX(Lookup!$C$2:$C$1300, MATCH(X156, Lookup!$A$2:$A$1300,0))</f>
        <v>Buckinghamshire</v>
      </c>
    </row>
    <row r="157" spans="1:26" ht="28.15" customHeight="1" x14ac:dyDescent="0.2">
      <c r="A157" s="6" t="s">
        <v>18</v>
      </c>
      <c r="B157" s="1" t="s">
        <v>214</v>
      </c>
      <c r="C157" s="4">
        <v>1296</v>
      </c>
      <c r="D157" s="4">
        <v>60490</v>
      </c>
      <c r="E157" s="4">
        <v>115</v>
      </c>
      <c r="F157" s="4">
        <v>13585</v>
      </c>
      <c r="G157" s="4">
        <v>11</v>
      </c>
      <c r="H157" s="4">
        <v>3289</v>
      </c>
      <c r="I157" s="4">
        <v>100</v>
      </c>
      <c r="J157" s="4">
        <v>19872</v>
      </c>
      <c r="K157" s="4">
        <v>20</v>
      </c>
      <c r="L157" s="4">
        <v>1961</v>
      </c>
      <c r="M157" s="4">
        <v>193</v>
      </c>
      <c r="N157" s="4">
        <v>16772</v>
      </c>
      <c r="O157" s="4">
        <v>17</v>
      </c>
      <c r="P157" s="4">
        <v>57245</v>
      </c>
      <c r="Q157" s="4">
        <v>1716</v>
      </c>
      <c r="R157" s="4">
        <v>19632</v>
      </c>
      <c r="S157" s="4">
        <v>194562</v>
      </c>
      <c r="T157" s="10">
        <f t="shared" si="6"/>
        <v>77364</v>
      </c>
      <c r="U157" s="8">
        <f t="shared" si="7"/>
        <v>0.39763160329355168</v>
      </c>
      <c r="V157" s="9" t="s">
        <v>5268</v>
      </c>
      <c r="W157" s="9" t="str">
        <f t="shared" si="8"/>
        <v>Buckingham MB</v>
      </c>
      <c r="X157" s="9" t="str">
        <f>INDEX(Lookup!$A$2:$A$1349, MATCH(W157, Lookup!$B$2:$B$1349,0))</f>
        <v>J04000226</v>
      </c>
      <c r="Y157" s="9" t="str">
        <f>INDEX(Lookup!$F$2:$F$1349, MATCH(W157, Lookup!$B$2:$B$1349,0))</f>
        <v>e030036</v>
      </c>
      <c r="Z157" s="6" t="str">
        <f>INDEX(Lookup!$C$2:$C$1300, MATCH(X157, Lookup!$A$2:$A$1300,0))</f>
        <v>Buckinghamshire</v>
      </c>
    </row>
    <row r="158" spans="1:26" ht="28.15" customHeight="1" x14ac:dyDescent="0.2">
      <c r="A158" s="6" t="s">
        <v>202</v>
      </c>
      <c r="B158" s="1" t="s">
        <v>5337</v>
      </c>
      <c r="C158" s="4">
        <v>9088</v>
      </c>
      <c r="D158" s="4">
        <v>663749</v>
      </c>
      <c r="E158" s="4">
        <v>6319</v>
      </c>
      <c r="F158" s="4">
        <v>791082</v>
      </c>
      <c r="G158" s="4">
        <v>237</v>
      </c>
      <c r="H158" s="4">
        <v>56321</v>
      </c>
      <c r="I158" s="4">
        <v>635</v>
      </c>
      <c r="J158" s="4">
        <v>392240</v>
      </c>
      <c r="K158" s="4">
        <v>153</v>
      </c>
      <c r="L158" s="4">
        <v>52649</v>
      </c>
      <c r="M158" s="4">
        <v>1230</v>
      </c>
      <c r="N158" s="4">
        <v>191372</v>
      </c>
      <c r="O158" s="4">
        <v>319</v>
      </c>
      <c r="P158" s="4">
        <v>811704</v>
      </c>
      <c r="Q158" s="4">
        <v>24364</v>
      </c>
      <c r="R158" s="4">
        <v>256503</v>
      </c>
      <c r="S158" s="4">
        <v>3239984</v>
      </c>
      <c r="T158" s="10">
        <f t="shared" si="6"/>
        <v>1511152</v>
      </c>
      <c r="U158" s="8">
        <f t="shared" si="7"/>
        <v>0.46640724151724205</v>
      </c>
      <c r="V158" s="9" t="s">
        <v>5268</v>
      </c>
      <c r="W158" s="9" t="str">
        <f t="shared" si="8"/>
        <v>High Wycombe MB</v>
      </c>
      <c r="X158" s="9" t="str">
        <f>INDEX(Lookup!$A$2:$A$1349, MATCH(W158, Lookup!$B$2:$B$1349,0))</f>
        <v>J04000621</v>
      </c>
      <c r="Y158" s="9" t="str">
        <f>INDEX(Lookup!$F$2:$F$1349, MATCH(W158, Lookup!$B$2:$B$1349,0))</f>
        <v>e030039</v>
      </c>
      <c r="Z158" s="6" t="str">
        <f>INDEX(Lookup!$C$2:$C$1300, MATCH(X158, Lookup!$A$2:$A$1300,0))</f>
        <v>Buckinghamshire</v>
      </c>
    </row>
    <row r="159" spans="1:26" ht="28.15" customHeight="1" x14ac:dyDescent="0.2">
      <c r="A159" s="6" t="s">
        <v>203</v>
      </c>
      <c r="B159" s="1" t="s">
        <v>203</v>
      </c>
      <c r="C159" s="4">
        <v>17059</v>
      </c>
      <c r="D159" s="4">
        <v>1351537</v>
      </c>
      <c r="E159" s="4">
        <v>6711</v>
      </c>
      <c r="F159" s="4">
        <v>825256</v>
      </c>
      <c r="G159" s="4">
        <v>126</v>
      </c>
      <c r="H159" s="4">
        <v>32153</v>
      </c>
      <c r="I159" s="4">
        <v>896</v>
      </c>
      <c r="J159" s="4">
        <v>807593</v>
      </c>
      <c r="K159" s="4">
        <v>213</v>
      </c>
      <c r="L159" s="4">
        <v>106738</v>
      </c>
      <c r="M159" s="4">
        <v>2973</v>
      </c>
      <c r="N159" s="4">
        <v>61661</v>
      </c>
      <c r="O159" s="4">
        <v>404</v>
      </c>
      <c r="P159" s="4">
        <v>2673327</v>
      </c>
      <c r="Q159" s="4">
        <v>35123</v>
      </c>
      <c r="R159" s="4">
        <v>598805</v>
      </c>
      <c r="S159" s="4">
        <v>7047193</v>
      </c>
      <c r="T159" s="10">
        <f t="shared" si="6"/>
        <v>2208946</v>
      </c>
      <c r="U159" s="8">
        <f t="shared" si="7"/>
        <v>0.31345047595546199</v>
      </c>
      <c r="V159" s="9" t="s">
        <v>5268</v>
      </c>
      <c r="W159" s="9" t="str">
        <f t="shared" si="8"/>
        <v>Slough MB</v>
      </c>
      <c r="X159" s="9" t="str">
        <f>INDEX(Lookup!$A$2:$A$1349, MATCH(W159, Lookup!$B$2:$B$1349,0))</f>
        <v>J04001150</v>
      </c>
      <c r="Y159" s="9" t="str">
        <f>INDEX(Lookup!$F$2:$F$1349, MATCH(W159, Lookup!$B$2:$B$1349,0))</f>
        <v>e030043</v>
      </c>
      <c r="Z159" s="6" t="str">
        <f>INDEX(Lookup!$C$2:$C$1300, MATCH(X159, Lookup!$A$2:$A$1300,0))</f>
        <v>Berkshire</v>
      </c>
    </row>
    <row r="160" spans="1:26" ht="28.15" customHeight="1" x14ac:dyDescent="0.2">
      <c r="A160" s="6" t="s">
        <v>179</v>
      </c>
      <c r="B160" s="1" t="s">
        <v>179</v>
      </c>
      <c r="T160" s="10"/>
      <c r="W160" s="9" t="str">
        <f t="shared" si="8"/>
        <v xml:space="preserve">Urban Districts-- </v>
      </c>
      <c r="X160" s="9" t="e">
        <f>INDEX(Lookup!$A$2:$A$1349, MATCH(W160, Lookup!$B$2:$B$1349,0))</f>
        <v>#N/A</v>
      </c>
      <c r="Y160" s="9" t="e">
        <f>INDEX(Lookup!$F$2:$F$1349, MATCH(W160, Lookup!$B$2:$B$1349,0))</f>
        <v>#N/A</v>
      </c>
      <c r="Z160" s="6" t="e">
        <f>INDEX(Lookup!$C$2:$C$1300, MATCH(X160, Lookup!$A$2:$A$1300,0))</f>
        <v>#N/A</v>
      </c>
    </row>
    <row r="161" spans="1:26" ht="28.15" customHeight="1" x14ac:dyDescent="0.2">
      <c r="A161" s="6" t="s">
        <v>204</v>
      </c>
      <c r="B161" s="1" t="s">
        <v>204</v>
      </c>
      <c r="C161" s="4">
        <v>1140</v>
      </c>
      <c r="D161" s="4">
        <v>76838</v>
      </c>
      <c r="E161" s="4">
        <v>1176</v>
      </c>
      <c r="F161" s="4">
        <v>174440</v>
      </c>
      <c r="G161" s="4">
        <v>747</v>
      </c>
      <c r="H161" s="4">
        <v>204084</v>
      </c>
      <c r="I161" s="4">
        <v>167</v>
      </c>
      <c r="J161" s="4">
        <v>65999</v>
      </c>
      <c r="K161" s="4">
        <v>28</v>
      </c>
      <c r="L161" s="4">
        <v>6331</v>
      </c>
      <c r="M161" s="4">
        <v>298</v>
      </c>
      <c r="N161" s="4">
        <v>30339</v>
      </c>
      <c r="O161" s="4">
        <v>9</v>
      </c>
      <c r="P161" s="4">
        <v>33750</v>
      </c>
      <c r="Q161" s="4">
        <v>5366</v>
      </c>
      <c r="R161" s="4">
        <v>42736</v>
      </c>
      <c r="S161" s="4">
        <v>639883</v>
      </c>
      <c r="T161" s="10">
        <f t="shared" si="6"/>
        <v>455362</v>
      </c>
      <c r="U161" s="8">
        <f t="shared" si="7"/>
        <v>0.71163322044811317</v>
      </c>
      <c r="V161" s="9" t="s">
        <v>5270</v>
      </c>
      <c r="W161" s="9" t="str">
        <f t="shared" si="8"/>
        <v>Beaconsfield UD</v>
      </c>
      <c r="X161" s="9" t="str">
        <f>INDEX(Lookup!$A$2:$A$1349, MATCH(W161, Lookup!$B$2:$B$1349,0))</f>
        <v>J04000104</v>
      </c>
      <c r="Y161" s="9" t="str">
        <f>INDEX(Lookup!$F$2:$F$1349, MATCH(W161, Lookup!$B$2:$B$1349,0))</f>
        <v>e030034</v>
      </c>
      <c r="Z161" s="6" t="str">
        <f>INDEX(Lookup!$C$2:$C$1300, MATCH(X161, Lookup!$A$2:$A$1300,0))</f>
        <v>Buckinghamshire</v>
      </c>
    </row>
    <row r="162" spans="1:26" ht="28.15" customHeight="1" x14ac:dyDescent="0.2">
      <c r="A162" s="6" t="s">
        <v>205</v>
      </c>
      <c r="B162" s="1" t="s">
        <v>205</v>
      </c>
      <c r="C162" s="4">
        <v>5197</v>
      </c>
      <c r="D162" s="4">
        <v>370446</v>
      </c>
      <c r="E162" s="4">
        <v>357</v>
      </c>
      <c r="F162" s="4">
        <v>40236</v>
      </c>
      <c r="G162" s="4">
        <v>2</v>
      </c>
      <c r="H162" s="4">
        <v>412</v>
      </c>
      <c r="I162" s="4">
        <v>210</v>
      </c>
      <c r="J162" s="4">
        <v>81625</v>
      </c>
      <c r="K162" s="4">
        <v>52</v>
      </c>
      <c r="L162" s="4">
        <v>19253</v>
      </c>
      <c r="M162" s="4">
        <v>845</v>
      </c>
      <c r="N162" s="4">
        <v>58822</v>
      </c>
      <c r="O162" s="4">
        <v>55</v>
      </c>
      <c r="P162" s="4">
        <v>222485</v>
      </c>
      <c r="Q162" s="4">
        <v>12633</v>
      </c>
      <c r="R162" s="4">
        <v>129739</v>
      </c>
      <c r="S162" s="4">
        <v>935651</v>
      </c>
      <c r="T162" s="10">
        <f t="shared" si="6"/>
        <v>411094</v>
      </c>
      <c r="U162" s="8">
        <f t="shared" si="7"/>
        <v>0.43936681519070681</v>
      </c>
      <c r="V162" s="9" t="s">
        <v>5270</v>
      </c>
      <c r="W162" s="9" t="str">
        <f t="shared" si="8"/>
        <v>Bletchley UD</v>
      </c>
      <c r="X162" s="9" t="str">
        <f>INDEX(Lookup!$A$2:$A$1349, MATCH(W162, Lookup!$B$2:$B$1349,0))</f>
        <v>J04000164</v>
      </c>
      <c r="Y162" s="9" t="str">
        <f>INDEX(Lookup!$F$2:$F$1349, MATCH(W162, Lookup!$B$2:$B$1349,0))</f>
        <v>e030035</v>
      </c>
      <c r="Z162" s="6" t="str">
        <f>INDEX(Lookup!$C$2:$C$1300, MATCH(X162, Lookup!$A$2:$A$1300,0))</f>
        <v>Buckinghamshire</v>
      </c>
    </row>
    <row r="163" spans="1:26" ht="28.15" customHeight="1" x14ac:dyDescent="0.2">
      <c r="A163" s="6" t="s">
        <v>206</v>
      </c>
      <c r="B163" s="1" t="s">
        <v>5341</v>
      </c>
      <c r="C163" s="4">
        <v>4452</v>
      </c>
      <c r="D163" s="4">
        <v>300896</v>
      </c>
      <c r="E163" s="4">
        <v>1347</v>
      </c>
      <c r="F163" s="4">
        <v>168033</v>
      </c>
      <c r="G163" s="4">
        <v>74</v>
      </c>
      <c r="H163" s="4">
        <v>19170</v>
      </c>
      <c r="I163" s="4">
        <v>228</v>
      </c>
      <c r="J163" s="4">
        <v>89380</v>
      </c>
      <c r="K163" s="4">
        <v>32</v>
      </c>
      <c r="L163" s="4">
        <v>6021</v>
      </c>
      <c r="M163" s="4">
        <v>622</v>
      </c>
      <c r="N163" s="4">
        <v>54987</v>
      </c>
      <c r="O163" s="4">
        <v>77</v>
      </c>
      <c r="P163" s="4">
        <v>111058</v>
      </c>
      <c r="Q163" s="4">
        <v>1675</v>
      </c>
      <c r="R163" s="4">
        <v>45477</v>
      </c>
      <c r="S163" s="4">
        <v>796697</v>
      </c>
      <c r="T163" s="10">
        <f t="shared" si="6"/>
        <v>488099</v>
      </c>
      <c r="U163" s="8">
        <f t="shared" si="7"/>
        <v>0.61265324207320981</v>
      </c>
      <c r="V163" s="9" t="s">
        <v>5270</v>
      </c>
      <c r="W163" s="9" t="str">
        <f t="shared" si="8"/>
        <v>Chesham UD</v>
      </c>
      <c r="X163" s="9" t="str">
        <f>INDEX(Lookup!$A$2:$A$1349, MATCH(W163, Lookup!$B$2:$B$1349,0))</f>
        <v>J04000296</v>
      </c>
      <c r="Y163" s="9" t="str">
        <f>INDEX(Lookup!$F$2:$F$1349, MATCH(W163, Lookup!$B$2:$B$1349,0))</f>
        <v>e030037</v>
      </c>
      <c r="Z163" s="6" t="str">
        <f>INDEX(Lookup!$C$2:$C$1300, MATCH(X163, Lookup!$A$2:$A$1300,0))</f>
        <v>Buckinghamshire</v>
      </c>
    </row>
    <row r="164" spans="1:26" ht="28.15" customHeight="1" x14ac:dyDescent="0.2">
      <c r="A164" s="6" t="s">
        <v>207</v>
      </c>
      <c r="B164" s="1" t="s">
        <v>207</v>
      </c>
      <c r="C164" s="4">
        <v>776</v>
      </c>
      <c r="D164" s="4">
        <v>48742</v>
      </c>
      <c r="E164" s="4">
        <v>347</v>
      </c>
      <c r="F164" s="4">
        <v>40086</v>
      </c>
      <c r="G164" s="4">
        <v>12</v>
      </c>
      <c r="H164" s="4">
        <v>3378</v>
      </c>
      <c r="I164" s="4">
        <v>95</v>
      </c>
      <c r="J164" s="4">
        <v>18226</v>
      </c>
      <c r="K164" s="4">
        <v>3</v>
      </c>
      <c r="L164" s="4">
        <v>198</v>
      </c>
      <c r="M164" s="4">
        <v>242</v>
      </c>
      <c r="N164" s="4">
        <v>12768</v>
      </c>
      <c r="O164" s="4">
        <v>9</v>
      </c>
      <c r="P164" s="4">
        <v>6775</v>
      </c>
      <c r="Q164" s="4">
        <v>205</v>
      </c>
      <c r="R164" s="4">
        <v>68476</v>
      </c>
      <c r="S164" s="4">
        <v>198854</v>
      </c>
      <c r="T164" s="10">
        <f t="shared" si="6"/>
        <v>92206</v>
      </c>
      <c r="U164" s="8">
        <f t="shared" si="7"/>
        <v>0.46368692608647549</v>
      </c>
      <c r="V164" s="9" t="s">
        <v>5270</v>
      </c>
      <c r="W164" s="9" t="str">
        <f t="shared" si="8"/>
        <v>Eton UD</v>
      </c>
      <c r="X164" s="9" t="str">
        <f>INDEX(Lookup!$A$2:$A$1349, MATCH(W164, Lookup!$B$2:$B$1349,0))</f>
        <v>J04000483</v>
      </c>
      <c r="Y164" s="9" t="str">
        <f>INDEX(Lookup!$F$2:$F$1349, MATCH(W164, Lookup!$B$2:$B$1349,0))</f>
        <v>e030038</v>
      </c>
      <c r="Z164" s="6" t="str">
        <f>INDEX(Lookup!$C$2:$C$1300, MATCH(X164, Lookup!$A$2:$A$1300,0))</f>
        <v>Berkshire</v>
      </c>
    </row>
    <row r="165" spans="1:26" ht="28.15" customHeight="1" x14ac:dyDescent="0.2">
      <c r="A165" s="6" t="s">
        <v>208</v>
      </c>
      <c r="B165" s="1" t="s">
        <v>208</v>
      </c>
      <c r="C165" s="4">
        <v>1210</v>
      </c>
      <c r="D165" s="4">
        <v>78432</v>
      </c>
      <c r="E165" s="4">
        <v>209</v>
      </c>
      <c r="F165" s="4">
        <v>25489</v>
      </c>
      <c r="G165" s="4">
        <v>5</v>
      </c>
      <c r="H165" s="4">
        <v>1192</v>
      </c>
      <c r="I165" s="4">
        <v>45</v>
      </c>
      <c r="J165" s="4">
        <v>7210</v>
      </c>
      <c r="K165" s="4">
        <v>6</v>
      </c>
      <c r="L165" s="4">
        <v>1420</v>
      </c>
      <c r="M165" s="4">
        <v>153</v>
      </c>
      <c r="N165" s="4">
        <v>15044</v>
      </c>
      <c r="O165" s="4">
        <v>14</v>
      </c>
      <c r="P165" s="4">
        <v>38975</v>
      </c>
      <c r="Q165" s="4">
        <v>159</v>
      </c>
      <c r="R165" s="4">
        <v>14916</v>
      </c>
      <c r="S165" s="4">
        <v>182837</v>
      </c>
      <c r="T165" s="10">
        <f t="shared" si="6"/>
        <v>105113</v>
      </c>
      <c r="U165" s="8">
        <f t="shared" si="7"/>
        <v>0.57490004758336666</v>
      </c>
      <c r="V165" s="9" t="s">
        <v>5270</v>
      </c>
      <c r="W165" s="9" t="str">
        <f t="shared" si="8"/>
        <v>Linslade UD</v>
      </c>
      <c r="X165" s="9" t="str">
        <f>INDEX(Lookup!$A$2:$A$1349, MATCH(W165, Lookup!$B$2:$B$1349,0))</f>
        <v>J04000747</v>
      </c>
      <c r="Y165" s="9" t="str">
        <f>INDEX(Lookup!$F$2:$F$1349, MATCH(W165, Lookup!$B$2:$B$1349,0))</f>
        <v>e010006</v>
      </c>
      <c r="Z165" s="6" t="str">
        <f>INDEX(Lookup!$C$2:$C$1300, MATCH(X165, Lookup!$A$2:$A$1300,0))</f>
        <v>Bedfordshire</v>
      </c>
    </row>
    <row r="166" spans="1:26" ht="28.15" customHeight="1" x14ac:dyDescent="0.2">
      <c r="A166" s="6" t="s">
        <v>209</v>
      </c>
      <c r="B166" s="1" t="s">
        <v>209</v>
      </c>
      <c r="C166" s="4">
        <v>1691</v>
      </c>
      <c r="D166" s="4">
        <v>107430</v>
      </c>
      <c r="E166" s="4">
        <v>1042</v>
      </c>
      <c r="F166" s="4">
        <v>133704</v>
      </c>
      <c r="G166" s="4">
        <v>70</v>
      </c>
      <c r="H166" s="4">
        <v>18990</v>
      </c>
      <c r="I166" s="4">
        <v>151</v>
      </c>
      <c r="J166" s="4">
        <v>41665</v>
      </c>
      <c r="K166" s="4">
        <v>17</v>
      </c>
      <c r="L166" s="4">
        <v>3761</v>
      </c>
      <c r="M166" s="4">
        <v>199</v>
      </c>
      <c r="N166" s="4">
        <v>20396</v>
      </c>
      <c r="O166" s="4">
        <v>25</v>
      </c>
      <c r="P166" s="4">
        <v>29062</v>
      </c>
      <c r="Q166" s="4">
        <v>1414</v>
      </c>
      <c r="R166" s="4">
        <v>39745</v>
      </c>
      <c r="S166" s="4">
        <v>396167</v>
      </c>
      <c r="T166" s="10">
        <f t="shared" si="6"/>
        <v>260124</v>
      </c>
      <c r="U166" s="8">
        <f t="shared" si="7"/>
        <v>0.65660188758781024</v>
      </c>
      <c r="V166" s="9" t="s">
        <v>5270</v>
      </c>
      <c r="W166" s="9" t="str">
        <f t="shared" si="8"/>
        <v>Marlow UD</v>
      </c>
      <c r="X166" s="9" t="str">
        <f>INDEX(Lookup!$A$2:$A$1349, MATCH(W166, Lookup!$B$2:$B$1349,0))</f>
        <v>J04000834</v>
      </c>
      <c r="Y166" s="9" t="str">
        <f>INDEX(Lookup!$F$2:$F$1349, MATCH(W166, Lookup!$B$2:$B$1349,0))</f>
        <v>e030040</v>
      </c>
      <c r="Z166" s="6" t="str">
        <f>INDEX(Lookup!$C$2:$C$1300, MATCH(X166, Lookup!$A$2:$A$1300,0))</f>
        <v>Buckinghamshire</v>
      </c>
    </row>
    <row r="167" spans="1:26" ht="28.15" customHeight="1" x14ac:dyDescent="0.2">
      <c r="A167" s="6" t="s">
        <v>210</v>
      </c>
      <c r="B167" s="1" t="s">
        <v>210</v>
      </c>
      <c r="C167" s="4">
        <v>1608</v>
      </c>
      <c r="D167" s="4">
        <v>81325</v>
      </c>
      <c r="E167" s="4">
        <v>83</v>
      </c>
      <c r="F167" s="4">
        <v>10414</v>
      </c>
      <c r="G167" s="4">
        <v>2</v>
      </c>
      <c r="H167" s="4">
        <v>472</v>
      </c>
      <c r="I167" s="4">
        <v>79</v>
      </c>
      <c r="J167" s="4">
        <v>21562</v>
      </c>
      <c r="K167" s="4">
        <v>18</v>
      </c>
      <c r="L167" s="4">
        <v>1562</v>
      </c>
      <c r="M167" s="4">
        <v>144</v>
      </c>
      <c r="N167" s="4">
        <v>54871</v>
      </c>
      <c r="O167" s="4">
        <v>15</v>
      </c>
      <c r="P167" s="4">
        <v>33310</v>
      </c>
      <c r="Q167" s="4">
        <v>2086</v>
      </c>
      <c r="R167" s="4">
        <v>15019</v>
      </c>
      <c r="S167" s="4">
        <v>220621</v>
      </c>
      <c r="T167" s="10">
        <f t="shared" si="6"/>
        <v>92211</v>
      </c>
      <c r="U167" s="8">
        <f t="shared" si="7"/>
        <v>0.41796111884181469</v>
      </c>
      <c r="V167" s="9" t="s">
        <v>5270</v>
      </c>
      <c r="W167" s="9" t="str">
        <f t="shared" si="8"/>
        <v>Newport Pagnell UD</v>
      </c>
      <c r="X167" s="9" t="str">
        <f>INDEX(Lookup!$A$2:$A$1349, MATCH(W167, Lookup!$B$2:$B$1349,0))</f>
        <v>J04000910</v>
      </c>
      <c r="Y167" s="9" t="str">
        <f>INDEX(Lookup!$F$2:$F$1349, MATCH(W167, Lookup!$B$2:$B$1349,0))</f>
        <v>e030041</v>
      </c>
      <c r="Z167" s="6" t="str">
        <f>INDEX(Lookup!$C$2:$C$1300, MATCH(X167, Lookup!$A$2:$A$1300,0))</f>
        <v>Buckinghamshire</v>
      </c>
    </row>
    <row r="168" spans="1:26" ht="28.15" customHeight="1" x14ac:dyDescent="0.2">
      <c r="A168" s="6" t="s">
        <v>211</v>
      </c>
      <c r="B168" s="1" t="s">
        <v>211</v>
      </c>
      <c r="C168" s="4">
        <v>4561</v>
      </c>
      <c r="D168" s="4">
        <v>205825</v>
      </c>
      <c r="E168" s="4">
        <v>38</v>
      </c>
      <c r="F168" s="4">
        <v>4804</v>
      </c>
      <c r="G168" s="4">
        <v>5</v>
      </c>
      <c r="H168" s="4">
        <v>1417</v>
      </c>
      <c r="I168" s="4">
        <v>253</v>
      </c>
      <c r="J168" s="4">
        <v>50097</v>
      </c>
      <c r="K168" s="4">
        <v>24</v>
      </c>
      <c r="L168" s="4">
        <v>2908</v>
      </c>
      <c r="M168" s="4">
        <v>312</v>
      </c>
      <c r="N168" s="4">
        <v>18784</v>
      </c>
      <c r="O168" s="4">
        <v>10</v>
      </c>
      <c r="P168" s="4">
        <v>34175</v>
      </c>
      <c r="Q168" s="4">
        <v>2432</v>
      </c>
      <c r="R168" s="4">
        <v>58923</v>
      </c>
      <c r="S168" s="4">
        <v>379365</v>
      </c>
      <c r="T168" s="10">
        <f t="shared" si="6"/>
        <v>212046</v>
      </c>
      <c r="U168" s="8">
        <f t="shared" si="7"/>
        <v>0.55894982404808036</v>
      </c>
      <c r="V168" s="9" t="s">
        <v>5270</v>
      </c>
      <c r="W168" s="9" t="str">
        <f t="shared" si="8"/>
        <v>Wolverton UD</v>
      </c>
      <c r="X168" s="9" t="str">
        <f>INDEX(Lookup!$A$2:$A$1349, MATCH(W168, Lookup!$B$2:$B$1349,0))</f>
        <v>J04001443</v>
      </c>
      <c r="Y168" s="9" t="str">
        <f>INDEX(Lookup!$F$2:$F$1349, MATCH(W168, Lookup!$B$2:$B$1349,0))</f>
        <v>e030044</v>
      </c>
      <c r="Z168" s="6" t="str">
        <f>INDEX(Lookup!$C$2:$C$1300, MATCH(X168, Lookup!$A$2:$A$1300,0))</f>
        <v>Buckinghamshire</v>
      </c>
    </row>
    <row r="169" spans="1:26" ht="28.15" customHeight="1" x14ac:dyDescent="0.2">
      <c r="A169" s="6" t="s">
        <v>212</v>
      </c>
      <c r="B169" s="1" t="s">
        <v>212</v>
      </c>
      <c r="T169" s="10"/>
      <c r="W169" s="9" t="str">
        <f t="shared" si="8"/>
        <v xml:space="preserve">Rural Districts-- </v>
      </c>
      <c r="X169" s="9" t="e">
        <f>INDEX(Lookup!$A$2:$A$1349, MATCH(W169, Lookup!$B$2:$B$1349,0))</f>
        <v>#N/A</v>
      </c>
      <c r="Y169" s="9" t="e">
        <f>INDEX(Lookup!$F$2:$F$1349, MATCH(W169, Lookup!$B$2:$B$1349,0))</f>
        <v>#N/A</v>
      </c>
      <c r="Z169" s="6" t="e">
        <f>INDEX(Lookup!$C$2:$C$1300, MATCH(X169, Lookup!$A$2:$A$1300,0))</f>
        <v>#N/A</v>
      </c>
    </row>
    <row r="170" spans="1:26" ht="28.15" customHeight="1" x14ac:dyDescent="0.2">
      <c r="A170" s="6" t="s">
        <v>213</v>
      </c>
      <c r="B170" s="1" t="s">
        <v>213</v>
      </c>
      <c r="C170" s="4">
        <v>8288</v>
      </c>
      <c r="D170" s="4">
        <v>564971</v>
      </c>
      <c r="E170" s="4">
        <v>7346</v>
      </c>
      <c r="F170" s="4">
        <v>995964</v>
      </c>
      <c r="G170" s="4">
        <v>1604</v>
      </c>
      <c r="H170" s="4">
        <v>436288</v>
      </c>
      <c r="I170" s="4">
        <v>519</v>
      </c>
      <c r="J170" s="4">
        <v>132008</v>
      </c>
      <c r="K170" s="4">
        <v>80</v>
      </c>
      <c r="L170" s="4">
        <v>12730</v>
      </c>
      <c r="M170" s="4">
        <v>968</v>
      </c>
      <c r="N170" s="4">
        <v>98248</v>
      </c>
      <c r="O170" s="4">
        <v>71</v>
      </c>
      <c r="P170" s="4">
        <v>105180</v>
      </c>
      <c r="Q170" s="4">
        <v>23909</v>
      </c>
      <c r="R170" s="4">
        <v>221215</v>
      </c>
      <c r="S170" s="4">
        <v>2590513</v>
      </c>
      <c r="T170" s="10">
        <f t="shared" si="6"/>
        <v>1997223</v>
      </c>
      <c r="U170" s="8">
        <f t="shared" si="7"/>
        <v>0.77097586462604129</v>
      </c>
      <c r="V170" s="9" t="s">
        <v>5271</v>
      </c>
      <c r="W170" s="9" t="str">
        <f t="shared" si="8"/>
        <v>Amersham RD</v>
      </c>
      <c r="X170" s="9" t="str">
        <f>INDEX(Lookup!$A$2:$A$1349, MATCH(W170, Lookup!$B$2:$B$1349,0))</f>
        <v>J04000037</v>
      </c>
      <c r="Y170" s="9" t="str">
        <f>INDEX(Lookup!$F$2:$F$1349, MATCH(W170, Lookup!$B$2:$B$1349,0))</f>
        <v>e030046</v>
      </c>
      <c r="Z170" s="6" t="str">
        <f>INDEX(Lookup!$C$2:$C$1300, MATCH(X170, Lookup!$A$2:$A$1300,0))</f>
        <v>Buckinghamshire</v>
      </c>
    </row>
    <row r="171" spans="1:26" ht="28.15" customHeight="1" x14ac:dyDescent="0.2">
      <c r="A171" s="6" t="s">
        <v>201</v>
      </c>
      <c r="B171" s="1" t="s">
        <v>201</v>
      </c>
      <c r="C171" s="4">
        <v>7378</v>
      </c>
      <c r="D171" s="4">
        <v>413713</v>
      </c>
      <c r="E171" s="4">
        <v>1009</v>
      </c>
      <c r="F171" s="4">
        <v>126690</v>
      </c>
      <c r="G171" s="4">
        <v>95</v>
      </c>
      <c r="H171" s="4">
        <v>30390</v>
      </c>
      <c r="I171" s="4">
        <v>222</v>
      </c>
      <c r="J171" s="4">
        <v>30235</v>
      </c>
      <c r="K171" s="4">
        <v>17</v>
      </c>
      <c r="L171" s="4">
        <v>3460</v>
      </c>
      <c r="M171" s="4">
        <v>705</v>
      </c>
      <c r="N171" s="4">
        <v>45030</v>
      </c>
      <c r="O171" s="4">
        <v>26</v>
      </c>
      <c r="P171" s="4">
        <v>37585</v>
      </c>
      <c r="Q171" s="4">
        <v>109373</v>
      </c>
      <c r="R171" s="4">
        <v>121957</v>
      </c>
      <c r="S171" s="4">
        <v>918433</v>
      </c>
      <c r="T171" s="10">
        <f t="shared" si="6"/>
        <v>570793</v>
      </c>
      <c r="U171" s="8">
        <f t="shared" si="7"/>
        <v>0.62148572623152698</v>
      </c>
      <c r="V171" s="9" t="s">
        <v>5271</v>
      </c>
      <c r="W171" s="9" t="str">
        <f t="shared" si="8"/>
        <v>Aylesbury RD</v>
      </c>
      <c r="X171" s="9" t="str">
        <f>INDEX(Lookup!$A$2:$A$1349, MATCH(W171, Lookup!$B$2:$B$1349,0))</f>
        <v>J04000066</v>
      </c>
      <c r="Y171" s="9" t="str">
        <f>INDEX(Lookup!$F$2:$F$1349, MATCH(W171, Lookup!$B$2:$B$1349,0))</f>
        <v>e030047</v>
      </c>
      <c r="Z171" s="6" t="str">
        <f>INDEX(Lookup!$C$2:$C$1300, MATCH(X171, Lookup!$A$2:$A$1300,0))</f>
        <v>Buckinghamshire</v>
      </c>
    </row>
    <row r="172" spans="1:26" ht="28.15" customHeight="1" x14ac:dyDescent="0.2">
      <c r="A172" s="6" t="s">
        <v>214</v>
      </c>
      <c r="B172" s="1" t="s">
        <v>214</v>
      </c>
      <c r="C172" s="4">
        <v>2238</v>
      </c>
      <c r="D172" s="4">
        <v>91709</v>
      </c>
      <c r="E172" s="4">
        <v>91</v>
      </c>
      <c r="F172" s="4">
        <v>12182</v>
      </c>
      <c r="G172" s="4">
        <v>30</v>
      </c>
      <c r="H172" s="4">
        <v>9828</v>
      </c>
      <c r="I172" s="4">
        <v>39</v>
      </c>
      <c r="J172" s="4">
        <v>5142</v>
      </c>
      <c r="K172" s="4">
        <v>5</v>
      </c>
      <c r="L172" s="4">
        <v>308</v>
      </c>
      <c r="M172" s="4">
        <v>165</v>
      </c>
      <c r="N172" s="4">
        <v>13691</v>
      </c>
      <c r="O172" s="4">
        <v>6</v>
      </c>
      <c r="P172" s="4">
        <v>5800</v>
      </c>
      <c r="Q172" s="4">
        <v>1081</v>
      </c>
      <c r="R172" s="4">
        <v>171758</v>
      </c>
      <c r="S172" s="4">
        <v>311499</v>
      </c>
      <c r="T172" s="10">
        <f t="shared" si="6"/>
        <v>113719</v>
      </c>
      <c r="U172" s="8">
        <f t="shared" si="7"/>
        <v>0.36507019284171055</v>
      </c>
      <c r="V172" s="9" t="s">
        <v>5271</v>
      </c>
      <c r="W172" s="9" t="str">
        <f t="shared" si="8"/>
        <v>Buckingham RD</v>
      </c>
      <c r="X172" s="9" t="str">
        <f>INDEX(Lookup!$A$2:$A$1349, MATCH(W172, Lookup!$B$2:$B$1349,0))</f>
        <v>J04000227</v>
      </c>
      <c r="Y172" s="9" t="str">
        <f>INDEX(Lookup!$F$2:$F$1349, MATCH(W172, Lookup!$B$2:$B$1349,0))</f>
        <v>e030048</v>
      </c>
      <c r="Z172" s="6" t="str">
        <f>INDEX(Lookup!$C$2:$C$1300, MATCH(X172, Lookup!$A$2:$A$1300,0))</f>
        <v>Buckinghamshire</v>
      </c>
    </row>
    <row r="173" spans="1:26" ht="28.15" customHeight="1" x14ac:dyDescent="0.2">
      <c r="A173" s="6" t="s">
        <v>207</v>
      </c>
      <c r="B173" s="1" t="s">
        <v>207</v>
      </c>
      <c r="C173" s="4">
        <v>9968</v>
      </c>
      <c r="D173" s="4">
        <v>762752</v>
      </c>
      <c r="E173" s="4">
        <v>7242</v>
      </c>
      <c r="F173" s="4">
        <v>970395</v>
      </c>
      <c r="G173" s="4">
        <v>2252</v>
      </c>
      <c r="H173" s="4">
        <v>659041</v>
      </c>
      <c r="I173" s="4">
        <v>532</v>
      </c>
      <c r="J173" s="4">
        <v>175304</v>
      </c>
      <c r="K173" s="4">
        <v>48</v>
      </c>
      <c r="L173" s="4">
        <v>47696</v>
      </c>
      <c r="M173" s="4">
        <v>2655</v>
      </c>
      <c r="N173" s="4">
        <v>322291</v>
      </c>
      <c r="O173" s="4">
        <v>90</v>
      </c>
      <c r="P173" s="4">
        <v>599000</v>
      </c>
      <c r="Q173" s="4">
        <v>51451</v>
      </c>
      <c r="R173" s="4">
        <v>579177</v>
      </c>
      <c r="S173" s="4">
        <v>4167107</v>
      </c>
      <c r="T173" s="10">
        <f t="shared" si="6"/>
        <v>2392188</v>
      </c>
      <c r="U173" s="8">
        <f t="shared" si="7"/>
        <v>0.57406445286862084</v>
      </c>
      <c r="V173" s="9" t="s">
        <v>5271</v>
      </c>
      <c r="W173" s="9" t="str">
        <f t="shared" si="8"/>
        <v>Eton RD</v>
      </c>
      <c r="X173" s="9" t="str">
        <f>INDEX(Lookup!$A$2:$A$1349, MATCH(W173, Lookup!$B$2:$B$1349,0))</f>
        <v>J04000482</v>
      </c>
      <c r="Y173" s="9" t="str">
        <f>INDEX(Lookup!$F$2:$F$1349, MATCH(W173, Lookup!$B$2:$B$1349,0))</f>
        <v>e030049</v>
      </c>
      <c r="Z173" s="6" t="str">
        <f>INDEX(Lookup!$C$2:$C$1300, MATCH(X173, Lookup!$A$2:$A$1300,0))</f>
        <v>Buckinghamshire</v>
      </c>
    </row>
    <row r="174" spans="1:26" ht="28.15" customHeight="1" x14ac:dyDescent="0.2">
      <c r="A174" s="6" t="s">
        <v>215</v>
      </c>
      <c r="B174" s="1" t="s">
        <v>210</v>
      </c>
      <c r="C174" s="4">
        <v>4224</v>
      </c>
      <c r="D174" s="4">
        <v>192752</v>
      </c>
      <c r="E174" s="4">
        <v>226</v>
      </c>
      <c r="F174" s="4">
        <v>29700</v>
      </c>
      <c r="G174" s="4">
        <v>25</v>
      </c>
      <c r="H174" s="4">
        <v>8820</v>
      </c>
      <c r="I174" s="4">
        <v>150</v>
      </c>
      <c r="J174" s="4">
        <v>25889</v>
      </c>
      <c r="K174" s="4">
        <v>13</v>
      </c>
      <c r="L174" s="4">
        <v>2210</v>
      </c>
      <c r="M174" s="4">
        <v>317</v>
      </c>
      <c r="N174" s="4">
        <v>23331</v>
      </c>
      <c r="O174" s="4">
        <v>23</v>
      </c>
      <c r="P174" s="4">
        <v>34575</v>
      </c>
      <c r="Q174" s="4">
        <v>3953</v>
      </c>
      <c r="R174" s="4">
        <v>108663</v>
      </c>
      <c r="S174" s="4">
        <v>429893</v>
      </c>
      <c r="T174" s="10">
        <f t="shared" si="6"/>
        <v>231272</v>
      </c>
      <c r="U174" s="8">
        <f t="shared" si="7"/>
        <v>0.53797572884415423</v>
      </c>
      <c r="V174" s="9" t="s">
        <v>5271</v>
      </c>
      <c r="W174" s="9" t="str">
        <f t="shared" si="8"/>
        <v>Newport Pagnell RD</v>
      </c>
      <c r="X174" s="9" t="str">
        <f>INDEX(Lookup!$A$2:$A$1349, MATCH(W174, Lookup!$B$2:$B$1349,0))</f>
        <v>J04000909</v>
      </c>
      <c r="Y174" s="9" t="str">
        <f>INDEX(Lookup!$F$2:$F$1349, MATCH(W174, Lookup!$B$2:$B$1349,0))</f>
        <v>e030050</v>
      </c>
      <c r="Z174" s="6" t="str">
        <f>INDEX(Lookup!$C$2:$C$1300, MATCH(X174, Lookup!$A$2:$A$1300,0))</f>
        <v>Buckinghamshire</v>
      </c>
    </row>
    <row r="175" spans="1:26" ht="28.15" customHeight="1" x14ac:dyDescent="0.2">
      <c r="A175" s="6" t="s">
        <v>216</v>
      </c>
      <c r="B175" s="1" t="s">
        <v>216</v>
      </c>
      <c r="C175" s="4">
        <v>2473</v>
      </c>
      <c r="D175" s="4">
        <v>124992</v>
      </c>
      <c r="E175" s="4">
        <v>168</v>
      </c>
      <c r="F175" s="4">
        <v>22326</v>
      </c>
      <c r="G175" s="4">
        <v>48</v>
      </c>
      <c r="H175" s="4">
        <v>16231</v>
      </c>
      <c r="I175" s="4">
        <v>50</v>
      </c>
      <c r="J175" s="4">
        <v>5343</v>
      </c>
      <c r="K175" s="4">
        <v>4</v>
      </c>
      <c r="L175" s="4">
        <v>410</v>
      </c>
      <c r="M175" s="4">
        <v>214</v>
      </c>
      <c r="N175" s="4">
        <v>11976</v>
      </c>
      <c r="O175" s="2">
        <v>4</v>
      </c>
      <c r="P175" s="4">
        <v>1870</v>
      </c>
      <c r="Q175" s="4">
        <v>4761</v>
      </c>
      <c r="R175" s="4">
        <v>143768</v>
      </c>
      <c r="S175" s="4">
        <v>331677</v>
      </c>
      <c r="T175" s="10">
        <f t="shared" si="6"/>
        <v>163549</v>
      </c>
      <c r="U175" s="8">
        <f t="shared" si="7"/>
        <v>0.49309719998673407</v>
      </c>
      <c r="V175" s="9" t="s">
        <v>5271</v>
      </c>
      <c r="W175" s="9" t="str">
        <f t="shared" si="8"/>
        <v>Wing RD</v>
      </c>
      <c r="X175" s="9" t="str">
        <f>INDEX(Lookup!$A$2:$A$1349, MATCH(W175, Lookup!$B$2:$B$1349,0))</f>
        <v>J04001426</v>
      </c>
      <c r="Y175" s="9" t="str">
        <f>INDEX(Lookup!$F$2:$F$1349, MATCH(W175, Lookup!$B$2:$B$1349,0))</f>
        <v>e030052</v>
      </c>
      <c r="Z175" s="6" t="str">
        <f>INDEX(Lookup!$C$2:$C$1300, MATCH(X175, Lookup!$A$2:$A$1300,0))</f>
        <v>Buckinghamshire</v>
      </c>
    </row>
    <row r="176" spans="1:26" ht="28.15" customHeight="1" x14ac:dyDescent="0.2">
      <c r="A176" s="6" t="s">
        <v>217</v>
      </c>
      <c r="B176" s="1" t="s">
        <v>217</v>
      </c>
      <c r="C176" s="4">
        <v>2256</v>
      </c>
      <c r="D176" s="4">
        <v>104659</v>
      </c>
      <c r="E176" s="4">
        <v>113</v>
      </c>
      <c r="F176" s="4">
        <v>14017</v>
      </c>
      <c r="G176" s="4">
        <v>16</v>
      </c>
      <c r="H176" s="4">
        <v>5988</v>
      </c>
      <c r="I176" s="4">
        <v>85</v>
      </c>
      <c r="J176" s="4">
        <v>12858</v>
      </c>
      <c r="K176" s="4">
        <v>6</v>
      </c>
      <c r="L176" s="4">
        <v>528</v>
      </c>
      <c r="M176" s="4">
        <v>195</v>
      </c>
      <c r="N176" s="4">
        <v>10103</v>
      </c>
      <c r="O176" s="4">
        <v>4</v>
      </c>
      <c r="P176" s="4">
        <v>2105</v>
      </c>
      <c r="Q176" s="4">
        <v>1357</v>
      </c>
      <c r="R176" s="4">
        <v>69597</v>
      </c>
      <c r="S176" s="4">
        <v>221212</v>
      </c>
      <c r="T176" s="10">
        <f t="shared" si="6"/>
        <v>124664</v>
      </c>
      <c r="U176" s="8">
        <f t="shared" si="7"/>
        <v>0.56354989783556042</v>
      </c>
      <c r="V176" s="9" t="s">
        <v>5271</v>
      </c>
      <c r="W176" s="9" t="str">
        <f t="shared" si="8"/>
        <v>Winslow RD</v>
      </c>
      <c r="X176" s="9" t="str">
        <f>INDEX(Lookup!$A$2:$A$1349, MATCH(W176, Lookup!$B$2:$B$1349,0))</f>
        <v>J04001428</v>
      </c>
      <c r="Y176" s="9" t="str">
        <f>INDEX(Lookup!$F$2:$F$1349, MATCH(W176, Lookup!$B$2:$B$1349,0))</f>
        <v>e030053</v>
      </c>
      <c r="Z176" s="6" t="str">
        <f>INDEX(Lookup!$C$2:$C$1300, MATCH(X176, Lookup!$A$2:$A$1300,0))</f>
        <v>Buckinghamshire</v>
      </c>
    </row>
    <row r="177" spans="1:26" ht="28.15" customHeight="1" x14ac:dyDescent="0.2">
      <c r="A177" s="6" t="s">
        <v>218</v>
      </c>
      <c r="B177" s="1" t="s">
        <v>218</v>
      </c>
      <c r="C177" s="4">
        <v>9865</v>
      </c>
      <c r="D177" s="4">
        <v>666136</v>
      </c>
      <c r="E177" s="4">
        <v>4801</v>
      </c>
      <c r="F177" s="4">
        <v>605188</v>
      </c>
      <c r="G177" s="4">
        <v>588</v>
      </c>
      <c r="H177" s="4">
        <v>164918</v>
      </c>
      <c r="I177" s="4">
        <v>325</v>
      </c>
      <c r="J177" s="4">
        <v>78834</v>
      </c>
      <c r="K177" s="4">
        <v>34</v>
      </c>
      <c r="L177" s="4">
        <v>21540</v>
      </c>
      <c r="M177" s="4">
        <v>709</v>
      </c>
      <c r="N177" s="4">
        <v>80948</v>
      </c>
      <c r="O177" s="4">
        <v>104</v>
      </c>
      <c r="P177" s="4">
        <v>326547</v>
      </c>
      <c r="Q177" s="4">
        <v>50825</v>
      </c>
      <c r="R177" s="4">
        <v>178285</v>
      </c>
      <c r="S177" s="4">
        <v>2173221</v>
      </c>
      <c r="T177" s="10">
        <f t="shared" si="6"/>
        <v>1436242</v>
      </c>
      <c r="U177" s="8">
        <f t="shared" si="7"/>
        <v>0.66088170508199584</v>
      </c>
      <c r="V177" s="9" t="s">
        <v>5271</v>
      </c>
      <c r="W177" s="9" t="str">
        <f t="shared" si="8"/>
        <v>Wycombe RD</v>
      </c>
      <c r="X177" s="9" t="str">
        <f>INDEX(Lookup!$A$2:$A$1349, MATCH(W177, Lookup!$B$2:$B$1349,0))</f>
        <v>J04001461</v>
      </c>
      <c r="Y177" s="9" t="str">
        <f>INDEX(Lookup!$F$2:$F$1349, MATCH(W177, Lookup!$B$2:$B$1349,0))</f>
        <v>e030055</v>
      </c>
      <c r="Z177" s="6" t="str">
        <f>INDEX(Lookup!$C$2:$C$1300, MATCH(X177, Lookup!$A$2:$A$1300,0))</f>
        <v>Buckinghamshire</v>
      </c>
    </row>
    <row r="178" spans="1:26" ht="28.15" customHeight="1" x14ac:dyDescent="0.2">
      <c r="A178" s="6" t="s">
        <v>219</v>
      </c>
      <c r="B178" s="1" t="s">
        <v>219</v>
      </c>
      <c r="T178" s="10"/>
      <c r="W178" s="9" t="str">
        <f t="shared" si="8"/>
        <v xml:space="preserve">CAMBRIDGE </v>
      </c>
      <c r="X178" s="9" t="e">
        <f>INDEX(Lookup!$A$2:$A$1349, MATCH(W178, Lookup!$B$2:$B$1349,0))</f>
        <v>#N/A</v>
      </c>
      <c r="Y178" s="9" t="e">
        <f>INDEX(Lookup!$F$2:$F$1349, MATCH(W178, Lookup!$B$2:$B$1349,0))</f>
        <v>#N/A</v>
      </c>
      <c r="Z178" s="6" t="e">
        <f>INDEX(Lookup!$C$2:$C$1300, MATCH(X178, Lookup!$A$2:$A$1300,0))</f>
        <v>#N/A</v>
      </c>
    </row>
    <row r="179" spans="1:26" ht="28.15" customHeight="1" x14ac:dyDescent="0.2">
      <c r="A179" s="6" t="s">
        <v>175</v>
      </c>
      <c r="B179" s="1" t="s">
        <v>175</v>
      </c>
      <c r="T179" s="10"/>
      <c r="W179" s="9" t="str">
        <f t="shared" si="8"/>
        <v xml:space="preserve">Non-County Boroughs-- </v>
      </c>
      <c r="X179" s="9" t="e">
        <f>INDEX(Lookup!$A$2:$A$1349, MATCH(W179, Lookup!$B$2:$B$1349,0))</f>
        <v>#N/A</v>
      </c>
      <c r="Y179" s="9" t="e">
        <f>INDEX(Lookup!$F$2:$F$1349, MATCH(W179, Lookup!$B$2:$B$1349,0))</f>
        <v>#N/A</v>
      </c>
      <c r="Z179" s="6" t="e">
        <f>INDEX(Lookup!$C$2:$C$1300, MATCH(X179, Lookup!$A$2:$A$1300,0))</f>
        <v>#N/A</v>
      </c>
    </row>
    <row r="180" spans="1:26" ht="28.15" customHeight="1" x14ac:dyDescent="0.2">
      <c r="A180" s="6" t="s">
        <v>19</v>
      </c>
      <c r="B180" s="1" t="s">
        <v>5342</v>
      </c>
      <c r="C180" s="4">
        <v>21582</v>
      </c>
      <c r="D180" s="4">
        <v>1317661</v>
      </c>
      <c r="E180" s="4">
        <v>6080</v>
      </c>
      <c r="F180" s="4">
        <v>796598</v>
      </c>
      <c r="G180" s="4">
        <v>1055</v>
      </c>
      <c r="H180" s="4">
        <v>260684</v>
      </c>
      <c r="I180" s="4">
        <v>1283</v>
      </c>
      <c r="J180" s="4">
        <v>853412</v>
      </c>
      <c r="K180" s="2">
        <v>347</v>
      </c>
      <c r="L180" s="4">
        <v>173437</v>
      </c>
      <c r="M180" s="4">
        <v>3392</v>
      </c>
      <c r="N180" s="4">
        <v>362806</v>
      </c>
      <c r="O180" s="4">
        <v>146</v>
      </c>
      <c r="P180" s="4">
        <v>391876</v>
      </c>
      <c r="Q180" s="4">
        <v>66270</v>
      </c>
      <c r="R180" s="4">
        <v>933036</v>
      </c>
      <c r="S180" s="4">
        <v>5155780</v>
      </c>
      <c r="T180" s="10">
        <f t="shared" si="6"/>
        <v>2374943</v>
      </c>
      <c r="U180" s="8">
        <f t="shared" si="7"/>
        <v>0.46063699382052764</v>
      </c>
      <c r="V180" s="9" t="s">
        <v>5268</v>
      </c>
      <c r="W180" s="9" t="str">
        <f t="shared" si="8"/>
        <v>Cambridge, city of MB</v>
      </c>
      <c r="X180" s="9" t="str">
        <f>INDEX(Lookup!$A$2:$A$1349, MATCH(W180, Lookup!$B$2:$B$1349,0))</f>
        <v>J04000256</v>
      </c>
      <c r="Y180" s="9" t="str">
        <f>INDEX(Lookup!$F$2:$F$1349, MATCH(W180, Lookup!$B$2:$B$1349,0))</f>
        <v>e040056</v>
      </c>
      <c r="Z180" s="6" t="str">
        <f>INDEX(Lookup!$C$2:$C$1300, MATCH(X180, Lookup!$A$2:$A$1300,0))</f>
        <v>Cambridgeshire</v>
      </c>
    </row>
    <row r="181" spans="1:26" ht="28.15" customHeight="1" x14ac:dyDescent="0.2">
      <c r="A181" s="6" t="s">
        <v>212</v>
      </c>
      <c r="B181" s="1" t="s">
        <v>212</v>
      </c>
      <c r="T181" s="10"/>
      <c r="W181" s="9" t="str">
        <f t="shared" si="8"/>
        <v xml:space="preserve">Rural Districts-- </v>
      </c>
      <c r="X181" s="9" t="e">
        <f>INDEX(Lookup!$A$2:$A$1349, MATCH(W181, Lookup!$B$2:$B$1349,0))</f>
        <v>#N/A</v>
      </c>
      <c r="Y181" s="9" t="e">
        <f>INDEX(Lookup!$F$2:$F$1349, MATCH(W181, Lookup!$B$2:$B$1349,0))</f>
        <v>#N/A</v>
      </c>
      <c r="Z181" s="6" t="e">
        <f>INDEX(Lookup!$C$2:$C$1300, MATCH(X181, Lookup!$A$2:$A$1300,0))</f>
        <v>#N/A</v>
      </c>
    </row>
    <row r="182" spans="1:26" ht="28.15" customHeight="1" x14ac:dyDescent="0.2">
      <c r="A182" s="6" t="s">
        <v>220</v>
      </c>
      <c r="B182" s="1" t="s">
        <v>220</v>
      </c>
      <c r="C182" s="4">
        <v>10826</v>
      </c>
      <c r="D182" s="4">
        <v>524329</v>
      </c>
      <c r="E182" s="4">
        <v>1803</v>
      </c>
      <c r="F182" s="4">
        <v>227003</v>
      </c>
      <c r="G182" s="2">
        <v>85</v>
      </c>
      <c r="H182" s="4">
        <v>22014</v>
      </c>
      <c r="I182" s="2">
        <v>300</v>
      </c>
      <c r="J182" s="4">
        <v>37479</v>
      </c>
      <c r="K182" s="2">
        <v>27</v>
      </c>
      <c r="L182" s="4">
        <v>8635</v>
      </c>
      <c r="M182" s="2">
        <v>746</v>
      </c>
      <c r="N182" s="4">
        <v>64197</v>
      </c>
      <c r="O182" s="2">
        <v>54</v>
      </c>
      <c r="P182" s="4">
        <v>229618</v>
      </c>
      <c r="Q182" s="4">
        <v>64554</v>
      </c>
      <c r="R182" s="4">
        <v>175534</v>
      </c>
      <c r="S182" s="4">
        <v>1353363</v>
      </c>
      <c r="T182" s="10">
        <f t="shared" si="6"/>
        <v>773346</v>
      </c>
      <c r="U182" s="8">
        <f t="shared" si="7"/>
        <v>0.57142540471403458</v>
      </c>
      <c r="V182" s="9" t="s">
        <v>5271</v>
      </c>
      <c r="W182" s="9" t="str">
        <f t="shared" si="8"/>
        <v>Chesterton RD</v>
      </c>
      <c r="X182" s="9" t="str">
        <f>INDEX(Lookup!$A$2:$A$1349, MATCH(W182, Lookup!$B$2:$B$1349,0))</f>
        <v>J04000304</v>
      </c>
      <c r="Y182" s="9" t="str">
        <f>INDEX(Lookup!$F$2:$F$1349, MATCH(W182, Lookup!$B$2:$B$1349,0))</f>
        <v>e040062</v>
      </c>
      <c r="Z182" s="6" t="str">
        <f>INDEX(Lookup!$C$2:$C$1300, MATCH(X182, Lookup!$A$2:$A$1300,0))</f>
        <v>Cambridgeshire</v>
      </c>
    </row>
    <row r="183" spans="1:26" ht="28.15" customHeight="1" x14ac:dyDescent="0.2">
      <c r="A183" s="6" t="s">
        <v>221</v>
      </c>
      <c r="B183" s="1" t="s">
        <v>221</v>
      </c>
      <c r="C183" s="4">
        <v>6230</v>
      </c>
      <c r="D183" s="4">
        <v>244495</v>
      </c>
      <c r="E183" s="2">
        <v>125</v>
      </c>
      <c r="F183" s="4">
        <v>15510</v>
      </c>
      <c r="G183" s="4">
        <v>20</v>
      </c>
      <c r="H183" s="4">
        <v>6865</v>
      </c>
      <c r="I183" s="4">
        <v>199</v>
      </c>
      <c r="J183" s="4">
        <v>22313</v>
      </c>
      <c r="K183" s="4">
        <v>14</v>
      </c>
      <c r="L183" s="4">
        <v>1961</v>
      </c>
      <c r="M183" s="4">
        <v>334</v>
      </c>
      <c r="N183" s="4">
        <v>24462</v>
      </c>
      <c r="O183" s="2">
        <v>25</v>
      </c>
      <c r="P183" s="4">
        <v>44355</v>
      </c>
      <c r="Q183" s="4">
        <v>1882</v>
      </c>
      <c r="R183" s="4">
        <v>116947</v>
      </c>
      <c r="S183" s="4">
        <v>478790</v>
      </c>
      <c r="T183" s="10">
        <f t="shared" si="6"/>
        <v>266870</v>
      </c>
      <c r="U183" s="8">
        <f t="shared" si="7"/>
        <v>0.55738423943691384</v>
      </c>
      <c r="V183" s="9" t="s">
        <v>5271</v>
      </c>
      <c r="W183" s="9" t="str">
        <f t="shared" si="8"/>
        <v>Newmarket RD</v>
      </c>
      <c r="X183" s="9" t="str">
        <f>INDEX(Lookup!$A$2:$A$1349, MATCH(W183, Lookup!$B$2:$B$1349,0))</f>
        <v>J04000905</v>
      </c>
      <c r="Y183" s="9" t="str">
        <f>INDEX(Lookup!$F$2:$F$1349, MATCH(W183, Lookup!$B$2:$B$1349,0))</f>
        <v>e040064</v>
      </c>
      <c r="Z183" s="6" t="str">
        <f>INDEX(Lookup!$C$2:$C$1300, MATCH(X183, Lookup!$A$2:$A$1300,0))</f>
        <v>Cambridgeshire</v>
      </c>
    </row>
    <row r="184" spans="1:26" ht="28.15" customHeight="1" x14ac:dyDescent="0.2">
      <c r="A184" s="6" t="s">
        <v>222</v>
      </c>
      <c r="B184" s="1" t="s">
        <v>222</v>
      </c>
      <c r="C184" s="4">
        <v>8088</v>
      </c>
      <c r="D184" s="4">
        <v>317835</v>
      </c>
      <c r="E184" s="2">
        <v>222</v>
      </c>
      <c r="F184" s="4">
        <v>28944</v>
      </c>
      <c r="G184" s="4">
        <v>27</v>
      </c>
      <c r="H184" s="4">
        <v>8211</v>
      </c>
      <c r="I184" s="4">
        <v>231</v>
      </c>
      <c r="J184" s="4">
        <v>19068</v>
      </c>
      <c r="K184" s="4">
        <v>13</v>
      </c>
      <c r="L184" s="4">
        <v>690</v>
      </c>
      <c r="M184" s="4">
        <v>497</v>
      </c>
      <c r="N184" s="4">
        <v>35202</v>
      </c>
      <c r="O184" s="4">
        <v>49</v>
      </c>
      <c r="P184" s="4">
        <v>141844</v>
      </c>
      <c r="Q184" s="4">
        <v>44588</v>
      </c>
      <c r="R184" s="4">
        <v>178771</v>
      </c>
      <c r="S184" s="4">
        <v>775153</v>
      </c>
      <c r="T184" s="10">
        <f t="shared" si="6"/>
        <v>354990</v>
      </c>
      <c r="U184" s="8">
        <f t="shared" si="7"/>
        <v>0.45796120249808747</v>
      </c>
      <c r="V184" s="9" t="s">
        <v>5271</v>
      </c>
      <c r="W184" s="9" t="str">
        <f t="shared" si="8"/>
        <v>South Cambridgeshire RD</v>
      </c>
      <c r="X184" s="9" t="str">
        <f>INDEX(Lookup!$A$2:$A$1349, MATCH(W184, Lookup!$B$2:$B$1349,0))</f>
        <v>J04001155</v>
      </c>
      <c r="Y184" s="9" t="str">
        <f>INDEX(Lookup!$F$2:$F$1349, MATCH(W184, Lookup!$B$2:$B$1349,0))</f>
        <v>e040066</v>
      </c>
      <c r="Z184" s="6" t="str">
        <f>INDEX(Lookup!$C$2:$C$1300, MATCH(X184, Lookup!$A$2:$A$1300,0))</f>
        <v>Cambridgeshire</v>
      </c>
    </row>
    <row r="185" spans="1:26" ht="28.15" customHeight="1" x14ac:dyDescent="0.2">
      <c r="A185" s="6" t="s">
        <v>223</v>
      </c>
      <c r="B185" s="1" t="s">
        <v>223</v>
      </c>
      <c r="T185" s="10"/>
      <c r="W185" s="9" t="str">
        <f t="shared" si="8"/>
        <v xml:space="preserve">CHESTER </v>
      </c>
      <c r="X185" s="9" t="e">
        <f>INDEX(Lookup!$A$2:$A$1349, MATCH(W185, Lookup!$B$2:$B$1349,0))</f>
        <v>#N/A</v>
      </c>
      <c r="Y185" s="9" t="e">
        <f>INDEX(Lookup!$F$2:$F$1349, MATCH(W185, Lookup!$B$2:$B$1349,0))</f>
        <v>#N/A</v>
      </c>
      <c r="Z185" s="6" t="e">
        <f>INDEX(Lookup!$C$2:$C$1300, MATCH(X185, Lookup!$A$2:$A$1300,0))</f>
        <v>#N/A</v>
      </c>
    </row>
    <row r="186" spans="1:26" ht="28.15" customHeight="1" x14ac:dyDescent="0.2">
      <c r="A186" s="6" t="s">
        <v>175</v>
      </c>
      <c r="B186" s="1" t="s">
        <v>175</v>
      </c>
      <c r="T186" s="10"/>
      <c r="W186" s="9" t="str">
        <f t="shared" si="8"/>
        <v xml:space="preserve">Non-County Boroughs-- </v>
      </c>
      <c r="X186" s="9" t="e">
        <f>INDEX(Lookup!$A$2:$A$1349, MATCH(W186, Lookup!$B$2:$B$1349,0))</f>
        <v>#N/A</v>
      </c>
      <c r="Y186" s="9" t="e">
        <f>INDEX(Lookup!$F$2:$F$1349, MATCH(W186, Lookup!$B$2:$B$1349,0))</f>
        <v>#N/A</v>
      </c>
      <c r="Z186" s="6" t="e">
        <f>INDEX(Lookup!$C$2:$C$1300, MATCH(X186, Lookup!$A$2:$A$1300,0))</f>
        <v>#N/A</v>
      </c>
    </row>
    <row r="187" spans="1:26" ht="28.15" customHeight="1" x14ac:dyDescent="0.2">
      <c r="A187" s="6" t="s">
        <v>224</v>
      </c>
      <c r="B187" s="1" t="s">
        <v>224</v>
      </c>
      <c r="C187" s="4">
        <v>11677</v>
      </c>
      <c r="D187" s="4">
        <v>716200</v>
      </c>
      <c r="E187" s="4">
        <v>1743</v>
      </c>
      <c r="F187" s="4">
        <v>219358</v>
      </c>
      <c r="G187" s="4">
        <v>74</v>
      </c>
      <c r="H187" s="4">
        <v>18856</v>
      </c>
      <c r="I187" s="4">
        <v>787</v>
      </c>
      <c r="J187" s="4">
        <v>191682</v>
      </c>
      <c r="K187" s="4">
        <v>148</v>
      </c>
      <c r="L187" s="4">
        <v>18838</v>
      </c>
      <c r="M187" s="4">
        <v>1100</v>
      </c>
      <c r="N187" s="4">
        <v>79441</v>
      </c>
      <c r="O187" s="4">
        <v>84</v>
      </c>
      <c r="P187" s="4">
        <v>242560</v>
      </c>
      <c r="Q187" s="4">
        <v>6996</v>
      </c>
      <c r="R187" s="4">
        <v>131760</v>
      </c>
      <c r="S187" s="4">
        <v>1625691</v>
      </c>
      <c r="T187" s="10">
        <f t="shared" si="6"/>
        <v>954414</v>
      </c>
      <c r="U187" s="8">
        <f t="shared" si="7"/>
        <v>0.58708204695726307</v>
      </c>
      <c r="V187" s="9" t="s">
        <v>5268</v>
      </c>
      <c r="W187" s="9" t="str">
        <f t="shared" si="8"/>
        <v>Altrincham MB</v>
      </c>
      <c r="X187" s="9" t="str">
        <f>INDEX(Lookup!$A$2:$A$1349, MATCH(W187, Lookup!$B$2:$B$1349,0))</f>
        <v>J04000034</v>
      </c>
      <c r="Y187" s="9" t="str">
        <f>INDEX(Lookup!$F$2:$F$1349, MATCH(W187, Lookup!$B$2:$B$1349,0))</f>
        <v>e050074</v>
      </c>
      <c r="Z187" s="6" t="str">
        <f>INDEX(Lookup!$C$2:$C$1300, MATCH(X187, Lookup!$A$2:$A$1300,0))</f>
        <v>Greater Manchester</v>
      </c>
    </row>
    <row r="188" spans="1:26" ht="28.15" customHeight="1" x14ac:dyDescent="0.2">
      <c r="A188" s="6" t="s">
        <v>225</v>
      </c>
      <c r="B188" s="1" t="s">
        <v>5315</v>
      </c>
      <c r="C188" s="4">
        <v>14800</v>
      </c>
      <c r="D188" s="4">
        <v>1012456</v>
      </c>
      <c r="E188" s="4">
        <v>1968</v>
      </c>
      <c r="F188" s="4">
        <v>237077</v>
      </c>
      <c r="G188" s="4">
        <v>55</v>
      </c>
      <c r="H188" s="4">
        <v>13896</v>
      </c>
      <c r="I188" s="4">
        <v>561</v>
      </c>
      <c r="J188" s="4">
        <v>112646</v>
      </c>
      <c r="K188" s="4">
        <v>58</v>
      </c>
      <c r="L188" s="4">
        <v>26044</v>
      </c>
      <c r="M188" s="4">
        <v>1100</v>
      </c>
      <c r="N188" s="4">
        <v>71847</v>
      </c>
      <c r="O188" s="2">
        <v>39</v>
      </c>
      <c r="P188" s="4">
        <v>543137</v>
      </c>
      <c r="Q188" s="4">
        <v>26496</v>
      </c>
      <c r="R188" s="4">
        <v>414565</v>
      </c>
      <c r="S188" s="4">
        <v>2458164</v>
      </c>
      <c r="T188" s="10">
        <f t="shared" si="6"/>
        <v>1263429</v>
      </c>
      <c r="U188" s="8">
        <f t="shared" si="7"/>
        <v>0.51397262347019967</v>
      </c>
      <c r="V188" s="9" t="s">
        <v>5268</v>
      </c>
      <c r="W188" s="9" t="str">
        <f t="shared" si="8"/>
        <v>Bebington MB</v>
      </c>
      <c r="X188" s="9" t="str">
        <f>INDEX(Lookup!$A$2:$A$1349, MATCH(W188, Lookup!$B$2:$B$1349,0))</f>
        <v>J04000107</v>
      </c>
      <c r="Y188" s="9" t="str">
        <f>INDEX(Lookup!$F$2:$F$1349, MATCH(W188, Lookup!$B$2:$B$1349,0))</f>
        <v>e050075</v>
      </c>
      <c r="Z188" s="6" t="str">
        <f>INDEX(Lookup!$C$2:$C$1300, MATCH(X188, Lookup!$A$2:$A$1300,0))</f>
        <v>Merseyside</v>
      </c>
    </row>
    <row r="189" spans="1:26" ht="28.15" customHeight="1" x14ac:dyDescent="0.2">
      <c r="A189" s="6" t="s">
        <v>226</v>
      </c>
      <c r="B189" s="1" t="s">
        <v>226</v>
      </c>
      <c r="C189" s="4">
        <v>5566</v>
      </c>
      <c r="D189" s="4">
        <v>246163</v>
      </c>
      <c r="E189" s="2">
        <v>228</v>
      </c>
      <c r="F189" s="4">
        <v>29034</v>
      </c>
      <c r="G189" s="4">
        <v>10</v>
      </c>
      <c r="H189" s="4">
        <v>2493</v>
      </c>
      <c r="I189" s="4">
        <v>331</v>
      </c>
      <c r="J189" s="4">
        <v>62824</v>
      </c>
      <c r="K189" s="4">
        <v>53</v>
      </c>
      <c r="L189" s="4">
        <v>4509</v>
      </c>
      <c r="M189" s="4">
        <v>612</v>
      </c>
      <c r="N189" s="4">
        <v>26044</v>
      </c>
      <c r="O189" s="4">
        <v>97</v>
      </c>
      <c r="P189" s="4">
        <v>144280</v>
      </c>
      <c r="Q189" s="4">
        <v>2176</v>
      </c>
      <c r="R189" s="4">
        <v>58912</v>
      </c>
      <c r="S189" s="4">
        <v>576435</v>
      </c>
      <c r="T189" s="10">
        <f t="shared" si="6"/>
        <v>277690</v>
      </c>
      <c r="U189" s="8">
        <f t="shared" si="7"/>
        <v>0.48173688273612808</v>
      </c>
      <c r="V189" s="9" t="s">
        <v>5268</v>
      </c>
      <c r="W189" s="9" t="str">
        <f t="shared" si="8"/>
        <v>Congleton MB</v>
      </c>
      <c r="X189" s="9" t="str">
        <f>INDEX(Lookup!$A$2:$A$1349, MATCH(W189, Lookup!$B$2:$B$1349,0))</f>
        <v>J04000341</v>
      </c>
      <c r="Y189" s="9" t="str">
        <f>INDEX(Lookup!$F$2:$F$1349, MATCH(W189, Lookup!$B$2:$B$1349,0))</f>
        <v>e050080</v>
      </c>
      <c r="Z189" s="6" t="str">
        <f>INDEX(Lookup!$C$2:$C$1300, MATCH(X189, Lookup!$A$2:$A$1300,0))</f>
        <v>Cheshire</v>
      </c>
    </row>
    <row r="190" spans="1:26" ht="28.15" customHeight="1" x14ac:dyDescent="0.2">
      <c r="A190" s="6" t="s">
        <v>227</v>
      </c>
      <c r="B190" s="1" t="s">
        <v>227</v>
      </c>
      <c r="C190" s="4">
        <v>17118</v>
      </c>
      <c r="D190" s="4">
        <v>797254</v>
      </c>
      <c r="E190" s="2">
        <v>245</v>
      </c>
      <c r="F190" s="4">
        <v>28556</v>
      </c>
      <c r="G190" s="4">
        <v>1</v>
      </c>
      <c r="H190" s="2">
        <v>202</v>
      </c>
      <c r="I190" s="4">
        <v>888</v>
      </c>
      <c r="J190" s="4">
        <v>362826</v>
      </c>
      <c r="K190" s="4">
        <v>145</v>
      </c>
      <c r="L190" s="4">
        <v>23652</v>
      </c>
      <c r="M190" s="4">
        <v>1487</v>
      </c>
      <c r="N190" s="4">
        <v>106600</v>
      </c>
      <c r="O190" s="2">
        <v>62</v>
      </c>
      <c r="P190" s="4">
        <v>309911</v>
      </c>
      <c r="Q190" s="4">
        <v>13322</v>
      </c>
      <c r="R190" s="4">
        <v>207503</v>
      </c>
      <c r="S190" s="4">
        <v>1849826</v>
      </c>
      <c r="T190" s="10">
        <f t="shared" si="6"/>
        <v>826012</v>
      </c>
      <c r="U190" s="8">
        <f t="shared" si="7"/>
        <v>0.4465349713973098</v>
      </c>
      <c r="V190" s="9" t="s">
        <v>5268</v>
      </c>
      <c r="W190" s="9" t="str">
        <f t="shared" si="8"/>
        <v>Crewe MB</v>
      </c>
      <c r="X190" s="9" t="str">
        <f>INDEX(Lookup!$A$2:$A$1349, MATCH(W190, Lookup!$B$2:$B$1349,0))</f>
        <v>J04000361</v>
      </c>
      <c r="Y190" s="9" t="str">
        <f>INDEX(Lookup!$F$2:$F$1349, MATCH(W190, Lookup!$B$2:$B$1349,0))</f>
        <v>e050081</v>
      </c>
      <c r="Z190" s="6" t="str">
        <f>INDEX(Lookup!$C$2:$C$1300, MATCH(X190, Lookup!$A$2:$A$1300,0))</f>
        <v>Cheshire</v>
      </c>
    </row>
    <row r="191" spans="1:26" ht="28.15" customHeight="1" x14ac:dyDescent="0.2">
      <c r="A191" s="6" t="s">
        <v>228</v>
      </c>
      <c r="B191" s="1" t="s">
        <v>228</v>
      </c>
      <c r="C191" s="4">
        <v>6089</v>
      </c>
      <c r="D191" s="4">
        <v>241126</v>
      </c>
      <c r="E191" s="2">
        <v>16</v>
      </c>
      <c r="F191" s="4">
        <v>1825</v>
      </c>
      <c r="I191" s="4">
        <v>325</v>
      </c>
      <c r="J191" s="4">
        <v>15928</v>
      </c>
      <c r="K191" s="4">
        <v>14</v>
      </c>
      <c r="L191" s="4">
        <v>1296</v>
      </c>
      <c r="M191" s="4">
        <v>844</v>
      </c>
      <c r="N191" s="4">
        <v>25326</v>
      </c>
      <c r="O191" s="4">
        <v>77</v>
      </c>
      <c r="P191" s="4">
        <v>138203</v>
      </c>
      <c r="Q191" s="4">
        <v>714</v>
      </c>
      <c r="R191" s="4">
        <v>63281</v>
      </c>
      <c r="S191" s="4">
        <v>487699</v>
      </c>
      <c r="T191" s="10">
        <f t="shared" si="6"/>
        <v>242951</v>
      </c>
      <c r="U191" s="8">
        <f t="shared" si="7"/>
        <v>0.49815767512338555</v>
      </c>
      <c r="V191" s="9" t="s">
        <v>5268</v>
      </c>
      <c r="W191" s="9" t="str">
        <f t="shared" si="8"/>
        <v>Dukinfield MB</v>
      </c>
      <c r="X191" s="9" t="str">
        <f>INDEX(Lookup!$A$2:$A$1349, MATCH(W191, Lookup!$B$2:$B$1349,0))</f>
        <v>J04000434</v>
      </c>
      <c r="Y191" s="9" t="str">
        <f>INDEX(Lookup!$F$2:$F$1349, MATCH(W191, Lookup!$B$2:$B$1349,0))</f>
        <v>e050082</v>
      </c>
      <c r="Z191" s="6" t="str">
        <f>INDEX(Lookup!$C$2:$C$1300, MATCH(X191, Lookup!$A$2:$A$1300,0))</f>
        <v>Greater Manchester</v>
      </c>
    </row>
    <row r="192" spans="1:26" ht="28.15" customHeight="1" x14ac:dyDescent="0.2">
      <c r="A192" s="6" t="s">
        <v>229</v>
      </c>
      <c r="B192" s="1" t="s">
        <v>229</v>
      </c>
      <c r="C192" s="4">
        <v>13193</v>
      </c>
      <c r="D192" s="4">
        <v>765147</v>
      </c>
      <c r="E192" s="2">
        <v>496</v>
      </c>
      <c r="F192" s="4">
        <v>57230</v>
      </c>
      <c r="G192" s="4">
        <v>9</v>
      </c>
      <c r="H192" s="4">
        <v>2082</v>
      </c>
      <c r="I192" s="4">
        <v>475</v>
      </c>
      <c r="J192" s="4">
        <v>153669</v>
      </c>
      <c r="K192" s="4">
        <v>77</v>
      </c>
      <c r="L192" s="4">
        <v>15196</v>
      </c>
      <c r="M192" s="4">
        <v>1385</v>
      </c>
      <c r="N192" s="4">
        <v>92960</v>
      </c>
      <c r="O192" s="2">
        <v>48</v>
      </c>
      <c r="P192" s="4">
        <v>1814896</v>
      </c>
      <c r="Q192" s="4">
        <v>3200</v>
      </c>
      <c r="R192" s="4">
        <v>300324</v>
      </c>
      <c r="S192" s="4">
        <v>3204704</v>
      </c>
      <c r="T192" s="10">
        <f t="shared" si="6"/>
        <v>824459</v>
      </c>
      <c r="U192" s="8">
        <f t="shared" si="7"/>
        <v>0.25726525757137009</v>
      </c>
      <c r="V192" s="9" t="s">
        <v>5268</v>
      </c>
      <c r="W192" s="9" t="str">
        <f t="shared" si="8"/>
        <v>Ellesmere Port MB</v>
      </c>
      <c r="X192" s="9" t="str">
        <f>INDEX(Lookup!$A$2:$A$1349, MATCH(W192, Lookup!$B$2:$B$1349,0))</f>
        <v>J04000467</v>
      </c>
      <c r="Y192" s="9" t="str">
        <f>INDEX(Lookup!$F$2:$F$1349, MATCH(W192, Lookup!$B$2:$B$1349,0))</f>
        <v>e050083</v>
      </c>
      <c r="Z192" s="6" t="str">
        <f>INDEX(Lookup!$C$2:$C$1300, MATCH(X192, Lookup!$A$2:$A$1300,0))</f>
        <v>Cheshire</v>
      </c>
    </row>
    <row r="193" spans="1:26" ht="28.15" customHeight="1" x14ac:dyDescent="0.2">
      <c r="A193" s="6" t="s">
        <v>230</v>
      </c>
      <c r="B193" s="1" t="s">
        <v>230</v>
      </c>
      <c r="C193" s="4">
        <v>11261</v>
      </c>
      <c r="D193" s="4">
        <v>492137</v>
      </c>
      <c r="E193" s="2">
        <v>197</v>
      </c>
      <c r="F193" s="4">
        <v>112098</v>
      </c>
      <c r="G193" s="4">
        <v>22</v>
      </c>
      <c r="H193" s="4">
        <v>5065</v>
      </c>
      <c r="I193" s="4">
        <v>710</v>
      </c>
      <c r="J193" s="4">
        <v>86050</v>
      </c>
      <c r="K193" s="4">
        <v>63</v>
      </c>
      <c r="L193" s="4">
        <v>4812</v>
      </c>
      <c r="M193" s="4">
        <v>1368</v>
      </c>
      <c r="N193" s="4">
        <v>56783</v>
      </c>
      <c r="O193" s="4">
        <v>148</v>
      </c>
      <c r="P193" s="4">
        <v>267002</v>
      </c>
      <c r="Q193" s="4">
        <v>2527</v>
      </c>
      <c r="R193" s="4">
        <v>93647</v>
      </c>
      <c r="S193" s="4">
        <v>1032207</v>
      </c>
      <c r="T193" s="10">
        <f t="shared" si="6"/>
        <v>609300</v>
      </c>
      <c r="U193" s="8">
        <f t="shared" si="7"/>
        <v>0.590288575837986</v>
      </c>
      <c r="V193" s="9" t="s">
        <v>5268</v>
      </c>
      <c r="W193" s="9" t="str">
        <f t="shared" si="8"/>
        <v>Hyde MB</v>
      </c>
      <c r="X193" s="9" t="str">
        <f>INDEX(Lookup!$A$2:$A$1349, MATCH(W193, Lookup!$B$2:$B$1349,0))</f>
        <v>J04000663</v>
      </c>
      <c r="Y193" s="9" t="str">
        <f>INDEX(Lookup!$F$2:$F$1349, MATCH(W193, Lookup!$B$2:$B$1349,0))</f>
        <v>e050087</v>
      </c>
      <c r="Z193" s="6" t="str">
        <f>INDEX(Lookup!$C$2:$C$1300, MATCH(X193, Lookup!$A$2:$A$1300,0))</f>
        <v>Greater Manchester</v>
      </c>
    </row>
    <row r="194" spans="1:26" ht="28.15" customHeight="1" x14ac:dyDescent="0.2">
      <c r="A194" s="6" t="s">
        <v>231</v>
      </c>
      <c r="B194" s="1" t="s">
        <v>231</v>
      </c>
      <c r="C194" s="4">
        <v>12241</v>
      </c>
      <c r="D194" s="4">
        <v>535037</v>
      </c>
      <c r="E194" s="2">
        <v>878</v>
      </c>
      <c r="F194" s="4">
        <v>439109</v>
      </c>
      <c r="G194" s="4">
        <v>73</v>
      </c>
      <c r="H194" s="4">
        <v>17197</v>
      </c>
      <c r="I194" s="4">
        <v>917</v>
      </c>
      <c r="J194" s="4">
        <v>175610</v>
      </c>
      <c r="K194" s="4">
        <v>126</v>
      </c>
      <c r="L194" s="4">
        <v>13203</v>
      </c>
      <c r="M194" s="4">
        <v>1539</v>
      </c>
      <c r="N194" s="4">
        <v>74901</v>
      </c>
      <c r="O194" s="2">
        <v>224</v>
      </c>
      <c r="P194" s="4">
        <v>152298</v>
      </c>
      <c r="Q194" s="4">
        <v>20267</v>
      </c>
      <c r="R194" s="4">
        <v>115849</v>
      </c>
      <c r="S194" s="4">
        <v>1216460</v>
      </c>
      <c r="T194" s="10">
        <f t="shared" si="6"/>
        <v>991343</v>
      </c>
      <c r="U194" s="8">
        <f t="shared" si="7"/>
        <v>0.81494089406967762</v>
      </c>
      <c r="V194" s="9" t="s">
        <v>5268</v>
      </c>
      <c r="W194" s="9" t="str">
        <f t="shared" si="8"/>
        <v>Macclesfield MB</v>
      </c>
      <c r="X194" s="9" t="str">
        <f>INDEX(Lookup!$A$2:$A$1349, MATCH(W194, Lookup!$B$2:$B$1349,0))</f>
        <v>J04000801</v>
      </c>
      <c r="Y194" s="9" t="str">
        <f>INDEX(Lookup!$F$2:$F$1349, MATCH(W194, Lookup!$B$2:$B$1349,0))</f>
        <v>e050091</v>
      </c>
      <c r="Z194" s="6" t="str">
        <f>INDEX(Lookup!$C$2:$C$1300, MATCH(X194, Lookup!$A$2:$A$1300,0))</f>
        <v>Cheshire</v>
      </c>
    </row>
    <row r="195" spans="1:26" ht="28.15" customHeight="1" x14ac:dyDescent="0.2">
      <c r="A195" s="6" t="s">
        <v>232</v>
      </c>
      <c r="B195" s="1" t="s">
        <v>232</v>
      </c>
      <c r="C195" s="4">
        <v>13520</v>
      </c>
      <c r="D195" s="4">
        <v>926928</v>
      </c>
      <c r="E195" s="4">
        <v>3558</v>
      </c>
      <c r="F195" s="4">
        <v>439109</v>
      </c>
      <c r="G195" s="4">
        <v>87</v>
      </c>
      <c r="H195" s="4">
        <v>19532</v>
      </c>
      <c r="I195" s="4">
        <v>648</v>
      </c>
      <c r="J195" s="4">
        <v>158405</v>
      </c>
      <c r="K195" s="4">
        <v>117</v>
      </c>
      <c r="L195" s="4">
        <v>31166</v>
      </c>
      <c r="M195" s="4">
        <v>959</v>
      </c>
      <c r="N195" s="4">
        <v>57042</v>
      </c>
      <c r="O195" s="4">
        <v>33</v>
      </c>
      <c r="P195" s="4">
        <v>23100</v>
      </c>
      <c r="Q195" s="4">
        <v>4809</v>
      </c>
      <c r="R195" s="4">
        <v>128731</v>
      </c>
      <c r="S195" s="4">
        <v>1788822</v>
      </c>
      <c r="T195" s="10">
        <f t="shared" ref="T195:T258" si="9">SUM(D195+F195+H195)</f>
        <v>1385569</v>
      </c>
      <c r="U195" s="8">
        <f t="shared" ref="U195:U258" si="10">T195/S195</f>
        <v>0.77457063922514369</v>
      </c>
      <c r="V195" s="9" t="s">
        <v>5268</v>
      </c>
      <c r="W195" s="9" t="str">
        <f t="shared" ref="W195:W258" si="11">_xlfn.CONCAT(B195," ",V195)</f>
        <v>Sale MB</v>
      </c>
      <c r="X195" s="9" t="str">
        <f>INDEX(Lookup!$A$2:$A$1349, MATCH(W195, Lookup!$B$2:$B$1349,0))</f>
        <v>J04001093</v>
      </c>
      <c r="Y195" s="9" t="str">
        <f>INDEX(Lookup!$F$2:$F$1349, MATCH(W195, Lookup!$B$2:$B$1349,0))</f>
        <v>e050100</v>
      </c>
      <c r="Z195" s="6" t="str">
        <f>INDEX(Lookup!$C$2:$C$1300, MATCH(X195, Lookup!$A$2:$A$1300,0))</f>
        <v>Greater Manchester</v>
      </c>
    </row>
    <row r="196" spans="1:26" ht="28.15" customHeight="1" x14ac:dyDescent="0.2">
      <c r="A196" s="6" t="s">
        <v>233</v>
      </c>
      <c r="B196" s="1" t="s">
        <v>233</v>
      </c>
      <c r="C196" s="4">
        <v>7598</v>
      </c>
      <c r="D196" s="4">
        <v>280073</v>
      </c>
      <c r="E196" s="2">
        <v>200</v>
      </c>
      <c r="F196" s="4">
        <v>25828</v>
      </c>
      <c r="G196" s="2">
        <v>3</v>
      </c>
      <c r="H196" s="2">
        <v>682</v>
      </c>
      <c r="I196" s="2">
        <v>442</v>
      </c>
      <c r="J196" s="4">
        <v>30062</v>
      </c>
      <c r="K196" s="4">
        <v>35</v>
      </c>
      <c r="L196" s="4">
        <v>1923</v>
      </c>
      <c r="M196" s="4">
        <v>1146</v>
      </c>
      <c r="N196" s="4">
        <v>33324</v>
      </c>
      <c r="O196" s="2">
        <v>88</v>
      </c>
      <c r="P196" s="4">
        <v>143567</v>
      </c>
      <c r="Q196" s="4">
        <v>1024</v>
      </c>
      <c r="R196" s="4">
        <v>105982</v>
      </c>
      <c r="S196" s="4">
        <v>622465</v>
      </c>
      <c r="T196" s="10">
        <f t="shared" si="9"/>
        <v>306583</v>
      </c>
      <c r="U196" s="8">
        <f t="shared" si="10"/>
        <v>0.49253050372310092</v>
      </c>
      <c r="V196" s="9" t="s">
        <v>5268</v>
      </c>
      <c r="W196" s="9" t="str">
        <f t="shared" si="11"/>
        <v>Stalybridge MB</v>
      </c>
      <c r="X196" s="9" t="str">
        <f>INDEX(Lookup!$A$2:$A$1349, MATCH(W196, Lookup!$B$2:$B$1349,0))</f>
        <v>J04001199</v>
      </c>
      <c r="Y196" s="9" t="str">
        <f>INDEX(Lookup!$F$2:$F$1349, MATCH(W196, Lookup!$B$2:$B$1349,0))</f>
        <v>e050102</v>
      </c>
      <c r="Z196" s="6" t="str">
        <f>INDEX(Lookup!$C$2:$C$1300, MATCH(X196, Lookup!$A$2:$A$1300,0))</f>
        <v>Greater Manchester</v>
      </c>
    </row>
    <row r="197" spans="1:26" ht="28.15" customHeight="1" x14ac:dyDescent="0.2">
      <c r="A197" s="6" t="s">
        <v>179</v>
      </c>
      <c r="B197" s="1" t="s">
        <v>179</v>
      </c>
      <c r="T197" s="10"/>
      <c r="W197" s="9" t="str">
        <f t="shared" si="11"/>
        <v xml:space="preserve">Urban Districts-- </v>
      </c>
      <c r="X197" s="9" t="e">
        <f>INDEX(Lookup!$A$2:$A$1349, MATCH(W197, Lookup!$B$2:$B$1349,0))</f>
        <v>#N/A</v>
      </c>
      <c r="Y197" s="9" t="e">
        <f>INDEX(Lookup!$F$2:$F$1349, MATCH(W197, Lookup!$B$2:$B$1349,0))</f>
        <v>#N/A</v>
      </c>
      <c r="Z197" s="6" t="e">
        <f>INDEX(Lookup!$C$2:$C$1300, MATCH(X197, Lookup!$A$2:$A$1300,0))</f>
        <v>#N/A</v>
      </c>
    </row>
    <row r="198" spans="1:26" ht="28.15" customHeight="1" x14ac:dyDescent="0.2">
      <c r="A198" s="6" t="s">
        <v>234</v>
      </c>
      <c r="B198" s="1" t="s">
        <v>5343</v>
      </c>
      <c r="C198" s="4">
        <v>889</v>
      </c>
      <c r="D198" s="4">
        <v>48991</v>
      </c>
      <c r="E198" s="2">
        <v>211</v>
      </c>
      <c r="F198" s="4">
        <v>30316</v>
      </c>
      <c r="G198" s="4">
        <v>115</v>
      </c>
      <c r="H198" s="4">
        <v>33206</v>
      </c>
      <c r="I198" s="4">
        <v>89</v>
      </c>
      <c r="J198" s="4">
        <v>17027</v>
      </c>
      <c r="K198" s="4">
        <v>15</v>
      </c>
      <c r="L198" s="4">
        <v>2762</v>
      </c>
      <c r="M198" s="4">
        <v>131</v>
      </c>
      <c r="N198" s="4">
        <v>10085</v>
      </c>
      <c r="O198" s="4">
        <v>8</v>
      </c>
      <c r="P198" s="4">
        <v>1942</v>
      </c>
      <c r="Q198" s="4">
        <v>875</v>
      </c>
      <c r="R198" s="4">
        <v>15148</v>
      </c>
      <c r="S198" s="4">
        <v>160352</v>
      </c>
      <c r="T198" s="10">
        <f t="shared" si="9"/>
        <v>112513</v>
      </c>
      <c r="U198" s="8">
        <f t="shared" si="10"/>
        <v>0.70166259229694672</v>
      </c>
      <c r="V198" s="9" t="s">
        <v>5270</v>
      </c>
      <c r="W198" s="9" t="str">
        <f t="shared" si="11"/>
        <v>Alderley Edge UD</v>
      </c>
      <c r="X198" s="9" t="str">
        <f>INDEX(Lookup!$A$2:$A$1349, MATCH(W198, Lookup!$B$2:$B$1349,0))</f>
        <v>J04000022</v>
      </c>
      <c r="Y198" s="9" t="str">
        <f>INDEX(Lookup!$F$2:$F$1349, MATCH(W198, Lookup!$B$2:$B$1349,0))</f>
        <v>e050072</v>
      </c>
      <c r="Z198" s="6" t="str">
        <f>INDEX(Lookup!$C$2:$C$1300, MATCH(X198, Lookup!$A$2:$A$1300,0))</f>
        <v>Cheshire</v>
      </c>
    </row>
    <row r="199" spans="1:26" ht="28.15" customHeight="1" x14ac:dyDescent="0.2">
      <c r="A199" s="6" t="s">
        <v>235</v>
      </c>
      <c r="B199" s="1" t="s">
        <v>235</v>
      </c>
      <c r="C199" s="4">
        <v>2324</v>
      </c>
      <c r="D199" s="4">
        <v>138316</v>
      </c>
      <c r="E199" s="2">
        <v>322</v>
      </c>
      <c r="F199" s="4">
        <v>39343</v>
      </c>
      <c r="G199" s="4">
        <v>15</v>
      </c>
      <c r="H199" s="4">
        <v>3521</v>
      </c>
      <c r="I199" s="4">
        <v>69</v>
      </c>
      <c r="J199" s="4">
        <v>16198</v>
      </c>
      <c r="K199" s="4">
        <v>10</v>
      </c>
      <c r="L199" s="4">
        <v>1316</v>
      </c>
      <c r="M199" s="4">
        <v>227</v>
      </c>
      <c r="N199" s="4">
        <v>6276</v>
      </c>
      <c r="O199" s="2">
        <v>8</v>
      </c>
      <c r="P199" s="4">
        <v>40705</v>
      </c>
      <c r="Q199" s="4">
        <v>7863</v>
      </c>
      <c r="R199" s="4">
        <v>28983</v>
      </c>
      <c r="S199" s="4">
        <v>252521</v>
      </c>
      <c r="T199" s="10">
        <f t="shared" si="9"/>
        <v>181180</v>
      </c>
      <c r="U199" s="8">
        <f t="shared" si="10"/>
        <v>0.71748488244542041</v>
      </c>
      <c r="V199" s="9" t="s">
        <v>5270</v>
      </c>
      <c r="W199" s="9" t="str">
        <f t="shared" si="11"/>
        <v>Alsager UD</v>
      </c>
      <c r="X199" s="9" t="str">
        <f>INDEX(Lookup!$A$2:$A$1349, MATCH(W199, Lookup!$B$2:$B$1349,0))</f>
        <v>J04000030</v>
      </c>
      <c r="Y199" s="9" t="str">
        <f>INDEX(Lookup!$F$2:$F$1349, MATCH(W199, Lookup!$B$2:$B$1349,0))</f>
        <v>e050073</v>
      </c>
      <c r="Z199" s="6" t="str">
        <f>INDEX(Lookup!$C$2:$C$1300, MATCH(X199, Lookup!$A$2:$A$1300,0))</f>
        <v>Cheshire</v>
      </c>
    </row>
    <row r="200" spans="1:26" ht="28.15" customHeight="1" x14ac:dyDescent="0.2">
      <c r="A200" s="6" t="s">
        <v>236</v>
      </c>
      <c r="B200" s="1" t="s">
        <v>236</v>
      </c>
      <c r="C200" s="4">
        <v>1901</v>
      </c>
      <c r="D200" s="4">
        <v>79940</v>
      </c>
      <c r="E200" s="2">
        <v>88</v>
      </c>
      <c r="F200" s="4">
        <v>11628</v>
      </c>
      <c r="G200" s="4">
        <v>6</v>
      </c>
      <c r="H200" s="4">
        <v>1632</v>
      </c>
      <c r="I200" s="4">
        <v>97</v>
      </c>
      <c r="J200" s="4">
        <v>7119</v>
      </c>
      <c r="K200" s="4">
        <v>2</v>
      </c>
      <c r="L200" s="4">
        <v>666</v>
      </c>
      <c r="M200" s="4">
        <v>222</v>
      </c>
      <c r="N200" s="4">
        <v>5705</v>
      </c>
      <c r="O200" s="4">
        <v>26</v>
      </c>
      <c r="P200" s="4">
        <v>40208</v>
      </c>
      <c r="Q200" s="4">
        <v>152</v>
      </c>
      <c r="R200" s="4">
        <v>12038</v>
      </c>
      <c r="S200" s="4">
        <v>159088</v>
      </c>
      <c r="T200" s="10">
        <f t="shared" si="9"/>
        <v>93200</v>
      </c>
      <c r="U200" s="8">
        <f t="shared" si="10"/>
        <v>0.58583928391833451</v>
      </c>
      <c r="V200" s="9" t="s">
        <v>5270</v>
      </c>
      <c r="W200" s="9" t="str">
        <f t="shared" si="11"/>
        <v>Bollington UD</v>
      </c>
      <c r="X200" s="9" t="str">
        <f>INDEX(Lookup!$A$2:$A$1349, MATCH(W200, Lookup!$B$2:$B$1349,0))</f>
        <v>J04000171</v>
      </c>
      <c r="Y200" s="9" t="str">
        <f>INDEX(Lookup!$F$2:$F$1349, MATCH(W200, Lookup!$B$2:$B$1349,0))</f>
        <v>e050076</v>
      </c>
      <c r="Z200" s="6" t="str">
        <f>INDEX(Lookup!$C$2:$C$1300, MATCH(X200, Lookup!$A$2:$A$1300,0))</f>
        <v>Cheshire</v>
      </c>
    </row>
    <row r="201" spans="1:26" ht="28.15" customHeight="1" x14ac:dyDescent="0.2">
      <c r="A201" s="6" t="s">
        <v>237</v>
      </c>
      <c r="B201" s="1" t="s">
        <v>5344</v>
      </c>
      <c r="C201" s="4">
        <v>659</v>
      </c>
      <c r="D201" s="4">
        <v>36379</v>
      </c>
      <c r="E201" s="2">
        <v>632</v>
      </c>
      <c r="F201" s="4">
        <v>94644</v>
      </c>
      <c r="G201" s="4">
        <v>130</v>
      </c>
      <c r="H201" s="4">
        <v>33304</v>
      </c>
      <c r="I201" s="4">
        <v>23</v>
      </c>
      <c r="J201" s="4">
        <v>2442</v>
      </c>
      <c r="K201" s="4">
        <v>4</v>
      </c>
      <c r="L201" s="4">
        <v>636</v>
      </c>
      <c r="M201" s="4">
        <v>188</v>
      </c>
      <c r="N201" s="4">
        <v>6918</v>
      </c>
      <c r="Q201" s="4">
        <v>680</v>
      </c>
      <c r="R201" s="4">
        <v>17810</v>
      </c>
      <c r="S201" s="4">
        <v>192813</v>
      </c>
      <c r="T201" s="10">
        <f t="shared" si="9"/>
        <v>164327</v>
      </c>
      <c r="U201" s="8">
        <f t="shared" si="10"/>
        <v>0.85226099899903018</v>
      </c>
      <c r="V201" s="9" t="s">
        <v>5270</v>
      </c>
      <c r="W201" s="9" t="str">
        <f t="shared" si="11"/>
        <v>Bowdon UD</v>
      </c>
      <c r="X201" s="9" t="str">
        <f>INDEX(Lookup!$A$2:$A$1349, MATCH(W201, Lookup!$B$2:$B$1349,0))</f>
        <v>J04000180</v>
      </c>
      <c r="Y201" s="9" t="str">
        <f>INDEX(Lookup!$F$2:$F$1349, MATCH(W201, Lookup!$B$2:$B$1349,0))</f>
        <v>e050077</v>
      </c>
      <c r="Z201" s="6" t="str">
        <f>INDEX(Lookup!$C$2:$C$1300, MATCH(X201, Lookup!$A$2:$A$1300,0))</f>
        <v>Greater Manchester</v>
      </c>
    </row>
    <row r="202" spans="1:26" ht="28.15" customHeight="1" x14ac:dyDescent="0.2">
      <c r="A202" s="6" t="s">
        <v>238</v>
      </c>
      <c r="B202" s="1" t="s">
        <v>5338</v>
      </c>
      <c r="C202" s="4">
        <v>7380</v>
      </c>
      <c r="D202" s="4">
        <v>443646</v>
      </c>
      <c r="E202" s="2">
        <v>547</v>
      </c>
      <c r="F202" s="4">
        <v>68430</v>
      </c>
      <c r="G202" s="4">
        <v>31</v>
      </c>
      <c r="H202" s="4">
        <v>7394</v>
      </c>
      <c r="I202" s="4">
        <v>259</v>
      </c>
      <c r="J202" s="4">
        <v>29515</v>
      </c>
      <c r="K202" s="4">
        <v>10</v>
      </c>
      <c r="L202" s="4">
        <v>822</v>
      </c>
      <c r="M202" s="4">
        <v>551</v>
      </c>
      <c r="N202" s="4">
        <v>17534</v>
      </c>
      <c r="O202" s="4">
        <v>54</v>
      </c>
      <c r="P202" s="4">
        <v>177589</v>
      </c>
      <c r="Q202" s="4">
        <v>332</v>
      </c>
      <c r="R202" s="4">
        <v>59522</v>
      </c>
      <c r="S202" s="4">
        <v>804784</v>
      </c>
      <c r="T202" s="10">
        <f t="shared" si="9"/>
        <v>519470</v>
      </c>
      <c r="U202" s="8">
        <f t="shared" si="10"/>
        <v>0.64547754428517468</v>
      </c>
      <c r="V202" s="9" t="s">
        <v>5270</v>
      </c>
      <c r="W202" s="9" t="str">
        <f t="shared" si="11"/>
        <v>Bredbury and Romiley UD</v>
      </c>
      <c r="X202" s="9" t="str">
        <f>INDEX(Lookup!$A$2:$A$1349, MATCH(W202, Lookup!$B$2:$B$1349,0))</f>
        <v>J04000194</v>
      </c>
      <c r="Y202" s="9" t="str">
        <f>INDEX(Lookup!$F$2:$F$1349, MATCH(W202, Lookup!$B$2:$B$1349,0))</f>
        <v>e050078</v>
      </c>
      <c r="Z202" s="6" t="str">
        <f>INDEX(Lookup!$C$2:$C$1300, MATCH(X202, Lookup!$A$2:$A$1300,0))</f>
        <v>Greater Manchester</v>
      </c>
    </row>
    <row r="203" spans="1:26" ht="28.15" customHeight="1" x14ac:dyDescent="0.2">
      <c r="A203" s="6" t="s">
        <v>239</v>
      </c>
      <c r="B203" s="1" t="s">
        <v>5339</v>
      </c>
      <c r="C203" s="4">
        <v>10980</v>
      </c>
      <c r="D203" s="4">
        <v>773361</v>
      </c>
      <c r="E203" s="2">
        <v>5323</v>
      </c>
      <c r="F203" s="4">
        <v>694726</v>
      </c>
      <c r="G203" s="4">
        <v>257</v>
      </c>
      <c r="H203" s="4">
        <v>60862</v>
      </c>
      <c r="I203" s="4">
        <v>505</v>
      </c>
      <c r="J203" s="4">
        <v>130264</v>
      </c>
      <c r="K203" s="4">
        <v>71</v>
      </c>
      <c r="L203" s="4">
        <v>19627</v>
      </c>
      <c r="M203" s="4">
        <v>537</v>
      </c>
      <c r="N203" s="4">
        <v>53232</v>
      </c>
      <c r="O203" s="2">
        <v>37</v>
      </c>
      <c r="P203" s="4">
        <v>114817</v>
      </c>
      <c r="Q203" s="4">
        <v>4054</v>
      </c>
      <c r="R203" s="4">
        <v>162375</v>
      </c>
      <c r="S203" s="4">
        <v>2013318</v>
      </c>
      <c r="T203" s="10">
        <f t="shared" si="9"/>
        <v>1528949</v>
      </c>
      <c r="U203" s="8">
        <f t="shared" si="10"/>
        <v>0.75941753861039341</v>
      </c>
      <c r="V203" s="9" t="s">
        <v>5270</v>
      </c>
      <c r="W203" s="9" t="str">
        <f t="shared" si="11"/>
        <v>Cheadle and Gatley UD</v>
      </c>
      <c r="X203" s="9" t="str">
        <f>INDEX(Lookup!$A$2:$A$1349, MATCH(W203, Lookup!$B$2:$B$1349,0))</f>
        <v>J04000286</v>
      </c>
      <c r="Y203" s="9" t="str">
        <f>INDEX(Lookup!$F$2:$F$1349, MATCH(W203, Lookup!$B$2:$B$1349,0))</f>
        <v>e050079</v>
      </c>
      <c r="Z203" s="6" t="str">
        <f>INDEX(Lookup!$C$2:$C$1300, MATCH(X203, Lookup!$A$2:$A$1300,0))</f>
        <v>Greater Manchester</v>
      </c>
    </row>
    <row r="204" spans="1:26" ht="28.15" customHeight="1" x14ac:dyDescent="0.2">
      <c r="A204" s="6" t="s">
        <v>240</v>
      </c>
      <c r="B204" s="1" t="s">
        <v>240</v>
      </c>
      <c r="C204" s="4">
        <v>2577</v>
      </c>
      <c r="D204" s="4">
        <v>173331</v>
      </c>
      <c r="E204" s="4">
        <v>2151</v>
      </c>
      <c r="F204" s="4">
        <v>285424</v>
      </c>
      <c r="G204" s="4">
        <v>476</v>
      </c>
      <c r="H204" s="4">
        <v>129044</v>
      </c>
      <c r="I204" s="4">
        <v>195</v>
      </c>
      <c r="J204" s="4">
        <v>33420</v>
      </c>
      <c r="K204" s="4">
        <v>7</v>
      </c>
      <c r="L204" s="4">
        <v>1032</v>
      </c>
      <c r="M204" s="4">
        <v>184</v>
      </c>
      <c r="N204" s="4">
        <v>16698</v>
      </c>
      <c r="O204" s="4">
        <v>7</v>
      </c>
      <c r="P204" s="4">
        <v>11625</v>
      </c>
      <c r="Q204" s="4">
        <v>874</v>
      </c>
      <c r="R204" s="4">
        <v>40479</v>
      </c>
      <c r="S204" s="4">
        <v>691927</v>
      </c>
      <c r="T204" s="10">
        <f t="shared" si="9"/>
        <v>587799</v>
      </c>
      <c r="U204" s="8">
        <f t="shared" si="10"/>
        <v>0.84951013618488658</v>
      </c>
      <c r="V204" s="9" t="s">
        <v>5270</v>
      </c>
      <c r="W204" s="9" t="str">
        <f t="shared" si="11"/>
        <v>Hale UD</v>
      </c>
      <c r="X204" s="9" t="str">
        <f>INDEX(Lookup!$A$2:$A$1349, MATCH(W204, Lookup!$B$2:$B$1349,0))</f>
        <v>J04000563</v>
      </c>
      <c r="Y204" s="9" t="str">
        <f>INDEX(Lookup!$F$2:$F$1349, MATCH(W204, Lookup!$B$2:$B$1349,0))</f>
        <v>e050084</v>
      </c>
      <c r="Z204" s="6" t="str">
        <f>INDEX(Lookup!$C$2:$C$1300, MATCH(X204, Lookup!$A$2:$A$1300,0))</f>
        <v>Greater Manchester</v>
      </c>
    </row>
    <row r="205" spans="1:26" ht="28.15" customHeight="1" x14ac:dyDescent="0.2">
      <c r="A205" s="6" t="s">
        <v>241</v>
      </c>
      <c r="B205" s="1" t="s">
        <v>5340</v>
      </c>
      <c r="C205" s="4">
        <v>5032</v>
      </c>
      <c r="D205" s="4">
        <v>321042</v>
      </c>
      <c r="E205" s="4">
        <v>4793</v>
      </c>
      <c r="F205" s="4">
        <v>646761</v>
      </c>
      <c r="G205" s="4">
        <v>594</v>
      </c>
      <c r="H205" s="4">
        <v>143204</v>
      </c>
      <c r="I205" s="4">
        <v>368</v>
      </c>
      <c r="J205" s="4">
        <v>126414</v>
      </c>
      <c r="K205" s="4">
        <v>31</v>
      </c>
      <c r="L205" s="4">
        <v>5898</v>
      </c>
      <c r="M205" s="4">
        <v>410</v>
      </c>
      <c r="N205" s="4">
        <v>39266</v>
      </c>
      <c r="O205" s="2">
        <v>29</v>
      </c>
      <c r="P205" s="4">
        <v>151890</v>
      </c>
      <c r="Q205" s="4">
        <v>3875</v>
      </c>
      <c r="R205" s="4">
        <v>82894</v>
      </c>
      <c r="S205" s="4">
        <v>1521244</v>
      </c>
      <c r="T205" s="10">
        <f t="shared" si="9"/>
        <v>1111007</v>
      </c>
      <c r="U205" s="8">
        <f t="shared" si="10"/>
        <v>0.73032794213157126</v>
      </c>
      <c r="V205" s="9" t="s">
        <v>5270</v>
      </c>
      <c r="W205" s="9" t="str">
        <f t="shared" si="11"/>
        <v>Hazel Grove and Bramhall UD</v>
      </c>
      <c r="X205" s="9" t="str">
        <f>INDEX(Lookup!$A$2:$A$1349, MATCH(W205, Lookup!$B$2:$B$1349,0))</f>
        <v>J04000595</v>
      </c>
      <c r="Y205" s="9" t="str">
        <f>INDEX(Lookup!$F$2:$F$1349, MATCH(W205, Lookup!$B$2:$B$1349,0))</f>
        <v>e050085</v>
      </c>
      <c r="Z205" s="6" t="str">
        <f>INDEX(Lookup!$C$2:$C$1300, MATCH(X205, Lookup!$A$2:$A$1300,0))</f>
        <v>Greater Manchester</v>
      </c>
    </row>
    <row r="206" spans="1:26" ht="28.15" customHeight="1" x14ac:dyDescent="0.2">
      <c r="A206" s="6" t="s">
        <v>242</v>
      </c>
      <c r="B206" s="1" t="s">
        <v>242</v>
      </c>
      <c r="C206" s="4">
        <v>6888</v>
      </c>
      <c r="D206" s="4">
        <v>491870</v>
      </c>
      <c r="E206" s="2">
        <v>3464</v>
      </c>
      <c r="F206" s="4">
        <v>452683</v>
      </c>
      <c r="G206" s="4">
        <v>299</v>
      </c>
      <c r="H206" s="4">
        <v>76189</v>
      </c>
      <c r="I206" s="4">
        <v>426</v>
      </c>
      <c r="J206" s="4">
        <v>84623</v>
      </c>
      <c r="K206" s="4">
        <v>45</v>
      </c>
      <c r="L206" s="4">
        <v>4129</v>
      </c>
      <c r="M206" s="4">
        <v>476</v>
      </c>
      <c r="N206" s="4">
        <v>30208</v>
      </c>
      <c r="O206" s="4">
        <v>14</v>
      </c>
      <c r="P206" s="4">
        <v>3355</v>
      </c>
      <c r="Q206" s="4">
        <v>2460</v>
      </c>
      <c r="R206" s="4">
        <v>91820</v>
      </c>
      <c r="S206" s="4">
        <v>1237337</v>
      </c>
      <c r="T206" s="10">
        <f t="shared" si="9"/>
        <v>1020742</v>
      </c>
      <c r="U206" s="8">
        <f t="shared" si="10"/>
        <v>0.82495068037244501</v>
      </c>
      <c r="V206" s="9" t="s">
        <v>5270</v>
      </c>
      <c r="W206" s="9" t="str">
        <f t="shared" si="11"/>
        <v>Hoylake UD</v>
      </c>
      <c r="X206" s="9" t="str">
        <f>INDEX(Lookup!$A$2:$A$1349, MATCH(W206, Lookup!$B$2:$B$1349,0))</f>
        <v>J04000654</v>
      </c>
      <c r="Y206" s="9" t="str">
        <f>INDEX(Lookup!$F$2:$F$1349, MATCH(W206, Lookup!$B$2:$B$1349,0))</f>
        <v>e050086</v>
      </c>
      <c r="Z206" s="6" t="str">
        <f>INDEX(Lookup!$C$2:$C$1300, MATCH(X206, Lookup!$A$2:$A$1300,0))</f>
        <v>Merseyside</v>
      </c>
    </row>
    <row r="207" spans="1:26" ht="28.15" customHeight="1" x14ac:dyDescent="0.2">
      <c r="A207" s="6" t="s">
        <v>243</v>
      </c>
      <c r="B207" s="1" t="s">
        <v>243</v>
      </c>
      <c r="C207" s="4">
        <v>2383</v>
      </c>
      <c r="D207" s="4">
        <v>139585</v>
      </c>
      <c r="E207" s="2">
        <v>507</v>
      </c>
      <c r="F207" s="4">
        <v>65967</v>
      </c>
      <c r="G207" s="4">
        <v>84</v>
      </c>
      <c r="H207" s="4">
        <v>22563</v>
      </c>
      <c r="I207" s="4">
        <v>173</v>
      </c>
      <c r="J207" s="4">
        <v>31530</v>
      </c>
      <c r="K207" s="4">
        <v>31</v>
      </c>
      <c r="L207" s="4">
        <v>6842</v>
      </c>
      <c r="M207" s="4">
        <v>256</v>
      </c>
      <c r="N207" s="4">
        <v>16206</v>
      </c>
      <c r="O207" s="4">
        <v>14</v>
      </c>
      <c r="P207" s="4">
        <v>13957</v>
      </c>
      <c r="Q207" s="4">
        <v>1894</v>
      </c>
      <c r="R207" s="4">
        <v>31273</v>
      </c>
      <c r="S207" s="4">
        <v>329817</v>
      </c>
      <c r="T207" s="10">
        <f t="shared" si="9"/>
        <v>228115</v>
      </c>
      <c r="U207" s="8">
        <f t="shared" si="10"/>
        <v>0.69164112219806739</v>
      </c>
      <c r="V207" s="9" t="s">
        <v>5270</v>
      </c>
      <c r="W207" s="9" t="str">
        <f t="shared" si="11"/>
        <v>Knutsford UD</v>
      </c>
      <c r="X207" s="9" t="str">
        <f>INDEX(Lookup!$A$2:$A$1349, MATCH(W207, Lookup!$B$2:$B$1349,0))</f>
        <v>J04000714</v>
      </c>
      <c r="Y207" s="9" t="str">
        <f>INDEX(Lookup!$F$2:$F$1349, MATCH(W207, Lookup!$B$2:$B$1349,0))</f>
        <v>e050088</v>
      </c>
      <c r="Z207" s="6" t="str">
        <f>INDEX(Lookup!$C$2:$C$1300, MATCH(X207, Lookup!$A$2:$A$1300,0))</f>
        <v>Cheshire</v>
      </c>
    </row>
    <row r="208" spans="1:26" ht="28.15" customHeight="1" x14ac:dyDescent="0.2">
      <c r="A208" s="6" t="s">
        <v>244</v>
      </c>
      <c r="B208" s="1" t="s">
        <v>244</v>
      </c>
      <c r="C208" s="4">
        <v>1765</v>
      </c>
      <c r="D208" s="4">
        <v>59168</v>
      </c>
      <c r="E208" s="2">
        <v>38</v>
      </c>
      <c r="F208" s="4">
        <v>4565</v>
      </c>
      <c r="G208" s="4">
        <v>2</v>
      </c>
      <c r="H208" s="4">
        <v>432</v>
      </c>
      <c r="I208" s="4">
        <v>83</v>
      </c>
      <c r="J208" s="4">
        <v>4079</v>
      </c>
      <c r="K208" s="4">
        <v>5</v>
      </c>
      <c r="L208" s="4">
        <v>183</v>
      </c>
      <c r="M208" s="4">
        <v>211</v>
      </c>
      <c r="N208" s="4">
        <v>5547</v>
      </c>
      <c r="O208" s="4">
        <v>10</v>
      </c>
      <c r="P208" s="4">
        <v>25260</v>
      </c>
      <c r="Q208" s="4">
        <v>132</v>
      </c>
      <c r="R208" s="4">
        <v>14215</v>
      </c>
      <c r="S208" s="4">
        <v>113581</v>
      </c>
      <c r="T208" s="10">
        <f t="shared" si="9"/>
        <v>64165</v>
      </c>
      <c r="U208" s="8">
        <f t="shared" si="10"/>
        <v>0.56492723254769728</v>
      </c>
      <c r="V208" s="9" t="s">
        <v>5270</v>
      </c>
      <c r="W208" s="9" t="str">
        <f t="shared" si="11"/>
        <v>Longdendale UD</v>
      </c>
      <c r="X208" s="9" t="str">
        <f>INDEX(Lookup!$A$2:$A$1349, MATCH(W208, Lookup!$B$2:$B$1349,0))</f>
        <v>J04000778</v>
      </c>
      <c r="Y208" s="9" t="str">
        <f>INDEX(Lookup!$F$2:$F$1349, MATCH(W208, Lookup!$B$2:$B$1349,0))</f>
        <v>e050089</v>
      </c>
      <c r="Z208" s="6" t="str">
        <f>INDEX(Lookup!$C$2:$C$1300, MATCH(X208, Lookup!$A$2:$A$1300,0))</f>
        <v>Greater Manchester</v>
      </c>
    </row>
    <row r="209" spans="1:26" ht="28.15" customHeight="1" x14ac:dyDescent="0.2">
      <c r="A209" s="6" t="s">
        <v>245</v>
      </c>
      <c r="B209" s="1" t="s">
        <v>245</v>
      </c>
      <c r="C209" s="4">
        <v>2155</v>
      </c>
      <c r="D209" s="4">
        <v>109917</v>
      </c>
      <c r="E209" s="2">
        <v>302</v>
      </c>
      <c r="F209" s="4">
        <v>40112</v>
      </c>
      <c r="G209" s="4">
        <v>27</v>
      </c>
      <c r="H209" s="4">
        <v>6370</v>
      </c>
      <c r="I209" s="4">
        <v>97</v>
      </c>
      <c r="J209" s="4">
        <v>10113</v>
      </c>
      <c r="K209" s="4">
        <v>9</v>
      </c>
      <c r="L209" s="4">
        <v>1037</v>
      </c>
      <c r="M209" s="4">
        <v>168</v>
      </c>
      <c r="N209" s="4">
        <v>12835</v>
      </c>
      <c r="O209" s="2">
        <v>21</v>
      </c>
      <c r="P209" s="4">
        <v>4965</v>
      </c>
      <c r="Q209" s="4">
        <v>418</v>
      </c>
      <c r="R209" s="4">
        <v>37756</v>
      </c>
      <c r="S209" s="4">
        <v>223523</v>
      </c>
      <c r="T209" s="10">
        <f t="shared" si="9"/>
        <v>156399</v>
      </c>
      <c r="U209" s="8">
        <f t="shared" si="10"/>
        <v>0.69969980717867963</v>
      </c>
      <c r="V209" s="9" t="s">
        <v>5270</v>
      </c>
      <c r="W209" s="9" t="str">
        <f t="shared" si="11"/>
        <v>Lymm UD</v>
      </c>
      <c r="X209" s="9" t="str">
        <f>INDEX(Lookup!$A$2:$A$1349, MATCH(W209, Lookup!$B$2:$B$1349,0))</f>
        <v>J04000797</v>
      </c>
      <c r="Y209" s="9" t="str">
        <f>INDEX(Lookup!$F$2:$F$1349, MATCH(W209, Lookup!$B$2:$B$1349,0))</f>
        <v>e050090</v>
      </c>
      <c r="Z209" s="6" t="str">
        <f>INDEX(Lookup!$C$2:$C$1300, MATCH(X209, Lookup!$A$2:$A$1300,0))</f>
        <v>Cheshire</v>
      </c>
    </row>
    <row r="210" spans="1:26" ht="28.15" customHeight="1" x14ac:dyDescent="0.2">
      <c r="A210" s="6" t="s">
        <v>246</v>
      </c>
      <c r="B210" s="1" t="s">
        <v>246</v>
      </c>
      <c r="C210" s="4">
        <v>5043</v>
      </c>
      <c r="D210" s="4">
        <v>301054</v>
      </c>
      <c r="E210" s="2">
        <v>1101</v>
      </c>
      <c r="F210" s="4">
        <v>138981</v>
      </c>
      <c r="G210" s="4">
        <v>73</v>
      </c>
      <c r="H210" s="4">
        <v>17427</v>
      </c>
      <c r="I210" s="4">
        <v>255</v>
      </c>
      <c r="J210" s="4">
        <v>33167</v>
      </c>
      <c r="K210" s="4">
        <v>21</v>
      </c>
      <c r="L210" s="4">
        <v>2215</v>
      </c>
      <c r="M210" s="4">
        <v>430</v>
      </c>
      <c r="N210" s="4">
        <v>11709</v>
      </c>
      <c r="O210" s="4">
        <v>21</v>
      </c>
      <c r="P210" s="4">
        <v>17536</v>
      </c>
      <c r="Q210" s="4">
        <v>1587</v>
      </c>
      <c r="R210" s="4">
        <v>52130</v>
      </c>
      <c r="S210" s="4">
        <v>575806</v>
      </c>
      <c r="T210" s="10">
        <f t="shared" si="9"/>
        <v>457462</v>
      </c>
      <c r="U210" s="8">
        <f t="shared" si="10"/>
        <v>0.79447244384393356</v>
      </c>
      <c r="V210" s="9" t="s">
        <v>5270</v>
      </c>
      <c r="W210" s="9" t="str">
        <f t="shared" si="11"/>
        <v>Marple UD</v>
      </c>
      <c r="X210" s="9" t="str">
        <f>INDEX(Lookup!$A$2:$A$1349, MATCH(W210, Lookup!$B$2:$B$1349,0))</f>
        <v>J04000835</v>
      </c>
      <c r="Y210" s="9" t="str">
        <f>INDEX(Lookup!$F$2:$F$1349, MATCH(W210, Lookup!$B$2:$B$1349,0))</f>
        <v>e050092</v>
      </c>
      <c r="Z210" s="6" t="str">
        <f>INDEX(Lookup!$C$2:$C$1300, MATCH(X210, Lookup!$A$2:$A$1300,0))</f>
        <v>Greater Manchester</v>
      </c>
    </row>
    <row r="211" spans="1:26" ht="28.15" customHeight="1" x14ac:dyDescent="0.2">
      <c r="A211" s="6" t="s">
        <v>247</v>
      </c>
      <c r="B211" s="1" t="s">
        <v>247</v>
      </c>
      <c r="C211" s="4">
        <v>2196</v>
      </c>
      <c r="D211" s="4">
        <v>98631</v>
      </c>
      <c r="E211" s="2">
        <v>35</v>
      </c>
      <c r="F211" s="4">
        <v>4265</v>
      </c>
      <c r="G211" s="4">
        <v>1</v>
      </c>
      <c r="H211" s="4">
        <v>214</v>
      </c>
      <c r="I211" s="4">
        <v>121</v>
      </c>
      <c r="J211" s="4">
        <v>14506</v>
      </c>
      <c r="K211" s="4">
        <v>5</v>
      </c>
      <c r="L211" s="4">
        <v>407</v>
      </c>
      <c r="M211" s="4">
        <v>178</v>
      </c>
      <c r="N211" s="4">
        <v>6997</v>
      </c>
      <c r="O211" s="2">
        <v>17</v>
      </c>
      <c r="P211" s="4">
        <v>46834</v>
      </c>
      <c r="Q211" s="4">
        <v>309</v>
      </c>
      <c r="R211" s="4">
        <v>80236</v>
      </c>
      <c r="S211" s="4">
        <v>252399</v>
      </c>
      <c r="T211" s="10">
        <f t="shared" si="9"/>
        <v>103110</v>
      </c>
      <c r="U211" s="8">
        <f t="shared" si="10"/>
        <v>0.40851984358099674</v>
      </c>
      <c r="V211" s="9" t="s">
        <v>5270</v>
      </c>
      <c r="W211" s="9" t="str">
        <f t="shared" si="11"/>
        <v>Middlewich UD</v>
      </c>
      <c r="X211" s="9" t="str">
        <f>INDEX(Lookup!$A$2:$A$1349, MATCH(W211, Lookup!$B$2:$B$1349,0))</f>
        <v>J04000854</v>
      </c>
      <c r="Y211" s="9" t="str">
        <f>INDEX(Lookup!$F$2:$F$1349, MATCH(W211, Lookup!$B$2:$B$1349,0))</f>
        <v>e050093</v>
      </c>
      <c r="Z211" s="6" t="str">
        <f>INDEX(Lookup!$C$2:$C$1300, MATCH(X211, Lookup!$A$2:$A$1300,0))</f>
        <v>Cheshire</v>
      </c>
    </row>
    <row r="212" spans="1:26" ht="28.15" customHeight="1" x14ac:dyDescent="0.2">
      <c r="A212" s="6" t="s">
        <v>248</v>
      </c>
      <c r="B212" s="1" t="s">
        <v>248</v>
      </c>
      <c r="C212" s="4">
        <v>3398</v>
      </c>
      <c r="D212" s="4">
        <v>169908</v>
      </c>
      <c r="E212" s="2">
        <v>231</v>
      </c>
      <c r="F212" s="4">
        <v>29440</v>
      </c>
      <c r="G212" s="4">
        <v>9</v>
      </c>
      <c r="H212" s="4">
        <v>2212</v>
      </c>
      <c r="I212" s="4">
        <v>236</v>
      </c>
      <c r="J212" s="4">
        <v>52215</v>
      </c>
      <c r="K212" s="4">
        <v>36</v>
      </c>
      <c r="L212" s="4">
        <v>6067</v>
      </c>
      <c r="M212" s="4">
        <v>355</v>
      </c>
      <c r="N212" s="4">
        <v>26976</v>
      </c>
      <c r="O212" s="4">
        <v>29</v>
      </c>
      <c r="P212" s="4">
        <v>31180</v>
      </c>
      <c r="Q212" s="4">
        <v>3225</v>
      </c>
      <c r="R212" s="4">
        <v>36384</v>
      </c>
      <c r="S212" s="4">
        <v>357607</v>
      </c>
      <c r="T212" s="10">
        <f t="shared" si="9"/>
        <v>201560</v>
      </c>
      <c r="U212" s="8">
        <f t="shared" si="10"/>
        <v>0.56363549930510304</v>
      </c>
      <c r="V212" s="9" t="s">
        <v>5270</v>
      </c>
      <c r="W212" s="9" t="str">
        <f t="shared" si="11"/>
        <v>Nantwich UD</v>
      </c>
      <c r="X212" s="9" t="str">
        <f>INDEX(Lookup!$A$2:$A$1349, MATCH(W212, Lookup!$B$2:$B$1349,0))</f>
        <v>J04000878</v>
      </c>
      <c r="Y212" s="9" t="str">
        <f>INDEX(Lookup!$F$2:$F$1349, MATCH(W212, Lookup!$B$2:$B$1349,0))</f>
        <v>e050094</v>
      </c>
      <c r="Z212" s="6" t="str">
        <f>INDEX(Lookup!$C$2:$C$1300, MATCH(X212, Lookup!$A$2:$A$1300,0))</f>
        <v>Cheshire</v>
      </c>
    </row>
    <row r="213" spans="1:26" ht="28.15" customHeight="1" x14ac:dyDescent="0.2">
      <c r="A213" s="6" t="s">
        <v>249</v>
      </c>
      <c r="B213" s="1" t="s">
        <v>249</v>
      </c>
      <c r="C213" s="4">
        <v>3256</v>
      </c>
      <c r="D213" s="4">
        <v>204999</v>
      </c>
      <c r="E213" s="2">
        <v>770</v>
      </c>
      <c r="F213" s="4">
        <v>103299</v>
      </c>
      <c r="G213" s="4">
        <v>109</v>
      </c>
      <c r="H213" s="4">
        <v>27406</v>
      </c>
      <c r="I213" s="4">
        <v>145</v>
      </c>
      <c r="J213" s="4">
        <v>20239</v>
      </c>
      <c r="K213" s="4">
        <v>18</v>
      </c>
      <c r="L213" s="4">
        <v>2606</v>
      </c>
      <c r="M213" s="4">
        <v>270</v>
      </c>
      <c r="N213" s="4">
        <v>15715</v>
      </c>
      <c r="O213" s="2">
        <v>24</v>
      </c>
      <c r="P213" s="4">
        <v>58430</v>
      </c>
      <c r="Q213" s="4">
        <v>657</v>
      </c>
      <c r="R213" s="4">
        <v>49853</v>
      </c>
      <c r="S213" s="4">
        <v>483204</v>
      </c>
      <c r="T213" s="10">
        <f t="shared" si="9"/>
        <v>335704</v>
      </c>
      <c r="U213" s="8">
        <f t="shared" si="10"/>
        <v>0.694745904421321</v>
      </c>
      <c r="V213" s="9" t="s">
        <v>5270</v>
      </c>
      <c r="W213" s="9" t="str">
        <f t="shared" si="11"/>
        <v>Neston UD</v>
      </c>
      <c r="X213" s="9" t="str">
        <f>INDEX(Lookup!$A$2:$A$1349, MATCH(W213, Lookup!$B$2:$B$1349,0))</f>
        <v>J04000885</v>
      </c>
      <c r="Y213" s="9" t="str">
        <f>INDEX(Lookup!$F$2:$F$1349, MATCH(W213, Lookup!$B$2:$B$1349,0))</f>
        <v>e050095</v>
      </c>
      <c r="Z213" s="6" t="str">
        <f>INDEX(Lookup!$C$2:$C$1300, MATCH(X213, Lookup!$A$2:$A$1300,0))</f>
        <v>Cheshire</v>
      </c>
    </row>
    <row r="214" spans="1:26" ht="28.15" customHeight="1" x14ac:dyDescent="0.2">
      <c r="A214" s="6" t="s">
        <v>250</v>
      </c>
      <c r="B214" s="1" t="s">
        <v>250</v>
      </c>
      <c r="C214" s="4">
        <v>6234</v>
      </c>
      <c r="D214" s="4">
        <v>285566</v>
      </c>
      <c r="E214" s="2">
        <v>150</v>
      </c>
      <c r="F214" s="4">
        <v>17204</v>
      </c>
      <c r="I214" s="4">
        <v>484</v>
      </c>
      <c r="J214" s="4">
        <v>115065</v>
      </c>
      <c r="K214" s="4">
        <v>63</v>
      </c>
      <c r="L214" s="4">
        <v>11311</v>
      </c>
      <c r="M214" s="4">
        <v>755</v>
      </c>
      <c r="N214" s="4">
        <v>29156</v>
      </c>
      <c r="O214" s="4">
        <v>49</v>
      </c>
      <c r="P214" s="4">
        <v>895967</v>
      </c>
      <c r="Q214" s="4">
        <v>4264</v>
      </c>
      <c r="R214" s="4">
        <v>85098</v>
      </c>
      <c r="S214" s="4">
        <v>1443631</v>
      </c>
      <c r="T214" s="10">
        <f t="shared" si="9"/>
        <v>302770</v>
      </c>
      <c r="U214" s="8">
        <f t="shared" si="10"/>
        <v>0.20972810919133766</v>
      </c>
      <c r="V214" s="9" t="s">
        <v>5270</v>
      </c>
      <c r="W214" s="9" t="str">
        <f t="shared" si="11"/>
        <v>Northwich UD</v>
      </c>
      <c r="X214" s="9" t="str">
        <f>INDEX(Lookup!$A$2:$A$1349, MATCH(W214, Lookup!$B$2:$B$1349,0))</f>
        <v>J04000937</v>
      </c>
      <c r="Y214" s="9" t="str">
        <f>INDEX(Lookup!$F$2:$F$1349, MATCH(W214, Lookup!$B$2:$B$1349,0))</f>
        <v>e050096</v>
      </c>
      <c r="Z214" s="6" t="str">
        <f>INDEX(Lookup!$C$2:$C$1300, MATCH(X214, Lookup!$A$2:$A$1300,0))</f>
        <v>Cheshire</v>
      </c>
    </row>
    <row r="215" spans="1:26" ht="28.15" customHeight="1" x14ac:dyDescent="0.2">
      <c r="A215" s="6" t="s">
        <v>251</v>
      </c>
      <c r="B215" s="1" t="s">
        <v>251</v>
      </c>
      <c r="C215" s="4">
        <v>8315</v>
      </c>
      <c r="D215" s="4">
        <v>401866</v>
      </c>
      <c r="E215" s="2">
        <v>253</v>
      </c>
      <c r="F215" s="4">
        <v>31982</v>
      </c>
      <c r="G215" s="4">
        <v>3</v>
      </c>
      <c r="H215" s="2">
        <v>726</v>
      </c>
      <c r="I215" s="4">
        <v>422</v>
      </c>
      <c r="J215" s="4">
        <v>80507</v>
      </c>
      <c r="K215" s="4">
        <v>42</v>
      </c>
      <c r="L215" s="4">
        <v>22069</v>
      </c>
      <c r="M215" s="4">
        <v>736</v>
      </c>
      <c r="N215" s="4">
        <v>25141</v>
      </c>
      <c r="O215" s="2">
        <v>30</v>
      </c>
      <c r="P215" s="4">
        <v>508152</v>
      </c>
      <c r="Q215" s="4">
        <v>5310</v>
      </c>
      <c r="R215" s="4">
        <v>152003</v>
      </c>
      <c r="S215" s="4">
        <v>1227756</v>
      </c>
      <c r="T215" s="10">
        <f t="shared" si="9"/>
        <v>434574</v>
      </c>
      <c r="U215" s="8">
        <f t="shared" si="10"/>
        <v>0.35395795255734852</v>
      </c>
      <c r="V215" s="9" t="s">
        <v>5270</v>
      </c>
      <c r="W215" s="9" t="str">
        <f t="shared" si="11"/>
        <v>Runcorn UD</v>
      </c>
      <c r="X215" s="9" t="str">
        <f>INDEX(Lookup!$A$2:$A$1349, MATCH(W215, Lookup!$B$2:$B$1349,0))</f>
        <v>J04001082</v>
      </c>
      <c r="Y215" s="9" t="str">
        <f>INDEX(Lookup!$F$2:$F$1349, MATCH(W215, Lookup!$B$2:$B$1349,0))</f>
        <v>e050097</v>
      </c>
      <c r="Z215" s="6" t="str">
        <f>INDEX(Lookup!$C$2:$C$1300, MATCH(X215, Lookup!$A$2:$A$1300,0))</f>
        <v>Cheshire</v>
      </c>
    </row>
    <row r="216" spans="1:26" ht="28.15" customHeight="1" x14ac:dyDescent="0.2">
      <c r="A216" s="6" t="s">
        <v>252</v>
      </c>
      <c r="B216" s="1" t="s">
        <v>252</v>
      </c>
      <c r="C216" s="4">
        <v>3170</v>
      </c>
      <c r="D216" s="4">
        <v>160220</v>
      </c>
      <c r="E216" s="2">
        <v>240</v>
      </c>
      <c r="F216" s="4">
        <v>30018</v>
      </c>
      <c r="G216" s="4">
        <v>10</v>
      </c>
      <c r="H216" s="4">
        <v>2254</v>
      </c>
      <c r="I216" s="4">
        <v>188</v>
      </c>
      <c r="J216" s="4">
        <v>31463</v>
      </c>
      <c r="K216" s="4">
        <v>19</v>
      </c>
      <c r="L216" s="4">
        <v>3070</v>
      </c>
      <c r="M216" s="4">
        <v>263</v>
      </c>
      <c r="N216" s="4">
        <v>15373</v>
      </c>
      <c r="O216" s="4">
        <v>22</v>
      </c>
      <c r="P216" s="4">
        <v>84815</v>
      </c>
      <c r="Q216" s="4">
        <v>517</v>
      </c>
      <c r="R216" s="4">
        <v>66742</v>
      </c>
      <c r="S216" s="4">
        <v>394472</v>
      </c>
      <c r="T216" s="10">
        <f t="shared" si="9"/>
        <v>192492</v>
      </c>
      <c r="U216" s="8">
        <f t="shared" si="10"/>
        <v>0.48797379788679551</v>
      </c>
      <c r="V216" s="9" t="s">
        <v>5270</v>
      </c>
      <c r="W216" s="9" t="str">
        <f t="shared" si="11"/>
        <v>Sandbach UD</v>
      </c>
      <c r="X216" s="9" t="str">
        <f>INDEX(Lookup!$A$2:$A$1349, MATCH(W216, Lookup!$B$2:$B$1349,0))</f>
        <v>J04001100</v>
      </c>
      <c r="Y216" s="9" t="str">
        <f>INDEX(Lookup!$F$2:$F$1349, MATCH(W216, Lookup!$B$2:$B$1349,0))</f>
        <v>e050101</v>
      </c>
      <c r="Z216" s="6" t="str">
        <f>INDEX(Lookup!$C$2:$C$1300, MATCH(X216, Lookup!$A$2:$A$1300,0))</f>
        <v>Cheshire</v>
      </c>
    </row>
    <row r="217" spans="1:26" ht="28.15" customHeight="1" x14ac:dyDescent="0.2">
      <c r="A217" s="6" t="s">
        <v>253</v>
      </c>
      <c r="B217" s="1" t="s">
        <v>253</v>
      </c>
      <c r="C217" s="4">
        <v>4975</v>
      </c>
      <c r="D217" s="4">
        <v>308717</v>
      </c>
      <c r="E217" s="4">
        <v>2538</v>
      </c>
      <c r="F217" s="4">
        <v>344940</v>
      </c>
      <c r="G217" s="4">
        <v>320</v>
      </c>
      <c r="H217" s="4">
        <v>81745</v>
      </c>
      <c r="I217" s="4">
        <v>343</v>
      </c>
      <c r="J217" s="4">
        <v>118096</v>
      </c>
      <c r="K217" s="4">
        <v>90</v>
      </c>
      <c r="L217" s="4">
        <v>13603</v>
      </c>
      <c r="M217" s="4">
        <v>359</v>
      </c>
      <c r="N217" s="4">
        <v>64933</v>
      </c>
      <c r="O217" s="2">
        <v>31</v>
      </c>
      <c r="P217" s="4">
        <v>23490</v>
      </c>
      <c r="Q217" s="4">
        <v>10174</v>
      </c>
      <c r="R217" s="4">
        <v>83127</v>
      </c>
      <c r="S217" s="4">
        <v>1048825</v>
      </c>
      <c r="T217" s="10">
        <f t="shared" si="9"/>
        <v>735402</v>
      </c>
      <c r="U217" s="8">
        <f t="shared" si="10"/>
        <v>0.70116749696088476</v>
      </c>
      <c r="V217" s="9" t="s">
        <v>5270</v>
      </c>
      <c r="W217" s="9" t="str">
        <f t="shared" si="11"/>
        <v>Wilmslow UD</v>
      </c>
      <c r="X217" s="9" t="str">
        <f>INDEX(Lookup!$A$2:$A$1349, MATCH(W217, Lookup!$B$2:$B$1349,0))</f>
        <v>J04001416</v>
      </c>
      <c r="Y217" s="9" t="str">
        <f>INDEX(Lookup!$F$2:$F$1349, MATCH(W217, Lookup!$B$2:$B$1349,0))</f>
        <v>e050103</v>
      </c>
      <c r="Z217" s="6" t="str">
        <f>INDEX(Lookup!$C$2:$C$1300, MATCH(X217, Lookup!$A$2:$A$1300,0))</f>
        <v>Cheshire</v>
      </c>
    </row>
    <row r="218" spans="1:26" ht="28.15" customHeight="1" x14ac:dyDescent="0.2">
      <c r="A218" s="6" t="s">
        <v>254</v>
      </c>
      <c r="B218" s="1" t="s">
        <v>254</v>
      </c>
      <c r="C218" s="4">
        <v>4037</v>
      </c>
      <c r="D218" s="4">
        <v>173090</v>
      </c>
      <c r="E218" s="2">
        <v>126</v>
      </c>
      <c r="F218" s="4">
        <v>16146</v>
      </c>
      <c r="G218" s="4">
        <v>4</v>
      </c>
      <c r="H218" s="2">
        <v>924</v>
      </c>
      <c r="I218" s="4">
        <v>241</v>
      </c>
      <c r="J218" s="4">
        <v>28532</v>
      </c>
      <c r="K218" s="4">
        <v>15</v>
      </c>
      <c r="L218" s="4">
        <v>1766</v>
      </c>
      <c r="M218" s="4">
        <v>485</v>
      </c>
      <c r="N218" s="4">
        <v>21333</v>
      </c>
      <c r="O218" s="4">
        <v>36</v>
      </c>
      <c r="P218" s="4">
        <v>42245</v>
      </c>
      <c r="Q218" s="4">
        <v>933</v>
      </c>
      <c r="R218" s="4">
        <v>52666</v>
      </c>
      <c r="S218" s="4">
        <v>337635</v>
      </c>
      <c r="T218" s="10">
        <f t="shared" si="9"/>
        <v>190160</v>
      </c>
      <c r="U218" s="8">
        <f t="shared" si="10"/>
        <v>0.56321175233610254</v>
      </c>
      <c r="V218" s="9" t="s">
        <v>5270</v>
      </c>
      <c r="W218" s="9" t="str">
        <f t="shared" si="11"/>
        <v>Winsford UD</v>
      </c>
      <c r="X218" s="9" t="str">
        <f>INDEX(Lookup!$A$2:$A$1349, MATCH(W218, Lookup!$B$2:$B$1349,0))</f>
        <v>J04001427</v>
      </c>
      <c r="Y218" s="9" t="str">
        <f>INDEX(Lookup!$F$2:$F$1349, MATCH(W218, Lookup!$B$2:$B$1349,0))</f>
        <v>e050104</v>
      </c>
      <c r="Z218" s="6" t="str">
        <f>INDEX(Lookup!$C$2:$C$1300, MATCH(X218, Lookup!$A$2:$A$1300,0))</f>
        <v>Cheshire</v>
      </c>
    </row>
    <row r="219" spans="1:26" ht="28.15" customHeight="1" x14ac:dyDescent="0.2">
      <c r="A219" s="6" t="s">
        <v>255</v>
      </c>
      <c r="B219" s="1" t="s">
        <v>255</v>
      </c>
      <c r="C219" s="4">
        <v>5394</v>
      </c>
      <c r="D219" s="4">
        <v>389710</v>
      </c>
      <c r="E219" s="4">
        <v>2152</v>
      </c>
      <c r="F219" s="4">
        <v>275816</v>
      </c>
      <c r="G219" s="2">
        <v>158</v>
      </c>
      <c r="H219" s="4">
        <v>39284</v>
      </c>
      <c r="I219" s="2">
        <v>263</v>
      </c>
      <c r="J219" s="4">
        <v>57159</v>
      </c>
      <c r="K219" s="4">
        <v>39</v>
      </c>
      <c r="L219" s="4">
        <v>3712</v>
      </c>
      <c r="M219" s="4">
        <v>303</v>
      </c>
      <c r="N219" s="4">
        <v>19669</v>
      </c>
      <c r="O219" s="2">
        <v>7</v>
      </c>
      <c r="P219" s="4">
        <v>5060</v>
      </c>
      <c r="Q219" s="4">
        <v>5591</v>
      </c>
      <c r="R219" s="4">
        <v>61516</v>
      </c>
      <c r="S219" s="4">
        <v>857517</v>
      </c>
      <c r="T219" s="10">
        <f t="shared" si="9"/>
        <v>704810</v>
      </c>
      <c r="U219" s="8">
        <f t="shared" si="10"/>
        <v>0.82191956544301747</v>
      </c>
      <c r="V219" s="9" t="s">
        <v>5270</v>
      </c>
      <c r="W219" s="9" t="str">
        <f t="shared" si="11"/>
        <v>Wirral UD</v>
      </c>
      <c r="X219" s="9" t="str">
        <f>INDEX(Lookup!$A$2:$A$1349, MATCH(W219, Lookup!$B$2:$B$1349,0))</f>
        <v>J04001430</v>
      </c>
      <c r="Y219" s="9" t="str">
        <f>INDEX(Lookup!$F$2:$F$1349, MATCH(W219, Lookup!$B$2:$B$1349,0))</f>
        <v>e050105</v>
      </c>
      <c r="Z219" s="6" t="str">
        <f>INDEX(Lookup!$C$2:$C$1300, MATCH(X219, Lookup!$A$2:$A$1300,0))</f>
        <v>Merseyside</v>
      </c>
    </row>
    <row r="220" spans="1:26" ht="28.15" customHeight="1" x14ac:dyDescent="0.2">
      <c r="A220" s="6" t="s">
        <v>212</v>
      </c>
      <c r="B220" s="1" t="s">
        <v>212</v>
      </c>
      <c r="T220" s="10"/>
      <c r="W220" s="9" t="str">
        <f t="shared" si="11"/>
        <v xml:space="preserve">Rural Districts-- </v>
      </c>
      <c r="X220" s="9" t="e">
        <f>INDEX(Lookup!$A$2:$A$1349, MATCH(W220, Lookup!$B$2:$B$1349,0))</f>
        <v>#N/A</v>
      </c>
      <c r="Y220" s="9" t="e">
        <f>INDEX(Lookup!$F$2:$F$1349, MATCH(W220, Lookup!$B$2:$B$1349,0))</f>
        <v>#N/A</v>
      </c>
      <c r="Z220" s="6" t="e">
        <f>INDEX(Lookup!$C$2:$C$1300, MATCH(X220, Lookup!$A$2:$A$1300,0))</f>
        <v>#N/A</v>
      </c>
    </row>
    <row r="221" spans="1:26" ht="28.15" customHeight="1" x14ac:dyDescent="0.2">
      <c r="A221" s="6" t="s">
        <v>256</v>
      </c>
      <c r="B221" s="1" t="s">
        <v>256</v>
      </c>
      <c r="C221" s="4">
        <v>3997</v>
      </c>
      <c r="D221" s="4">
        <v>202877</v>
      </c>
      <c r="E221" s="4">
        <v>359</v>
      </c>
      <c r="F221" s="4">
        <v>47582</v>
      </c>
      <c r="G221" s="4">
        <v>141</v>
      </c>
      <c r="H221" s="4">
        <v>37972</v>
      </c>
      <c r="I221" s="4">
        <v>88</v>
      </c>
      <c r="J221" s="4">
        <v>16380</v>
      </c>
      <c r="K221" s="4">
        <v>25</v>
      </c>
      <c r="L221" s="4">
        <v>51295</v>
      </c>
      <c r="M221" s="4">
        <v>389</v>
      </c>
      <c r="N221" s="4">
        <v>32603</v>
      </c>
      <c r="O221" s="2">
        <v>18</v>
      </c>
      <c r="P221" s="4">
        <v>359630</v>
      </c>
      <c r="Q221" s="4">
        <v>2690</v>
      </c>
      <c r="R221" s="4">
        <v>423526</v>
      </c>
      <c r="S221" s="4">
        <v>1174555</v>
      </c>
      <c r="T221" s="10">
        <f t="shared" si="9"/>
        <v>288431</v>
      </c>
      <c r="U221" s="8">
        <f t="shared" si="10"/>
        <v>0.24556619315400299</v>
      </c>
      <c r="V221" s="9" t="s">
        <v>5271</v>
      </c>
      <c r="W221" s="9" t="str">
        <f t="shared" si="11"/>
        <v>Bucklow RD</v>
      </c>
      <c r="X221" s="9" t="str">
        <f>INDEX(Lookup!$A$2:$A$1349, MATCH(W221, Lookup!$B$2:$B$1349,0))</f>
        <v>J04000229</v>
      </c>
      <c r="Y221" s="9" t="str">
        <f>INDEX(Lookup!$F$2:$F$1349, MATCH(W221, Lookup!$B$2:$B$1349,0))</f>
        <v>e050106</v>
      </c>
      <c r="Z221" s="6" t="str">
        <f>INDEX(Lookup!$C$2:$C$1300, MATCH(X221, Lookup!$A$2:$A$1300,0))</f>
        <v>Cheshire</v>
      </c>
    </row>
    <row r="222" spans="1:26" ht="28.15" customHeight="1" x14ac:dyDescent="0.2">
      <c r="A222" s="6" t="s">
        <v>20</v>
      </c>
      <c r="B222" s="1" t="s">
        <v>20</v>
      </c>
      <c r="C222" s="4">
        <v>5762</v>
      </c>
      <c r="D222" s="4">
        <v>373705</v>
      </c>
      <c r="E222" s="2">
        <v>1912</v>
      </c>
      <c r="F222" s="4">
        <v>239160</v>
      </c>
      <c r="G222" s="4">
        <v>86</v>
      </c>
      <c r="H222" s="4">
        <v>21436</v>
      </c>
      <c r="I222" s="4">
        <v>85</v>
      </c>
      <c r="J222" s="4">
        <v>13569</v>
      </c>
      <c r="K222" s="4">
        <v>9</v>
      </c>
      <c r="L222" s="4">
        <v>1477</v>
      </c>
      <c r="M222" s="4">
        <v>564</v>
      </c>
      <c r="N222" s="4">
        <v>46667</v>
      </c>
      <c r="O222" s="4">
        <v>18</v>
      </c>
      <c r="P222" s="4">
        <v>169545</v>
      </c>
      <c r="Q222" s="4">
        <v>106839</v>
      </c>
      <c r="R222" s="4">
        <v>295282</v>
      </c>
      <c r="S222" s="4">
        <v>1267680</v>
      </c>
      <c r="T222" s="10">
        <f t="shared" si="9"/>
        <v>634301</v>
      </c>
      <c r="U222" s="8">
        <f t="shared" si="10"/>
        <v>0.50036365644326641</v>
      </c>
      <c r="V222" s="9" t="s">
        <v>5271</v>
      </c>
      <c r="W222" s="9" t="str">
        <f t="shared" si="11"/>
        <v>Chester RD</v>
      </c>
      <c r="X222" s="9" t="str">
        <f>INDEX(Lookup!$A$2:$A$1349, MATCH(W222, Lookup!$B$2:$B$1349,0))</f>
        <v>J04000300</v>
      </c>
      <c r="Y222" s="9" t="str">
        <f>INDEX(Lookup!$F$2:$F$1349, MATCH(W222, Lookup!$B$2:$B$1349,0))</f>
        <v>e050109</v>
      </c>
      <c r="Z222" s="6" t="str">
        <f>INDEX(Lookup!$C$2:$C$1300, MATCH(X222, Lookup!$A$2:$A$1300,0))</f>
        <v>Cheshire</v>
      </c>
    </row>
    <row r="223" spans="1:26" ht="28.15" customHeight="1" x14ac:dyDescent="0.2">
      <c r="A223" s="6" t="s">
        <v>226</v>
      </c>
      <c r="B223" s="1" t="s">
        <v>226</v>
      </c>
      <c r="C223" s="4">
        <v>3688</v>
      </c>
      <c r="D223" s="4">
        <v>177282</v>
      </c>
      <c r="E223" s="4">
        <v>254</v>
      </c>
      <c r="F223" s="4">
        <v>31885</v>
      </c>
      <c r="G223" s="4">
        <v>13</v>
      </c>
      <c r="H223" s="4">
        <v>3667</v>
      </c>
      <c r="I223" s="4">
        <v>97</v>
      </c>
      <c r="J223" s="4">
        <v>11820</v>
      </c>
      <c r="K223" s="4">
        <v>10</v>
      </c>
      <c r="L223" s="4">
        <v>840</v>
      </c>
      <c r="M223" s="4">
        <v>407</v>
      </c>
      <c r="N223" s="4">
        <v>30537</v>
      </c>
      <c r="O223" s="2">
        <v>27</v>
      </c>
      <c r="P223" s="4">
        <v>135020</v>
      </c>
      <c r="Q223" s="4">
        <v>10758</v>
      </c>
      <c r="R223" s="4">
        <v>115230</v>
      </c>
      <c r="S223" s="4">
        <v>517039</v>
      </c>
      <c r="T223" s="10">
        <f t="shared" si="9"/>
        <v>212834</v>
      </c>
      <c r="U223" s="8">
        <f t="shared" si="10"/>
        <v>0.41164012772730879</v>
      </c>
      <c r="V223" s="9" t="s">
        <v>5271</v>
      </c>
      <c r="W223" s="9" t="str">
        <f t="shared" si="11"/>
        <v>Congleton RD</v>
      </c>
      <c r="X223" s="9" t="str">
        <f>INDEX(Lookup!$A$2:$A$1349, MATCH(W223, Lookup!$B$2:$B$1349,0))</f>
        <v>J04000342</v>
      </c>
      <c r="Y223" s="9" t="str">
        <f>INDEX(Lookup!$F$2:$F$1349, MATCH(W223, Lookup!$B$2:$B$1349,0))</f>
        <v>e050111</v>
      </c>
      <c r="Z223" s="6" t="str">
        <f>INDEX(Lookup!$C$2:$C$1300, MATCH(X223, Lookup!$A$2:$A$1300,0))</f>
        <v>Cheshire</v>
      </c>
    </row>
    <row r="224" spans="1:26" ht="28.15" customHeight="1" x14ac:dyDescent="0.2">
      <c r="A224" s="6" t="s">
        <v>257</v>
      </c>
      <c r="B224" s="1" t="s">
        <v>257</v>
      </c>
      <c r="C224" s="2">
        <v>965</v>
      </c>
      <c r="D224" s="4">
        <v>50116</v>
      </c>
      <c r="E224" s="2">
        <v>213</v>
      </c>
      <c r="F224" s="4">
        <v>30082</v>
      </c>
      <c r="G224" s="4">
        <v>79</v>
      </c>
      <c r="H224" s="4">
        <v>20446</v>
      </c>
      <c r="I224" s="4">
        <v>50</v>
      </c>
      <c r="J224" s="4">
        <v>5400</v>
      </c>
      <c r="K224" s="4">
        <v>2</v>
      </c>
      <c r="L224" s="4">
        <v>49</v>
      </c>
      <c r="M224" s="4">
        <v>430</v>
      </c>
      <c r="N224" s="4">
        <v>4396</v>
      </c>
      <c r="O224" s="4">
        <v>8</v>
      </c>
      <c r="P224" s="4">
        <v>23890</v>
      </c>
      <c r="Q224" s="4">
        <v>317</v>
      </c>
      <c r="R224" s="4">
        <v>14802</v>
      </c>
      <c r="S224" s="4">
        <v>149498</v>
      </c>
      <c r="T224" s="10">
        <f t="shared" si="9"/>
        <v>100644</v>
      </c>
      <c r="U224" s="8">
        <f t="shared" si="10"/>
        <v>0.67321301957216817</v>
      </c>
      <c r="V224" s="9" t="s">
        <v>5271</v>
      </c>
      <c r="W224" s="9" t="str">
        <f t="shared" si="11"/>
        <v>Disley RD</v>
      </c>
      <c r="X224" s="9" t="str">
        <f>INDEX(Lookup!$A$2:$A$1349, MATCH(W224, Lookup!$B$2:$B$1349,0))</f>
        <v>J04000408</v>
      </c>
      <c r="Y224" s="9" t="str">
        <f>INDEX(Lookup!$F$2:$F$1349, MATCH(W224, Lookup!$B$2:$B$1349,0))</f>
        <v>e050112</v>
      </c>
      <c r="Z224" s="6" t="str">
        <f>INDEX(Lookup!$C$2:$C$1300, MATCH(X224, Lookup!$A$2:$A$1300,0))</f>
        <v>Cheshire</v>
      </c>
    </row>
    <row r="225" spans="1:26" ht="28.15" customHeight="1" x14ac:dyDescent="0.2">
      <c r="A225" s="6" t="s">
        <v>231</v>
      </c>
      <c r="B225" s="1" t="s">
        <v>231</v>
      </c>
      <c r="C225" s="4">
        <v>5421</v>
      </c>
      <c r="D225" s="4">
        <v>301609</v>
      </c>
      <c r="E225" s="4">
        <v>1418</v>
      </c>
      <c r="F225" s="4">
        <v>195390</v>
      </c>
      <c r="G225" s="4">
        <v>511</v>
      </c>
      <c r="H225" s="4">
        <v>147909</v>
      </c>
      <c r="I225" s="4">
        <v>159</v>
      </c>
      <c r="J225" s="4">
        <v>23322</v>
      </c>
      <c r="K225" s="4">
        <v>29</v>
      </c>
      <c r="L225" s="4">
        <v>1132</v>
      </c>
      <c r="M225" s="4">
        <v>467</v>
      </c>
      <c r="N225" s="4">
        <v>44085</v>
      </c>
      <c r="O225" s="2">
        <v>32</v>
      </c>
      <c r="P225" s="4">
        <v>30021</v>
      </c>
      <c r="Q225" s="4">
        <v>10385</v>
      </c>
      <c r="R225" s="4">
        <v>226203</v>
      </c>
      <c r="S225" s="4">
        <v>980056</v>
      </c>
      <c r="T225" s="10">
        <f t="shared" si="9"/>
        <v>644908</v>
      </c>
      <c r="U225" s="8">
        <f t="shared" si="10"/>
        <v>0.65803178593876266</v>
      </c>
      <c r="V225" s="9" t="s">
        <v>5271</v>
      </c>
      <c r="W225" s="9" t="str">
        <f t="shared" si="11"/>
        <v>Macclesfield RD</v>
      </c>
      <c r="X225" s="9" t="str">
        <f>INDEX(Lookup!$A$2:$A$1349, MATCH(W225, Lookup!$B$2:$B$1349,0))</f>
        <v>J04000802</v>
      </c>
      <c r="Y225" s="9" t="str">
        <f>INDEX(Lookup!$F$2:$F$1349, MATCH(W225, Lookup!$B$2:$B$1349,0))</f>
        <v>e050113</v>
      </c>
      <c r="Z225" s="6" t="str">
        <f>INDEX(Lookup!$C$2:$C$1300, MATCH(X225, Lookup!$A$2:$A$1300,0))</f>
        <v>Cheshire</v>
      </c>
    </row>
    <row r="226" spans="1:26" ht="28.15" customHeight="1" x14ac:dyDescent="0.2">
      <c r="A226" s="6" t="s">
        <v>248</v>
      </c>
      <c r="B226" s="1" t="s">
        <v>248</v>
      </c>
      <c r="C226" s="4">
        <v>7188</v>
      </c>
      <c r="D226" s="4">
        <v>353766</v>
      </c>
      <c r="E226" s="2">
        <v>777</v>
      </c>
      <c r="F226" s="4">
        <v>97675</v>
      </c>
      <c r="G226" s="4">
        <v>58</v>
      </c>
      <c r="H226" s="4">
        <v>14148</v>
      </c>
      <c r="I226" s="4">
        <v>170</v>
      </c>
      <c r="J226" s="4">
        <v>17571</v>
      </c>
      <c r="K226" s="4">
        <v>5</v>
      </c>
      <c r="L226" s="4">
        <v>310</v>
      </c>
      <c r="M226" s="4">
        <v>374</v>
      </c>
      <c r="N226" s="4">
        <v>28700</v>
      </c>
      <c r="O226" s="4">
        <v>37</v>
      </c>
      <c r="P226" s="4">
        <v>55168</v>
      </c>
      <c r="Q226" s="4">
        <v>29665</v>
      </c>
      <c r="R226" s="4">
        <v>173113</v>
      </c>
      <c r="S226" s="4">
        <v>770116</v>
      </c>
      <c r="T226" s="10">
        <f t="shared" si="9"/>
        <v>465589</v>
      </c>
      <c r="U226" s="8">
        <f t="shared" si="10"/>
        <v>0.60456996088900894</v>
      </c>
      <c r="V226" s="9" t="s">
        <v>5271</v>
      </c>
      <c r="W226" s="9" t="str">
        <f t="shared" si="11"/>
        <v>Nantwich RD</v>
      </c>
      <c r="X226" s="9" t="str">
        <f>INDEX(Lookup!$A$2:$A$1349, MATCH(W226, Lookup!$B$2:$B$1349,0))</f>
        <v>J04000877</v>
      </c>
      <c r="Y226" s="9" t="str">
        <f>INDEX(Lookup!$F$2:$F$1349, MATCH(W226, Lookup!$B$2:$B$1349,0))</f>
        <v>e050115</v>
      </c>
      <c r="Z226" s="6" t="str">
        <f>INDEX(Lookup!$C$2:$C$1300, MATCH(X226, Lookup!$A$2:$A$1300,0))</f>
        <v>Cheshire</v>
      </c>
    </row>
    <row r="227" spans="1:26" ht="28.15" customHeight="1" x14ac:dyDescent="0.2">
      <c r="A227" s="6" t="s">
        <v>250</v>
      </c>
      <c r="B227" s="1" t="s">
        <v>250</v>
      </c>
      <c r="C227" s="4">
        <v>10918</v>
      </c>
      <c r="D227" s="4">
        <v>552717</v>
      </c>
      <c r="E227" s="2">
        <v>926</v>
      </c>
      <c r="F227" s="4">
        <v>123806</v>
      </c>
      <c r="G227" s="4">
        <v>85</v>
      </c>
      <c r="H227" s="4">
        <v>21080</v>
      </c>
      <c r="I227" s="4">
        <v>324</v>
      </c>
      <c r="J227" s="4">
        <v>37445</v>
      </c>
      <c r="K227" s="4">
        <v>17</v>
      </c>
      <c r="L227" s="4">
        <v>837</v>
      </c>
      <c r="M227" s="4">
        <v>950</v>
      </c>
      <c r="N227" s="4">
        <v>45215</v>
      </c>
      <c r="O227" s="2">
        <v>50</v>
      </c>
      <c r="P227" s="4">
        <v>96742</v>
      </c>
      <c r="Q227" s="4">
        <v>10635</v>
      </c>
      <c r="R227" s="4">
        <v>270622</v>
      </c>
      <c r="S227" s="4">
        <v>1159099</v>
      </c>
      <c r="T227" s="10">
        <f t="shared" si="9"/>
        <v>697603</v>
      </c>
      <c r="U227" s="8">
        <f t="shared" si="10"/>
        <v>0.60184936748284656</v>
      </c>
      <c r="V227" s="9" t="s">
        <v>5271</v>
      </c>
      <c r="W227" s="9" t="str">
        <f t="shared" si="11"/>
        <v>Northwich RD</v>
      </c>
      <c r="X227" s="9" t="str">
        <f>INDEX(Lookup!$A$2:$A$1349, MATCH(W227, Lookup!$B$2:$B$1349,0))</f>
        <v>J04000936</v>
      </c>
      <c r="Y227" s="9" t="str">
        <f>INDEX(Lookup!$F$2:$F$1349, MATCH(W227, Lookup!$B$2:$B$1349,0))</f>
        <v>e050116</v>
      </c>
      <c r="Z227" s="6" t="str">
        <f>INDEX(Lookup!$C$2:$C$1300, MATCH(X227, Lookup!$A$2:$A$1300,0))</f>
        <v>Cheshire</v>
      </c>
    </row>
    <row r="228" spans="1:26" ht="28.15" customHeight="1" x14ac:dyDescent="0.2">
      <c r="A228" s="6" t="s">
        <v>251</v>
      </c>
      <c r="B228" s="1" t="s">
        <v>251</v>
      </c>
      <c r="C228" s="4">
        <v>10418</v>
      </c>
      <c r="D228" s="4">
        <v>606259</v>
      </c>
      <c r="E228" s="4">
        <v>2132</v>
      </c>
      <c r="F228" s="4">
        <v>271423</v>
      </c>
      <c r="G228" s="2">
        <v>128</v>
      </c>
      <c r="H228" s="4">
        <v>31777</v>
      </c>
      <c r="I228" s="4">
        <v>347</v>
      </c>
      <c r="J228" s="4">
        <v>45302</v>
      </c>
      <c r="K228" s="4">
        <v>17</v>
      </c>
      <c r="L228" s="4">
        <v>877</v>
      </c>
      <c r="M228" s="4">
        <v>806</v>
      </c>
      <c r="N228" s="4">
        <v>51173</v>
      </c>
      <c r="O228" s="4">
        <v>58</v>
      </c>
      <c r="P228" s="4">
        <v>142660</v>
      </c>
      <c r="Q228" s="4">
        <v>8128</v>
      </c>
      <c r="R228" s="4">
        <v>206419</v>
      </c>
      <c r="S228" s="4">
        <v>1364018</v>
      </c>
      <c r="T228" s="10">
        <f t="shared" si="9"/>
        <v>909459</v>
      </c>
      <c r="U228" s="8">
        <f t="shared" si="10"/>
        <v>0.66674999890030773</v>
      </c>
      <c r="V228" s="9" t="s">
        <v>5271</v>
      </c>
      <c r="W228" s="9" t="str">
        <f t="shared" si="11"/>
        <v>Runcorn RD</v>
      </c>
      <c r="X228" s="9" t="str">
        <f>INDEX(Lookup!$A$2:$A$1349, MATCH(W228, Lookup!$B$2:$B$1349,0))</f>
        <v>J04001081</v>
      </c>
      <c r="Y228" s="9" t="str">
        <f>INDEX(Lookup!$F$2:$F$1349, MATCH(W228, Lookup!$B$2:$B$1349,0))</f>
        <v>e050117</v>
      </c>
      <c r="Z228" s="6" t="str">
        <f>INDEX(Lookup!$C$2:$C$1300, MATCH(X228, Lookup!$A$2:$A$1300,0))</f>
        <v>Cheshire</v>
      </c>
    </row>
    <row r="229" spans="1:26" ht="28.15" customHeight="1" x14ac:dyDescent="0.2">
      <c r="A229" s="6" t="s">
        <v>258</v>
      </c>
      <c r="B229" s="1" t="s">
        <v>258</v>
      </c>
      <c r="C229" s="4">
        <v>3366</v>
      </c>
      <c r="D229" s="4">
        <v>137388</v>
      </c>
      <c r="E229" s="2">
        <v>317</v>
      </c>
      <c r="F229" s="4">
        <v>40038</v>
      </c>
      <c r="G229" s="2">
        <v>55</v>
      </c>
      <c r="H229" s="4">
        <v>17295</v>
      </c>
      <c r="I229" s="4">
        <v>155</v>
      </c>
      <c r="J229" s="4">
        <v>13151</v>
      </c>
      <c r="K229" s="4">
        <v>24</v>
      </c>
      <c r="L229" s="4">
        <v>968</v>
      </c>
      <c r="M229" s="4">
        <v>300</v>
      </c>
      <c r="N229" s="4">
        <v>24528</v>
      </c>
      <c r="O229" s="4">
        <v>10</v>
      </c>
      <c r="P229" s="4">
        <v>5072</v>
      </c>
      <c r="Q229" s="4">
        <v>4832</v>
      </c>
      <c r="R229" s="4">
        <v>103039</v>
      </c>
      <c r="S229" s="4">
        <v>346311</v>
      </c>
      <c r="T229" s="10">
        <f t="shared" si="9"/>
        <v>194721</v>
      </c>
      <c r="U229" s="8">
        <f t="shared" si="10"/>
        <v>0.5622720618172683</v>
      </c>
      <c r="V229" s="9" t="s">
        <v>5271</v>
      </c>
      <c r="W229" s="9" t="str">
        <f t="shared" si="11"/>
        <v>Tarvin RD</v>
      </c>
      <c r="X229" s="9" t="str">
        <f>INDEX(Lookup!$A$2:$A$1349, MATCH(W229, Lookup!$B$2:$B$1349,0))</f>
        <v>J04001250</v>
      </c>
      <c r="Y229" s="9" t="str">
        <f>INDEX(Lookup!$F$2:$F$1349, MATCH(W229, Lookup!$B$2:$B$1349,0))</f>
        <v>e050119</v>
      </c>
      <c r="Z229" s="6" t="str">
        <f>INDEX(Lookup!$C$2:$C$1300, MATCH(X229, Lookup!$A$2:$A$1300,0))</f>
        <v>Cheshire</v>
      </c>
    </row>
    <row r="230" spans="1:26" ht="28.15" customHeight="1" x14ac:dyDescent="0.2">
      <c r="A230" s="6" t="s">
        <v>259</v>
      </c>
      <c r="B230" s="1" t="s">
        <v>259</v>
      </c>
      <c r="C230" s="2">
        <v>577</v>
      </c>
      <c r="D230" s="4">
        <v>16598</v>
      </c>
      <c r="E230" s="2">
        <v>3</v>
      </c>
      <c r="F230" s="2">
        <v>362</v>
      </c>
      <c r="G230" s="2">
        <v>1</v>
      </c>
      <c r="H230" s="2">
        <v>306</v>
      </c>
      <c r="I230" s="2">
        <v>18</v>
      </c>
      <c r="J230" s="4">
        <v>818</v>
      </c>
      <c r="K230" s="4">
        <v>0</v>
      </c>
      <c r="L230" s="2">
        <v>0</v>
      </c>
      <c r="M230" s="2">
        <v>60</v>
      </c>
      <c r="N230" s="2">
        <v>898</v>
      </c>
      <c r="O230" s="2">
        <v>1</v>
      </c>
      <c r="P230" s="2">
        <v>1100</v>
      </c>
      <c r="Q230" s="2">
        <v>31</v>
      </c>
      <c r="R230" s="4">
        <v>33437</v>
      </c>
      <c r="S230" s="4">
        <v>53550</v>
      </c>
      <c r="T230" s="10">
        <f t="shared" si="9"/>
        <v>17266</v>
      </c>
      <c r="U230" s="8">
        <f t="shared" si="10"/>
        <v>0.32242763772175537</v>
      </c>
      <c r="V230" s="9" t="s">
        <v>5271</v>
      </c>
      <c r="W230" s="9" t="str">
        <f t="shared" si="11"/>
        <v>Tintwistle RD</v>
      </c>
      <c r="X230" s="9" t="str">
        <f>INDEX(Lookup!$A$2:$A$1349, MATCH(W230, Lookup!$B$2:$B$1349,0))</f>
        <v>J04001277</v>
      </c>
      <c r="Y230" s="9" t="str">
        <f>INDEX(Lookup!$F$2:$F$1349, MATCH(W230, Lookup!$B$2:$B$1349,0))</f>
        <v>e050120</v>
      </c>
      <c r="Z230" s="6" t="str">
        <f>INDEX(Lookup!$C$2:$C$1300, MATCH(X230, Lookup!$A$2:$A$1300,0))</f>
        <v>Derbyshire</v>
      </c>
    </row>
    <row r="231" spans="1:26" ht="28.15" customHeight="1" x14ac:dyDescent="0.2">
      <c r="A231" s="6" t="s">
        <v>260</v>
      </c>
      <c r="B231" s="1" t="s">
        <v>260</v>
      </c>
      <c r="T231" s="10"/>
      <c r="W231" s="9" t="str">
        <f t="shared" si="11"/>
        <v xml:space="preserve">CORNWALL </v>
      </c>
      <c r="X231" s="9" t="e">
        <f>INDEX(Lookup!$A$2:$A$1349, MATCH(W231, Lookup!$B$2:$B$1349,0))</f>
        <v>#N/A</v>
      </c>
      <c r="Y231" s="9" t="e">
        <f>INDEX(Lookup!$F$2:$F$1349, MATCH(W231, Lookup!$B$2:$B$1349,0))</f>
        <v>#N/A</v>
      </c>
      <c r="Z231" s="6" t="e">
        <f>INDEX(Lookup!$C$2:$C$1300, MATCH(X231, Lookup!$A$2:$A$1300,0))</f>
        <v>#N/A</v>
      </c>
    </row>
    <row r="232" spans="1:26" ht="28.15" customHeight="1" x14ac:dyDescent="0.2">
      <c r="A232" s="6" t="s">
        <v>175</v>
      </c>
      <c r="B232" s="1" t="s">
        <v>175</v>
      </c>
      <c r="T232" s="10"/>
      <c r="W232" s="9" t="str">
        <f t="shared" si="11"/>
        <v xml:space="preserve">Non-County Boroughs-- </v>
      </c>
      <c r="X232" s="9" t="e">
        <f>INDEX(Lookup!$A$2:$A$1349, MATCH(W232, Lookup!$B$2:$B$1349,0))</f>
        <v>#N/A</v>
      </c>
      <c r="Y232" s="9" t="e">
        <f>INDEX(Lookup!$F$2:$F$1349, MATCH(W232, Lookup!$B$2:$B$1349,0))</f>
        <v>#N/A</v>
      </c>
      <c r="Z232" s="6" t="e">
        <f>INDEX(Lookup!$C$2:$C$1300, MATCH(X232, Lookup!$A$2:$A$1300,0))</f>
        <v>#N/A</v>
      </c>
    </row>
    <row r="233" spans="1:26" ht="28.15" customHeight="1" x14ac:dyDescent="0.2">
      <c r="A233" s="6" t="s">
        <v>261</v>
      </c>
      <c r="B233" s="1" t="s">
        <v>5316</v>
      </c>
      <c r="C233" s="4">
        <v>1617</v>
      </c>
      <c r="D233" s="4">
        <v>68780</v>
      </c>
      <c r="E233" s="2">
        <v>65</v>
      </c>
      <c r="F233" s="4">
        <v>8045</v>
      </c>
      <c r="G233" s="4">
        <v>3</v>
      </c>
      <c r="H233" s="4">
        <v>678</v>
      </c>
      <c r="I233" s="4">
        <v>125</v>
      </c>
      <c r="J233" s="4">
        <v>16675</v>
      </c>
      <c r="K233" s="4">
        <v>34</v>
      </c>
      <c r="L233" s="4">
        <v>2239</v>
      </c>
      <c r="M233" s="4">
        <v>336</v>
      </c>
      <c r="N233" s="4">
        <v>20054</v>
      </c>
      <c r="O233" s="2">
        <v>7</v>
      </c>
      <c r="P233" s="4">
        <v>7314</v>
      </c>
      <c r="Q233" s="4">
        <v>12826</v>
      </c>
      <c r="R233" s="4">
        <v>18729</v>
      </c>
      <c r="S233" s="4">
        <v>155340</v>
      </c>
      <c r="T233" s="10">
        <f t="shared" si="9"/>
        <v>77503</v>
      </c>
      <c r="U233" s="8">
        <f t="shared" si="10"/>
        <v>0.49892493884382644</v>
      </c>
      <c r="V233" s="9" t="s">
        <v>5268</v>
      </c>
      <c r="W233" s="9" t="str">
        <f t="shared" si="11"/>
        <v>Bodmin MB</v>
      </c>
      <c r="X233" s="9" t="str">
        <f>INDEX(Lookup!$A$2:$A$1349, MATCH(W233, Lookup!$B$2:$B$1349,0))</f>
        <v>J04000168</v>
      </c>
      <c r="Y233" s="9" t="str">
        <f>INDEX(Lookup!$F$2:$F$1349, MATCH(W233, Lookup!$B$2:$B$1349,0))</f>
        <v>e060121</v>
      </c>
      <c r="Z233" s="6" t="str">
        <f>INDEX(Lookup!$C$2:$C$1300, MATCH(X233, Lookup!$A$2:$A$1300,0))</f>
        <v>Cornwall And Isles Of Scilly</v>
      </c>
    </row>
    <row r="234" spans="1:26" ht="28.15" customHeight="1" x14ac:dyDescent="0.2">
      <c r="A234" s="6" t="s">
        <v>262</v>
      </c>
      <c r="B234" s="1" t="s">
        <v>5317</v>
      </c>
      <c r="C234" s="4">
        <v>4515</v>
      </c>
      <c r="D234" s="4">
        <v>259587</v>
      </c>
      <c r="E234" s="2">
        <v>717</v>
      </c>
      <c r="F234" s="4">
        <v>93552</v>
      </c>
      <c r="G234" s="4">
        <v>42</v>
      </c>
      <c r="H234" s="4">
        <v>9520</v>
      </c>
      <c r="I234" s="4">
        <v>359</v>
      </c>
      <c r="J234" s="4">
        <v>97497</v>
      </c>
      <c r="K234" s="4">
        <v>71</v>
      </c>
      <c r="L234" s="4">
        <v>5445</v>
      </c>
      <c r="M234" s="4">
        <v>639</v>
      </c>
      <c r="N234" s="4">
        <v>77546</v>
      </c>
      <c r="O234" s="4">
        <v>11</v>
      </c>
      <c r="P234" s="4">
        <v>183323</v>
      </c>
      <c r="Q234" s="2">
        <v>10540</v>
      </c>
      <c r="R234" s="4">
        <v>102694</v>
      </c>
      <c r="S234" s="4">
        <v>839704</v>
      </c>
      <c r="T234" s="10">
        <f t="shared" si="9"/>
        <v>362659</v>
      </c>
      <c r="U234" s="8">
        <f t="shared" si="10"/>
        <v>0.4318890942522603</v>
      </c>
      <c r="V234" s="9" t="s">
        <v>5268</v>
      </c>
      <c r="W234" s="9" t="str">
        <f t="shared" si="11"/>
        <v>Falmouth MB</v>
      </c>
      <c r="X234" s="9" t="str">
        <f>INDEX(Lookup!$A$2:$A$1349, MATCH(W234, Lookup!$B$2:$B$1349,0))</f>
        <v>J04000490</v>
      </c>
      <c r="Y234" s="9" t="str">
        <f>INDEX(Lookup!$F$2:$F$1349, MATCH(W234, Lookup!$B$2:$B$1349,0))</f>
        <v>e060124</v>
      </c>
      <c r="Z234" s="6" t="str">
        <f>INDEX(Lookup!$C$2:$C$1300, MATCH(X234, Lookup!$A$2:$A$1300,0))</f>
        <v>Cornwall And Isles Of Scilly</v>
      </c>
    </row>
    <row r="235" spans="1:26" ht="28.15" customHeight="1" x14ac:dyDescent="0.2">
      <c r="A235" s="6" t="s">
        <v>263</v>
      </c>
      <c r="B235" s="1" t="s">
        <v>263</v>
      </c>
      <c r="C235" s="2">
        <v>690</v>
      </c>
      <c r="D235" s="4">
        <v>29990</v>
      </c>
      <c r="E235" s="2">
        <v>81</v>
      </c>
      <c r="F235" s="4">
        <v>10515</v>
      </c>
      <c r="G235" s="2">
        <v>8</v>
      </c>
      <c r="H235" s="4">
        <v>2207</v>
      </c>
      <c r="I235" s="2">
        <v>73</v>
      </c>
      <c r="J235" s="4">
        <v>7390</v>
      </c>
      <c r="K235" s="4">
        <v>9</v>
      </c>
      <c r="L235" s="4">
        <v>597</v>
      </c>
      <c r="M235" s="4">
        <v>107</v>
      </c>
      <c r="N235" s="4">
        <v>9538</v>
      </c>
      <c r="O235" s="4">
        <v>3</v>
      </c>
      <c r="P235" s="4">
        <v>215</v>
      </c>
      <c r="Q235" s="4">
        <v>679</v>
      </c>
      <c r="R235" s="4">
        <v>12633</v>
      </c>
      <c r="S235" s="4">
        <v>73764</v>
      </c>
      <c r="T235" s="10">
        <f t="shared" si="9"/>
        <v>42712</v>
      </c>
      <c r="U235" s="8">
        <f t="shared" si="10"/>
        <v>0.57903584404316466</v>
      </c>
      <c r="V235" s="9" t="s">
        <v>5268</v>
      </c>
      <c r="W235" s="9" t="str">
        <f t="shared" si="11"/>
        <v>Fowey MB</v>
      </c>
      <c r="X235" s="9" t="str">
        <f>INDEX(Lookup!$A$2:$A$1349, MATCH(W235, Lookup!$B$2:$B$1349,0))</f>
        <v>J04000514</v>
      </c>
      <c r="Y235" s="9" t="str">
        <f>INDEX(Lookup!$F$2:$F$1349, MATCH(W235, Lookup!$B$2:$B$1349,0))</f>
        <v>e060132</v>
      </c>
      <c r="Z235" s="6" t="str">
        <f>INDEX(Lookup!$C$2:$C$1300, MATCH(X235, Lookup!$A$2:$A$1300,0))</f>
        <v>Cornwall And Isles Of Scilly</v>
      </c>
    </row>
    <row r="236" spans="1:26" ht="28.15" customHeight="1" x14ac:dyDescent="0.2">
      <c r="A236" s="6" t="s">
        <v>264</v>
      </c>
      <c r="B236" s="1" t="s">
        <v>264</v>
      </c>
      <c r="C236" s="4">
        <v>1954</v>
      </c>
      <c r="D236" s="4">
        <v>84611</v>
      </c>
      <c r="E236" s="2">
        <v>87</v>
      </c>
      <c r="F236" s="4">
        <v>11143</v>
      </c>
      <c r="G236" s="2">
        <v>5</v>
      </c>
      <c r="H236" s="4">
        <v>1509</v>
      </c>
      <c r="I236" s="2">
        <v>191</v>
      </c>
      <c r="J236" s="4">
        <v>28465</v>
      </c>
      <c r="K236" s="4">
        <v>29</v>
      </c>
      <c r="L236" s="4">
        <v>2259</v>
      </c>
      <c r="M236" s="4">
        <v>413</v>
      </c>
      <c r="N236" s="4">
        <v>20327</v>
      </c>
      <c r="O236" s="4">
        <v>16</v>
      </c>
      <c r="P236" s="4">
        <v>4394</v>
      </c>
      <c r="Q236" s="4">
        <v>12280</v>
      </c>
      <c r="R236" s="4">
        <v>32796</v>
      </c>
      <c r="S236" s="4">
        <v>197784</v>
      </c>
      <c r="T236" s="10">
        <f t="shared" si="9"/>
        <v>97263</v>
      </c>
      <c r="U236" s="8">
        <f t="shared" si="10"/>
        <v>0.49176374226428832</v>
      </c>
      <c r="V236" s="9" t="s">
        <v>5268</v>
      </c>
      <c r="W236" s="9" t="str">
        <f t="shared" si="11"/>
        <v>Helston MB</v>
      </c>
      <c r="X236" s="9" t="str">
        <f>INDEX(Lookup!$A$2:$A$1349, MATCH(W236, Lookup!$B$2:$B$1349,0))</f>
        <v>J04000602</v>
      </c>
      <c r="Y236" s="9" t="str">
        <f>INDEX(Lookup!$F$2:$F$1349, MATCH(W236, Lookup!$B$2:$B$1349,0))</f>
        <v>e060125</v>
      </c>
      <c r="Z236" s="6" t="str">
        <f>INDEX(Lookup!$C$2:$C$1300, MATCH(X236, Lookup!$A$2:$A$1300,0))</f>
        <v>Cornwall And Isles Of Scilly</v>
      </c>
    </row>
    <row r="237" spans="1:26" ht="28.15" customHeight="1" x14ac:dyDescent="0.2">
      <c r="A237" s="6" t="s">
        <v>265</v>
      </c>
      <c r="B237" s="1" t="s">
        <v>265</v>
      </c>
      <c r="T237" s="10"/>
      <c r="W237" s="9" t="str">
        <f t="shared" si="11"/>
        <v xml:space="preserve">CORNWALL-contd: </v>
      </c>
      <c r="X237" s="9" t="e">
        <f>INDEX(Lookup!$A$2:$A$1349, MATCH(W237, Lookup!$B$2:$B$1349,0))</f>
        <v>#N/A</v>
      </c>
      <c r="Y237" s="9" t="e">
        <f>INDEX(Lookup!$F$2:$F$1349, MATCH(W237, Lookup!$B$2:$B$1349,0))</f>
        <v>#N/A</v>
      </c>
      <c r="Z237" s="6" t="e">
        <f>INDEX(Lookup!$C$2:$C$1300, MATCH(X237, Lookup!$A$2:$A$1300,0))</f>
        <v>#N/A</v>
      </c>
    </row>
    <row r="238" spans="1:26" ht="28.15" customHeight="1" x14ac:dyDescent="0.2">
      <c r="A238" s="6" t="s">
        <v>266</v>
      </c>
      <c r="B238" s="1" t="s">
        <v>266</v>
      </c>
      <c r="T238" s="10"/>
      <c r="W238" s="9" t="str">
        <f t="shared" si="11"/>
        <v xml:space="preserve">Non-County Boroughs-contd: </v>
      </c>
      <c r="X238" s="9" t="e">
        <f>INDEX(Lookup!$A$2:$A$1349, MATCH(W238, Lookup!$B$2:$B$1349,0))</f>
        <v>#N/A</v>
      </c>
      <c r="Y238" s="9" t="e">
        <f>INDEX(Lookup!$F$2:$F$1349, MATCH(W238, Lookup!$B$2:$B$1349,0))</f>
        <v>#N/A</v>
      </c>
      <c r="Z238" s="6" t="e">
        <f>INDEX(Lookup!$C$2:$C$1300, MATCH(X238, Lookup!$A$2:$A$1300,0))</f>
        <v>#N/A</v>
      </c>
    </row>
    <row r="239" spans="1:26" ht="28.15" customHeight="1" x14ac:dyDescent="0.2">
      <c r="A239" s="6" t="s">
        <v>267</v>
      </c>
      <c r="B239" s="1" t="s">
        <v>285</v>
      </c>
      <c r="C239" s="4">
        <v>1287</v>
      </c>
      <c r="D239" s="4">
        <v>55353</v>
      </c>
      <c r="E239" s="2">
        <v>166</v>
      </c>
      <c r="F239" s="4">
        <v>21594</v>
      </c>
      <c r="G239" s="4">
        <v>7</v>
      </c>
      <c r="H239" s="4">
        <v>1562</v>
      </c>
      <c r="I239" s="4">
        <v>144</v>
      </c>
      <c r="J239" s="4">
        <v>26874</v>
      </c>
      <c r="K239" s="4">
        <v>56</v>
      </c>
      <c r="L239" s="4">
        <v>4240</v>
      </c>
      <c r="M239" s="4">
        <v>352</v>
      </c>
      <c r="N239" s="4">
        <v>17836</v>
      </c>
      <c r="O239" s="4">
        <v>12</v>
      </c>
      <c r="P239" s="4">
        <v>5440</v>
      </c>
      <c r="Q239" s="4">
        <v>2488</v>
      </c>
      <c r="R239" s="4">
        <v>20294</v>
      </c>
      <c r="S239" s="4">
        <v>155681</v>
      </c>
      <c r="T239" s="10">
        <f t="shared" si="9"/>
        <v>78509</v>
      </c>
      <c r="U239" s="8">
        <f t="shared" si="10"/>
        <v>0.50429403716574273</v>
      </c>
      <c r="V239" s="9" t="s">
        <v>5268</v>
      </c>
      <c r="W239" s="9" t="str">
        <f t="shared" si="11"/>
        <v>Launceston MB</v>
      </c>
      <c r="X239" s="9" t="str">
        <f>INDEX(Lookup!$A$2:$A$1349, MATCH(W239, Lookup!$B$2:$B$1349,0))</f>
        <v>J04000722</v>
      </c>
      <c r="Y239" s="9" t="str">
        <f>INDEX(Lookup!$F$2:$F$1349, MATCH(W239, Lookup!$B$2:$B$1349,0))</f>
        <v>e060126</v>
      </c>
      <c r="Z239" s="6" t="str">
        <f>INDEX(Lookup!$C$2:$C$1300, MATCH(X239, Lookup!$A$2:$A$1300,0))</f>
        <v>Cornwall And Isles Of Scilly</v>
      </c>
    </row>
    <row r="240" spans="1:26" ht="28.15" customHeight="1" x14ac:dyDescent="0.2">
      <c r="A240" s="6" t="s">
        <v>268</v>
      </c>
      <c r="B240" s="1" t="s">
        <v>268</v>
      </c>
      <c r="C240" s="2">
        <v>1440</v>
      </c>
      <c r="D240" s="4">
        <v>63951</v>
      </c>
      <c r="E240" s="2">
        <v>98</v>
      </c>
      <c r="F240" s="4">
        <v>11611</v>
      </c>
      <c r="I240" s="2">
        <v>132</v>
      </c>
      <c r="J240" s="4">
        <v>19339</v>
      </c>
      <c r="K240" s="4">
        <v>69</v>
      </c>
      <c r="L240" s="4">
        <v>4233</v>
      </c>
      <c r="M240" s="4">
        <v>285</v>
      </c>
      <c r="N240" s="4">
        <v>12159</v>
      </c>
      <c r="O240" s="4">
        <v>16</v>
      </c>
      <c r="P240" s="4">
        <v>6365</v>
      </c>
      <c r="Q240" s="4">
        <v>2888</v>
      </c>
      <c r="R240" s="4">
        <v>18242</v>
      </c>
      <c r="S240" s="4">
        <v>138788</v>
      </c>
      <c r="T240" s="10">
        <f>SUM(D240+F240)</f>
        <v>75562</v>
      </c>
      <c r="U240" s="8">
        <f t="shared" si="10"/>
        <v>0.54444188258350867</v>
      </c>
      <c r="V240" s="9" t="s">
        <v>5268</v>
      </c>
      <c r="W240" s="9" t="str">
        <f t="shared" si="11"/>
        <v>Liskeard MB</v>
      </c>
      <c r="X240" s="9" t="str">
        <f>INDEX(Lookup!$A$2:$A$1349, MATCH(W240, Lookup!$B$2:$B$1349,0))</f>
        <v>J04000748</v>
      </c>
      <c r="Y240" s="9" t="str">
        <f>INDEX(Lookup!$F$2:$F$1349, MATCH(W240, Lookup!$B$2:$B$1349,0))</f>
        <v>e060127</v>
      </c>
      <c r="Z240" s="6" t="str">
        <f>INDEX(Lookup!$C$2:$C$1300, MATCH(X240, Lookup!$A$2:$A$1300,0))</f>
        <v>Cornwall And Isles Of Scilly</v>
      </c>
    </row>
    <row r="241" spans="1:26" ht="28.15" customHeight="1" x14ac:dyDescent="0.2">
      <c r="A241" s="6" t="s">
        <v>269</v>
      </c>
      <c r="B241" s="1" t="s">
        <v>5345</v>
      </c>
      <c r="C241" s="2">
        <v>635</v>
      </c>
      <c r="D241" s="4">
        <v>22006</v>
      </c>
      <c r="E241" s="2">
        <v>17</v>
      </c>
      <c r="F241" s="4">
        <v>2187</v>
      </c>
      <c r="G241" s="2">
        <v>1</v>
      </c>
      <c r="H241" s="4">
        <v>266</v>
      </c>
      <c r="I241" s="2">
        <v>59</v>
      </c>
      <c r="J241" s="4">
        <v>4195</v>
      </c>
      <c r="K241" s="2">
        <v>9</v>
      </c>
      <c r="L241" s="4">
        <v>309</v>
      </c>
      <c r="M241" s="4">
        <v>125</v>
      </c>
      <c r="N241" s="4">
        <v>3631</v>
      </c>
      <c r="O241" s="4">
        <v>4</v>
      </c>
      <c r="P241" s="4">
        <v>8810</v>
      </c>
      <c r="Q241" s="4">
        <v>230</v>
      </c>
      <c r="R241" s="4">
        <v>3824</v>
      </c>
      <c r="S241" s="4">
        <v>45458</v>
      </c>
      <c r="T241" s="10">
        <f t="shared" si="9"/>
        <v>24459</v>
      </c>
      <c r="U241" s="8">
        <f t="shared" si="10"/>
        <v>0.53805710765981785</v>
      </c>
      <c r="V241" s="9" t="s">
        <v>5268</v>
      </c>
      <c r="W241" s="9" t="str">
        <f t="shared" si="11"/>
        <v>Lostwithiel MB</v>
      </c>
      <c r="X241" s="9" t="str">
        <f>INDEX(Lookup!$A$2:$A$1349, MATCH(W241, Lookup!$B$2:$B$1349,0))</f>
        <v>J04000781</v>
      </c>
      <c r="Y241" s="9" t="str">
        <f>INDEX(Lookup!$F$2:$F$1349, MATCH(W241, Lookup!$B$2:$B$1349,0))</f>
        <v>e060142</v>
      </c>
      <c r="Z241" s="6" t="str">
        <f>INDEX(Lookup!$C$2:$C$1300, MATCH(X241, Lookup!$A$2:$A$1300,0))</f>
        <v>Cornwall And Isles Of Scilly</v>
      </c>
    </row>
    <row r="242" spans="1:26" ht="28.15" customHeight="1" x14ac:dyDescent="0.2">
      <c r="A242" s="6" t="s">
        <v>270</v>
      </c>
      <c r="B242" s="1" t="s">
        <v>270</v>
      </c>
      <c r="C242" s="4">
        <v>1443</v>
      </c>
      <c r="D242" s="4">
        <v>59010</v>
      </c>
      <c r="E242" s="2">
        <v>34</v>
      </c>
      <c r="F242" s="4">
        <v>3976</v>
      </c>
      <c r="G242" s="2">
        <v>3</v>
      </c>
      <c r="H242" s="2">
        <v>798</v>
      </c>
      <c r="I242" s="2">
        <v>84</v>
      </c>
      <c r="J242" s="4">
        <v>7902</v>
      </c>
      <c r="K242" s="2">
        <v>6</v>
      </c>
      <c r="L242" s="2">
        <v>413</v>
      </c>
      <c r="M242" s="4">
        <v>221</v>
      </c>
      <c r="N242" s="4">
        <v>16991</v>
      </c>
      <c r="O242" s="4">
        <v>18</v>
      </c>
      <c r="P242" s="4">
        <v>7647</v>
      </c>
      <c r="Q242" s="4">
        <v>340</v>
      </c>
      <c r="R242" s="4">
        <v>21051</v>
      </c>
      <c r="S242" s="4">
        <v>118128</v>
      </c>
      <c r="T242" s="10">
        <f t="shared" si="9"/>
        <v>63784</v>
      </c>
      <c r="U242" s="8">
        <f t="shared" si="10"/>
        <v>0.53995665718542596</v>
      </c>
      <c r="V242" s="9" t="s">
        <v>5268</v>
      </c>
      <c r="W242" s="9" t="str">
        <f t="shared" si="11"/>
        <v>Penryn MB</v>
      </c>
      <c r="X242" s="9" t="str">
        <f>INDEX(Lookup!$A$2:$A$1349, MATCH(W242, Lookup!$B$2:$B$1349,0))</f>
        <v>J04000983</v>
      </c>
      <c r="Y242" s="9" t="str">
        <f>INDEX(Lookup!$F$2:$F$1349, MATCH(W242, Lookup!$B$2:$B$1349,0))</f>
        <v>e060130</v>
      </c>
      <c r="Z242" s="6" t="str">
        <f>INDEX(Lookup!$C$2:$C$1300, MATCH(X242, Lookup!$A$2:$A$1300,0))</f>
        <v>Cornwall And Isles Of Scilly</v>
      </c>
    </row>
    <row r="243" spans="1:26" ht="28.15" customHeight="1" x14ac:dyDescent="0.2">
      <c r="A243" s="6" t="s">
        <v>271</v>
      </c>
      <c r="B243" s="1" t="s">
        <v>271</v>
      </c>
      <c r="C243" s="4">
        <v>6058</v>
      </c>
      <c r="D243" s="4">
        <v>291734</v>
      </c>
      <c r="E243" s="2">
        <v>464</v>
      </c>
      <c r="F243" s="4">
        <v>60372</v>
      </c>
      <c r="G243" s="4">
        <v>37</v>
      </c>
      <c r="H243" s="4">
        <v>8684</v>
      </c>
      <c r="I243" s="4">
        <v>480</v>
      </c>
      <c r="J243" s="4">
        <v>96389</v>
      </c>
      <c r="K243" s="4">
        <v>67</v>
      </c>
      <c r="L243" s="4">
        <v>6016</v>
      </c>
      <c r="M243" s="4">
        <v>1012</v>
      </c>
      <c r="N243" s="4">
        <v>59561</v>
      </c>
      <c r="O243" s="4">
        <v>57</v>
      </c>
      <c r="P243" s="4">
        <v>17702</v>
      </c>
      <c r="Q243" s="4">
        <v>5146</v>
      </c>
      <c r="R243" s="4">
        <v>91495</v>
      </c>
      <c r="S243" s="4">
        <v>637099</v>
      </c>
      <c r="T243" s="10">
        <f t="shared" si="9"/>
        <v>360790</v>
      </c>
      <c r="U243" s="8">
        <f t="shared" si="10"/>
        <v>0.56630131266883166</v>
      </c>
      <c r="V243" s="9" t="s">
        <v>5268</v>
      </c>
      <c r="W243" s="9" t="str">
        <f t="shared" si="11"/>
        <v>Penzance MB</v>
      </c>
      <c r="X243" s="9" t="str">
        <f>INDEX(Lookup!$A$2:$A$1349, MATCH(W243, Lookup!$B$2:$B$1349,0))</f>
        <v>J04000985</v>
      </c>
      <c r="Y243" s="9" t="str">
        <f>INDEX(Lookup!$F$2:$F$1349, MATCH(W243, Lookup!$B$2:$B$1349,0))</f>
        <v>e060131</v>
      </c>
      <c r="Z243" s="6" t="str">
        <f>INDEX(Lookup!$C$2:$C$1300, MATCH(X243, Lookup!$A$2:$A$1300,0))</f>
        <v>Cornwall And Isles Of Scilly</v>
      </c>
    </row>
    <row r="244" spans="1:26" ht="28.15" customHeight="1" x14ac:dyDescent="0.2">
      <c r="A244" s="6" t="s">
        <v>272</v>
      </c>
      <c r="B244" s="1" t="s">
        <v>550</v>
      </c>
      <c r="C244" s="4">
        <v>2748</v>
      </c>
      <c r="D244" s="4">
        <v>136291</v>
      </c>
      <c r="E244" s="2">
        <v>477</v>
      </c>
      <c r="F244" s="4">
        <v>30109</v>
      </c>
      <c r="G244" s="2">
        <v>55</v>
      </c>
      <c r="H244" s="4">
        <v>13883</v>
      </c>
      <c r="I244" s="2">
        <v>240</v>
      </c>
      <c r="J244" s="4">
        <v>46818</v>
      </c>
      <c r="K244" s="2">
        <v>29</v>
      </c>
      <c r="L244" s="4">
        <v>3562</v>
      </c>
      <c r="M244" s="4">
        <v>603</v>
      </c>
      <c r="N244" s="4">
        <v>82022</v>
      </c>
      <c r="O244" s="4">
        <v>15</v>
      </c>
      <c r="P244" s="4">
        <v>6706</v>
      </c>
      <c r="Q244" s="4">
        <v>892</v>
      </c>
      <c r="R244" s="4">
        <v>27988</v>
      </c>
      <c r="S244" s="4">
        <v>380531</v>
      </c>
      <c r="T244" s="10">
        <f t="shared" si="9"/>
        <v>180283</v>
      </c>
      <c r="U244" s="8">
        <f t="shared" si="10"/>
        <v>0.47376692043486601</v>
      </c>
      <c r="V244" s="9" t="s">
        <v>5268</v>
      </c>
      <c r="W244" s="9" t="str">
        <f t="shared" si="11"/>
        <v>St. Ives MB</v>
      </c>
      <c r="X244" s="9" t="str">
        <f>Lookup!$A$154</f>
        <v>J04001187</v>
      </c>
      <c r="Y244" s="9" t="str">
        <f>Lookup!$F$154</f>
        <v>e060133</v>
      </c>
      <c r="Z244" s="6" t="str">
        <f>INDEX(Lookup!$C$2:$C$1300, MATCH(X244, Lookup!$A$2:$A$1300,0))</f>
        <v>Cornwall And Isles Of Scilly</v>
      </c>
    </row>
    <row r="245" spans="1:26" ht="28.15" customHeight="1" x14ac:dyDescent="0.2">
      <c r="A245" s="6" t="s">
        <v>273</v>
      </c>
      <c r="B245" s="1" t="s">
        <v>273</v>
      </c>
      <c r="C245" s="4">
        <v>2150</v>
      </c>
      <c r="D245" s="4">
        <v>134800</v>
      </c>
      <c r="E245" s="2">
        <v>257</v>
      </c>
      <c r="F245" s="4">
        <v>30109</v>
      </c>
      <c r="G245" s="4">
        <v>7</v>
      </c>
      <c r="H245" s="4">
        <v>2436</v>
      </c>
      <c r="I245" s="4">
        <v>77</v>
      </c>
      <c r="J245" s="4">
        <v>13732</v>
      </c>
      <c r="K245" s="4">
        <v>16</v>
      </c>
      <c r="L245" s="4">
        <v>1579</v>
      </c>
      <c r="M245" s="4">
        <v>189</v>
      </c>
      <c r="N245" s="4">
        <v>7358</v>
      </c>
      <c r="O245" s="2">
        <v>1</v>
      </c>
      <c r="P245" s="2">
        <v>1250</v>
      </c>
      <c r="Q245" s="2">
        <v>992</v>
      </c>
      <c r="R245" s="4">
        <v>23205</v>
      </c>
      <c r="S245" s="4">
        <v>215461</v>
      </c>
      <c r="T245" s="10">
        <f t="shared" si="9"/>
        <v>167345</v>
      </c>
      <c r="U245" s="8">
        <f t="shared" si="10"/>
        <v>0.7766834833218077</v>
      </c>
      <c r="V245" s="9" t="s">
        <v>5268</v>
      </c>
      <c r="W245" s="9" t="str">
        <f t="shared" si="11"/>
        <v>Saltash MB</v>
      </c>
      <c r="X245" s="9" t="str">
        <f>INDEX(Lookup!$A$2:$A$1349, MATCH(W245, Lookup!$B$2:$B$1349,0))</f>
        <v>J04001097</v>
      </c>
      <c r="Y245" s="9" t="str">
        <f>INDEX(Lookup!$F$2:$F$1349, MATCH(W245, Lookup!$B$2:$B$1349,0))</f>
        <v>e060135</v>
      </c>
      <c r="Z245" s="6" t="str">
        <f>INDEX(Lookup!$C$2:$C$1300, MATCH(X245, Lookup!$A$2:$A$1300,0))</f>
        <v>Cornwall And Isles Of Scilly</v>
      </c>
    </row>
    <row r="246" spans="1:26" ht="28.15" customHeight="1" x14ac:dyDescent="0.2">
      <c r="A246" s="6" t="s">
        <v>274</v>
      </c>
      <c r="B246" s="1" t="s">
        <v>5346</v>
      </c>
      <c r="C246" s="4">
        <v>3874</v>
      </c>
      <c r="D246" s="4">
        <v>193518</v>
      </c>
      <c r="E246" s="2">
        <v>518</v>
      </c>
      <c r="F246" s="4">
        <v>66530</v>
      </c>
      <c r="G246" s="2">
        <v>32</v>
      </c>
      <c r="H246" s="4">
        <v>7811</v>
      </c>
      <c r="I246" s="2">
        <v>317</v>
      </c>
      <c r="J246" s="4">
        <v>93805</v>
      </c>
      <c r="K246" s="2">
        <v>152</v>
      </c>
      <c r="L246" s="2">
        <v>19027</v>
      </c>
      <c r="M246" s="4">
        <v>670</v>
      </c>
      <c r="N246" s="2">
        <v>73531</v>
      </c>
      <c r="O246" s="2">
        <v>19</v>
      </c>
      <c r="P246" s="2">
        <v>15167</v>
      </c>
      <c r="Q246" s="2">
        <v>10133</v>
      </c>
      <c r="R246" s="2">
        <v>86351</v>
      </c>
      <c r="S246" s="4">
        <v>565873</v>
      </c>
      <c r="T246" s="10">
        <f t="shared" si="9"/>
        <v>267859</v>
      </c>
      <c r="U246" s="8">
        <f t="shared" si="10"/>
        <v>0.47335532884587178</v>
      </c>
      <c r="V246" s="9" t="s">
        <v>5268</v>
      </c>
      <c r="W246" s="9" t="str">
        <f t="shared" si="11"/>
        <v>Truro, city of MB</v>
      </c>
      <c r="X246" s="9" t="str">
        <f>INDEX(Lookup!$A$2:$A$1349, MATCH(W246, Lookup!$B$2:$B$1349,0))</f>
        <v>J04001300</v>
      </c>
      <c r="Y246" s="9" t="str">
        <f>INDEX(Lookup!$F$2:$F$1349, MATCH(W246, Lookup!$B$2:$B$1349,0))</f>
        <v>e060137</v>
      </c>
      <c r="Z246" s="6" t="str">
        <f>INDEX(Lookup!$C$2:$C$1300, MATCH(X246, Lookup!$A$2:$A$1300,0))</f>
        <v>Cornwall And Isles Of Scilly</v>
      </c>
    </row>
    <row r="247" spans="1:26" ht="28.15" customHeight="1" x14ac:dyDescent="0.2">
      <c r="A247" s="6" t="s">
        <v>179</v>
      </c>
      <c r="B247" s="1" t="s">
        <v>179</v>
      </c>
      <c r="T247" s="10"/>
      <c r="W247" s="9" t="str">
        <f t="shared" si="11"/>
        <v xml:space="preserve">Urban Districts-- </v>
      </c>
      <c r="X247" s="9" t="e">
        <f>INDEX(Lookup!$A$2:$A$1349, MATCH(W247, Lookup!$B$2:$B$1349,0))</f>
        <v>#N/A</v>
      </c>
      <c r="Y247" s="9" t="e">
        <f>INDEX(Lookup!$F$2:$F$1349, MATCH(W247, Lookup!$B$2:$B$1349,0))</f>
        <v>#N/A</v>
      </c>
      <c r="Z247" s="6" t="e">
        <f>INDEX(Lookup!$C$2:$C$1300, MATCH(X247, Lookup!$A$2:$A$1300,0))</f>
        <v>#N/A</v>
      </c>
    </row>
    <row r="248" spans="1:26" ht="28.15" customHeight="1" x14ac:dyDescent="0.2">
      <c r="A248" s="6" t="s">
        <v>275</v>
      </c>
      <c r="B248" s="1" t="s">
        <v>275</v>
      </c>
      <c r="C248" s="4">
        <v>1468</v>
      </c>
      <c r="D248" s="4">
        <v>78288</v>
      </c>
      <c r="E248" s="2">
        <v>267</v>
      </c>
      <c r="F248" s="4">
        <v>34227</v>
      </c>
      <c r="G248" s="4">
        <v>7</v>
      </c>
      <c r="H248" s="4">
        <v>1662</v>
      </c>
      <c r="I248" s="4">
        <v>135</v>
      </c>
      <c r="J248" s="4">
        <v>20593</v>
      </c>
      <c r="K248" s="4">
        <v>15</v>
      </c>
      <c r="L248" s="4">
        <v>1504</v>
      </c>
      <c r="M248" s="4">
        <v>234</v>
      </c>
      <c r="N248" s="4">
        <v>31217</v>
      </c>
      <c r="O248" s="2">
        <v>5</v>
      </c>
      <c r="P248" s="2">
        <v>606</v>
      </c>
      <c r="Q248" s="2">
        <v>839</v>
      </c>
      <c r="R248" s="4">
        <v>21151</v>
      </c>
      <c r="S248" s="4">
        <v>190087</v>
      </c>
      <c r="T248" s="10">
        <f t="shared" si="9"/>
        <v>114177</v>
      </c>
      <c r="U248" s="8">
        <f t="shared" si="10"/>
        <v>0.60065654147837566</v>
      </c>
      <c r="V248" s="9" t="s">
        <v>5270</v>
      </c>
      <c r="W248" s="9" t="str">
        <f t="shared" si="11"/>
        <v>Bude-Stratton UD</v>
      </c>
      <c r="X248" s="9" t="str">
        <f>INDEX(Lookup!$A$2:$A$1349, MATCH(W248, Lookup!$B$2:$B$1349,0))</f>
        <v>J04000230</v>
      </c>
      <c r="Y248" s="9" t="str">
        <f>INDEX(Lookup!$F$2:$F$1349, MATCH(W248, Lookup!$B$2:$B$1349,0))</f>
        <v>e060122</v>
      </c>
      <c r="Z248" s="6" t="str">
        <f>INDEX(Lookup!$C$2:$C$1300, MATCH(X248, Lookup!$A$2:$A$1300,0))</f>
        <v>Cornwall And Isles Of Scilly</v>
      </c>
    </row>
    <row r="249" spans="1:26" ht="28.15" customHeight="1" x14ac:dyDescent="0.2">
      <c r="A249" s="6" t="s">
        <v>276</v>
      </c>
      <c r="B249" s="1" t="s">
        <v>276</v>
      </c>
      <c r="C249" s="4">
        <v>11759</v>
      </c>
      <c r="D249" s="4">
        <v>414158</v>
      </c>
      <c r="E249" s="2">
        <v>337</v>
      </c>
      <c r="F249" s="4">
        <v>43572</v>
      </c>
      <c r="G249" s="2">
        <v>16</v>
      </c>
      <c r="H249" s="4">
        <v>4047</v>
      </c>
      <c r="I249" s="2">
        <v>668</v>
      </c>
      <c r="J249" s="4">
        <v>112332</v>
      </c>
      <c r="K249" s="2">
        <v>52</v>
      </c>
      <c r="L249" s="4">
        <v>4642</v>
      </c>
      <c r="M249" s="4">
        <v>1120</v>
      </c>
      <c r="N249" s="4">
        <v>54237</v>
      </c>
      <c r="O249" s="2">
        <v>62</v>
      </c>
      <c r="P249" s="2">
        <v>128784</v>
      </c>
      <c r="Q249" s="2">
        <v>14078</v>
      </c>
      <c r="R249" s="4">
        <v>146990</v>
      </c>
      <c r="S249" s="4">
        <v>922840</v>
      </c>
      <c r="T249" s="10">
        <f t="shared" si="9"/>
        <v>461777</v>
      </c>
      <c r="U249" s="8">
        <f t="shared" si="10"/>
        <v>0.50038684929131816</v>
      </c>
      <c r="V249" s="9" t="s">
        <v>5270</v>
      </c>
      <c r="W249" s="9" t="str">
        <f t="shared" si="11"/>
        <v>Camborne-Redruth UD</v>
      </c>
      <c r="X249" s="9" t="str">
        <f>INDEX(Lookup!$A$2:$A$1349, MATCH(W249, Lookup!$B$2:$B$1349,0))</f>
        <v>J04000255</v>
      </c>
      <c r="Y249" s="9" t="str">
        <f>INDEX(Lookup!$F$2:$F$1349, MATCH(W249, Lookup!$B$2:$B$1349,0))</f>
        <v>e060123</v>
      </c>
      <c r="Z249" s="6" t="str">
        <f>INDEX(Lookup!$C$2:$C$1300, MATCH(X249, Lookup!$A$2:$A$1300,0))</f>
        <v>Cornwall And Isles Of Scilly</v>
      </c>
    </row>
    <row r="250" spans="1:26" ht="28.15" customHeight="1" x14ac:dyDescent="0.2">
      <c r="A250" s="6" t="s">
        <v>277</v>
      </c>
      <c r="B250" s="1" t="s">
        <v>277</v>
      </c>
      <c r="C250" s="4">
        <v>1151</v>
      </c>
      <c r="D250" s="4">
        <v>56561</v>
      </c>
      <c r="E250" s="2">
        <v>325</v>
      </c>
      <c r="F250" s="4">
        <v>42849</v>
      </c>
      <c r="G250" s="4">
        <v>17</v>
      </c>
      <c r="H250" s="4">
        <v>3738</v>
      </c>
      <c r="I250" s="4">
        <v>139</v>
      </c>
      <c r="J250" s="4">
        <v>23093</v>
      </c>
      <c r="K250" s="4">
        <v>7</v>
      </c>
      <c r="L250" s="4">
        <v>582</v>
      </c>
      <c r="M250" s="4">
        <v>267</v>
      </c>
      <c r="N250" s="4">
        <v>28106</v>
      </c>
      <c r="O250" s="4">
        <v>5</v>
      </c>
      <c r="P250" s="4">
        <v>1520</v>
      </c>
      <c r="Q250" s="2">
        <v>785</v>
      </c>
      <c r="R250" s="2">
        <v>14958</v>
      </c>
      <c r="S250" s="2">
        <v>172192</v>
      </c>
      <c r="T250" s="10">
        <f t="shared" si="9"/>
        <v>103148</v>
      </c>
      <c r="U250" s="8">
        <f t="shared" si="10"/>
        <v>0.59902899089388595</v>
      </c>
      <c r="V250" s="9" t="s">
        <v>5270</v>
      </c>
      <c r="W250" s="9" t="str">
        <f t="shared" si="11"/>
        <v>Looe UD</v>
      </c>
      <c r="X250" s="9" t="str">
        <f>INDEX(Lookup!$A$2:$A$1349, MATCH(W250, Lookup!$B$2:$B$1349,0))</f>
        <v>J04000780</v>
      </c>
      <c r="Y250" s="9" t="str">
        <f>INDEX(Lookup!$F$2:$F$1349, MATCH(W250, Lookup!$B$2:$B$1349,0))</f>
        <v>e060128</v>
      </c>
      <c r="Z250" s="6" t="str">
        <f>INDEX(Lookup!$C$2:$C$1300, MATCH(X250, Lookup!$A$2:$A$1300,0))</f>
        <v>Cornwall And Isles Of Scilly</v>
      </c>
    </row>
    <row r="251" spans="1:26" ht="28.15" customHeight="1" x14ac:dyDescent="0.2">
      <c r="A251" s="6" t="s">
        <v>278</v>
      </c>
      <c r="B251" s="1" t="s">
        <v>278</v>
      </c>
      <c r="C251" s="4">
        <v>2536</v>
      </c>
      <c r="D251" s="4">
        <v>157354</v>
      </c>
      <c r="E251" s="2">
        <v>979</v>
      </c>
      <c r="F251" s="4">
        <v>124229</v>
      </c>
      <c r="G251" s="2">
        <v>40</v>
      </c>
      <c r="H251" s="4">
        <v>9596</v>
      </c>
      <c r="I251" s="2">
        <v>295</v>
      </c>
      <c r="J251" s="4">
        <v>91324</v>
      </c>
      <c r="K251" s="2">
        <v>47</v>
      </c>
      <c r="L251" s="4">
        <v>3937</v>
      </c>
      <c r="M251" s="4">
        <v>897</v>
      </c>
      <c r="N251" s="4">
        <v>205276</v>
      </c>
      <c r="O251" s="4">
        <v>16</v>
      </c>
      <c r="P251" s="4">
        <v>7071</v>
      </c>
      <c r="Q251" s="2">
        <v>2723</v>
      </c>
      <c r="R251" s="2">
        <v>74215</v>
      </c>
      <c r="S251" s="2">
        <v>675725</v>
      </c>
      <c r="T251" s="10">
        <f t="shared" si="9"/>
        <v>291179</v>
      </c>
      <c r="U251" s="8">
        <f t="shared" si="10"/>
        <v>0.43091346331717784</v>
      </c>
      <c r="V251" s="9" t="s">
        <v>5270</v>
      </c>
      <c r="W251" s="9" t="str">
        <f t="shared" si="11"/>
        <v>Newquay UD</v>
      </c>
      <c r="X251" s="9" t="str">
        <f>INDEX(Lookup!$A$2:$A$1349, MATCH(W251, Lookup!$B$2:$B$1349,0))</f>
        <v>J04000912</v>
      </c>
      <c r="Y251" s="9" t="str">
        <f>INDEX(Lookup!$F$2:$F$1349, MATCH(W251, Lookup!$B$2:$B$1349,0))</f>
        <v>e060129</v>
      </c>
      <c r="Z251" s="6" t="str">
        <f>INDEX(Lookup!$C$2:$C$1300, MATCH(X251, Lookup!$A$2:$A$1300,0))</f>
        <v>Cornwall And Isles Of Scilly</v>
      </c>
    </row>
    <row r="252" spans="1:26" ht="28.15" customHeight="1" x14ac:dyDescent="0.2">
      <c r="A252" s="6" t="s">
        <v>279</v>
      </c>
      <c r="B252" s="1" t="s">
        <v>279</v>
      </c>
      <c r="C252" s="4">
        <v>740</v>
      </c>
      <c r="D252" s="4">
        <v>34233</v>
      </c>
      <c r="E252" s="2">
        <v>82</v>
      </c>
      <c r="F252" s="4">
        <v>10047</v>
      </c>
      <c r="G252" s="4">
        <v>6</v>
      </c>
      <c r="H252" s="4">
        <v>1578</v>
      </c>
      <c r="I252" s="4">
        <v>76</v>
      </c>
      <c r="J252" s="4">
        <v>6991</v>
      </c>
      <c r="K252" s="4">
        <v>31</v>
      </c>
      <c r="L252" s="4">
        <v>353</v>
      </c>
      <c r="M252" s="4">
        <v>136</v>
      </c>
      <c r="N252" s="4">
        <v>8532</v>
      </c>
      <c r="O252" s="4">
        <v>5</v>
      </c>
      <c r="P252" s="4">
        <v>345</v>
      </c>
      <c r="Q252" s="2">
        <v>3021</v>
      </c>
      <c r="R252" s="2">
        <v>5323</v>
      </c>
      <c r="S252" s="2">
        <v>70423</v>
      </c>
      <c r="T252" s="10">
        <f t="shared" si="9"/>
        <v>45858</v>
      </c>
      <c r="U252" s="8">
        <f t="shared" si="10"/>
        <v>0.65117930221660536</v>
      </c>
      <c r="V252" s="9" t="s">
        <v>5270</v>
      </c>
      <c r="W252" s="9" t="str">
        <f t="shared" si="11"/>
        <v>Padstow UD</v>
      </c>
      <c r="X252" s="9" t="str">
        <f>INDEX(Lookup!$A$2:$A$1349, MATCH(W252, Lookup!$B$2:$B$1349,0))</f>
        <v>J04000970</v>
      </c>
      <c r="Y252" s="9" t="str">
        <f>INDEX(Lookup!$F$2:$F$1349, MATCH(W252, Lookup!$B$2:$B$1349,0))</f>
        <v>e060146</v>
      </c>
      <c r="Z252" s="6" t="str">
        <f>INDEX(Lookup!$C$2:$C$1300, MATCH(X252, Lookup!$A$2:$A$1300,0))</f>
        <v>Cornwall And Isles Of Scilly</v>
      </c>
    </row>
    <row r="253" spans="1:26" ht="28.15" customHeight="1" x14ac:dyDescent="0.2">
      <c r="A253" s="6" t="s">
        <v>280</v>
      </c>
      <c r="B253" s="1" t="s">
        <v>5347</v>
      </c>
      <c r="C253" s="4">
        <v>8052</v>
      </c>
      <c r="D253" s="4">
        <v>324303</v>
      </c>
      <c r="E253" s="2">
        <v>343</v>
      </c>
      <c r="F253" s="4">
        <v>43018</v>
      </c>
      <c r="G253" s="4">
        <v>22</v>
      </c>
      <c r="H253" s="4">
        <v>5698</v>
      </c>
      <c r="I253" s="4">
        <v>534</v>
      </c>
      <c r="J253" s="4">
        <v>53078</v>
      </c>
      <c r="K253" s="4">
        <v>98</v>
      </c>
      <c r="L253" s="4">
        <v>14585</v>
      </c>
      <c r="M253" s="4">
        <v>1078</v>
      </c>
      <c r="N253" s="4">
        <v>62623</v>
      </c>
      <c r="O253" s="4">
        <v>38</v>
      </c>
      <c r="P253" s="4">
        <v>44028</v>
      </c>
      <c r="Q253" s="4">
        <v>5387</v>
      </c>
      <c r="R253" s="2">
        <v>207733</v>
      </c>
      <c r="S253" s="2">
        <v>760453</v>
      </c>
      <c r="T253" s="10">
        <f t="shared" si="9"/>
        <v>373019</v>
      </c>
      <c r="U253" s="8">
        <f t="shared" si="10"/>
        <v>0.49052209669762631</v>
      </c>
      <c r="V253" s="9" t="s">
        <v>5270</v>
      </c>
      <c r="W253" s="9" t="str">
        <f t="shared" si="11"/>
        <v>St. Austell UD</v>
      </c>
      <c r="X253" s="9" t="str">
        <f>INDEX(Lookup!$A$2:$A$1349, MATCH(W253, Lookup!$B$2:$B$1349,0))</f>
        <v>J04001183</v>
      </c>
      <c r="Y253" s="9" t="str">
        <f>INDEX(Lookup!$F$2:$F$1349, MATCH(W253, Lookup!$B$2:$B$1349,0))</f>
        <v>e060132</v>
      </c>
      <c r="Z253" s="6" t="str">
        <f>INDEX(Lookup!$C$2:$C$1300, MATCH(X253, Lookup!$A$2:$A$1300,0))</f>
        <v>Cornwall And Isles Of Scilly</v>
      </c>
    </row>
    <row r="254" spans="1:26" ht="28.15" customHeight="1" x14ac:dyDescent="0.2">
      <c r="A254" s="6" t="s">
        <v>281</v>
      </c>
      <c r="B254" s="1" t="s">
        <v>5348</v>
      </c>
      <c r="C254" s="4">
        <v>1297</v>
      </c>
      <c r="D254" s="4">
        <v>36560</v>
      </c>
      <c r="E254" s="2">
        <v>25</v>
      </c>
      <c r="F254" s="4">
        <v>3158</v>
      </c>
      <c r="G254" s="4">
        <v>2</v>
      </c>
      <c r="H254" s="4">
        <v>472</v>
      </c>
      <c r="I254" s="4">
        <v>69</v>
      </c>
      <c r="J254" s="4">
        <v>5661</v>
      </c>
      <c r="K254" s="4">
        <v>1</v>
      </c>
      <c r="L254" s="4">
        <v>29</v>
      </c>
      <c r="M254" s="4">
        <v>116</v>
      </c>
      <c r="N254" s="4">
        <v>4810</v>
      </c>
      <c r="O254" s="4">
        <v>1</v>
      </c>
      <c r="P254" s="4">
        <v>715</v>
      </c>
      <c r="Q254" s="4">
        <v>792</v>
      </c>
      <c r="R254" s="4">
        <v>25469</v>
      </c>
      <c r="S254" s="2">
        <v>77666</v>
      </c>
      <c r="T254" s="10">
        <f t="shared" si="9"/>
        <v>40190</v>
      </c>
      <c r="U254" s="8">
        <f t="shared" si="10"/>
        <v>0.51747225298071231</v>
      </c>
      <c r="V254" s="9" t="s">
        <v>5270</v>
      </c>
      <c r="W254" s="9" t="str">
        <f t="shared" si="11"/>
        <v>St. Just UD</v>
      </c>
      <c r="X254" s="9" t="str">
        <f>INDEX(Lookup!$A$2:$A$1349, MATCH(W254, Lookup!$B$2:$B$1349,0))</f>
        <v>J04001190</v>
      </c>
      <c r="Y254" s="9" t="str">
        <f>INDEX(Lookup!$F$2:$F$1349, MATCH(W254, Lookup!$B$2:$B$1349,0))</f>
        <v>e060134</v>
      </c>
      <c r="Z254" s="6" t="str">
        <f>INDEX(Lookup!$C$2:$C$1300, MATCH(X254, Lookup!$A$2:$A$1300,0))</f>
        <v>Cornwall And Isles Of Scilly</v>
      </c>
    </row>
    <row r="255" spans="1:26" ht="28.15" customHeight="1" x14ac:dyDescent="0.2">
      <c r="A255" s="6" t="s">
        <v>282</v>
      </c>
      <c r="B255" s="1" t="s">
        <v>282</v>
      </c>
      <c r="C255" s="4">
        <v>1242</v>
      </c>
      <c r="D255" s="4">
        <v>70772</v>
      </c>
      <c r="E255" s="2">
        <v>23</v>
      </c>
      <c r="F255" s="4">
        <v>2700</v>
      </c>
      <c r="G255" s="2" t="s">
        <v>290</v>
      </c>
      <c r="H255" s="2" t="s">
        <v>290</v>
      </c>
      <c r="I255" s="2">
        <v>56</v>
      </c>
      <c r="J255" s="4">
        <v>6110</v>
      </c>
      <c r="K255" s="4">
        <v>2</v>
      </c>
      <c r="L255" s="2">
        <v>389</v>
      </c>
      <c r="M255" s="2">
        <v>75</v>
      </c>
      <c r="N255" s="2">
        <v>4099</v>
      </c>
      <c r="O255" s="2">
        <v>2</v>
      </c>
      <c r="P255" s="2">
        <v>200</v>
      </c>
      <c r="Q255" s="2">
        <v>27985</v>
      </c>
      <c r="R255" s="2">
        <v>11109</v>
      </c>
      <c r="S255" s="2">
        <v>123364</v>
      </c>
      <c r="T255" s="10">
        <f>SUM(D255+F255)</f>
        <v>73472</v>
      </c>
      <c r="U255" s="8">
        <f t="shared" si="10"/>
        <v>0.59557083103660713</v>
      </c>
      <c r="V255" s="9" t="s">
        <v>5270</v>
      </c>
      <c r="W255" s="9" t="str">
        <f t="shared" si="11"/>
        <v>Torpoint UD</v>
      </c>
      <c r="X255" s="9" t="str">
        <f>INDEX(Lookup!$A$2:$A$1349, MATCH(W255, Lookup!$B$2:$B$1349,0))</f>
        <v>J04001284</v>
      </c>
      <c r="Y255" s="9" t="str">
        <f>INDEX(Lookup!$F$2:$F$1349, MATCH(W255, Lookup!$B$2:$B$1349,0))</f>
        <v>e060136</v>
      </c>
      <c r="Z255" s="6" t="str">
        <f>INDEX(Lookup!$C$2:$C$1300, MATCH(X255, Lookup!$A$2:$A$1300,0))</f>
        <v>Cornwall And Isles Of Scilly</v>
      </c>
    </row>
    <row r="256" spans="1:26" ht="28.15" customHeight="1" x14ac:dyDescent="0.2">
      <c r="A256" s="6" t="s">
        <v>212</v>
      </c>
      <c r="B256" s="1" t="s">
        <v>212</v>
      </c>
      <c r="T256" s="10"/>
      <c r="W256" s="9" t="str">
        <f t="shared" si="11"/>
        <v xml:space="preserve">Rural Districts-- </v>
      </c>
      <c r="X256" s="9" t="e">
        <f>INDEX(Lookup!$A$2:$A$1349, MATCH(W256, Lookup!$B$2:$B$1349,0))</f>
        <v>#N/A</v>
      </c>
      <c r="Y256" s="9" t="e">
        <f>INDEX(Lookup!$F$2:$F$1349, MATCH(W256, Lookup!$B$2:$B$1349,0))</f>
        <v>#N/A</v>
      </c>
      <c r="Z256" s="6" t="e">
        <f>INDEX(Lookup!$C$2:$C$1300, MATCH(X256, Lookup!$A$2:$A$1300,0))</f>
        <v>#N/A</v>
      </c>
    </row>
    <row r="257" spans="1:26" ht="28.15" customHeight="1" x14ac:dyDescent="0.2">
      <c r="A257" s="6" t="s">
        <v>283</v>
      </c>
      <c r="B257" s="1" t="s">
        <v>283</v>
      </c>
      <c r="C257" s="4">
        <v>1941</v>
      </c>
      <c r="D257" s="4">
        <v>66250</v>
      </c>
      <c r="E257" s="2">
        <v>41</v>
      </c>
      <c r="F257" s="4">
        <v>5011</v>
      </c>
      <c r="G257" s="4">
        <v>3</v>
      </c>
      <c r="H257" s="4">
        <v>762</v>
      </c>
      <c r="I257" s="4">
        <v>134</v>
      </c>
      <c r="J257" s="4">
        <v>9585</v>
      </c>
      <c r="K257" s="4">
        <v>10</v>
      </c>
      <c r="L257" s="4">
        <v>354</v>
      </c>
      <c r="M257" s="4">
        <v>575</v>
      </c>
      <c r="N257" s="4">
        <v>49483</v>
      </c>
      <c r="O257" s="4">
        <v>27</v>
      </c>
      <c r="P257" s="4">
        <v>8373</v>
      </c>
      <c r="Q257" s="2">
        <v>28952</v>
      </c>
      <c r="R257" s="2">
        <v>113121</v>
      </c>
      <c r="S257" s="2">
        <v>514140</v>
      </c>
      <c r="T257" s="10">
        <f t="shared" si="9"/>
        <v>72023</v>
      </c>
      <c r="U257" s="8">
        <f t="shared" si="10"/>
        <v>0.14008441280585054</v>
      </c>
      <c r="V257" s="9" t="s">
        <v>5271</v>
      </c>
      <c r="W257" s="9" t="str">
        <f t="shared" si="11"/>
        <v>Camelford RD</v>
      </c>
      <c r="X257" s="9" t="str">
        <f>INDEX(Lookup!$A$2:$A$1349, MATCH(W257, Lookup!$B$2:$B$1349,0))</f>
        <v>J04000257</v>
      </c>
      <c r="Y257" s="9" t="str">
        <f>INDEX(Lookup!$F$2:$F$1349, MATCH(W257, Lookup!$B$2:$B$1349,0))</f>
        <v>e060138</v>
      </c>
      <c r="Z257" s="6" t="str">
        <f>INDEX(Lookup!$C$2:$C$1300, MATCH(X257, Lookup!$A$2:$A$1300,0))</f>
        <v>Cornwall And Isles Of Scilly</v>
      </c>
    </row>
    <row r="258" spans="1:26" ht="28.15" customHeight="1" x14ac:dyDescent="0.2">
      <c r="A258" s="6" t="s">
        <v>284</v>
      </c>
      <c r="B258" s="1" t="s">
        <v>284</v>
      </c>
      <c r="C258" s="4">
        <v>5331</v>
      </c>
      <c r="D258" s="4">
        <v>220876</v>
      </c>
      <c r="E258" s="2">
        <v>408</v>
      </c>
      <c r="F258" s="4">
        <v>53131</v>
      </c>
      <c r="G258" s="4">
        <v>76</v>
      </c>
      <c r="H258" s="4">
        <v>23699</v>
      </c>
      <c r="I258" s="4">
        <v>200</v>
      </c>
      <c r="J258" s="2">
        <v>16151</v>
      </c>
      <c r="K258" s="4">
        <v>12</v>
      </c>
      <c r="L258" s="4">
        <v>616</v>
      </c>
      <c r="M258" s="4">
        <v>416</v>
      </c>
      <c r="N258" s="2">
        <v>16681</v>
      </c>
      <c r="O258" s="4">
        <v>13</v>
      </c>
      <c r="P258" s="2">
        <v>6580</v>
      </c>
      <c r="Q258" s="2">
        <v>395</v>
      </c>
      <c r="R258" s="2">
        <v>57650</v>
      </c>
      <c r="S258" s="2">
        <v>163530</v>
      </c>
      <c r="T258" s="10">
        <f t="shared" si="9"/>
        <v>297706</v>
      </c>
      <c r="U258" s="8">
        <f t="shared" si="10"/>
        <v>1.8204977679936403</v>
      </c>
      <c r="V258" s="9" t="s">
        <v>5271</v>
      </c>
      <c r="W258" s="9" t="str">
        <f t="shared" si="11"/>
        <v>Kerrier RD</v>
      </c>
      <c r="X258" s="9" t="str">
        <f>INDEX(Lookup!$A$2:$A$1349, MATCH(W258, Lookup!$B$2:$B$1349,0))</f>
        <v>J04000685</v>
      </c>
      <c r="Y258" s="9" t="str">
        <f>INDEX(Lookup!$F$2:$F$1349, MATCH(W258, Lookup!$B$2:$B$1349,0))</f>
        <v>e060139</v>
      </c>
      <c r="Z258" s="6" t="str">
        <f>INDEX(Lookup!$C$2:$C$1300, MATCH(X258, Lookup!$A$2:$A$1300,0))</f>
        <v>Cornwall And Isles Of Scilly</v>
      </c>
    </row>
    <row r="259" spans="1:26" ht="28.15" customHeight="1" x14ac:dyDescent="0.2">
      <c r="A259" s="6" t="s">
        <v>285</v>
      </c>
      <c r="B259" s="1" t="s">
        <v>285</v>
      </c>
      <c r="C259" s="4">
        <v>1148</v>
      </c>
      <c r="D259" s="4">
        <v>32702</v>
      </c>
      <c r="E259" s="2">
        <v>22</v>
      </c>
      <c r="F259" s="4">
        <v>2622</v>
      </c>
      <c r="G259" s="4">
        <v>5</v>
      </c>
      <c r="H259" s="4">
        <v>1450</v>
      </c>
      <c r="I259" s="4">
        <v>41</v>
      </c>
      <c r="J259" s="2">
        <v>1957</v>
      </c>
      <c r="K259" s="4">
        <v>11</v>
      </c>
      <c r="L259" s="4">
        <v>182</v>
      </c>
      <c r="M259" s="4">
        <v>163</v>
      </c>
      <c r="N259" s="2">
        <v>5151</v>
      </c>
      <c r="O259" s="4">
        <v>7</v>
      </c>
      <c r="P259" s="2">
        <v>1193</v>
      </c>
      <c r="Q259" s="2">
        <v>669</v>
      </c>
      <c r="R259" s="2">
        <v>41241</v>
      </c>
      <c r="S259" s="2">
        <v>87167</v>
      </c>
      <c r="T259" s="10">
        <f t="shared" ref="T259:T322" si="12">SUM(D259+F259+H259)</f>
        <v>36774</v>
      </c>
      <c r="U259" s="8">
        <f t="shared" ref="U259:U322" si="13">T259/S259</f>
        <v>0.42187983984764876</v>
      </c>
      <c r="V259" s="9" t="s">
        <v>5271</v>
      </c>
      <c r="W259" s="9" t="str">
        <f t="shared" ref="W259:W322" si="14">_xlfn.CONCAT(B259," ",V259)</f>
        <v>Launceston RD</v>
      </c>
      <c r="X259" s="9" t="str">
        <f>INDEX(Lookup!$A$2:$A$1349, MATCH(W259, Lookup!$B$2:$B$1349,0))</f>
        <v>J04000723</v>
      </c>
      <c r="Y259" s="9" t="str">
        <f>INDEX(Lookup!$F$2:$F$1349, MATCH(W259, Lookup!$B$2:$B$1349,0))</f>
        <v>e060140</v>
      </c>
      <c r="Z259" s="6" t="str">
        <f>INDEX(Lookup!$C$2:$C$1300, MATCH(X259, Lookup!$A$2:$A$1300,0))</f>
        <v>Cornwall And Isles Of Scilly</v>
      </c>
    </row>
    <row r="260" spans="1:26" ht="28.15" customHeight="1" x14ac:dyDescent="0.2">
      <c r="A260" s="6" t="s">
        <v>268</v>
      </c>
      <c r="B260" s="1" t="s">
        <v>268</v>
      </c>
      <c r="C260" s="4">
        <v>3641</v>
      </c>
      <c r="D260" s="4">
        <v>119279</v>
      </c>
      <c r="E260" s="2">
        <v>71</v>
      </c>
      <c r="F260" s="4">
        <v>9271</v>
      </c>
      <c r="G260" s="4">
        <v>9</v>
      </c>
      <c r="H260" s="4">
        <v>2277</v>
      </c>
      <c r="I260" s="4">
        <v>155</v>
      </c>
      <c r="J260" s="2">
        <v>10472</v>
      </c>
      <c r="K260" s="4">
        <v>2</v>
      </c>
      <c r="L260" s="4">
        <v>54</v>
      </c>
      <c r="M260" s="4">
        <v>433</v>
      </c>
      <c r="N260" s="4">
        <v>27422</v>
      </c>
      <c r="O260" s="4">
        <v>22</v>
      </c>
      <c r="P260" s="4">
        <v>4145</v>
      </c>
      <c r="Q260" s="4">
        <v>373</v>
      </c>
      <c r="R260" s="4">
        <v>77620</v>
      </c>
      <c r="S260" s="2">
        <v>250913</v>
      </c>
      <c r="T260" s="10">
        <f t="shared" si="12"/>
        <v>130827</v>
      </c>
      <c r="U260" s="8">
        <f t="shared" si="13"/>
        <v>0.52140383320114936</v>
      </c>
      <c r="V260" s="9" t="s">
        <v>5271</v>
      </c>
      <c r="W260" s="9" t="str">
        <f t="shared" si="14"/>
        <v>Liskeard RD</v>
      </c>
      <c r="X260" s="9" t="str">
        <f>INDEX(Lookup!$A$2:$A$1349, MATCH(W260, Lookup!$B$2:$B$1349,0))</f>
        <v>J04000749</v>
      </c>
      <c r="Y260" s="9" t="str">
        <f>INDEX(Lookup!$F$2:$F$1349, MATCH(W260, Lookup!$B$2:$B$1349,0))</f>
        <v>e060141</v>
      </c>
      <c r="Z260" s="6" t="str">
        <f>INDEX(Lookup!$C$2:$C$1300, MATCH(X260, Lookup!$A$2:$A$1300,0))</f>
        <v>Cornwall And Isles Of Scilly</v>
      </c>
    </row>
    <row r="261" spans="1:26" ht="28.15" customHeight="1" x14ac:dyDescent="0.2">
      <c r="A261" s="6" t="s">
        <v>280</v>
      </c>
      <c r="B261" s="1" t="s">
        <v>5347</v>
      </c>
      <c r="C261" s="4">
        <v>5590</v>
      </c>
      <c r="D261" s="4">
        <v>183525</v>
      </c>
      <c r="E261" s="2">
        <v>86</v>
      </c>
      <c r="F261" s="2">
        <v>11129</v>
      </c>
      <c r="G261" s="2">
        <v>5</v>
      </c>
      <c r="H261" s="2">
        <v>1685</v>
      </c>
      <c r="I261" s="4">
        <v>224</v>
      </c>
      <c r="J261" s="2">
        <v>14075</v>
      </c>
      <c r="K261" s="4">
        <v>13</v>
      </c>
      <c r="L261" s="2">
        <v>972</v>
      </c>
      <c r="M261" s="4">
        <v>731</v>
      </c>
      <c r="N261" s="2">
        <v>25040</v>
      </c>
      <c r="O261" s="2">
        <v>24</v>
      </c>
      <c r="P261" s="2">
        <v>52579</v>
      </c>
      <c r="Q261" s="2">
        <v>25225</v>
      </c>
      <c r="R261" s="2">
        <v>325084</v>
      </c>
      <c r="S261" s="2">
        <v>639314</v>
      </c>
      <c r="T261" s="10">
        <f t="shared" si="12"/>
        <v>196339</v>
      </c>
      <c r="U261" s="8">
        <f t="shared" si="13"/>
        <v>0.30710886981983815</v>
      </c>
      <c r="V261" s="9" t="s">
        <v>5271</v>
      </c>
      <c r="W261" s="9" t="str">
        <f t="shared" si="14"/>
        <v>St. Austell RD</v>
      </c>
      <c r="X261" s="9" t="str">
        <f>INDEX(Lookup!$A$2:$A$1349, MATCH(W261, Lookup!$B$2:$B$1349,0))</f>
        <v>J04001182</v>
      </c>
      <c r="Y261" s="9" t="str">
        <f>INDEX(Lookup!$F$2:$F$1349, MATCH(W261, Lookup!$B$2:$B$1349,0))</f>
        <v>e060142</v>
      </c>
      <c r="Z261" s="6" t="str">
        <f>INDEX(Lookup!$C$2:$C$1300, MATCH(X261, Lookup!$A$2:$A$1300,0))</f>
        <v>Cornwall And Isles Of Scilly</v>
      </c>
    </row>
    <row r="262" spans="1:26" ht="28.15" customHeight="1" x14ac:dyDescent="0.2">
      <c r="A262" s="6" t="s">
        <v>286</v>
      </c>
      <c r="B262" s="1" t="s">
        <v>5349</v>
      </c>
      <c r="C262" s="4">
        <v>4774</v>
      </c>
      <c r="D262" s="4">
        <v>168371</v>
      </c>
      <c r="E262" s="2">
        <v>114</v>
      </c>
      <c r="F262" s="2">
        <v>13659</v>
      </c>
      <c r="G262" s="2">
        <v>10</v>
      </c>
      <c r="H262" s="2">
        <v>4296</v>
      </c>
      <c r="I262" s="2">
        <v>234</v>
      </c>
      <c r="J262" s="2">
        <v>17577</v>
      </c>
      <c r="K262" s="4">
        <v>16</v>
      </c>
      <c r="L262" s="2">
        <v>490</v>
      </c>
      <c r="M262" s="2">
        <v>482</v>
      </c>
      <c r="N262" s="2">
        <v>27161</v>
      </c>
      <c r="O262" s="2">
        <v>19</v>
      </c>
      <c r="P262" s="2">
        <v>5460</v>
      </c>
      <c r="Q262" s="2">
        <v>2529</v>
      </c>
      <c r="R262" s="2">
        <v>60451</v>
      </c>
      <c r="S262" s="2">
        <v>299994</v>
      </c>
      <c r="T262" s="10">
        <f t="shared" si="12"/>
        <v>186326</v>
      </c>
      <c r="U262" s="8">
        <f t="shared" si="13"/>
        <v>0.62109908864843966</v>
      </c>
      <c r="V262" s="9" t="s">
        <v>5271</v>
      </c>
      <c r="W262" s="9" t="str">
        <f t="shared" si="14"/>
        <v>St. Germans RD</v>
      </c>
      <c r="X262" s="9" t="str">
        <f>INDEX(Lookup!$A$2:$A$1349, MATCH(W262, Lookup!$B$2:$B$1349,0))</f>
        <v>J04001185</v>
      </c>
      <c r="Y262" s="9" t="str">
        <f>INDEX(Lookup!$F$2:$F$1349, MATCH(W262, Lookup!$B$2:$B$1349,0))</f>
        <v>e060143</v>
      </c>
      <c r="Z262" s="6" t="str">
        <f>INDEX(Lookup!$C$2:$C$1300, MATCH(X262, Lookup!$A$2:$A$1300,0))</f>
        <v>Cornwall And Isles Of Scilly</v>
      </c>
    </row>
    <row r="263" spans="1:26" ht="28.15" customHeight="1" x14ac:dyDescent="0.2">
      <c r="A263" s="6" t="s">
        <v>287</v>
      </c>
      <c r="B263" s="1" t="s">
        <v>287</v>
      </c>
      <c r="C263" s="4">
        <v>1002</v>
      </c>
      <c r="D263" s="4">
        <v>39473</v>
      </c>
      <c r="E263" s="2">
        <v>52</v>
      </c>
      <c r="F263" s="2">
        <v>6688</v>
      </c>
      <c r="G263" s="2">
        <v>1</v>
      </c>
      <c r="H263" s="2">
        <v>367</v>
      </c>
      <c r="I263" s="2">
        <v>41</v>
      </c>
      <c r="J263" s="2">
        <v>3006</v>
      </c>
      <c r="K263" s="4">
        <v>2</v>
      </c>
      <c r="L263" s="2">
        <v>15</v>
      </c>
      <c r="M263" s="2">
        <v>126</v>
      </c>
      <c r="N263" s="2">
        <v>7775</v>
      </c>
      <c r="Q263" s="2">
        <v>91</v>
      </c>
      <c r="R263" s="2">
        <v>31652</v>
      </c>
      <c r="S263" s="2">
        <v>89067</v>
      </c>
      <c r="T263" s="10">
        <f t="shared" si="12"/>
        <v>46528</v>
      </c>
      <c r="U263" s="8">
        <f t="shared" si="13"/>
        <v>0.52239325451626306</v>
      </c>
      <c r="V263" s="9" t="s">
        <v>5271</v>
      </c>
      <c r="W263" s="9" t="str">
        <f t="shared" si="14"/>
        <v>Stratton RD</v>
      </c>
      <c r="X263" s="9" t="str">
        <f>INDEX(Lookup!$A$2:$A$1349, MATCH(W263, Lookup!$B$2:$B$1349,0))</f>
        <v>J04001222</v>
      </c>
      <c r="Y263" s="9" t="str">
        <f>INDEX(Lookup!$F$2:$F$1349, MATCH(W263, Lookup!$B$2:$B$1349,0))</f>
        <v>e060144</v>
      </c>
      <c r="Z263" s="6" t="str">
        <f>INDEX(Lookup!$C$2:$C$1300, MATCH(X263, Lookup!$A$2:$A$1300,0))</f>
        <v>Cornwall And Isles Of Scilly</v>
      </c>
    </row>
    <row r="264" spans="1:26" ht="28.15" customHeight="1" x14ac:dyDescent="0.2">
      <c r="A264" s="6" t="s">
        <v>274</v>
      </c>
      <c r="B264" s="1" t="s">
        <v>274</v>
      </c>
      <c r="C264" s="4">
        <v>8291</v>
      </c>
      <c r="D264" s="4">
        <v>343689</v>
      </c>
      <c r="E264" s="2">
        <v>750</v>
      </c>
      <c r="F264" s="2">
        <v>96935</v>
      </c>
      <c r="G264" s="2">
        <v>119</v>
      </c>
      <c r="H264" s="2">
        <v>32506</v>
      </c>
      <c r="I264" s="2">
        <v>307</v>
      </c>
      <c r="J264" s="2">
        <v>30452</v>
      </c>
      <c r="K264" s="4">
        <v>17</v>
      </c>
      <c r="L264" s="2">
        <v>545</v>
      </c>
      <c r="M264" s="2">
        <v>1015</v>
      </c>
      <c r="N264" s="2">
        <v>81228</v>
      </c>
      <c r="O264" s="2">
        <v>36</v>
      </c>
      <c r="P264" s="2">
        <v>7994</v>
      </c>
      <c r="Q264" s="2">
        <v>3454</v>
      </c>
      <c r="R264" s="2">
        <v>113977</v>
      </c>
      <c r="S264" s="2">
        <v>710780</v>
      </c>
      <c r="T264" s="10">
        <f t="shared" si="12"/>
        <v>473130</v>
      </c>
      <c r="U264" s="8">
        <f t="shared" si="13"/>
        <v>0.66564900531810123</v>
      </c>
      <c r="V264" s="9" t="s">
        <v>5271</v>
      </c>
      <c r="W264" s="9" t="str">
        <f t="shared" si="14"/>
        <v>Truro RD</v>
      </c>
      <c r="X264" s="9" t="str">
        <f>INDEX(Lookup!$A$2:$A$1349, MATCH(W264, Lookup!$B$2:$B$1349,0))</f>
        <v>J04001299</v>
      </c>
      <c r="Y264" s="9" t="str">
        <f>INDEX(Lookup!$F$2:$F$1349, MATCH(W264, Lookup!$B$2:$B$1349,0))</f>
        <v>e060145</v>
      </c>
      <c r="Z264" s="6" t="str">
        <f>INDEX(Lookup!$C$2:$C$1300, MATCH(X264, Lookup!$A$2:$A$1300,0))</f>
        <v>Cornwall And Isles Of Scilly</v>
      </c>
    </row>
    <row r="265" spans="1:26" ht="28.15" customHeight="1" x14ac:dyDescent="0.2">
      <c r="A265" s="6" t="s">
        <v>288</v>
      </c>
      <c r="B265" s="1" t="s">
        <v>288</v>
      </c>
      <c r="C265" s="4">
        <v>3934</v>
      </c>
      <c r="D265" s="4">
        <v>157293</v>
      </c>
      <c r="E265" s="2">
        <v>289</v>
      </c>
      <c r="F265" s="2">
        <v>38011</v>
      </c>
      <c r="G265" s="2">
        <v>37</v>
      </c>
      <c r="H265" s="2">
        <v>9107</v>
      </c>
      <c r="I265" s="2">
        <v>207</v>
      </c>
      <c r="J265" s="2">
        <v>20917</v>
      </c>
      <c r="K265" s="4">
        <v>29</v>
      </c>
      <c r="L265" s="2">
        <v>3036</v>
      </c>
      <c r="M265" s="2">
        <v>541</v>
      </c>
      <c r="N265" s="2">
        <v>35493</v>
      </c>
      <c r="O265" s="2">
        <v>12</v>
      </c>
      <c r="P265" s="2">
        <v>2297</v>
      </c>
      <c r="Q265" s="2">
        <v>10153</v>
      </c>
      <c r="R265" s="2">
        <v>66108</v>
      </c>
      <c r="S265" s="2">
        <v>342415</v>
      </c>
      <c r="T265" s="10">
        <f t="shared" si="12"/>
        <v>204411</v>
      </c>
      <c r="U265" s="8">
        <f t="shared" si="13"/>
        <v>0.59696859074514841</v>
      </c>
      <c r="V265" s="9" t="s">
        <v>5271</v>
      </c>
      <c r="W265" s="9" t="str">
        <f t="shared" si="14"/>
        <v>Wadebridge RD</v>
      </c>
      <c r="X265" s="9" t="str">
        <f>INDEX(Lookup!$A$2:$A$1349, MATCH(W265, Lookup!$B$2:$B$1349,0))</f>
        <v>J04001320</v>
      </c>
      <c r="Y265" s="9" t="str">
        <f>INDEX(Lookup!$F$2:$F$1349, MATCH(W265, Lookup!$B$2:$B$1349,0))</f>
        <v>e060146</v>
      </c>
      <c r="Z265" s="6" t="str">
        <f>INDEX(Lookup!$C$2:$C$1300, MATCH(X265, Lookup!$A$2:$A$1300,0))</f>
        <v>Cornwall And Isles Of Scilly</v>
      </c>
    </row>
    <row r="266" spans="1:26" ht="28.15" customHeight="1" x14ac:dyDescent="0.2">
      <c r="A266" s="6" t="s">
        <v>289</v>
      </c>
      <c r="B266" s="1" t="s">
        <v>289</v>
      </c>
      <c r="C266" s="4">
        <v>5652</v>
      </c>
      <c r="D266" s="4">
        <v>214460</v>
      </c>
      <c r="E266" s="2">
        <v>208</v>
      </c>
      <c r="F266" s="4">
        <v>26022</v>
      </c>
      <c r="G266" s="4">
        <v>12</v>
      </c>
      <c r="H266" s="4">
        <v>4165</v>
      </c>
      <c r="I266" s="4">
        <v>208</v>
      </c>
      <c r="J266" s="4">
        <v>18862</v>
      </c>
      <c r="K266" s="4">
        <v>11</v>
      </c>
      <c r="L266" s="2">
        <v>1260</v>
      </c>
      <c r="M266" s="2">
        <v>563</v>
      </c>
      <c r="N266" s="2">
        <v>41739</v>
      </c>
      <c r="O266" s="2">
        <v>21</v>
      </c>
      <c r="P266" s="2">
        <v>51420</v>
      </c>
      <c r="Q266" s="2">
        <v>1700</v>
      </c>
      <c r="R266" s="2">
        <v>117376</v>
      </c>
      <c r="S266" s="2">
        <v>477004</v>
      </c>
      <c r="T266" s="10">
        <f t="shared" si="12"/>
        <v>244647</v>
      </c>
      <c r="U266" s="8">
        <f t="shared" si="13"/>
        <v>0.51288249155143351</v>
      </c>
      <c r="V266" s="9" t="s">
        <v>5271</v>
      </c>
      <c r="W266" s="9" t="str">
        <f t="shared" si="14"/>
        <v>West Penwith RD</v>
      </c>
      <c r="X266" s="9" t="str">
        <f>INDEX(Lookup!$A$2:$A$1349, MATCH(W266, Lookup!$B$2:$B$1349,0))</f>
        <v>J04001388</v>
      </c>
      <c r="Y266" s="9" t="str">
        <f>INDEX(Lookup!$F$2:$F$1349, MATCH(W266, Lookup!$B$2:$B$1349,0))</f>
        <v>e060147</v>
      </c>
      <c r="Z266" s="6" t="str">
        <f>INDEX(Lookup!$C$2:$C$1300, MATCH(X266, Lookup!$A$2:$A$1300,0))</f>
        <v>Cornwall And Isles Of Scilly</v>
      </c>
    </row>
    <row r="267" spans="1:26" ht="28.15" customHeight="1" x14ac:dyDescent="0.2">
      <c r="A267" s="6" t="s">
        <v>291</v>
      </c>
      <c r="B267" s="6" t="s">
        <v>5485</v>
      </c>
      <c r="C267" s="4">
        <v>414</v>
      </c>
      <c r="D267" s="4">
        <v>19131</v>
      </c>
      <c r="E267" s="2">
        <v>43</v>
      </c>
      <c r="F267" s="2">
        <v>5451</v>
      </c>
      <c r="G267" s="2">
        <v>3</v>
      </c>
      <c r="H267" s="2">
        <v>945</v>
      </c>
      <c r="I267" s="2">
        <v>41</v>
      </c>
      <c r="J267" s="2">
        <v>7132</v>
      </c>
      <c r="K267" s="4">
        <v>5</v>
      </c>
      <c r="L267" s="2">
        <v>175</v>
      </c>
      <c r="M267" s="2">
        <v>133</v>
      </c>
      <c r="N267" s="2">
        <v>18442</v>
      </c>
      <c r="Q267" s="2">
        <v>1431</v>
      </c>
      <c r="R267" s="2">
        <v>11229</v>
      </c>
      <c r="S267" s="2">
        <v>63936</v>
      </c>
      <c r="T267" s="10">
        <f t="shared" si="12"/>
        <v>25527</v>
      </c>
      <c r="U267" s="8">
        <f t="shared" si="13"/>
        <v>0.39925863363363362</v>
      </c>
      <c r="V267" s="9" t="s">
        <v>5271</v>
      </c>
      <c r="W267" s="9" t="str">
        <f t="shared" si="14"/>
        <v>Isles of Scilly RD</v>
      </c>
      <c r="X267" s="9" t="str">
        <f>INDEX(Lookup!$A$2:$A$1349, MATCH(W267, Lookup!$B$2:$B$1349,0))</f>
        <v>J04000676</v>
      </c>
      <c r="Y267" s="9" t="str">
        <f>INDEX(Lookup!$F$2:$F$1349, MATCH(W267, Lookup!$B$2:$B$1349,0))</f>
        <v>e060148</v>
      </c>
      <c r="Z267" s="6" t="str">
        <f>INDEX(Lookup!$C$2:$C$1300, MATCH(X267, Lookup!$A$2:$A$1300,0))</f>
        <v>Cornwall And Isles Of Scilly</v>
      </c>
    </row>
    <row r="268" spans="1:26" ht="28.15" customHeight="1" x14ac:dyDescent="0.2">
      <c r="A268" s="6" t="s">
        <v>292</v>
      </c>
      <c r="B268" s="1" t="s">
        <v>292</v>
      </c>
      <c r="T268" s="10"/>
      <c r="W268" s="9" t="str">
        <f t="shared" si="14"/>
        <v xml:space="preserve">CUMBERLAND </v>
      </c>
      <c r="X268" s="9" t="e">
        <f>INDEX(Lookup!$A$2:$A$1349, MATCH(W268, Lookup!$B$2:$B$1349,0))</f>
        <v>#N/A</v>
      </c>
      <c r="Y268" s="9" t="e">
        <f>INDEX(Lookup!$F$2:$F$1349, MATCH(W268, Lookup!$B$2:$B$1349,0))</f>
        <v>#N/A</v>
      </c>
      <c r="Z268" s="6" t="e">
        <f>INDEX(Lookup!$C$2:$C$1300, MATCH(X268, Lookup!$A$2:$A$1300,0))</f>
        <v>#N/A</v>
      </c>
    </row>
    <row r="269" spans="1:26" ht="28.15" customHeight="1" x14ac:dyDescent="0.2">
      <c r="A269" s="6" t="s">
        <v>175</v>
      </c>
      <c r="B269" s="1" t="s">
        <v>175</v>
      </c>
      <c r="T269" s="10"/>
      <c r="W269" s="9" t="str">
        <f t="shared" si="14"/>
        <v xml:space="preserve">Non-County Boroughs-- </v>
      </c>
      <c r="X269" s="9" t="e">
        <f>INDEX(Lookup!$A$2:$A$1349, MATCH(W269, Lookup!$B$2:$B$1349,0))</f>
        <v>#N/A</v>
      </c>
      <c r="Y269" s="9" t="e">
        <f>INDEX(Lookup!$F$2:$F$1349, MATCH(W269, Lookup!$B$2:$B$1349,0))</f>
        <v>#N/A</v>
      </c>
      <c r="Z269" s="6" t="e">
        <f>INDEX(Lookup!$C$2:$C$1300, MATCH(X269, Lookup!$A$2:$A$1300,0))</f>
        <v>#N/A</v>
      </c>
    </row>
    <row r="270" spans="1:26" ht="28.15" customHeight="1" x14ac:dyDescent="0.2">
      <c r="A270" s="6" t="s">
        <v>293</v>
      </c>
      <c r="B270" s="1" t="s">
        <v>293</v>
      </c>
      <c r="C270" s="2">
        <v>7876</v>
      </c>
      <c r="D270" s="2">
        <v>369028</v>
      </c>
      <c r="E270" s="2">
        <v>142</v>
      </c>
      <c r="F270" s="2">
        <v>16558</v>
      </c>
      <c r="G270" s="2">
        <v>1</v>
      </c>
      <c r="H270" s="2">
        <v>226</v>
      </c>
      <c r="I270" s="2">
        <v>360</v>
      </c>
      <c r="J270" s="2">
        <v>126657</v>
      </c>
      <c r="K270" s="4">
        <v>87</v>
      </c>
      <c r="L270" s="2">
        <v>14756</v>
      </c>
      <c r="M270" s="2">
        <v>1083</v>
      </c>
      <c r="N270" s="2">
        <v>49413</v>
      </c>
      <c r="O270" s="2">
        <v>36</v>
      </c>
      <c r="P270" s="2">
        <v>149976</v>
      </c>
      <c r="Q270" s="2">
        <v>12726</v>
      </c>
      <c r="R270" s="2">
        <v>125421</v>
      </c>
      <c r="S270" s="2">
        <v>864761</v>
      </c>
      <c r="T270" s="10">
        <f t="shared" si="12"/>
        <v>385812</v>
      </c>
      <c r="U270" s="8">
        <f t="shared" si="13"/>
        <v>0.44614870467100159</v>
      </c>
      <c r="V270" s="9" t="s">
        <v>5268</v>
      </c>
      <c r="W270" s="9" t="str">
        <f t="shared" si="14"/>
        <v>Whitehaven MB</v>
      </c>
      <c r="X270" s="9" t="str">
        <f>INDEX(Lookup!$A$2:$A$1349, MATCH(W270, Lookup!$B$2:$B$1349,0))</f>
        <v>J04001403</v>
      </c>
      <c r="Y270" s="9" t="str">
        <f>INDEX(Lookup!$F$2:$F$1349, MATCH(W270, Lookup!$B$2:$B$1349,0))</f>
        <v>e070154</v>
      </c>
      <c r="Z270" s="6" t="str">
        <f>INDEX(Lookup!$C$2:$C$1300, MATCH(X270, Lookup!$A$2:$A$1300,0))</f>
        <v>Cumbria</v>
      </c>
    </row>
    <row r="271" spans="1:26" ht="28.15" customHeight="1" x14ac:dyDescent="0.2">
      <c r="A271" s="6" t="s">
        <v>294</v>
      </c>
      <c r="B271" s="1" t="s">
        <v>294</v>
      </c>
      <c r="C271" s="2">
        <v>8781</v>
      </c>
      <c r="D271" s="2">
        <v>372249</v>
      </c>
      <c r="E271" s="2">
        <v>207</v>
      </c>
      <c r="F271" s="2">
        <v>24747</v>
      </c>
      <c r="G271" s="2">
        <v>1</v>
      </c>
      <c r="H271" s="2">
        <v>266</v>
      </c>
      <c r="I271" s="2">
        <v>552</v>
      </c>
      <c r="J271" s="2">
        <v>103972</v>
      </c>
      <c r="K271" s="4">
        <v>92</v>
      </c>
      <c r="L271" s="2">
        <v>10660</v>
      </c>
      <c r="M271" s="2">
        <v>1221</v>
      </c>
      <c r="N271" s="2">
        <v>41844</v>
      </c>
      <c r="O271" s="2">
        <v>48</v>
      </c>
      <c r="P271" s="2">
        <v>366832</v>
      </c>
      <c r="Q271" s="2">
        <v>6532</v>
      </c>
      <c r="R271" s="2">
        <v>141408</v>
      </c>
      <c r="S271" s="2">
        <v>1068510</v>
      </c>
      <c r="T271" s="10">
        <f t="shared" si="12"/>
        <v>397262</v>
      </c>
      <c r="U271" s="8">
        <f t="shared" si="13"/>
        <v>0.37179062432733434</v>
      </c>
      <c r="V271" s="9" t="s">
        <v>5268</v>
      </c>
      <c r="W271" s="9" t="str">
        <f t="shared" si="14"/>
        <v>Workington MB</v>
      </c>
      <c r="X271" s="9" t="str">
        <f>INDEX(Lookup!$A$2:$A$1349, MATCH(W271, Lookup!$B$2:$B$1349,0))</f>
        <v>J04001451</v>
      </c>
      <c r="Y271" s="9" t="str">
        <f>INDEX(Lookup!$F$2:$F$1349, MATCH(W271, Lookup!$B$2:$B$1349,0))</f>
        <v>e070155</v>
      </c>
      <c r="Z271" s="6" t="str">
        <f>INDEX(Lookup!$C$2:$C$1300, MATCH(X271, Lookup!$A$2:$A$1300,0))</f>
        <v>Cumbria</v>
      </c>
    </row>
    <row r="272" spans="1:26" ht="28.15" customHeight="1" x14ac:dyDescent="0.2">
      <c r="A272" s="6" t="s">
        <v>179</v>
      </c>
      <c r="B272" s="1" t="s">
        <v>179</v>
      </c>
      <c r="T272" s="10"/>
      <c r="W272" s="9" t="str">
        <f t="shared" si="14"/>
        <v xml:space="preserve">Urban Districts-- </v>
      </c>
      <c r="X272" s="9" t="e">
        <f>INDEX(Lookup!$A$2:$A$1349, MATCH(W272, Lookup!$B$2:$B$1349,0))</f>
        <v>#N/A</v>
      </c>
      <c r="Y272" s="9" t="e">
        <f>INDEX(Lookup!$F$2:$F$1349, MATCH(W272, Lookup!$B$2:$B$1349,0))</f>
        <v>#N/A</v>
      </c>
      <c r="Z272" s="6" t="e">
        <f>INDEX(Lookup!$C$2:$C$1300, MATCH(X272, Lookup!$A$2:$A$1300,0))</f>
        <v>#N/A</v>
      </c>
    </row>
    <row r="273" spans="1:26" ht="28.15" customHeight="1" x14ac:dyDescent="0.2">
      <c r="A273" s="6" t="s">
        <v>295</v>
      </c>
      <c r="B273" s="1" t="s">
        <v>295</v>
      </c>
      <c r="C273" s="2">
        <v>1957</v>
      </c>
      <c r="D273" s="2">
        <v>90986</v>
      </c>
      <c r="E273" s="2">
        <v>81</v>
      </c>
      <c r="F273" s="2">
        <v>8962</v>
      </c>
      <c r="I273" s="2">
        <v>159</v>
      </c>
      <c r="J273" s="2">
        <v>15208</v>
      </c>
      <c r="K273" s="2">
        <v>19</v>
      </c>
      <c r="L273" s="2">
        <v>1742</v>
      </c>
      <c r="M273" s="2">
        <v>241</v>
      </c>
      <c r="N273" s="2">
        <v>13022</v>
      </c>
      <c r="O273" s="2">
        <v>21</v>
      </c>
      <c r="P273" s="2">
        <v>19052</v>
      </c>
      <c r="Q273" s="2">
        <v>977</v>
      </c>
      <c r="R273" s="2">
        <v>18153</v>
      </c>
      <c r="S273" s="2">
        <v>168102</v>
      </c>
      <c r="T273" s="10">
        <f>SUM(D273+F273)</f>
        <v>99948</v>
      </c>
      <c r="U273" s="8">
        <f t="shared" si="13"/>
        <v>0.59456758396687726</v>
      </c>
      <c r="V273" s="9" t="s">
        <v>5270</v>
      </c>
      <c r="W273" s="9" t="str">
        <f t="shared" si="14"/>
        <v>Cockermouth UD</v>
      </c>
      <c r="X273" s="9" t="str">
        <f>INDEX(Lookup!$A$2:$A$1349, MATCH(W273, Lookup!$B$2:$B$1349,0))</f>
        <v>J04000335</v>
      </c>
      <c r="Y273" s="9" t="str">
        <f>INDEX(Lookup!$F$2:$F$1349, MATCH(W273, Lookup!$B$2:$B$1349,0))</f>
        <v>e070150</v>
      </c>
      <c r="Z273" s="6" t="str">
        <f>INDEX(Lookup!$C$2:$C$1300, MATCH(X273, Lookup!$A$2:$A$1300,0))</f>
        <v>Cumbria</v>
      </c>
    </row>
    <row r="274" spans="1:26" ht="28.15" customHeight="1" x14ac:dyDescent="0.2">
      <c r="A274" s="6" t="s">
        <v>296</v>
      </c>
      <c r="B274" s="1" t="s">
        <v>296</v>
      </c>
      <c r="C274" s="2">
        <v>1376</v>
      </c>
      <c r="D274" s="2">
        <v>74056</v>
      </c>
      <c r="E274" s="2">
        <v>151</v>
      </c>
      <c r="F274" s="2">
        <v>17853</v>
      </c>
      <c r="G274" s="2">
        <v>6</v>
      </c>
      <c r="H274" s="2">
        <v>1376</v>
      </c>
      <c r="I274" s="2">
        <v>179</v>
      </c>
      <c r="J274" s="2">
        <v>29558</v>
      </c>
      <c r="K274" s="2">
        <v>24</v>
      </c>
      <c r="L274" s="2">
        <v>1493</v>
      </c>
      <c r="M274" s="2">
        <v>280</v>
      </c>
      <c r="N274" s="2">
        <v>32473</v>
      </c>
      <c r="O274" s="2">
        <v>13</v>
      </c>
      <c r="P274" s="2">
        <v>8715</v>
      </c>
      <c r="Q274" s="2">
        <v>1008</v>
      </c>
      <c r="R274" s="2">
        <v>19649</v>
      </c>
      <c r="S274" s="2">
        <v>186181</v>
      </c>
      <c r="T274" s="10">
        <f t="shared" si="12"/>
        <v>93285</v>
      </c>
      <c r="U274" s="8">
        <f t="shared" si="13"/>
        <v>0.50104468232526411</v>
      </c>
      <c r="V274" s="9" t="s">
        <v>5270</v>
      </c>
      <c r="W274" s="9" t="str">
        <f t="shared" si="14"/>
        <v>Keswick UD</v>
      </c>
      <c r="X274" s="9" t="str">
        <f>INDEX(Lookup!$A$2:$A$1349, MATCH(W274, Lookup!$B$2:$B$1349,0))</f>
        <v>J04000686</v>
      </c>
      <c r="Y274" s="9" t="str">
        <f>INDEX(Lookup!$F$2:$F$1349, MATCH(W274, Lookup!$B$2:$B$1349,0))</f>
        <v>e070151</v>
      </c>
      <c r="Z274" s="6" t="str">
        <f>INDEX(Lookup!$C$2:$C$1300, MATCH(X274, Lookup!$A$2:$A$1300,0))</f>
        <v>Cumbria</v>
      </c>
    </row>
    <row r="275" spans="1:26" ht="28.15" customHeight="1" x14ac:dyDescent="0.2">
      <c r="A275" s="6" t="s">
        <v>297</v>
      </c>
      <c r="B275" s="1" t="s">
        <v>5356</v>
      </c>
      <c r="C275" s="2">
        <v>3783</v>
      </c>
      <c r="D275" s="2">
        <v>142575</v>
      </c>
      <c r="E275" s="2">
        <v>13</v>
      </c>
      <c r="F275" s="2">
        <v>1486</v>
      </c>
      <c r="I275" s="2">
        <v>226</v>
      </c>
      <c r="J275" s="2">
        <v>21697</v>
      </c>
      <c r="K275" s="2">
        <v>17</v>
      </c>
      <c r="L275" s="2">
        <v>609</v>
      </c>
      <c r="M275" s="2">
        <v>341</v>
      </c>
      <c r="N275" s="2">
        <v>9966</v>
      </c>
      <c r="O275" s="2">
        <v>14</v>
      </c>
      <c r="P275" s="2">
        <v>32894</v>
      </c>
      <c r="Q275" s="2">
        <v>4814</v>
      </c>
      <c r="R275" s="2">
        <v>38739</v>
      </c>
      <c r="S275" s="2">
        <v>252780</v>
      </c>
      <c r="T275" s="10">
        <f>SUM(D275+F275)</f>
        <v>144061</v>
      </c>
      <c r="U275" s="8">
        <f t="shared" si="13"/>
        <v>0.56990663818340059</v>
      </c>
      <c r="V275" s="9" t="s">
        <v>5270</v>
      </c>
      <c r="W275" s="9" t="str">
        <f t="shared" si="14"/>
        <v>Maryport UD</v>
      </c>
      <c r="X275" s="9" t="str">
        <f>INDEX(Lookup!$A$2:$A$1349, MATCH(W275, Lookup!$B$2:$B$1349,0))</f>
        <v>J04000838</v>
      </c>
      <c r="Y275" s="9" t="str">
        <f>INDEX(Lookup!$F$2:$F$1349, MATCH(W275, Lookup!$B$2:$B$1349,0))</f>
        <v>e070152</v>
      </c>
      <c r="Z275" s="6" t="str">
        <f>INDEX(Lookup!$C$2:$C$1300, MATCH(X275, Lookup!$A$2:$A$1300,0))</f>
        <v>Cumbria</v>
      </c>
    </row>
    <row r="276" spans="1:26" ht="28.15" customHeight="1" x14ac:dyDescent="0.2">
      <c r="A276" s="6" t="s">
        <v>298</v>
      </c>
      <c r="B276" s="1" t="s">
        <v>298</v>
      </c>
      <c r="C276" s="2">
        <v>3178</v>
      </c>
      <c r="D276" s="2">
        <v>161406</v>
      </c>
      <c r="E276" s="2">
        <v>195</v>
      </c>
      <c r="F276" s="2">
        <v>22536</v>
      </c>
      <c r="G276" s="2">
        <v>1</v>
      </c>
      <c r="H276" s="2">
        <v>206</v>
      </c>
      <c r="I276" s="2">
        <v>266</v>
      </c>
      <c r="J276" s="2">
        <v>46837</v>
      </c>
      <c r="K276" s="2">
        <v>60</v>
      </c>
      <c r="L276" s="2">
        <v>4484</v>
      </c>
      <c r="M276" s="2">
        <v>477</v>
      </c>
      <c r="N276" s="2">
        <v>48984</v>
      </c>
      <c r="O276" s="2">
        <v>28</v>
      </c>
      <c r="P276" s="2">
        <v>15770</v>
      </c>
      <c r="Q276" s="2">
        <v>3438</v>
      </c>
      <c r="R276" s="2">
        <v>44918</v>
      </c>
      <c r="S276" s="2">
        <v>348579</v>
      </c>
      <c r="T276" s="10">
        <f t="shared" si="12"/>
        <v>184148</v>
      </c>
      <c r="U276" s="8">
        <f t="shared" si="13"/>
        <v>0.52828196764578472</v>
      </c>
      <c r="V276" s="9" t="s">
        <v>5270</v>
      </c>
      <c r="W276" s="9" t="str">
        <f t="shared" si="14"/>
        <v>Penrith UD</v>
      </c>
      <c r="X276" s="9" t="str">
        <f>INDEX(Lookup!$A$2:$A$1349, MATCH(W276, Lookup!$B$2:$B$1349,0))</f>
        <v>J04000982</v>
      </c>
      <c r="Y276" s="9" t="str">
        <f>INDEX(Lookup!$F$2:$F$1349, MATCH(W276, Lookup!$B$2:$B$1349,0))</f>
        <v>e070153</v>
      </c>
      <c r="Z276" s="6" t="str">
        <f>INDEX(Lookup!$C$2:$C$1300, MATCH(X276, Lookup!$A$2:$A$1300,0))</f>
        <v>Cumbria</v>
      </c>
    </row>
    <row r="277" spans="1:26" ht="28.15" customHeight="1" x14ac:dyDescent="0.2">
      <c r="A277" s="6" t="s">
        <v>212</v>
      </c>
      <c r="B277" s="1" t="s">
        <v>212</v>
      </c>
      <c r="T277" s="10"/>
      <c r="W277" s="9" t="str">
        <f t="shared" si="14"/>
        <v xml:space="preserve">Rural Districts-- </v>
      </c>
      <c r="X277" s="9" t="e">
        <f>INDEX(Lookup!$A$2:$A$1349, MATCH(W277, Lookup!$B$2:$B$1349,0))</f>
        <v>#N/A</v>
      </c>
      <c r="Y277" s="9" t="e">
        <f>INDEX(Lookup!$F$2:$F$1349, MATCH(W277, Lookup!$B$2:$B$1349,0))</f>
        <v>#N/A</v>
      </c>
      <c r="Z277" s="6" t="e">
        <f>INDEX(Lookup!$C$2:$C$1300, MATCH(X277, Lookup!$A$2:$A$1300,0))</f>
        <v>#N/A</v>
      </c>
    </row>
    <row r="278" spans="1:26" ht="28.15" customHeight="1" x14ac:dyDescent="0.2">
      <c r="A278" s="6" t="s">
        <v>299</v>
      </c>
      <c r="B278" s="1" t="s">
        <v>5357</v>
      </c>
      <c r="C278" s="2">
        <v>702</v>
      </c>
      <c r="D278" s="2">
        <v>22835</v>
      </c>
      <c r="E278" s="2">
        <v>15</v>
      </c>
      <c r="F278" s="2">
        <v>1630</v>
      </c>
      <c r="I278" s="2">
        <v>55</v>
      </c>
      <c r="J278" s="2">
        <v>2744</v>
      </c>
      <c r="K278" s="2">
        <v>6</v>
      </c>
      <c r="L278" s="2">
        <v>633</v>
      </c>
      <c r="M278" s="2">
        <v>57</v>
      </c>
      <c r="N278" s="2">
        <v>3466</v>
      </c>
      <c r="O278" s="2">
        <v>3</v>
      </c>
      <c r="P278" s="2">
        <v>4300</v>
      </c>
      <c r="Q278" s="2">
        <v>267</v>
      </c>
      <c r="R278" s="2">
        <v>11171</v>
      </c>
      <c r="S278" s="2">
        <v>47046</v>
      </c>
      <c r="T278" s="10">
        <f>SUM(D278+F278)</f>
        <v>24465</v>
      </c>
      <c r="U278" s="8">
        <f t="shared" si="13"/>
        <v>0.52002295625557959</v>
      </c>
      <c r="V278" s="9" t="s">
        <v>5271</v>
      </c>
      <c r="W278" s="9" t="str">
        <f t="shared" si="14"/>
        <v>Alston with Garrigill RD</v>
      </c>
      <c r="X278" s="9" t="str">
        <f>INDEX(Lookup!$A$2:$A$1349, MATCH(W278, Lookup!$B$2:$B$1349,0))</f>
        <v>J04000031</v>
      </c>
      <c r="Y278" s="9" t="str">
        <f>INDEX(Lookup!$F$2:$F$1349, MATCH(W278, Lookup!$B$2:$B$1349,0))</f>
        <v>e070156</v>
      </c>
      <c r="Z278" s="6" t="str">
        <f>INDEX(Lookup!$C$2:$C$1300, MATCH(X278, Lookup!$A$2:$A$1300,0))</f>
        <v>Cumbria</v>
      </c>
    </row>
    <row r="279" spans="1:26" ht="28.15" customHeight="1" x14ac:dyDescent="0.2">
      <c r="A279" s="6" t="s">
        <v>300</v>
      </c>
      <c r="B279" s="1" t="s">
        <v>300</v>
      </c>
      <c r="C279" s="2">
        <v>6415</v>
      </c>
      <c r="D279" s="2">
        <v>293269</v>
      </c>
      <c r="E279" s="2">
        <v>605</v>
      </c>
      <c r="F279" s="2">
        <v>76410</v>
      </c>
      <c r="G279" s="2">
        <v>37</v>
      </c>
      <c r="H279" s="2">
        <v>8570</v>
      </c>
      <c r="I279" s="2">
        <v>162</v>
      </c>
      <c r="J279" s="2">
        <v>15517</v>
      </c>
      <c r="K279" s="2">
        <v>18</v>
      </c>
      <c r="L279" s="2">
        <v>577</v>
      </c>
      <c r="M279" s="2">
        <v>688</v>
      </c>
      <c r="N279" s="2">
        <v>39016</v>
      </c>
      <c r="O279" s="2">
        <v>20</v>
      </c>
      <c r="P279" s="2">
        <v>40705</v>
      </c>
      <c r="Q279" s="2">
        <v>160746</v>
      </c>
      <c r="R279" s="2">
        <v>217244</v>
      </c>
      <c r="S279" s="2">
        <v>852054</v>
      </c>
      <c r="T279" s="10">
        <f t="shared" si="12"/>
        <v>378249</v>
      </c>
      <c r="U279" s="8">
        <f t="shared" si="13"/>
        <v>0.44392608919153009</v>
      </c>
      <c r="V279" s="9" t="s">
        <v>5271</v>
      </c>
      <c r="W279" s="9" t="str">
        <f t="shared" si="14"/>
        <v>Border RD</v>
      </c>
      <c r="X279" s="9" t="str">
        <f>INDEX(Lookup!$A$2:$A$1349, MATCH(W279, Lookup!$B$2:$B$1349,0))</f>
        <v>J04000175</v>
      </c>
      <c r="Y279" s="9" t="str">
        <f>INDEX(Lookup!$F$2:$F$1349, MATCH(W279, Lookup!$B$2:$B$1349,0))</f>
        <v>e070157</v>
      </c>
      <c r="Z279" s="6" t="str">
        <f>INDEX(Lookup!$C$2:$C$1300, MATCH(X279, Lookup!$A$2:$A$1300,0))</f>
        <v>Cumbria</v>
      </c>
    </row>
    <row r="280" spans="1:26" ht="28.15" customHeight="1" x14ac:dyDescent="0.2">
      <c r="A280" s="6" t="s">
        <v>295</v>
      </c>
      <c r="B280" s="1" t="s">
        <v>295</v>
      </c>
      <c r="C280" s="2">
        <v>5666</v>
      </c>
      <c r="D280" s="2">
        <v>261031</v>
      </c>
      <c r="E280" s="2">
        <v>219</v>
      </c>
      <c r="F280" s="2">
        <v>26965</v>
      </c>
      <c r="G280" s="2">
        <v>12</v>
      </c>
      <c r="H280" s="2">
        <v>3014</v>
      </c>
      <c r="I280" s="2">
        <v>116</v>
      </c>
      <c r="J280" s="2">
        <v>7935</v>
      </c>
      <c r="K280" s="2">
        <v>5</v>
      </c>
      <c r="L280" s="2">
        <v>1229</v>
      </c>
      <c r="M280" s="2">
        <v>499</v>
      </c>
      <c r="N280" s="2">
        <v>31480</v>
      </c>
      <c r="O280" s="2">
        <v>8</v>
      </c>
      <c r="P280" s="2">
        <v>57329</v>
      </c>
      <c r="Q280" s="2">
        <v>18306</v>
      </c>
      <c r="R280" s="2">
        <v>111722</v>
      </c>
      <c r="S280" s="2">
        <v>519011</v>
      </c>
      <c r="T280" s="10">
        <f t="shared" si="12"/>
        <v>291010</v>
      </c>
      <c r="U280" s="8">
        <f t="shared" si="13"/>
        <v>0.560701025604467</v>
      </c>
      <c r="V280" s="9" t="s">
        <v>5271</v>
      </c>
      <c r="W280" s="9" t="str">
        <f t="shared" si="14"/>
        <v>Cockermouth RD</v>
      </c>
      <c r="X280" s="9" t="str">
        <f>INDEX(Lookup!$A$2:$A$1349, MATCH(W280, Lookup!$B$2:$B$1349,0))</f>
        <v>J04000334</v>
      </c>
      <c r="Y280" s="9" t="str">
        <f>INDEX(Lookup!$F$2:$F$1349, MATCH(W280, Lookup!$B$2:$B$1349,0))</f>
        <v>e070158</v>
      </c>
      <c r="Z280" s="6" t="str">
        <f>INDEX(Lookup!$C$2:$C$1300, MATCH(X280, Lookup!$A$2:$A$1300,0))</f>
        <v>Cumbria</v>
      </c>
    </row>
    <row r="281" spans="1:26" ht="28.15" customHeight="1" x14ac:dyDescent="0.2">
      <c r="A281" s="6" t="s">
        <v>301</v>
      </c>
      <c r="B281" s="1" t="s">
        <v>301</v>
      </c>
      <c r="C281" s="2">
        <v>8827</v>
      </c>
      <c r="D281" s="2">
        <v>337763</v>
      </c>
      <c r="E281" s="2">
        <v>86</v>
      </c>
      <c r="F281" s="2">
        <v>10309</v>
      </c>
      <c r="G281" s="2">
        <v>1</v>
      </c>
      <c r="H281" s="2">
        <v>326</v>
      </c>
      <c r="I281" s="2">
        <v>333</v>
      </c>
      <c r="J281" s="2">
        <v>32422</v>
      </c>
      <c r="K281" s="2">
        <v>20</v>
      </c>
      <c r="L281" s="2">
        <v>972</v>
      </c>
      <c r="M281" s="2">
        <v>1552</v>
      </c>
      <c r="N281" s="2">
        <v>37490</v>
      </c>
      <c r="O281" s="2">
        <v>25</v>
      </c>
      <c r="P281" s="2">
        <v>37354</v>
      </c>
      <c r="Q281" s="2">
        <v>116714</v>
      </c>
      <c r="R281" s="2">
        <v>175185</v>
      </c>
      <c r="S281" s="2">
        <v>748535</v>
      </c>
      <c r="T281" s="10">
        <f t="shared" si="12"/>
        <v>348398</v>
      </c>
      <c r="U281" s="8">
        <f t="shared" si="13"/>
        <v>0.4654398257930491</v>
      </c>
      <c r="V281" s="9" t="s">
        <v>5271</v>
      </c>
      <c r="W281" s="9" t="str">
        <f t="shared" si="14"/>
        <v>Ennerdale RD</v>
      </c>
      <c r="X281" s="9" t="str">
        <f>INDEX(Lookup!$A$2:$A$1349, MATCH(W281, Lookup!$B$2:$B$1349,0))</f>
        <v>J04000474</v>
      </c>
      <c r="Y281" s="9" t="str">
        <f>INDEX(Lookup!$F$2:$F$1349, MATCH(W281, Lookup!$B$2:$B$1349,0))</f>
        <v>e070159</v>
      </c>
      <c r="Z281" s="6" t="str">
        <f>INDEX(Lookup!$C$2:$C$1300, MATCH(X281, Lookup!$A$2:$A$1300,0))</f>
        <v>Cumbria</v>
      </c>
    </row>
    <row r="282" spans="1:26" ht="28.15" customHeight="1" x14ac:dyDescent="0.2">
      <c r="A282" s="6" t="s">
        <v>302</v>
      </c>
      <c r="B282" s="1" t="s">
        <v>302</v>
      </c>
      <c r="C282" s="2">
        <v>3980</v>
      </c>
      <c r="D282" s="2">
        <v>162328</v>
      </c>
      <c r="E282" s="2">
        <v>135</v>
      </c>
      <c r="F282" s="2">
        <v>15920</v>
      </c>
      <c r="G282" s="2">
        <v>3</v>
      </c>
      <c r="H282" s="2">
        <v>1063</v>
      </c>
      <c r="I282" s="2">
        <v>208</v>
      </c>
      <c r="J282" s="2">
        <v>20170</v>
      </c>
      <c r="K282" s="2">
        <v>15</v>
      </c>
      <c r="L282" s="2">
        <v>867</v>
      </c>
      <c r="M282" s="2">
        <v>581</v>
      </c>
      <c r="N282" s="2">
        <v>16998</v>
      </c>
      <c r="O282" s="2">
        <v>11</v>
      </c>
      <c r="P282" s="2">
        <v>59120</v>
      </c>
      <c r="Q282" s="2">
        <v>9365</v>
      </c>
      <c r="R282" s="2">
        <v>59034</v>
      </c>
      <c r="S282" s="2">
        <v>344865</v>
      </c>
      <c r="T282" s="10">
        <f t="shared" si="12"/>
        <v>179311</v>
      </c>
      <c r="U282" s="8">
        <f t="shared" si="13"/>
        <v>0.51994548591477829</v>
      </c>
      <c r="V282" s="9" t="s">
        <v>5271</v>
      </c>
      <c r="W282" s="9" t="str">
        <f t="shared" si="14"/>
        <v>Millom RD</v>
      </c>
      <c r="X282" s="9" t="str">
        <f>INDEX(Lookup!$A$2:$A$1349, MATCH(W282, Lookup!$B$2:$B$1349,0))</f>
        <v>J04000858</v>
      </c>
      <c r="Y282" s="9" t="str">
        <f>INDEX(Lookup!$F$2:$F$1349, MATCH(W282, Lookup!$B$2:$B$1349,0))</f>
        <v>e070160</v>
      </c>
      <c r="Z282" s="6" t="str">
        <f>INDEX(Lookup!$C$2:$C$1300, MATCH(X282, Lookup!$A$2:$A$1300,0))</f>
        <v>Cumbria</v>
      </c>
    </row>
    <row r="283" spans="1:26" ht="28.15" customHeight="1" x14ac:dyDescent="0.2">
      <c r="A283" s="6" t="s">
        <v>298</v>
      </c>
      <c r="B283" s="1" t="s">
        <v>298</v>
      </c>
      <c r="C283" s="2">
        <v>2707</v>
      </c>
      <c r="D283" s="2">
        <v>115331</v>
      </c>
      <c r="E283" s="2">
        <v>89</v>
      </c>
      <c r="F283" s="2">
        <v>10853</v>
      </c>
      <c r="G283" s="2">
        <v>17</v>
      </c>
      <c r="H283" s="2">
        <v>3732</v>
      </c>
      <c r="I283" s="2">
        <v>47</v>
      </c>
      <c r="J283" s="2">
        <v>3233</v>
      </c>
      <c r="K283" s="2">
        <v>2</v>
      </c>
      <c r="L283" s="2">
        <v>104</v>
      </c>
      <c r="M283" s="2">
        <v>243</v>
      </c>
      <c r="N283" s="2">
        <v>19614</v>
      </c>
      <c r="O283" s="2">
        <v>13</v>
      </c>
      <c r="P283" s="2">
        <v>7564</v>
      </c>
      <c r="Q283" s="2">
        <v>840</v>
      </c>
      <c r="R283" s="2">
        <v>114249</v>
      </c>
      <c r="S283" s="2">
        <v>275520</v>
      </c>
      <c r="T283" s="10">
        <f t="shared" si="12"/>
        <v>129916</v>
      </c>
      <c r="U283" s="8">
        <f t="shared" si="13"/>
        <v>0.4715301974448316</v>
      </c>
      <c r="V283" s="9" t="s">
        <v>5271</v>
      </c>
      <c r="W283" s="9" t="str">
        <f t="shared" si="14"/>
        <v>Penrith RD</v>
      </c>
      <c r="X283" s="9" t="str">
        <f>INDEX(Lookup!$A$2:$A$1349, MATCH(W283, Lookup!$B$2:$B$1349,0))</f>
        <v>J04000981</v>
      </c>
      <c r="Y283" s="9" t="str">
        <f>INDEX(Lookup!$F$2:$F$1349, MATCH(W283, Lookup!$B$2:$B$1349,0))</f>
        <v>e070161</v>
      </c>
      <c r="Z283" s="6" t="str">
        <f>INDEX(Lookup!$C$2:$C$1300, MATCH(X283, Lookup!$A$2:$A$1300,0))</f>
        <v>Cumbria</v>
      </c>
    </row>
    <row r="284" spans="1:26" ht="28.15" customHeight="1" x14ac:dyDescent="0.2">
      <c r="A284" s="6" t="s">
        <v>303</v>
      </c>
      <c r="B284" s="1" t="s">
        <v>303</v>
      </c>
      <c r="C284" s="2">
        <v>5755</v>
      </c>
      <c r="D284" s="2">
        <v>224030</v>
      </c>
      <c r="E284" s="2">
        <v>118</v>
      </c>
      <c r="F284" s="2">
        <v>13576</v>
      </c>
      <c r="G284" s="2">
        <v>1</v>
      </c>
      <c r="H284" s="2">
        <v>226</v>
      </c>
      <c r="I284" s="2">
        <v>283</v>
      </c>
      <c r="J284" s="2">
        <v>24613</v>
      </c>
      <c r="K284" s="2">
        <v>39</v>
      </c>
      <c r="L284" s="2">
        <v>1872</v>
      </c>
      <c r="M284" s="2">
        <v>525</v>
      </c>
      <c r="N284" s="2">
        <v>26429</v>
      </c>
      <c r="O284" s="2">
        <v>24</v>
      </c>
      <c r="P284" s="2">
        <v>68224</v>
      </c>
      <c r="Q284" s="2">
        <v>11947</v>
      </c>
      <c r="R284" s="2">
        <v>126111</v>
      </c>
      <c r="S284" s="2">
        <v>497028</v>
      </c>
      <c r="T284" s="10">
        <f t="shared" si="12"/>
        <v>237832</v>
      </c>
      <c r="U284" s="8">
        <f t="shared" si="13"/>
        <v>0.47850825305616584</v>
      </c>
      <c r="V284" s="9" t="s">
        <v>5271</v>
      </c>
      <c r="W284" s="9" t="str">
        <f t="shared" si="14"/>
        <v>Wigton RD</v>
      </c>
      <c r="X284" s="9" t="str">
        <f>INDEX(Lookup!$A$2:$A$1349, MATCH(W284, Lookup!$B$2:$B$1349,0))</f>
        <v>J04001412</v>
      </c>
      <c r="Y284" s="9" t="str">
        <f>INDEX(Lookup!$F$2:$F$1349, MATCH(W284, Lookup!$B$2:$B$1349,0))</f>
        <v>e070162</v>
      </c>
      <c r="Z284" s="6" t="str">
        <f>INDEX(Lookup!$C$2:$C$1300, MATCH(X284, Lookup!$A$2:$A$1300,0))</f>
        <v>Cumbria</v>
      </c>
    </row>
    <row r="285" spans="1:26" ht="28.15" customHeight="1" x14ac:dyDescent="0.2">
      <c r="A285" s="6" t="s">
        <v>304</v>
      </c>
      <c r="B285" s="1" t="s">
        <v>304</v>
      </c>
      <c r="T285" s="10"/>
      <c r="W285" s="9" t="str">
        <f t="shared" si="14"/>
        <v xml:space="preserve">DERBYSHIRE: </v>
      </c>
      <c r="X285" s="9" t="e">
        <f>INDEX(Lookup!$A$2:$A$1349, MATCH(W285, Lookup!$B$2:$B$1349,0))</f>
        <v>#N/A</v>
      </c>
      <c r="Y285" s="9" t="e">
        <f>INDEX(Lookup!$F$2:$F$1349, MATCH(W285, Lookup!$B$2:$B$1349,0))</f>
        <v>#N/A</v>
      </c>
      <c r="Z285" s="6" t="e">
        <f>INDEX(Lookup!$C$2:$C$1300, MATCH(X285, Lookup!$A$2:$A$1300,0))</f>
        <v>#N/A</v>
      </c>
    </row>
    <row r="286" spans="1:26" ht="28.15" customHeight="1" x14ac:dyDescent="0.2">
      <c r="A286" s="6" t="s">
        <v>175</v>
      </c>
      <c r="B286" s="1" t="s">
        <v>175</v>
      </c>
      <c r="T286" s="10"/>
      <c r="W286" s="9" t="str">
        <f t="shared" si="14"/>
        <v xml:space="preserve">Non-County Boroughs-- </v>
      </c>
      <c r="X286" s="9" t="e">
        <f>INDEX(Lookup!$A$2:$A$1349, MATCH(W286, Lookup!$B$2:$B$1349,0))</f>
        <v>#N/A</v>
      </c>
      <c r="Y286" s="9" t="e">
        <f>INDEX(Lookup!$F$2:$F$1349, MATCH(W286, Lookup!$B$2:$B$1349,0))</f>
        <v>#N/A</v>
      </c>
      <c r="Z286" s="6" t="e">
        <f>INDEX(Lookup!$C$2:$C$1300, MATCH(X286, Lookup!$A$2:$A$1300,0))</f>
        <v>#N/A</v>
      </c>
    </row>
    <row r="287" spans="1:26" ht="28.15" customHeight="1" x14ac:dyDescent="0.2">
      <c r="A287" s="6" t="s">
        <v>305</v>
      </c>
      <c r="B287" s="1" t="s">
        <v>305</v>
      </c>
      <c r="C287" s="2">
        <v>5160</v>
      </c>
      <c r="D287" s="2">
        <v>263571</v>
      </c>
      <c r="E287" s="2">
        <v>634</v>
      </c>
      <c r="F287" s="2">
        <v>84812</v>
      </c>
      <c r="G287" s="2">
        <v>45</v>
      </c>
      <c r="H287" s="2">
        <v>10343</v>
      </c>
      <c r="I287" s="2">
        <v>377</v>
      </c>
      <c r="J287" s="2">
        <v>59719</v>
      </c>
      <c r="K287" s="2">
        <v>66</v>
      </c>
      <c r="L287" s="2">
        <v>6722</v>
      </c>
      <c r="M287" s="2">
        <v>565</v>
      </c>
      <c r="N287" s="2">
        <v>39741</v>
      </c>
      <c r="O287" s="2">
        <v>26</v>
      </c>
      <c r="P287" s="2">
        <v>11802</v>
      </c>
      <c r="Q287" s="2">
        <v>10848</v>
      </c>
      <c r="R287" s="2">
        <v>83009</v>
      </c>
      <c r="S287" s="2">
        <v>570567</v>
      </c>
      <c r="T287" s="10">
        <f t="shared" si="12"/>
        <v>358726</v>
      </c>
      <c r="U287" s="8">
        <f t="shared" si="13"/>
        <v>0.62871845024335438</v>
      </c>
      <c r="V287" s="9" t="s">
        <v>5268</v>
      </c>
      <c r="W287" s="9" t="str">
        <f t="shared" si="14"/>
        <v>Buxton MB</v>
      </c>
      <c r="X287" s="9" t="str">
        <f>INDEX(Lookup!$A$2:$A$1349, MATCH(W287, Lookup!$B$2:$B$1349,0))</f>
        <v>J04000247</v>
      </c>
      <c r="Y287" s="9" t="str">
        <f>INDEX(Lookup!$F$2:$F$1349, MATCH(W287, Lookup!$B$2:$B$1349,0))</f>
        <v>e080169</v>
      </c>
      <c r="Z287" s="6" t="str">
        <f>INDEX(Lookup!$C$2:$C$1300, MATCH(X287, Lookup!$A$2:$A$1300,0))</f>
        <v>Derbyshire</v>
      </c>
    </row>
    <row r="288" spans="1:26" ht="28.15" customHeight="1" x14ac:dyDescent="0.2">
      <c r="A288" s="6" t="s">
        <v>306</v>
      </c>
      <c r="B288" s="1" t="s">
        <v>306</v>
      </c>
      <c r="C288" s="2">
        <v>21437</v>
      </c>
      <c r="D288" s="2">
        <v>1095715</v>
      </c>
      <c r="E288" s="2">
        <v>891</v>
      </c>
      <c r="F288" s="2">
        <v>108911</v>
      </c>
      <c r="G288" s="2">
        <v>41</v>
      </c>
      <c r="H288" s="2">
        <v>10024</v>
      </c>
      <c r="I288" s="2">
        <v>1053</v>
      </c>
      <c r="J288" s="2">
        <v>363851</v>
      </c>
      <c r="K288" s="2">
        <v>206</v>
      </c>
      <c r="L288" s="2">
        <v>48666</v>
      </c>
      <c r="M288" s="2">
        <v>2251</v>
      </c>
      <c r="N288" s="2">
        <v>195164</v>
      </c>
      <c r="O288" s="2">
        <v>119</v>
      </c>
      <c r="P288" s="2">
        <v>646228</v>
      </c>
      <c r="Q288" s="2">
        <v>21029</v>
      </c>
      <c r="R288" s="2">
        <v>329485</v>
      </c>
      <c r="S288" s="2">
        <v>2819073</v>
      </c>
      <c r="T288" s="10">
        <f t="shared" si="12"/>
        <v>1214650</v>
      </c>
      <c r="U288" s="8">
        <f t="shared" si="13"/>
        <v>0.43086858694329661</v>
      </c>
      <c r="V288" s="9" t="s">
        <v>5268</v>
      </c>
      <c r="W288" s="9" t="str">
        <f t="shared" si="14"/>
        <v>Chesterfield MB</v>
      </c>
      <c r="X288" s="9" t="str">
        <f>INDEX(Lookup!$A$2:$A$1349, MATCH(W288, Lookup!$B$2:$B$1349,0))</f>
        <v>J04000302</v>
      </c>
      <c r="Y288" s="9" t="str">
        <f>INDEX(Lookup!$F$2:$F$1349, MATCH(W288, Lookup!$B$2:$B$1349,0))</f>
        <v>e080170</v>
      </c>
      <c r="Z288" s="6" t="str">
        <f>INDEX(Lookup!$C$2:$C$1300, MATCH(X288, Lookup!$A$2:$A$1300,0))</f>
        <v>Derbyshire</v>
      </c>
    </row>
    <row r="289" spans="1:26" ht="28.15" customHeight="1" x14ac:dyDescent="0.2">
      <c r="A289" s="6" t="s">
        <v>307</v>
      </c>
      <c r="B289" s="1" t="s">
        <v>5358</v>
      </c>
      <c r="C289" s="2">
        <v>6128</v>
      </c>
      <c r="D289" s="2">
        <v>188989</v>
      </c>
      <c r="E289" s="2">
        <v>150</v>
      </c>
      <c r="F289" s="2">
        <v>18786</v>
      </c>
      <c r="G289" s="2">
        <v>7</v>
      </c>
      <c r="H289" s="2">
        <v>1698</v>
      </c>
      <c r="I289" s="2">
        <v>382</v>
      </c>
      <c r="J289" s="2">
        <v>33152</v>
      </c>
      <c r="K289" s="2">
        <v>43</v>
      </c>
      <c r="L289" s="2">
        <v>2062</v>
      </c>
      <c r="M289" s="2">
        <v>659</v>
      </c>
      <c r="N289" s="2">
        <v>27478</v>
      </c>
      <c r="O289" s="2">
        <v>69</v>
      </c>
      <c r="P289" s="2">
        <v>106118</v>
      </c>
      <c r="Q289" s="2">
        <v>2772</v>
      </c>
      <c r="R289" s="2">
        <v>54727</v>
      </c>
      <c r="S289" s="2">
        <v>435782</v>
      </c>
      <c r="T289" s="10">
        <f t="shared" si="12"/>
        <v>209473</v>
      </c>
      <c r="U289" s="8">
        <f t="shared" si="13"/>
        <v>0.48068300205148445</v>
      </c>
      <c r="V289" s="9" t="s">
        <v>5268</v>
      </c>
      <c r="W289" s="9" t="str">
        <f t="shared" si="14"/>
        <v>Glossop MB</v>
      </c>
      <c r="X289" s="9" t="str">
        <f>INDEX(Lookup!$A$2:$A$1349, MATCH(W289, Lookup!$B$2:$B$1349,0))</f>
        <v>J04000535</v>
      </c>
      <c r="Y289" s="9" t="str">
        <f>INDEX(Lookup!$F$2:$F$1349, MATCH(W289, Lookup!$B$2:$B$1349,0))</f>
        <v>e080173</v>
      </c>
      <c r="Z289" s="6" t="str">
        <f>INDEX(Lookup!$C$2:$C$1300, MATCH(X289, Lookup!$A$2:$A$1300,0))</f>
        <v>Derbyshire</v>
      </c>
    </row>
    <row r="290" spans="1:26" ht="28.15" customHeight="1" x14ac:dyDescent="0.2">
      <c r="A290" s="6" t="s">
        <v>308</v>
      </c>
      <c r="B290" s="1" t="s">
        <v>308</v>
      </c>
      <c r="C290" s="2">
        <v>10944</v>
      </c>
      <c r="D290" s="2">
        <v>448787</v>
      </c>
      <c r="E290" s="2">
        <v>186</v>
      </c>
      <c r="F290" s="2">
        <v>22112</v>
      </c>
      <c r="I290" s="2">
        <v>587</v>
      </c>
      <c r="J290" s="2">
        <v>109683</v>
      </c>
      <c r="K290" s="2">
        <v>81</v>
      </c>
      <c r="L290" s="2">
        <v>7238</v>
      </c>
      <c r="M290" s="2">
        <v>949</v>
      </c>
      <c r="N290" s="2">
        <v>59531</v>
      </c>
      <c r="O290" s="2">
        <v>78</v>
      </c>
      <c r="P290" s="2">
        <v>330182</v>
      </c>
      <c r="Q290" s="2">
        <v>3472</v>
      </c>
      <c r="R290" s="2">
        <v>121358</v>
      </c>
      <c r="S290" s="2">
        <v>1102363</v>
      </c>
      <c r="T290" s="10">
        <f>SUM(D290+F290)</f>
        <v>470899</v>
      </c>
      <c r="U290" s="8">
        <f t="shared" si="13"/>
        <v>0.42717235611137166</v>
      </c>
      <c r="V290" s="9" t="s">
        <v>5268</v>
      </c>
      <c r="W290" s="9" t="str">
        <f t="shared" si="14"/>
        <v>Ilkeston MB</v>
      </c>
      <c r="X290" s="9" t="str">
        <f>INDEX(Lookup!$A$2:$A$1349, MATCH(W290, Lookup!$B$2:$B$1349,0))</f>
        <v>J04000667</v>
      </c>
      <c r="Y290" s="9" t="str">
        <f>INDEX(Lookup!$F$2:$F$1349, MATCH(W290, Lookup!$B$2:$B$1349,0))</f>
        <v>e080175</v>
      </c>
      <c r="Z290" s="6" t="str">
        <f>INDEX(Lookup!$C$2:$C$1300, MATCH(X290, Lookup!$A$2:$A$1300,0))</f>
        <v>Derbyshire</v>
      </c>
    </row>
    <row r="291" spans="1:26" ht="28.15" customHeight="1" x14ac:dyDescent="0.2">
      <c r="A291" s="6" t="s">
        <v>309</v>
      </c>
      <c r="B291" s="1" t="s">
        <v>309</v>
      </c>
      <c r="T291" s="10"/>
      <c r="W291" s="9" t="str">
        <f t="shared" si="14"/>
        <v xml:space="preserve">DERBYSHIRE-contd </v>
      </c>
      <c r="X291" s="9" t="e">
        <f>INDEX(Lookup!$A$2:$A$1349, MATCH(W291, Lookup!$B$2:$B$1349,0))</f>
        <v>#N/A</v>
      </c>
      <c r="Y291" s="9" t="e">
        <f>INDEX(Lookup!$F$2:$F$1349, MATCH(W291, Lookup!$B$2:$B$1349,0))</f>
        <v>#N/A</v>
      </c>
      <c r="Z291" s="6" t="e">
        <f>INDEX(Lookup!$C$2:$C$1300, MATCH(X291, Lookup!$A$2:$A$1300,0))</f>
        <v>#N/A</v>
      </c>
    </row>
    <row r="292" spans="1:26" ht="28.15" customHeight="1" x14ac:dyDescent="0.2">
      <c r="A292" s="6" t="s">
        <v>179</v>
      </c>
      <c r="B292" s="1" t="s">
        <v>179</v>
      </c>
      <c r="T292" s="10"/>
      <c r="W292" s="9" t="str">
        <f t="shared" si="14"/>
        <v xml:space="preserve">Urban Districts-- </v>
      </c>
      <c r="X292" s="9" t="e">
        <f>INDEX(Lookup!$A$2:$A$1349, MATCH(W292, Lookup!$B$2:$B$1349,0))</f>
        <v>#N/A</v>
      </c>
      <c r="Y292" s="9" t="e">
        <f>INDEX(Lookup!$F$2:$F$1349, MATCH(W292, Lookup!$B$2:$B$1349,0))</f>
        <v>#N/A</v>
      </c>
      <c r="Z292" s="6" t="e">
        <f>INDEX(Lookup!$C$2:$C$1300, MATCH(X292, Lookup!$A$2:$A$1300,0))</f>
        <v>#N/A</v>
      </c>
    </row>
    <row r="293" spans="1:26" ht="28.15" customHeight="1" x14ac:dyDescent="0.2">
      <c r="A293" s="6" t="s">
        <v>310</v>
      </c>
      <c r="B293" s="1" t="s">
        <v>310</v>
      </c>
      <c r="C293" s="2">
        <v>7218</v>
      </c>
      <c r="D293" s="2">
        <v>282111</v>
      </c>
      <c r="E293" s="2">
        <v>84</v>
      </c>
      <c r="F293" s="2">
        <v>10532</v>
      </c>
      <c r="G293" s="2">
        <v>6</v>
      </c>
      <c r="H293" s="2">
        <v>1392</v>
      </c>
      <c r="I293" s="2">
        <v>399</v>
      </c>
      <c r="J293" s="2">
        <v>45585</v>
      </c>
      <c r="K293" s="2">
        <v>51</v>
      </c>
      <c r="L293" s="2">
        <v>4093</v>
      </c>
      <c r="M293" s="2">
        <v>533</v>
      </c>
      <c r="N293" s="2">
        <v>29239</v>
      </c>
      <c r="O293" s="2">
        <v>72</v>
      </c>
      <c r="P293" s="2">
        <v>104622</v>
      </c>
      <c r="Q293" s="2">
        <v>2232</v>
      </c>
      <c r="R293" s="2">
        <v>106222</v>
      </c>
      <c r="S293" s="2">
        <v>586068</v>
      </c>
      <c r="T293" s="10">
        <f t="shared" si="12"/>
        <v>294035</v>
      </c>
      <c r="U293" s="8">
        <f t="shared" si="13"/>
        <v>0.50170799292914814</v>
      </c>
      <c r="V293" s="9" t="s">
        <v>5270</v>
      </c>
      <c r="W293" s="9" t="str">
        <f t="shared" si="14"/>
        <v>Alfreton UD</v>
      </c>
      <c r="X293" s="9" t="str">
        <f>INDEX(Lookup!$A$2:$A$1349, MATCH(W293, Lookup!$B$2:$B$1349,0))</f>
        <v>J04000027</v>
      </c>
      <c r="Y293" s="9" t="str">
        <f>INDEX(Lookup!$F$2:$F$1349, MATCH(W293, Lookup!$B$2:$B$1349,0))</f>
        <v>e080164</v>
      </c>
      <c r="Z293" s="6" t="str">
        <f>INDEX(Lookup!$C$2:$C$1300, MATCH(X293, Lookup!$A$2:$A$1300,0))</f>
        <v>Derbyshire</v>
      </c>
    </row>
    <row r="294" spans="1:26" ht="28.15" customHeight="1" x14ac:dyDescent="0.2">
      <c r="A294" s="6" t="s">
        <v>311</v>
      </c>
      <c r="B294" s="1" t="s">
        <v>311</v>
      </c>
      <c r="C294" s="2">
        <v>1701</v>
      </c>
      <c r="D294" s="2">
        <v>78352</v>
      </c>
      <c r="E294" s="2">
        <v>76</v>
      </c>
      <c r="F294" s="2">
        <v>9591</v>
      </c>
      <c r="G294" s="2">
        <v>2</v>
      </c>
      <c r="H294" s="2">
        <v>420</v>
      </c>
      <c r="I294" s="2">
        <v>145</v>
      </c>
      <c r="J294" s="2">
        <v>18517</v>
      </c>
      <c r="K294" s="2">
        <v>20</v>
      </c>
      <c r="L294" s="2">
        <v>1493</v>
      </c>
      <c r="M294" s="2">
        <v>253</v>
      </c>
      <c r="N294" s="2">
        <v>12998</v>
      </c>
      <c r="O294" s="2">
        <v>19</v>
      </c>
      <c r="P294" s="2">
        <v>24793</v>
      </c>
      <c r="Q294" s="2">
        <v>2693</v>
      </c>
      <c r="R294" s="2">
        <v>23307</v>
      </c>
      <c r="S294" s="2">
        <v>172164</v>
      </c>
      <c r="T294" s="10">
        <f t="shared" si="12"/>
        <v>88363</v>
      </c>
      <c r="U294" s="8">
        <f t="shared" si="13"/>
        <v>0.51324899514416489</v>
      </c>
      <c r="V294" s="9" t="s">
        <v>5270</v>
      </c>
      <c r="W294" s="9" t="str">
        <f t="shared" si="14"/>
        <v>Ashbourne UD</v>
      </c>
      <c r="X294" s="9" t="str">
        <f>INDEX(Lookup!$A$2:$A$1349, MATCH(W294, Lookup!$B$2:$B$1349,0))</f>
        <v>J04000049</v>
      </c>
      <c r="Y294" s="9" t="str">
        <f>INDEX(Lookup!$F$2:$F$1349, MATCH(W294, Lookup!$B$2:$B$1349,0))</f>
        <v>e080165</v>
      </c>
      <c r="Z294" s="6" t="str">
        <f>INDEX(Lookup!$C$2:$C$1300, MATCH(X294, Lookup!$A$2:$A$1300,0))</f>
        <v>Derbyshire</v>
      </c>
    </row>
    <row r="295" spans="1:26" ht="28.15" customHeight="1" x14ac:dyDescent="0.2">
      <c r="A295" s="6" t="s">
        <v>312</v>
      </c>
      <c r="B295" s="1" t="s">
        <v>312</v>
      </c>
      <c r="C295" s="2">
        <v>1067</v>
      </c>
      <c r="D295" s="2">
        <v>60802</v>
      </c>
      <c r="E295" s="2">
        <v>125</v>
      </c>
      <c r="F295" s="2">
        <v>15901</v>
      </c>
      <c r="G295" s="2">
        <v>7</v>
      </c>
      <c r="H295" s="2">
        <v>1690</v>
      </c>
      <c r="I295" s="2">
        <v>98</v>
      </c>
      <c r="J295" s="2">
        <v>12898</v>
      </c>
      <c r="K295" s="2">
        <v>35</v>
      </c>
      <c r="L295" s="2">
        <v>2609</v>
      </c>
      <c r="M295" s="2">
        <v>183</v>
      </c>
      <c r="N295" s="2">
        <v>11028</v>
      </c>
      <c r="O295" s="2">
        <v>11</v>
      </c>
      <c r="P295" s="2">
        <v>13355</v>
      </c>
      <c r="Q295" s="2">
        <v>1916</v>
      </c>
      <c r="R295" s="2">
        <v>19333</v>
      </c>
      <c r="S295" s="2">
        <v>139532</v>
      </c>
      <c r="T295" s="10">
        <f t="shared" si="12"/>
        <v>78393</v>
      </c>
      <c r="U295" s="8">
        <f t="shared" si="13"/>
        <v>0.56182811111429631</v>
      </c>
      <c r="V295" s="9" t="s">
        <v>5270</v>
      </c>
      <c r="W295" s="9" t="str">
        <f t="shared" si="14"/>
        <v>Bakewell UD</v>
      </c>
      <c r="X295" s="9" t="str">
        <f>INDEX(Lookup!$A$2:$A$1349, MATCH(W295, Lookup!$B$2:$B$1349,0))</f>
        <v>J04000072</v>
      </c>
      <c r="Y295" s="9" t="str">
        <f>INDEX(Lookup!$F$2:$F$1349, MATCH(W295, Lookup!$B$2:$B$1349,0))</f>
        <v>e080166</v>
      </c>
      <c r="Z295" s="6" t="str">
        <f>INDEX(Lookup!$C$2:$C$1300, MATCH(X295, Lookup!$A$2:$A$1300,0))</f>
        <v>Derbyshire</v>
      </c>
    </row>
    <row r="296" spans="1:26" ht="28.15" customHeight="1" x14ac:dyDescent="0.2">
      <c r="A296" s="6" t="s">
        <v>313</v>
      </c>
      <c r="B296" s="1" t="s">
        <v>313</v>
      </c>
      <c r="C296" s="2">
        <v>4909</v>
      </c>
      <c r="D296" s="2">
        <v>205562</v>
      </c>
      <c r="E296" s="2">
        <v>103</v>
      </c>
      <c r="F296" s="2">
        <v>11578</v>
      </c>
      <c r="G296" s="2">
        <v>4</v>
      </c>
      <c r="H296" s="2">
        <v>920</v>
      </c>
      <c r="I296" s="2">
        <v>266</v>
      </c>
      <c r="J296" s="2">
        <v>29519</v>
      </c>
      <c r="K296" s="2">
        <v>19</v>
      </c>
      <c r="L296" s="2">
        <v>2919</v>
      </c>
      <c r="M296" s="2">
        <v>422</v>
      </c>
      <c r="N296" s="2">
        <v>15365</v>
      </c>
      <c r="O296" s="2">
        <v>42</v>
      </c>
      <c r="P296" s="2">
        <v>101264</v>
      </c>
      <c r="Q296" s="2">
        <v>4701</v>
      </c>
      <c r="R296" s="2">
        <v>49666</v>
      </c>
      <c r="S296" s="2">
        <v>421494</v>
      </c>
      <c r="T296" s="10">
        <f t="shared" si="12"/>
        <v>218060</v>
      </c>
      <c r="U296" s="8">
        <f t="shared" si="13"/>
        <v>0.51735018766577934</v>
      </c>
      <c r="V296" s="9" t="s">
        <v>5270</v>
      </c>
      <c r="W296" s="9" t="str">
        <f t="shared" si="14"/>
        <v>Belper UD</v>
      </c>
      <c r="X296" s="9" t="str">
        <f>INDEX(Lookup!$A$2:$A$1349, MATCH(W296, Lookup!$B$2:$B$1349,0))</f>
        <v>J04000122</v>
      </c>
      <c r="Y296" s="9" t="str">
        <f>INDEX(Lookup!$F$2:$F$1349, MATCH(W296, Lookup!$B$2:$B$1349,0))</f>
        <v>e080167</v>
      </c>
      <c r="Z296" s="6" t="str">
        <f>INDEX(Lookup!$C$2:$C$1300, MATCH(X296, Lookup!$A$2:$A$1300,0))</f>
        <v>Derbyshire</v>
      </c>
    </row>
    <row r="297" spans="1:26" ht="28.15" customHeight="1" x14ac:dyDescent="0.2">
      <c r="A297" s="6" t="s">
        <v>314</v>
      </c>
      <c r="B297" s="1" t="s">
        <v>314</v>
      </c>
      <c r="C297" s="2">
        <v>3548</v>
      </c>
      <c r="D297" s="2">
        <v>147548</v>
      </c>
      <c r="E297" s="2">
        <v>13</v>
      </c>
      <c r="F297" s="2">
        <v>1684</v>
      </c>
      <c r="I297" s="2">
        <v>141</v>
      </c>
      <c r="J297" s="2">
        <v>13261</v>
      </c>
      <c r="K297" s="2">
        <v>4</v>
      </c>
      <c r="L297" s="2">
        <v>5313</v>
      </c>
      <c r="M297" s="2">
        <v>326</v>
      </c>
      <c r="N297" s="2">
        <v>10577</v>
      </c>
      <c r="O297" s="2">
        <v>10</v>
      </c>
      <c r="P297" s="2">
        <v>116106</v>
      </c>
      <c r="Q297" s="2">
        <v>747</v>
      </c>
      <c r="R297" s="2">
        <v>82079</v>
      </c>
      <c r="S297" s="2">
        <v>377315</v>
      </c>
      <c r="T297" s="10">
        <f>SUM(D297+F297)</f>
        <v>149232</v>
      </c>
      <c r="U297" s="8">
        <f t="shared" si="13"/>
        <v>0.39551038257159138</v>
      </c>
      <c r="V297" s="9" t="s">
        <v>5270</v>
      </c>
      <c r="W297" s="9" t="str">
        <f t="shared" si="14"/>
        <v>Bolsover UD</v>
      </c>
      <c r="X297" s="9" t="str">
        <f>INDEX(Lookup!$A$2:$A$1349, MATCH(W297, Lookup!$B$2:$B$1349,0))</f>
        <v>J04000172</v>
      </c>
      <c r="Y297" s="9" t="str">
        <f>INDEX(Lookup!$F$2:$F$1349, MATCH(W297, Lookup!$B$2:$B$1349,0))</f>
        <v>e080168</v>
      </c>
      <c r="Z297" s="6" t="str">
        <f>INDEX(Lookup!$C$2:$C$1300, MATCH(X297, Lookup!$A$2:$A$1300,0))</f>
        <v>Derbyshire</v>
      </c>
    </row>
    <row r="298" spans="1:26" ht="28.15" customHeight="1" x14ac:dyDescent="0.2">
      <c r="A298" s="6" t="s">
        <v>315</v>
      </c>
      <c r="B298" s="1" t="s">
        <v>315</v>
      </c>
      <c r="C298" s="2">
        <v>2898</v>
      </c>
      <c r="D298" s="2">
        <v>115866</v>
      </c>
      <c r="E298" s="2">
        <v>15</v>
      </c>
      <c r="F298" s="2">
        <v>1814</v>
      </c>
      <c r="G298" s="2">
        <v>1</v>
      </c>
      <c r="H298" s="2">
        <v>246</v>
      </c>
      <c r="I298" s="2">
        <v>157</v>
      </c>
      <c r="J298" s="2">
        <v>15931</v>
      </c>
      <c r="K298" s="2">
        <v>9</v>
      </c>
      <c r="L298" s="2">
        <v>1603</v>
      </c>
      <c r="M298" s="2">
        <v>321</v>
      </c>
      <c r="N298" s="2">
        <v>18875</v>
      </c>
      <c r="O298" s="2">
        <v>17</v>
      </c>
      <c r="P298" s="2">
        <v>39700</v>
      </c>
      <c r="Q298" s="2">
        <v>297</v>
      </c>
      <c r="R298" s="2">
        <v>29224</v>
      </c>
      <c r="S298" s="2">
        <v>223556</v>
      </c>
      <c r="T298" s="10">
        <f t="shared" si="12"/>
        <v>117926</v>
      </c>
      <c r="U298" s="8">
        <f t="shared" si="13"/>
        <v>0.52750093936194953</v>
      </c>
      <c r="V298" s="9" t="s">
        <v>5270</v>
      </c>
      <c r="W298" s="9" t="str">
        <f t="shared" si="14"/>
        <v>Clay Cross UD</v>
      </c>
      <c r="X298" s="9" t="str">
        <f>INDEX(Lookup!$A$2:$A$1349, MATCH(W298, Lookup!$B$2:$B$1349,0))</f>
        <v>J04000324</v>
      </c>
      <c r="Y298" s="9" t="str">
        <f>INDEX(Lookup!$F$2:$F$1349, MATCH(W298, Lookup!$B$2:$B$1349,0))</f>
        <v>e080171</v>
      </c>
      <c r="Z298" s="6" t="str">
        <f>INDEX(Lookup!$C$2:$C$1300, MATCH(X298, Lookup!$A$2:$A$1300,0))</f>
        <v>Derbyshire</v>
      </c>
    </row>
    <row r="299" spans="1:26" ht="28.15" customHeight="1" x14ac:dyDescent="0.2">
      <c r="A299" s="6" t="s">
        <v>316</v>
      </c>
      <c r="B299" s="1" t="s">
        <v>316</v>
      </c>
      <c r="C299" s="2">
        <v>4006</v>
      </c>
      <c r="D299" s="2">
        <v>219808</v>
      </c>
      <c r="E299" s="2">
        <v>84</v>
      </c>
      <c r="F299" s="2">
        <v>10409</v>
      </c>
      <c r="G299" s="2">
        <v>2</v>
      </c>
      <c r="H299" s="2">
        <v>412</v>
      </c>
      <c r="I299" s="2">
        <v>117</v>
      </c>
      <c r="J299" s="2">
        <v>11502</v>
      </c>
      <c r="K299" s="2">
        <v>14</v>
      </c>
      <c r="L299" s="2">
        <v>2349</v>
      </c>
      <c r="M299" s="2">
        <v>281</v>
      </c>
      <c r="N299" s="2">
        <v>20415</v>
      </c>
      <c r="O299" s="2">
        <v>34</v>
      </c>
      <c r="P299" s="2">
        <v>93955</v>
      </c>
      <c r="Q299" s="2">
        <v>520</v>
      </c>
      <c r="R299" s="2">
        <v>39478</v>
      </c>
      <c r="S299" s="2">
        <v>398848</v>
      </c>
      <c r="T299" s="10">
        <f t="shared" si="12"/>
        <v>230629</v>
      </c>
      <c r="U299" s="8">
        <f t="shared" si="13"/>
        <v>0.5782378249358151</v>
      </c>
      <c r="V299" s="9" t="s">
        <v>5270</v>
      </c>
      <c r="W299" s="9" t="str">
        <f t="shared" si="14"/>
        <v>Dronfield UD</v>
      </c>
      <c r="X299" s="9" t="str">
        <f>INDEX(Lookup!$A$2:$A$1349, MATCH(W299, Lookup!$B$2:$B$1349,0))</f>
        <v>J04000430</v>
      </c>
      <c r="Y299" s="9" t="str">
        <f>INDEX(Lookup!$F$2:$F$1349, MATCH(W299, Lookup!$B$2:$B$1349,0))</f>
        <v>e080172</v>
      </c>
      <c r="Z299" s="6" t="str">
        <f>INDEX(Lookup!$C$2:$C$1300, MATCH(X299, Lookup!$A$2:$A$1300,0))</f>
        <v>Derbyshire</v>
      </c>
    </row>
    <row r="300" spans="1:26" ht="28.15" customHeight="1" x14ac:dyDescent="0.2">
      <c r="A300" s="6" t="s">
        <v>317</v>
      </c>
      <c r="B300" s="1" t="s">
        <v>317</v>
      </c>
      <c r="C300" s="2">
        <v>7669</v>
      </c>
      <c r="D300" s="2">
        <v>318290</v>
      </c>
      <c r="E300" s="2">
        <v>69</v>
      </c>
      <c r="F300" s="2">
        <v>8432</v>
      </c>
      <c r="G300" s="2">
        <v>1</v>
      </c>
      <c r="H300" s="2">
        <v>202</v>
      </c>
      <c r="I300" s="2">
        <v>375</v>
      </c>
      <c r="J300" s="2">
        <v>42209</v>
      </c>
      <c r="K300" s="2">
        <v>38</v>
      </c>
      <c r="L300" s="2">
        <v>2587</v>
      </c>
      <c r="M300" s="2">
        <v>581</v>
      </c>
      <c r="N300" s="2">
        <v>24466</v>
      </c>
      <c r="O300" s="2">
        <v>42</v>
      </c>
      <c r="P300" s="2">
        <v>78919</v>
      </c>
      <c r="Q300" s="2">
        <v>1748</v>
      </c>
      <c r="R300" s="2">
        <v>134928</v>
      </c>
      <c r="S300" s="2">
        <v>611781</v>
      </c>
      <c r="T300" s="10">
        <f t="shared" si="12"/>
        <v>326924</v>
      </c>
      <c r="U300" s="8">
        <f t="shared" si="13"/>
        <v>0.53438076697380277</v>
      </c>
      <c r="V300" s="9" t="s">
        <v>5270</v>
      </c>
      <c r="W300" s="9" t="str">
        <f t="shared" si="14"/>
        <v>Heanor UD</v>
      </c>
      <c r="X300" s="9" t="str">
        <f>INDEX(Lookup!$A$2:$A$1349, MATCH(W300, Lookup!$B$2:$B$1349,0))</f>
        <v>J04000596</v>
      </c>
      <c r="Y300" s="9" t="str">
        <f>INDEX(Lookup!$F$2:$F$1349, MATCH(W300, Lookup!$B$2:$B$1349,0))</f>
        <v>e080174</v>
      </c>
      <c r="Z300" s="6" t="str">
        <f>INDEX(Lookup!$C$2:$C$1300, MATCH(X300, Lookup!$A$2:$A$1300,0))</f>
        <v>Derbyshire</v>
      </c>
    </row>
    <row r="301" spans="1:26" ht="28.15" customHeight="1" x14ac:dyDescent="0.2">
      <c r="A301" s="6" t="s">
        <v>318</v>
      </c>
      <c r="B301" s="1" t="s">
        <v>318</v>
      </c>
      <c r="C301" s="2">
        <v>10332</v>
      </c>
      <c r="D301" s="2">
        <v>553472</v>
      </c>
      <c r="E301" s="2">
        <v>219</v>
      </c>
      <c r="F301" s="2">
        <v>26150</v>
      </c>
      <c r="G301" s="2">
        <v>8</v>
      </c>
      <c r="H301" s="2">
        <v>1880</v>
      </c>
      <c r="I301" s="2">
        <v>433</v>
      </c>
      <c r="J301" s="2">
        <v>95690</v>
      </c>
      <c r="K301" s="2">
        <v>96</v>
      </c>
      <c r="L301" s="2">
        <v>12162</v>
      </c>
      <c r="M301" s="2">
        <v>966</v>
      </c>
      <c r="N301" s="2">
        <v>52991</v>
      </c>
      <c r="O301" s="2">
        <v>174</v>
      </c>
      <c r="P301" s="2">
        <v>266325</v>
      </c>
      <c r="Q301" s="2">
        <v>8948</v>
      </c>
      <c r="R301" s="2">
        <v>90908</v>
      </c>
      <c r="S301" s="2">
        <v>1108526</v>
      </c>
      <c r="T301" s="10">
        <f t="shared" si="12"/>
        <v>581502</v>
      </c>
      <c r="U301" s="8">
        <f t="shared" si="13"/>
        <v>0.52457226984301675</v>
      </c>
      <c r="V301" s="9" t="s">
        <v>5270</v>
      </c>
      <c r="W301" s="9" t="str">
        <f t="shared" si="14"/>
        <v>Long Eaton UD</v>
      </c>
      <c r="X301" s="9" t="str">
        <f>INDEX(Lookup!$A$2:$A$1349, MATCH(W301, Lookup!$B$2:$B$1349,0))</f>
        <v>J04000776</v>
      </c>
      <c r="Y301" s="9" t="str">
        <f>INDEX(Lookup!$F$2:$F$1349, MATCH(W301, Lookup!$B$2:$B$1349,0))</f>
        <v>e080176</v>
      </c>
      <c r="Z301" s="6" t="str">
        <f>INDEX(Lookup!$C$2:$C$1300, MATCH(X301, Lookup!$A$2:$A$1300,0))</f>
        <v>Derbyshire</v>
      </c>
    </row>
    <row r="302" spans="1:26" ht="28.15" customHeight="1" x14ac:dyDescent="0.2">
      <c r="A302" s="6" t="s">
        <v>319</v>
      </c>
      <c r="B302" s="1" t="s">
        <v>319</v>
      </c>
      <c r="C302" s="2">
        <v>5718</v>
      </c>
      <c r="D302" s="2">
        <v>252205</v>
      </c>
      <c r="E302" s="2">
        <v>229</v>
      </c>
      <c r="F302" s="2">
        <v>28250</v>
      </c>
      <c r="G302" s="2">
        <v>9</v>
      </c>
      <c r="H302" s="2">
        <v>2170</v>
      </c>
      <c r="I302" s="2">
        <v>315</v>
      </c>
      <c r="J302" s="2">
        <v>42046</v>
      </c>
      <c r="K302" s="2">
        <v>42</v>
      </c>
      <c r="L302" s="2">
        <v>16791</v>
      </c>
      <c r="M302" s="2">
        <v>645</v>
      </c>
      <c r="N302" s="2">
        <v>33862</v>
      </c>
      <c r="O302" s="2">
        <v>66</v>
      </c>
      <c r="P302" s="2">
        <v>82978</v>
      </c>
      <c r="Q302" s="2">
        <v>3943</v>
      </c>
      <c r="R302" s="2">
        <v>128587</v>
      </c>
      <c r="S302" s="2">
        <v>590832</v>
      </c>
      <c r="T302" s="10">
        <f t="shared" si="12"/>
        <v>282625</v>
      </c>
      <c r="U302" s="8">
        <f t="shared" si="13"/>
        <v>0.47835086792861592</v>
      </c>
      <c r="V302" s="9" t="s">
        <v>5270</v>
      </c>
      <c r="W302" s="9" t="str">
        <f t="shared" si="14"/>
        <v>Matlock UD</v>
      </c>
      <c r="X302" s="9" t="str">
        <f>INDEX(Lookup!$A$2:$A$1349, MATCH(W302, Lookup!$B$2:$B$1349,0))</f>
        <v>J04000840</v>
      </c>
      <c r="Y302" s="9" t="str">
        <f>INDEX(Lookup!$F$2:$F$1349, MATCH(W302, Lookup!$B$2:$B$1349,0))</f>
        <v>e080177</v>
      </c>
      <c r="Z302" s="6" t="str">
        <f>INDEX(Lookup!$C$2:$C$1300, MATCH(X302, Lookup!$A$2:$A$1300,0))</f>
        <v>Derbyshire</v>
      </c>
    </row>
    <row r="303" spans="1:26" ht="28.15" customHeight="1" x14ac:dyDescent="0.2">
      <c r="A303" s="6" t="s">
        <v>320</v>
      </c>
      <c r="B303" s="1" t="s">
        <v>320</v>
      </c>
      <c r="C303" s="2">
        <v>2897</v>
      </c>
      <c r="D303" s="2">
        <v>104738</v>
      </c>
      <c r="E303" s="2">
        <v>38</v>
      </c>
      <c r="F303" s="2">
        <v>4464</v>
      </c>
      <c r="I303" s="2">
        <v>181</v>
      </c>
      <c r="J303" s="2">
        <v>14577</v>
      </c>
      <c r="K303" s="2">
        <v>18</v>
      </c>
      <c r="L303" s="2">
        <v>729</v>
      </c>
      <c r="M303" s="2">
        <v>395</v>
      </c>
      <c r="N303" s="2">
        <v>9892</v>
      </c>
      <c r="O303" s="2">
        <v>38</v>
      </c>
      <c r="P303" s="2">
        <v>49132</v>
      </c>
      <c r="Q303" s="2">
        <v>848</v>
      </c>
      <c r="R303" s="2">
        <v>23760</v>
      </c>
      <c r="S303" s="2">
        <v>208140</v>
      </c>
      <c r="T303" s="10">
        <f>SUM(D303+F303)</f>
        <v>109202</v>
      </c>
      <c r="U303" s="8">
        <f t="shared" si="13"/>
        <v>0.52465648121456709</v>
      </c>
      <c r="V303" s="9" t="s">
        <v>5270</v>
      </c>
      <c r="W303" s="9" t="str">
        <f t="shared" si="14"/>
        <v>New Mills UD</v>
      </c>
      <c r="X303" s="9" t="str">
        <f>INDEX(Lookup!$A$2:$A$1349, MATCH(W303, Lookup!$B$2:$B$1349,0))</f>
        <v>J04000887</v>
      </c>
      <c r="Y303" s="9" t="str">
        <f>INDEX(Lookup!$F$2:$F$1349, MATCH(W303, Lookup!$B$2:$B$1349,0))</f>
        <v>e080178</v>
      </c>
      <c r="Z303" s="6" t="str">
        <f>INDEX(Lookup!$C$2:$C$1300, MATCH(X303, Lookup!$A$2:$A$1300,0))</f>
        <v>Derbyshire</v>
      </c>
    </row>
    <row r="304" spans="1:26" ht="28.15" customHeight="1" x14ac:dyDescent="0.2">
      <c r="A304" s="6" t="s">
        <v>321</v>
      </c>
      <c r="B304" s="1" t="s">
        <v>321</v>
      </c>
      <c r="C304" s="2">
        <v>5675</v>
      </c>
      <c r="D304" s="2">
        <v>226086</v>
      </c>
      <c r="E304" s="2">
        <v>64</v>
      </c>
      <c r="F304" s="2">
        <v>7737</v>
      </c>
      <c r="I304" s="2">
        <v>283</v>
      </c>
      <c r="J304" s="2">
        <v>47207</v>
      </c>
      <c r="K304" s="2">
        <v>33</v>
      </c>
      <c r="L304" s="2">
        <v>8521</v>
      </c>
      <c r="M304" s="2">
        <v>551</v>
      </c>
      <c r="N304" s="2">
        <v>30204</v>
      </c>
      <c r="O304" s="2">
        <v>40</v>
      </c>
      <c r="P304" s="2">
        <v>79988</v>
      </c>
      <c r="Q304" s="2">
        <v>2010</v>
      </c>
      <c r="R304" s="2">
        <v>70213</v>
      </c>
      <c r="S304" s="2">
        <v>471966</v>
      </c>
      <c r="T304" s="10">
        <f>SUM(D304+F304)</f>
        <v>233823</v>
      </c>
      <c r="U304" s="8">
        <f t="shared" si="13"/>
        <v>0.49542339914315864</v>
      </c>
      <c r="V304" s="9" t="s">
        <v>5270</v>
      </c>
      <c r="W304" s="9" t="str">
        <f t="shared" si="14"/>
        <v>Ripley UD</v>
      </c>
      <c r="X304" s="9" t="str">
        <f>INDEX(Lookup!$A$2:$A$1349, MATCH(W304, Lookup!$B$2:$B$1349,0))</f>
        <v>J04001051</v>
      </c>
      <c r="Y304" s="9" t="str">
        <f>INDEX(Lookup!$F$2:$F$1349, MATCH(W304, Lookup!$B$2:$B$1349,0))</f>
        <v>e080179</v>
      </c>
      <c r="Z304" s="6" t="str">
        <f>INDEX(Lookup!$C$2:$C$1300, MATCH(X304, Lookup!$A$2:$A$1300,0))</f>
        <v>Derbyshire</v>
      </c>
    </row>
    <row r="305" spans="1:26" ht="28.15" customHeight="1" x14ac:dyDescent="0.2">
      <c r="A305" s="6" t="s">
        <v>322</v>
      </c>
      <c r="B305" s="1" t="s">
        <v>322</v>
      </c>
      <c r="C305" s="2">
        <v>5777</v>
      </c>
      <c r="D305" s="2">
        <v>263885</v>
      </c>
      <c r="E305" s="2">
        <v>19</v>
      </c>
      <c r="F305" s="2">
        <v>2418</v>
      </c>
      <c r="G305" s="2">
        <v>1</v>
      </c>
      <c r="H305" s="2">
        <v>206</v>
      </c>
      <c r="I305" s="2">
        <v>160</v>
      </c>
      <c r="J305" s="2">
        <v>17963</v>
      </c>
      <c r="K305" s="2">
        <v>10</v>
      </c>
      <c r="L305" s="2">
        <v>788</v>
      </c>
      <c r="M305" s="2">
        <v>818</v>
      </c>
      <c r="N305" s="2">
        <v>17127</v>
      </c>
      <c r="O305" s="2">
        <v>14</v>
      </c>
      <c r="P305" s="2">
        <v>347771</v>
      </c>
      <c r="Q305" s="2">
        <v>710</v>
      </c>
      <c r="R305" s="2">
        <v>130372</v>
      </c>
      <c r="S305" s="2">
        <v>781240</v>
      </c>
      <c r="T305" s="10">
        <f t="shared" si="12"/>
        <v>266509</v>
      </c>
      <c r="U305" s="8">
        <f t="shared" si="13"/>
        <v>0.34113588653934768</v>
      </c>
      <c r="V305" s="9" t="s">
        <v>5270</v>
      </c>
      <c r="W305" s="9" t="str">
        <f t="shared" si="14"/>
        <v>Staveley UD</v>
      </c>
      <c r="X305" s="9" t="str">
        <f>INDEX(Lookup!$A$2:$A$1349, MATCH(W305, Lookup!$B$2:$B$1349,0))</f>
        <v>J04001205</v>
      </c>
      <c r="Y305" s="9" t="str">
        <f>INDEX(Lookup!$F$2:$F$1349, MATCH(W305, Lookup!$B$2:$B$1349,0))</f>
        <v>e080180</v>
      </c>
      <c r="Z305" s="6" t="str">
        <f>INDEX(Lookup!$C$2:$C$1300, MATCH(X305, Lookup!$A$2:$A$1300,0))</f>
        <v>Derbyshire</v>
      </c>
    </row>
    <row r="306" spans="1:26" ht="28.15" customHeight="1" x14ac:dyDescent="0.2">
      <c r="A306" s="6" t="s">
        <v>323</v>
      </c>
      <c r="B306" s="1" t="s">
        <v>323</v>
      </c>
      <c r="C306" s="2">
        <v>6178</v>
      </c>
      <c r="D306" s="2">
        <v>268950</v>
      </c>
      <c r="E306" s="2">
        <v>93</v>
      </c>
      <c r="F306" s="2">
        <v>11412</v>
      </c>
      <c r="G306" s="2">
        <v>4</v>
      </c>
      <c r="H306" s="2">
        <v>984</v>
      </c>
      <c r="I306" s="2">
        <v>328</v>
      </c>
      <c r="J306" s="2">
        <v>51241</v>
      </c>
      <c r="K306" s="2">
        <v>20</v>
      </c>
      <c r="L306" s="2">
        <v>2167</v>
      </c>
      <c r="M306" s="2">
        <v>601</v>
      </c>
      <c r="N306" s="2">
        <v>32385</v>
      </c>
      <c r="O306" s="2">
        <v>45</v>
      </c>
      <c r="P306" s="2">
        <v>46037</v>
      </c>
      <c r="Q306" s="2">
        <v>1838</v>
      </c>
      <c r="R306" s="2">
        <v>123411</v>
      </c>
      <c r="S306" s="2">
        <v>538425</v>
      </c>
      <c r="T306" s="10">
        <f t="shared" si="12"/>
        <v>281346</v>
      </c>
      <c r="U306" s="8">
        <f t="shared" si="13"/>
        <v>0.52253517202953059</v>
      </c>
      <c r="V306" s="9" t="s">
        <v>5270</v>
      </c>
      <c r="W306" s="9" t="str">
        <f t="shared" si="14"/>
        <v>Swadlincote UD</v>
      </c>
      <c r="X306" s="9" t="str">
        <f>INDEX(Lookup!$A$2:$A$1349, MATCH(W306, Lookup!$B$2:$B$1349,0))</f>
        <v>J04001237</v>
      </c>
      <c r="Y306" s="9" t="str">
        <f>INDEX(Lookup!$F$2:$F$1349, MATCH(W306, Lookup!$B$2:$B$1349,0))</f>
        <v>e080181</v>
      </c>
      <c r="Z306" s="6" t="str">
        <f>INDEX(Lookup!$C$2:$C$1300, MATCH(X306, Lookup!$A$2:$A$1300,0))</f>
        <v>Derbyshire</v>
      </c>
    </row>
    <row r="307" spans="1:26" ht="28.15" customHeight="1" x14ac:dyDescent="0.2">
      <c r="A307" s="6" t="s">
        <v>324</v>
      </c>
      <c r="B307" s="1" t="s">
        <v>324</v>
      </c>
      <c r="C307" s="2">
        <v>1718</v>
      </c>
      <c r="D307" s="2">
        <v>67372</v>
      </c>
      <c r="E307" s="2">
        <v>85</v>
      </c>
      <c r="F307" s="2">
        <v>10658</v>
      </c>
      <c r="G307" s="2">
        <v>3</v>
      </c>
      <c r="H307" s="2">
        <v>859</v>
      </c>
      <c r="I307" s="2">
        <v>98</v>
      </c>
      <c r="J307" s="2">
        <v>7590</v>
      </c>
      <c r="K307" s="2">
        <v>11</v>
      </c>
      <c r="L307" s="2">
        <v>458</v>
      </c>
      <c r="M307" s="2">
        <v>279</v>
      </c>
      <c r="N307" s="2">
        <v>8615</v>
      </c>
      <c r="O307" s="2">
        <v>18</v>
      </c>
      <c r="P307" s="2">
        <v>20068</v>
      </c>
      <c r="Q307" s="2">
        <v>281</v>
      </c>
      <c r="R307" s="2">
        <v>16142</v>
      </c>
      <c r="S307" s="2">
        <v>132043</v>
      </c>
      <c r="T307" s="10">
        <f t="shared" si="12"/>
        <v>78889</v>
      </c>
      <c r="U307" s="8">
        <f t="shared" si="13"/>
        <v>0.59744931575320159</v>
      </c>
      <c r="V307" s="9" t="s">
        <v>5270</v>
      </c>
      <c r="W307" s="9" t="str">
        <f t="shared" si="14"/>
        <v>Whaley Bridge UD</v>
      </c>
      <c r="X307" s="9" t="str">
        <f>INDEX(Lookup!$A$2:$A$1349, MATCH(W307, Lookup!$B$2:$B$1349,0))</f>
        <v>J04001395</v>
      </c>
      <c r="Y307" s="9" t="str">
        <f>INDEX(Lookup!$F$2:$F$1349, MATCH(W307, Lookup!$B$2:$B$1349,0))</f>
        <v>e080182</v>
      </c>
      <c r="Z307" s="6" t="str">
        <f>INDEX(Lookup!$C$2:$C$1300, MATCH(X307, Lookup!$A$2:$A$1300,0))</f>
        <v>Derbyshire</v>
      </c>
    </row>
    <row r="308" spans="1:26" ht="28.15" customHeight="1" x14ac:dyDescent="0.2">
      <c r="A308" s="6" t="s">
        <v>325</v>
      </c>
      <c r="B308" s="1" t="s">
        <v>325</v>
      </c>
      <c r="C308" s="2">
        <v>1636</v>
      </c>
      <c r="D308" s="2">
        <v>61540</v>
      </c>
      <c r="E308" s="2">
        <v>27</v>
      </c>
      <c r="F308" s="2">
        <v>3284</v>
      </c>
      <c r="I308" s="2">
        <v>76</v>
      </c>
      <c r="J308" s="2">
        <v>4914</v>
      </c>
      <c r="K308" s="2">
        <v>4</v>
      </c>
      <c r="L308" s="2">
        <v>140</v>
      </c>
      <c r="M308" s="2">
        <v>179</v>
      </c>
      <c r="N308" s="2">
        <v>5324</v>
      </c>
      <c r="O308" s="2">
        <v>19</v>
      </c>
      <c r="P308" s="2">
        <v>5696</v>
      </c>
      <c r="Q308" s="2">
        <v>262</v>
      </c>
      <c r="R308" s="2">
        <v>47512</v>
      </c>
      <c r="S308" s="2">
        <v>128672</v>
      </c>
      <c r="T308" s="10">
        <f>SUM(D308+F308)</f>
        <v>64824</v>
      </c>
      <c r="U308" s="8">
        <f t="shared" si="13"/>
        <v>0.50379258890823175</v>
      </c>
      <c r="V308" s="9" t="s">
        <v>5270</v>
      </c>
      <c r="W308" s="9" t="str">
        <f t="shared" si="14"/>
        <v>Wirksworth UD</v>
      </c>
      <c r="X308" s="9" t="str">
        <f>INDEX(Lookup!$A$2:$A$1349, MATCH(W308, Lookup!$B$2:$B$1349,0))</f>
        <v>J04001429</v>
      </c>
      <c r="Y308" s="9" t="str">
        <f>INDEX(Lookup!$F$2:$F$1349, MATCH(W308, Lookup!$B$2:$B$1349,0))</f>
        <v>e080183</v>
      </c>
      <c r="Z308" s="6" t="str">
        <f>INDEX(Lookup!$C$2:$C$1300, MATCH(X308, Lookup!$A$2:$A$1300,0))</f>
        <v>Derbyshire</v>
      </c>
    </row>
    <row r="309" spans="1:26" ht="28.15" customHeight="1" x14ac:dyDescent="0.2">
      <c r="A309" s="6" t="s">
        <v>212</v>
      </c>
      <c r="B309" s="1" t="s">
        <v>212</v>
      </c>
      <c r="T309" s="10"/>
      <c r="W309" s="9" t="str">
        <f t="shared" si="14"/>
        <v xml:space="preserve">Rural Districts-- </v>
      </c>
      <c r="X309" s="9" t="e">
        <f>INDEX(Lookup!$A$2:$A$1349, MATCH(W309, Lookup!$B$2:$B$1349,0))</f>
        <v>#N/A</v>
      </c>
      <c r="Y309" s="9" t="e">
        <f>INDEX(Lookup!$F$2:$F$1349, MATCH(W309, Lookup!$B$2:$B$1349,0))</f>
        <v>#N/A</v>
      </c>
      <c r="Z309" s="6" t="e">
        <f>INDEX(Lookup!$C$2:$C$1300, MATCH(X309, Lookup!$A$2:$A$1300,0))</f>
        <v>#N/A</v>
      </c>
    </row>
    <row r="310" spans="1:26" ht="28.15" customHeight="1" x14ac:dyDescent="0.2">
      <c r="A310" s="6" t="s">
        <v>311</v>
      </c>
      <c r="B310" s="1" t="s">
        <v>311</v>
      </c>
      <c r="C310" s="2">
        <v>2271</v>
      </c>
      <c r="D310" s="2">
        <v>77601</v>
      </c>
      <c r="E310" s="2">
        <v>87</v>
      </c>
      <c r="F310" s="2">
        <v>11214</v>
      </c>
      <c r="G310" s="2">
        <v>25</v>
      </c>
      <c r="H310" s="2">
        <v>7062</v>
      </c>
      <c r="I310" s="2">
        <v>63</v>
      </c>
      <c r="J310" s="2">
        <v>3056</v>
      </c>
      <c r="K310" s="2">
        <v>2</v>
      </c>
      <c r="L310" s="2">
        <v>49</v>
      </c>
      <c r="M310" s="2">
        <v>206</v>
      </c>
      <c r="N310" s="2">
        <v>13034</v>
      </c>
      <c r="O310" s="2">
        <v>24</v>
      </c>
      <c r="P310" s="2">
        <v>29735</v>
      </c>
      <c r="Q310" s="2">
        <v>5096</v>
      </c>
      <c r="R310" s="2">
        <v>90325</v>
      </c>
      <c r="S310" s="2">
        <v>237172</v>
      </c>
      <c r="T310" s="10">
        <f t="shared" si="12"/>
        <v>95877</v>
      </c>
      <c r="U310" s="8">
        <f t="shared" si="13"/>
        <v>0.40425092338050023</v>
      </c>
      <c r="V310" s="9" t="s">
        <v>5271</v>
      </c>
      <c r="W310" s="9" t="str">
        <f t="shared" si="14"/>
        <v>Ashbourne RD</v>
      </c>
      <c r="X310" s="9" t="str">
        <f>INDEX(Lookup!$A$2:$A$1349, MATCH(W310, Lookup!$B$2:$B$1349,0))</f>
        <v>J04000048</v>
      </c>
      <c r="Y310" s="9" t="str">
        <f>INDEX(Lookup!$F$2:$F$1349, MATCH(W310, Lookup!$B$2:$B$1349,0))</f>
        <v>e080184</v>
      </c>
      <c r="Z310" s="6" t="str">
        <f>INDEX(Lookup!$C$2:$C$1300, MATCH(X310, Lookup!$A$2:$A$1300,0))</f>
        <v>Derbyshire</v>
      </c>
    </row>
    <row r="311" spans="1:26" ht="28.15" customHeight="1" x14ac:dyDescent="0.2">
      <c r="A311" s="6" t="s">
        <v>312</v>
      </c>
      <c r="B311" s="1" t="s">
        <v>312</v>
      </c>
      <c r="C311" s="2">
        <v>5351</v>
      </c>
      <c r="D311" s="2">
        <v>202866</v>
      </c>
      <c r="E311" s="2">
        <v>442</v>
      </c>
      <c r="F311" s="2">
        <v>58600</v>
      </c>
      <c r="G311" s="2">
        <v>61</v>
      </c>
      <c r="H311" s="2">
        <v>15777</v>
      </c>
      <c r="I311" s="2">
        <v>270</v>
      </c>
      <c r="J311" s="2">
        <v>12943</v>
      </c>
      <c r="K311" s="2">
        <v>13</v>
      </c>
      <c r="L311" s="2">
        <v>767</v>
      </c>
      <c r="M311" s="2">
        <v>625</v>
      </c>
      <c r="N311" s="2">
        <v>29763</v>
      </c>
      <c r="O311" s="2">
        <v>43</v>
      </c>
      <c r="P311" s="2">
        <v>19284</v>
      </c>
      <c r="Q311" s="2">
        <v>667</v>
      </c>
      <c r="R311" s="2">
        <v>149199</v>
      </c>
      <c r="S311" s="2">
        <v>489866</v>
      </c>
      <c r="T311" s="10">
        <f t="shared" si="12"/>
        <v>277243</v>
      </c>
      <c r="U311" s="8">
        <f t="shared" si="13"/>
        <v>0.5659568126793858</v>
      </c>
      <c r="V311" s="9" t="s">
        <v>5271</v>
      </c>
      <c r="W311" s="9" t="str">
        <f t="shared" si="14"/>
        <v>Bakewell RD</v>
      </c>
      <c r="X311" s="9" t="str">
        <f>INDEX(Lookup!$A$2:$A$1349, MATCH(W311, Lookup!$B$2:$B$1349,0))</f>
        <v>J04000071</v>
      </c>
      <c r="Y311" s="9" t="str">
        <f>INDEX(Lookup!$F$2:$F$1349, MATCH(W311, Lookup!$B$2:$B$1349,0))</f>
        <v>e080185</v>
      </c>
      <c r="Z311" s="6" t="str">
        <f>INDEX(Lookup!$C$2:$C$1300, MATCH(X311, Lookup!$A$2:$A$1300,0))</f>
        <v>Derbyshire</v>
      </c>
    </row>
    <row r="312" spans="1:26" ht="28.15" customHeight="1" x14ac:dyDescent="0.2">
      <c r="A312" s="6" t="s">
        <v>313</v>
      </c>
      <c r="B312" s="1" t="s">
        <v>313</v>
      </c>
      <c r="C312" s="2">
        <v>9777</v>
      </c>
      <c r="D312" s="2">
        <v>527967</v>
      </c>
      <c r="E312" s="2">
        <v>1823</v>
      </c>
      <c r="F312" s="2">
        <v>228363</v>
      </c>
      <c r="G312" s="2">
        <v>93</v>
      </c>
      <c r="H312" s="2">
        <v>22658</v>
      </c>
      <c r="I312" s="2">
        <v>205</v>
      </c>
      <c r="J312" s="2">
        <v>19058</v>
      </c>
      <c r="K312" s="2">
        <v>9</v>
      </c>
      <c r="L312" s="2">
        <v>194</v>
      </c>
      <c r="M312" s="2">
        <v>679</v>
      </c>
      <c r="N312" s="2">
        <v>37326</v>
      </c>
      <c r="O312" s="2">
        <v>43</v>
      </c>
      <c r="P312" s="2">
        <v>95676</v>
      </c>
      <c r="Q312" s="2">
        <v>3019</v>
      </c>
      <c r="R312" s="2">
        <v>310505</v>
      </c>
      <c r="S312" s="2">
        <v>1244766</v>
      </c>
      <c r="T312" s="10">
        <f t="shared" si="12"/>
        <v>778988</v>
      </c>
      <c r="U312" s="8">
        <f t="shared" si="13"/>
        <v>0.62581079496065928</v>
      </c>
      <c r="V312" s="9" t="s">
        <v>5271</v>
      </c>
      <c r="W312" s="9" t="str">
        <f t="shared" si="14"/>
        <v>Belper RD</v>
      </c>
      <c r="X312" s="9" t="str">
        <f>INDEX(Lookup!$A$2:$A$1349, MATCH(W312, Lookup!$B$2:$B$1349,0))</f>
        <v>J04000121</v>
      </c>
      <c r="Y312" s="9" t="str">
        <f>INDEX(Lookup!$F$2:$F$1349, MATCH(W312, Lookup!$B$2:$B$1349,0))</f>
        <v>e080163</v>
      </c>
      <c r="Z312" s="6" t="str">
        <f>INDEX(Lookup!$C$2:$C$1300, MATCH(X312, Lookup!$A$2:$A$1300,0))</f>
        <v>Derbyshire</v>
      </c>
    </row>
    <row r="313" spans="1:26" ht="28.15" customHeight="1" x14ac:dyDescent="0.2">
      <c r="A313" s="6" t="s">
        <v>326</v>
      </c>
      <c r="B313" s="1" t="s">
        <v>326</v>
      </c>
      <c r="C313" s="2">
        <v>13312</v>
      </c>
      <c r="D313" s="2">
        <v>500491</v>
      </c>
      <c r="E313" s="2">
        <v>44</v>
      </c>
      <c r="F313" s="2">
        <v>5605</v>
      </c>
      <c r="G313" s="2">
        <v>2</v>
      </c>
      <c r="H313" s="2">
        <v>598</v>
      </c>
      <c r="I313" s="2">
        <v>526</v>
      </c>
      <c r="J313" s="2">
        <v>60404</v>
      </c>
      <c r="K313" s="2">
        <v>40</v>
      </c>
      <c r="L313" s="2">
        <v>3141</v>
      </c>
      <c r="M313" s="2">
        <v>1177</v>
      </c>
      <c r="N313" s="2">
        <v>38256</v>
      </c>
      <c r="O313" s="2">
        <v>22</v>
      </c>
      <c r="P313" s="2">
        <v>46805</v>
      </c>
      <c r="Q313" s="2">
        <v>346</v>
      </c>
      <c r="R313" s="2">
        <v>330000</v>
      </c>
      <c r="S313" s="2">
        <v>985646</v>
      </c>
      <c r="T313" s="10">
        <f t="shared" si="12"/>
        <v>506694</v>
      </c>
      <c r="U313" s="8">
        <f t="shared" si="13"/>
        <v>0.51407300389795119</v>
      </c>
      <c r="V313" s="9" t="s">
        <v>5271</v>
      </c>
      <c r="W313" s="9" t="str">
        <f t="shared" si="14"/>
        <v>Blackwell RD</v>
      </c>
      <c r="X313" s="9" t="str">
        <f>INDEX(Lookup!$A$2:$A$1349, MATCH(W313, Lookup!$B$2:$B$1349,0))</f>
        <v>J04000159</v>
      </c>
      <c r="Y313" s="9" t="str">
        <f>INDEX(Lookup!$F$2:$F$1349, MATCH(W313, Lookup!$B$2:$B$1349,0))</f>
        <v>e080187</v>
      </c>
      <c r="Z313" s="6" t="str">
        <f>INDEX(Lookup!$C$2:$C$1300, MATCH(X313, Lookup!$A$2:$A$1300,0))</f>
        <v>Derbyshire</v>
      </c>
    </row>
    <row r="314" spans="1:26" ht="28.15" customHeight="1" x14ac:dyDescent="0.2">
      <c r="A314" s="6" t="s">
        <v>327</v>
      </c>
      <c r="B314" s="1" t="s">
        <v>5359</v>
      </c>
      <c r="C314" s="2">
        <v>5462</v>
      </c>
      <c r="D314" s="2">
        <v>210820</v>
      </c>
      <c r="E314" s="2">
        <v>300</v>
      </c>
      <c r="F314" s="2">
        <v>38977</v>
      </c>
      <c r="G314" s="2">
        <v>43</v>
      </c>
      <c r="H314" s="2">
        <v>10635</v>
      </c>
      <c r="I314" s="2">
        <v>269</v>
      </c>
      <c r="J314" s="2">
        <v>16069</v>
      </c>
      <c r="K314" s="2">
        <v>35</v>
      </c>
      <c r="L314" s="2">
        <v>1280</v>
      </c>
      <c r="M314" s="2">
        <v>689</v>
      </c>
      <c r="N314" s="2">
        <v>31283</v>
      </c>
      <c r="O314" s="2">
        <v>51</v>
      </c>
      <c r="P314" s="2">
        <v>210911</v>
      </c>
      <c r="Q314" s="2">
        <v>4926</v>
      </c>
      <c r="R314" s="2">
        <v>432816</v>
      </c>
      <c r="S314" s="2">
        <v>957717</v>
      </c>
      <c r="T314" s="10">
        <f t="shared" si="12"/>
        <v>260432</v>
      </c>
      <c r="U314" s="8">
        <f t="shared" si="13"/>
        <v>0.27193001690478502</v>
      </c>
      <c r="V314" s="9" t="s">
        <v>5271</v>
      </c>
      <c r="W314" s="9" t="str">
        <f t="shared" si="14"/>
        <v>Chapel en le Frith RD</v>
      </c>
      <c r="X314" s="9" t="str">
        <f>INDEX(Lookup!$A$2:$A$1349, MATCH(W314, Lookup!$B$2:$B$1349,0))</f>
        <v>J04000280</v>
      </c>
      <c r="Y314" s="9" t="str">
        <f>INDEX(Lookup!$F$2:$F$1349, MATCH(W314, Lookup!$B$2:$B$1349,0))</f>
        <v>e080188</v>
      </c>
      <c r="Z314" s="6" t="str">
        <f>INDEX(Lookup!$C$2:$C$1300, MATCH(X314, Lookup!$A$2:$A$1300,0))</f>
        <v>Derbyshire</v>
      </c>
    </row>
    <row r="315" spans="1:26" ht="28.15" customHeight="1" x14ac:dyDescent="0.2">
      <c r="A315" s="6" t="s">
        <v>306</v>
      </c>
      <c r="B315" s="1" t="s">
        <v>306</v>
      </c>
      <c r="C315" s="2">
        <v>30626</v>
      </c>
      <c r="D315" s="2">
        <v>1402233</v>
      </c>
      <c r="E315" s="2">
        <v>342</v>
      </c>
      <c r="F315" s="2">
        <v>42925</v>
      </c>
      <c r="G315" s="2">
        <v>36</v>
      </c>
      <c r="H315" s="2">
        <v>10032</v>
      </c>
      <c r="I315" s="2">
        <v>787</v>
      </c>
      <c r="J315" s="2">
        <v>103759</v>
      </c>
      <c r="K315" s="2">
        <v>44</v>
      </c>
      <c r="L315" s="2">
        <v>6085</v>
      </c>
      <c r="M315" s="2">
        <v>3213</v>
      </c>
      <c r="N315" s="2">
        <v>104390</v>
      </c>
      <c r="O315" s="2">
        <v>80</v>
      </c>
      <c r="P315" s="2">
        <v>349946</v>
      </c>
      <c r="Q315" s="2">
        <v>6826</v>
      </c>
      <c r="R315" s="2">
        <v>547064</v>
      </c>
      <c r="S315" s="2">
        <v>2573260</v>
      </c>
      <c r="T315" s="10">
        <f t="shared" si="12"/>
        <v>1455190</v>
      </c>
      <c r="U315" s="8">
        <f t="shared" si="13"/>
        <v>0.56550445738090982</v>
      </c>
      <c r="V315" s="9" t="s">
        <v>5271</v>
      </c>
      <c r="W315" s="9" t="str">
        <f t="shared" si="14"/>
        <v>Chesterfield RD</v>
      </c>
      <c r="X315" s="9" t="str">
        <f>INDEX(Lookup!$A$2:$A$1349, MATCH(W315, Lookup!$B$2:$B$1349,0))</f>
        <v>J04000303</v>
      </c>
      <c r="Y315" s="9" t="str">
        <f>INDEX(Lookup!$F$2:$F$1349, MATCH(W315, Lookup!$B$2:$B$1349,0))</f>
        <v>e080190</v>
      </c>
      <c r="Z315" s="6" t="str">
        <f>INDEX(Lookup!$C$2:$C$1300, MATCH(X315, Lookup!$A$2:$A$1300,0))</f>
        <v>Derbyshire</v>
      </c>
    </row>
    <row r="316" spans="1:26" ht="28.15" customHeight="1" x14ac:dyDescent="0.2">
      <c r="A316" s="6" t="s">
        <v>328</v>
      </c>
      <c r="B316" s="1" t="s">
        <v>328</v>
      </c>
      <c r="C316" s="2">
        <v>6052</v>
      </c>
      <c r="D316" s="2">
        <v>226625</v>
      </c>
      <c r="E316" s="2">
        <v>24</v>
      </c>
      <c r="F316" s="2">
        <v>2929</v>
      </c>
      <c r="I316" s="2">
        <v>273</v>
      </c>
      <c r="J316" s="2">
        <v>21693</v>
      </c>
      <c r="K316" s="2">
        <v>7</v>
      </c>
      <c r="L316" s="2">
        <v>2196</v>
      </c>
      <c r="M316" s="2">
        <v>346</v>
      </c>
      <c r="N316" s="2">
        <v>15430</v>
      </c>
      <c r="O316" s="2">
        <v>11</v>
      </c>
      <c r="P316" s="2">
        <v>37125</v>
      </c>
      <c r="Q316" s="2">
        <v>81</v>
      </c>
      <c r="R316" s="2">
        <v>169666</v>
      </c>
      <c r="S316" s="2">
        <v>475745</v>
      </c>
      <c r="T316" s="10">
        <f>SUM(D316+F316)</f>
        <v>229554</v>
      </c>
      <c r="U316" s="8">
        <f t="shared" si="13"/>
        <v>0.48251479258846652</v>
      </c>
      <c r="V316" s="9" t="s">
        <v>5271</v>
      </c>
      <c r="W316" s="9" t="str">
        <f t="shared" si="14"/>
        <v>Clowne RD</v>
      </c>
      <c r="X316" s="9" t="str">
        <f>INDEX(Lookup!$A$2:$A$1349, MATCH(W316, Lookup!$B$2:$B$1349,0))</f>
        <v>J04000330</v>
      </c>
      <c r="Y316" s="9" t="str">
        <f>INDEX(Lookup!$F$2:$F$1349, MATCH(W316, Lookup!$B$2:$B$1349,0))</f>
        <v>e080192</v>
      </c>
      <c r="Z316" s="6" t="str">
        <f>INDEX(Lookup!$C$2:$C$1300, MATCH(X316, Lookup!$A$2:$A$1300,0))</f>
        <v>Derbyshire</v>
      </c>
    </row>
    <row r="317" spans="1:26" ht="28.15" customHeight="1" x14ac:dyDescent="0.2">
      <c r="A317" s="6" t="s">
        <v>329</v>
      </c>
      <c r="B317" s="1" t="s">
        <v>329</v>
      </c>
      <c r="C317" s="2">
        <v>10215</v>
      </c>
      <c r="D317" s="2">
        <v>537201</v>
      </c>
      <c r="E317" s="2">
        <v>643</v>
      </c>
      <c r="F317" s="2">
        <v>76789</v>
      </c>
      <c r="G317" s="2">
        <v>40</v>
      </c>
      <c r="H317" s="2">
        <v>11019</v>
      </c>
      <c r="I317" s="2">
        <v>268</v>
      </c>
      <c r="J317" s="2">
        <v>29591</v>
      </c>
      <c r="K317" s="2">
        <v>11</v>
      </c>
      <c r="L317" s="2">
        <v>2244</v>
      </c>
      <c r="M317" s="2">
        <v>541</v>
      </c>
      <c r="N317" s="2">
        <v>46964</v>
      </c>
      <c r="O317" s="2">
        <v>30</v>
      </c>
      <c r="P317" s="2">
        <v>72337</v>
      </c>
      <c r="Q317" s="2">
        <v>62870</v>
      </c>
      <c r="R317" s="2">
        <v>743939</v>
      </c>
      <c r="S317" s="2">
        <v>1582954</v>
      </c>
      <c r="T317" s="10">
        <f t="shared" si="12"/>
        <v>625009</v>
      </c>
      <c r="U317" s="8">
        <f t="shared" si="13"/>
        <v>0.39483712097761525</v>
      </c>
      <c r="V317" s="9" t="s">
        <v>5271</v>
      </c>
      <c r="W317" s="9" t="str">
        <f t="shared" si="14"/>
        <v>Repton RD</v>
      </c>
      <c r="X317" s="9" t="str">
        <f>INDEX(Lookup!$A$2:$A$1349, MATCH(W317, Lookup!$B$2:$B$1349,0))</f>
        <v>J04001041</v>
      </c>
      <c r="Y317" s="9" t="str">
        <f>INDEX(Lookup!$F$2:$F$1349, MATCH(W317, Lookup!$B$2:$B$1349,0))</f>
        <v>e080163</v>
      </c>
      <c r="Z317" s="6" t="str">
        <f>INDEX(Lookup!$C$2:$C$1300, MATCH(X317, Lookup!$A$2:$A$1300,0))</f>
        <v>Derbyshire</v>
      </c>
    </row>
    <row r="318" spans="1:26" ht="28.15" customHeight="1" x14ac:dyDescent="0.2">
      <c r="A318" s="6" t="s">
        <v>330</v>
      </c>
      <c r="B318" s="1" t="s">
        <v>5486</v>
      </c>
      <c r="C318" s="2">
        <v>30626</v>
      </c>
      <c r="D318" s="2">
        <v>1875649</v>
      </c>
      <c r="E318" s="2">
        <v>1290</v>
      </c>
      <c r="F318" s="2">
        <v>159875</v>
      </c>
      <c r="G318" s="2">
        <v>85</v>
      </c>
      <c r="H318" s="2">
        <v>21853</v>
      </c>
      <c r="I318" s="2">
        <v>653</v>
      </c>
      <c r="J318" s="2">
        <v>121058</v>
      </c>
      <c r="K318" s="2">
        <v>27</v>
      </c>
      <c r="L318" s="2">
        <v>2755</v>
      </c>
      <c r="M318" s="2">
        <v>1287</v>
      </c>
      <c r="N318" s="2">
        <v>88918</v>
      </c>
      <c r="O318" s="2">
        <v>87</v>
      </c>
      <c r="P318" s="2">
        <v>545783</v>
      </c>
      <c r="Q318" s="2">
        <v>26624</v>
      </c>
      <c r="R318" s="2">
        <v>358205</v>
      </c>
      <c r="S318" s="2">
        <v>3200720</v>
      </c>
      <c r="T318" s="10">
        <f t="shared" si="12"/>
        <v>2057377</v>
      </c>
      <c r="U318" s="8">
        <f t="shared" si="13"/>
        <v>0.64278568572071282</v>
      </c>
      <c r="V318" s="9" t="s">
        <v>5271</v>
      </c>
      <c r="W318" s="9" t="str">
        <f t="shared" si="14"/>
        <v>South East Derbyshire RD</v>
      </c>
      <c r="X318" s="9" t="str">
        <f>INDEX(Lookup!$A$2:$A$1349, MATCH(W318, Lookup!$B$2:$B$1349,0))</f>
        <v>J04001156</v>
      </c>
      <c r="Y318" s="9" t="str">
        <f>INDEX(Lookup!$F$2:$F$1349, MATCH(W318, Lookup!$B$2:$B$1349,0))</f>
        <v>e080163</v>
      </c>
      <c r="Z318" s="6" t="str">
        <f>INDEX(Lookup!$C$2:$C$1300, MATCH(X318, Lookup!$A$2:$A$1300,0))</f>
        <v>Derbyshire</v>
      </c>
    </row>
    <row r="319" spans="1:26" ht="28.15" customHeight="1" x14ac:dyDescent="0.2">
      <c r="A319" s="6" t="s">
        <v>331</v>
      </c>
      <c r="B319" s="1" t="s">
        <v>331</v>
      </c>
      <c r="T319" s="10"/>
      <c r="W319" s="9" t="str">
        <f t="shared" si="14"/>
        <v xml:space="preserve">DEVON:- </v>
      </c>
      <c r="X319" s="9" t="e">
        <f>INDEX(Lookup!$A$2:$A$1349, MATCH(W319, Lookup!$B$2:$B$1349,0))</f>
        <v>#N/A</v>
      </c>
      <c r="Y319" s="9" t="e">
        <f>INDEX(Lookup!$F$2:$F$1349, MATCH(W319, Lookup!$B$2:$B$1349,0))</f>
        <v>#N/A</v>
      </c>
      <c r="Z319" s="6" t="e">
        <f>INDEX(Lookup!$C$2:$C$1300, MATCH(X319, Lookup!$A$2:$A$1300,0))</f>
        <v>#N/A</v>
      </c>
    </row>
    <row r="320" spans="1:26" ht="28.15" customHeight="1" x14ac:dyDescent="0.2">
      <c r="A320" s="6" t="s">
        <v>332</v>
      </c>
      <c r="B320" s="1" t="s">
        <v>332</v>
      </c>
      <c r="T320" s="10"/>
      <c r="W320" s="9" t="str">
        <f t="shared" si="14"/>
        <v xml:space="preserve">Non-County Boroughs:- </v>
      </c>
      <c r="X320" s="9" t="e">
        <f>INDEX(Lookup!$A$2:$A$1349, MATCH(W320, Lookup!$B$2:$B$1349,0))</f>
        <v>#N/A</v>
      </c>
      <c r="Y320" s="9" t="e">
        <f>INDEX(Lookup!$F$2:$F$1349, MATCH(W320, Lookup!$B$2:$B$1349,0))</f>
        <v>#N/A</v>
      </c>
      <c r="Z320" s="6" t="e">
        <f>INDEX(Lookup!$C$2:$C$1300, MATCH(X320, Lookup!$A$2:$A$1300,0))</f>
        <v>#N/A</v>
      </c>
    </row>
    <row r="321" spans="1:26" ht="28.15" customHeight="1" x14ac:dyDescent="0.2">
      <c r="A321" s="6" t="s">
        <v>333</v>
      </c>
      <c r="B321" s="1" t="s">
        <v>333</v>
      </c>
      <c r="C321" s="2">
        <v>4603</v>
      </c>
      <c r="D321" s="2">
        <v>237163</v>
      </c>
      <c r="E321" s="2">
        <v>327</v>
      </c>
      <c r="F321" s="2">
        <v>39432</v>
      </c>
      <c r="G321" s="2">
        <v>5</v>
      </c>
      <c r="H321" s="2">
        <v>1102</v>
      </c>
      <c r="I321" s="2">
        <v>460</v>
      </c>
      <c r="J321" s="2">
        <v>137335</v>
      </c>
      <c r="K321" s="2">
        <v>102</v>
      </c>
      <c r="L321" s="2">
        <v>11410</v>
      </c>
      <c r="M321" s="2">
        <v>692</v>
      </c>
      <c r="N321" s="2">
        <v>66119</v>
      </c>
      <c r="O321" s="2">
        <v>55</v>
      </c>
      <c r="P321" s="2">
        <v>55875</v>
      </c>
      <c r="Q321" s="2">
        <v>8472</v>
      </c>
      <c r="R321" s="2">
        <v>66863</v>
      </c>
      <c r="S321" s="2">
        <v>623771</v>
      </c>
      <c r="T321" s="10">
        <f t="shared" si="12"/>
        <v>277697</v>
      </c>
      <c r="U321" s="8">
        <f t="shared" si="13"/>
        <v>0.44519062284075406</v>
      </c>
      <c r="V321" s="9" t="s">
        <v>5268</v>
      </c>
      <c r="W321" s="9" t="str">
        <f t="shared" si="14"/>
        <v>Barnstaple MB</v>
      </c>
      <c r="X321" s="9" t="str">
        <f>INDEX(Lookup!$A$2:$A$1349, MATCH(W321, Lookup!$B$2:$B$1349,0))</f>
        <v>J04000088</v>
      </c>
      <c r="Y321" s="9" t="str">
        <f>INDEX(Lookup!$F$2:$F$1349, MATCH(W321, Lookup!$B$2:$B$1349,0))</f>
        <v>e090200</v>
      </c>
      <c r="Z321" s="6" t="str">
        <f>INDEX(Lookup!$C$2:$C$1300, MATCH(X321, Lookup!$A$2:$A$1300,0))</f>
        <v>Devon</v>
      </c>
    </row>
    <row r="322" spans="1:26" ht="28.15" customHeight="1" x14ac:dyDescent="0.2">
      <c r="A322" s="6" t="s">
        <v>334</v>
      </c>
      <c r="B322" s="1" t="s">
        <v>334</v>
      </c>
      <c r="C322" s="2">
        <v>3247</v>
      </c>
      <c r="D322" s="2">
        <v>151132</v>
      </c>
      <c r="E322" s="2">
        <v>82</v>
      </c>
      <c r="F322" s="2">
        <v>9908</v>
      </c>
      <c r="G322" s="2">
        <v>3</v>
      </c>
      <c r="H322" s="2">
        <v>682</v>
      </c>
      <c r="I322" s="2">
        <v>313</v>
      </c>
      <c r="J322" s="2">
        <v>52484</v>
      </c>
      <c r="K322" s="2">
        <v>63</v>
      </c>
      <c r="L322" s="2">
        <v>4789</v>
      </c>
      <c r="M322" s="2">
        <v>481</v>
      </c>
      <c r="N322" s="2">
        <v>31140</v>
      </c>
      <c r="O322" s="2">
        <v>30</v>
      </c>
      <c r="P322" s="2">
        <v>13745</v>
      </c>
      <c r="Q322" s="2">
        <v>3920</v>
      </c>
      <c r="R322" s="2">
        <v>43324</v>
      </c>
      <c r="S322" s="2">
        <v>311124</v>
      </c>
      <c r="T322" s="10">
        <f t="shared" si="12"/>
        <v>161722</v>
      </c>
      <c r="U322" s="8">
        <f t="shared" si="13"/>
        <v>0.51979917974826761</v>
      </c>
      <c r="V322" s="9" t="s">
        <v>5268</v>
      </c>
      <c r="W322" s="9" t="str">
        <f t="shared" si="14"/>
        <v>Bideford MB</v>
      </c>
      <c r="X322" s="9" t="str">
        <f>INDEX(Lookup!$A$2:$A$1349, MATCH(W322, Lookup!$B$2:$B$1349,0))</f>
        <v>J04000139</v>
      </c>
      <c r="Y322" s="9" t="str">
        <f>INDEX(Lookup!$F$2:$F$1349, MATCH(W322, Lookup!$B$2:$B$1349,0))</f>
        <v>e090201</v>
      </c>
      <c r="Z322" s="6" t="str">
        <f>INDEX(Lookup!$C$2:$C$1300, MATCH(X322, Lookup!$A$2:$A$1300,0))</f>
        <v>Devon</v>
      </c>
    </row>
    <row r="323" spans="1:26" ht="28.15" customHeight="1" x14ac:dyDescent="0.2">
      <c r="A323" s="6" t="s">
        <v>335</v>
      </c>
      <c r="B323" s="1" t="s">
        <v>5318</v>
      </c>
      <c r="C323" s="2">
        <v>1736</v>
      </c>
      <c r="D323" s="2">
        <v>87231</v>
      </c>
      <c r="E323" s="2">
        <v>142</v>
      </c>
      <c r="F323" s="2">
        <v>17264</v>
      </c>
      <c r="G323" s="2">
        <v>17</v>
      </c>
      <c r="H323" s="2">
        <v>2133</v>
      </c>
      <c r="I323" s="2">
        <v>184</v>
      </c>
      <c r="J323" s="2">
        <v>22430</v>
      </c>
      <c r="K323" s="2">
        <v>22</v>
      </c>
      <c r="L323" s="2">
        <v>1866</v>
      </c>
      <c r="M323" s="2">
        <v>226</v>
      </c>
      <c r="N323" s="2">
        <v>16472</v>
      </c>
      <c r="O323" s="2">
        <v>7</v>
      </c>
      <c r="P323" s="2">
        <v>2750</v>
      </c>
      <c r="Q323" s="2">
        <v>14794</v>
      </c>
      <c r="R323" s="2">
        <v>17361</v>
      </c>
      <c r="S323" s="2">
        <v>182301</v>
      </c>
      <c r="T323" s="10">
        <f t="shared" ref="T323:T385" si="15">SUM(D323+F323+H323)</f>
        <v>106628</v>
      </c>
      <c r="U323" s="8">
        <f t="shared" ref="U323:U385" si="16">T323/S323</f>
        <v>0.58490079593639088</v>
      </c>
      <c r="V323" s="9" t="s">
        <v>5268</v>
      </c>
      <c r="W323" s="9" t="str">
        <f t="shared" ref="W323:W386" si="17">_xlfn.CONCAT(B323," ",V323)</f>
        <v>Dartmouth MB</v>
      </c>
      <c r="X323" s="9" t="str">
        <f>INDEX(Lookup!$A$2:$A$1349, MATCH(W323, Lookup!$B$2:$B$1349,0))</f>
        <v>J04000385</v>
      </c>
      <c r="Y323" s="9" t="str">
        <f>INDEX(Lookup!$F$2:$F$1349, MATCH(W323, Lookup!$B$2:$B$1349,0))</f>
        <v>e090205</v>
      </c>
      <c r="Z323" s="6" t="str">
        <f>INDEX(Lookup!$C$2:$C$1300, MATCH(X323, Lookup!$A$2:$A$1300,0))</f>
        <v>Devon</v>
      </c>
    </row>
    <row r="324" spans="1:26" ht="28.15" customHeight="1" x14ac:dyDescent="0.2">
      <c r="A324" s="6" t="s">
        <v>336</v>
      </c>
      <c r="B324" s="1" t="s">
        <v>5360</v>
      </c>
      <c r="C324" s="2">
        <v>900</v>
      </c>
      <c r="D324" s="2">
        <v>33227</v>
      </c>
      <c r="E324" s="2">
        <v>17</v>
      </c>
      <c r="F324" s="2">
        <v>2018</v>
      </c>
      <c r="G324" s="2">
        <v>1</v>
      </c>
      <c r="H324" s="2">
        <v>388</v>
      </c>
      <c r="I324" s="2">
        <v>83</v>
      </c>
      <c r="J324" s="2">
        <v>6034</v>
      </c>
      <c r="K324" s="2">
        <v>19</v>
      </c>
      <c r="L324" s="2">
        <v>623</v>
      </c>
      <c r="M324" s="2">
        <v>167</v>
      </c>
      <c r="N324" s="2">
        <v>6396</v>
      </c>
      <c r="O324" s="2">
        <v>5</v>
      </c>
      <c r="P324" s="2">
        <v>25950</v>
      </c>
      <c r="Q324" s="2">
        <v>387</v>
      </c>
      <c r="R324" s="2">
        <v>12756</v>
      </c>
      <c r="S324" s="2">
        <v>87779</v>
      </c>
      <c r="T324" s="10">
        <f t="shared" si="15"/>
        <v>35633</v>
      </c>
      <c r="U324" s="8">
        <f t="shared" si="16"/>
        <v>0.40593991729229084</v>
      </c>
      <c r="V324" s="9" t="s">
        <v>5268</v>
      </c>
      <c r="W324" s="9" t="str">
        <f t="shared" si="17"/>
        <v>Great Torrington MB</v>
      </c>
      <c r="X324" s="9" t="str">
        <f>INDEX(Lookup!$A$2:$A$1349, MATCH(W324, Lookup!$B$2:$B$1349,0))</f>
        <v>J04000551</v>
      </c>
      <c r="Y324" s="9" t="str">
        <f>INDEX(Lookup!$F$2:$F$1349, MATCH(W324, Lookup!$B$2:$B$1349,0))</f>
        <v>e090208</v>
      </c>
      <c r="Z324" s="6" t="str">
        <f>INDEX(Lookup!$C$2:$C$1300, MATCH(X324, Lookup!$A$2:$A$1300,0))</f>
        <v>Devon</v>
      </c>
    </row>
    <row r="325" spans="1:26" ht="28.15" customHeight="1" x14ac:dyDescent="0.2">
      <c r="A325" s="6" t="s">
        <v>337</v>
      </c>
      <c r="B325" s="1" t="s">
        <v>337</v>
      </c>
      <c r="C325" s="2">
        <v>1042</v>
      </c>
      <c r="D325" s="2">
        <v>52823</v>
      </c>
      <c r="E325" s="2">
        <v>145</v>
      </c>
      <c r="F325" s="2">
        <v>18176</v>
      </c>
      <c r="G325" s="2">
        <v>5</v>
      </c>
      <c r="H325" s="2">
        <v>1202</v>
      </c>
      <c r="I325" s="2">
        <v>112</v>
      </c>
      <c r="J325" s="2">
        <v>24425</v>
      </c>
      <c r="K325" s="2">
        <v>24</v>
      </c>
      <c r="L325" s="2">
        <v>2687</v>
      </c>
      <c r="M325" s="2">
        <v>294</v>
      </c>
      <c r="N325" s="2">
        <v>16453</v>
      </c>
      <c r="O325" s="2">
        <v>14</v>
      </c>
      <c r="P325" s="2">
        <v>18065</v>
      </c>
      <c r="Q325" s="2">
        <v>8138</v>
      </c>
      <c r="R325" s="2">
        <v>24013</v>
      </c>
      <c r="S325" s="2">
        <v>165982</v>
      </c>
      <c r="T325" s="10">
        <f t="shared" si="15"/>
        <v>72201</v>
      </c>
      <c r="U325" s="8">
        <f t="shared" si="16"/>
        <v>0.43499295104288416</v>
      </c>
      <c r="V325" s="9" t="s">
        <v>5268</v>
      </c>
      <c r="W325" s="9" t="str">
        <f t="shared" si="17"/>
        <v>Honiton MB</v>
      </c>
      <c r="X325" s="9" t="str">
        <f>INDEX(Lookup!$A$2:$A$1349, MATCH(W325, Lookup!$B$2:$B$1349,0))</f>
        <v>J04000639</v>
      </c>
      <c r="Y325" s="9" t="str">
        <f>INDEX(Lookup!$F$2:$F$1349, MATCH(W325, Lookup!$B$2:$B$1349,0))</f>
        <v>e090209</v>
      </c>
      <c r="Z325" s="6" t="str">
        <f>INDEX(Lookup!$C$2:$C$1300, MATCH(X325, Lookup!$A$2:$A$1300,0))</f>
        <v>Devon</v>
      </c>
    </row>
    <row r="326" spans="1:26" ht="28.15" customHeight="1" x14ac:dyDescent="0.2">
      <c r="A326" s="6" t="s">
        <v>338</v>
      </c>
      <c r="B326" s="1" t="s">
        <v>338</v>
      </c>
      <c r="C326" s="2">
        <v>1205</v>
      </c>
      <c r="D326" s="2">
        <v>55680</v>
      </c>
      <c r="E326" s="2">
        <v>38</v>
      </c>
      <c r="F326" s="2">
        <v>4795</v>
      </c>
      <c r="G326" s="2">
        <v>1</v>
      </c>
      <c r="H326" s="2">
        <v>274</v>
      </c>
      <c r="I326" s="2">
        <v>109</v>
      </c>
      <c r="J326" s="2">
        <v>15070</v>
      </c>
      <c r="K326" s="2">
        <v>24</v>
      </c>
      <c r="L326" s="2">
        <v>1282</v>
      </c>
      <c r="M326" s="2">
        <v>170</v>
      </c>
      <c r="N326" s="2">
        <v>11816</v>
      </c>
      <c r="O326" s="2">
        <v>11</v>
      </c>
      <c r="P326" s="2">
        <v>3250</v>
      </c>
      <c r="Q326" s="2">
        <v>1904</v>
      </c>
      <c r="R326" s="2">
        <v>14092</v>
      </c>
      <c r="S326" s="2">
        <v>108163</v>
      </c>
      <c r="T326" s="10">
        <f t="shared" si="15"/>
        <v>60749</v>
      </c>
      <c r="U326" s="8">
        <f t="shared" si="16"/>
        <v>0.56164307572829897</v>
      </c>
      <c r="V326" s="9" t="s">
        <v>5268</v>
      </c>
      <c r="W326" s="9" t="str">
        <f t="shared" si="17"/>
        <v>Okehampton MB</v>
      </c>
      <c r="X326" s="9" t="str">
        <f>INDEX(Lookup!$A$2:$A$1349, MATCH(W326, Lookup!$B$2:$B$1349,0))</f>
        <v>J04000950</v>
      </c>
      <c r="Y326" s="9" t="str">
        <f>INDEX(Lookup!$F$2:$F$1349, MATCH(W326, Lookup!$B$2:$B$1349,0))</f>
        <v>e090215</v>
      </c>
      <c r="Z326" s="6" t="str">
        <f>INDEX(Lookup!$C$2:$C$1300, MATCH(X326, Lookup!$A$2:$A$1300,0))</f>
        <v>Devon</v>
      </c>
    </row>
    <row r="327" spans="1:26" ht="28.15" customHeight="1" x14ac:dyDescent="0.2">
      <c r="A327" s="6" t="s">
        <v>339</v>
      </c>
      <c r="B327" s="1" t="s">
        <v>339</v>
      </c>
      <c r="C327" s="2">
        <v>876</v>
      </c>
      <c r="D327" s="2">
        <v>34031</v>
      </c>
      <c r="E327" s="2">
        <v>29</v>
      </c>
      <c r="F327" s="2">
        <v>3568</v>
      </c>
      <c r="I327" s="2">
        <v>99</v>
      </c>
      <c r="J327" s="2">
        <v>11353</v>
      </c>
      <c r="K327" s="2">
        <v>16</v>
      </c>
      <c r="L327" s="2">
        <v>866</v>
      </c>
      <c r="M327" s="2">
        <v>160</v>
      </c>
      <c r="N327" s="2">
        <v>9552</v>
      </c>
      <c r="O327" s="2">
        <v>8</v>
      </c>
      <c r="P327" s="2">
        <v>1495</v>
      </c>
      <c r="Q327" s="2">
        <v>543</v>
      </c>
      <c r="R327" s="2">
        <v>16914</v>
      </c>
      <c r="S327" s="2">
        <v>78292</v>
      </c>
      <c r="T327" s="10">
        <f>SUM(D327+F327)</f>
        <v>37599</v>
      </c>
      <c r="U327" s="8">
        <f t="shared" si="16"/>
        <v>0.48024063761303837</v>
      </c>
      <c r="V327" s="9" t="s">
        <v>5268</v>
      </c>
      <c r="W327" s="9" t="str">
        <f t="shared" si="17"/>
        <v>South Molton MB</v>
      </c>
      <c r="X327" s="9" t="str">
        <f>INDEX(Lookup!$A$2:$A$1349, MATCH(W327, Lookup!$B$2:$B$1349,0))</f>
        <v>J04001158</v>
      </c>
      <c r="Y327" s="9" t="str">
        <f>INDEX(Lookup!$F$2:$F$1349, MATCH(W327, Lookup!$B$2:$B$1349,0))</f>
        <v>e090234</v>
      </c>
      <c r="Z327" s="6" t="str">
        <f>INDEX(Lookup!$C$2:$C$1300, MATCH(X327, Lookup!$A$2:$A$1300,0))</f>
        <v>Devon</v>
      </c>
    </row>
    <row r="328" spans="1:26" ht="28.15" customHeight="1" x14ac:dyDescent="0.2">
      <c r="A328" s="6" t="s">
        <v>340</v>
      </c>
      <c r="B328" s="1" t="s">
        <v>5319</v>
      </c>
      <c r="C328" s="2">
        <v>3706</v>
      </c>
      <c r="D328" s="2">
        <v>174736</v>
      </c>
      <c r="E328" s="2">
        <v>231</v>
      </c>
      <c r="F328" s="2">
        <v>29688</v>
      </c>
      <c r="G328" s="2">
        <v>15</v>
      </c>
      <c r="H328" s="2">
        <v>4213</v>
      </c>
      <c r="I328" s="2">
        <v>238</v>
      </c>
      <c r="J328" s="2">
        <v>56387</v>
      </c>
      <c r="K328" s="2">
        <v>30</v>
      </c>
      <c r="L328" s="2">
        <v>3153</v>
      </c>
      <c r="M328" s="2">
        <v>402</v>
      </c>
      <c r="N328" s="2">
        <v>23059</v>
      </c>
      <c r="O328" s="2">
        <v>39</v>
      </c>
      <c r="P328" s="2">
        <v>85534</v>
      </c>
      <c r="Q328" s="2">
        <v>2873</v>
      </c>
      <c r="R328" s="2">
        <v>73218</v>
      </c>
      <c r="S328" s="2">
        <v>452861</v>
      </c>
      <c r="T328" s="10">
        <f t="shared" si="15"/>
        <v>208637</v>
      </c>
      <c r="U328" s="8">
        <f t="shared" si="16"/>
        <v>0.46070869427926009</v>
      </c>
      <c r="V328" s="9" t="s">
        <v>5268</v>
      </c>
      <c r="W328" s="9" t="str">
        <f t="shared" si="17"/>
        <v>Tiverton MB</v>
      </c>
      <c r="X328" s="9" t="str">
        <f>INDEX(Lookup!$A$2:$A$1349, MATCH(W328, Lookup!$B$2:$B$1349,0))</f>
        <v>J04001279</v>
      </c>
      <c r="Y328" s="9" t="str">
        <f>INDEX(Lookup!$F$2:$F$1349, MATCH(W328, Lookup!$B$2:$B$1349,0))</f>
        <v>e090221</v>
      </c>
      <c r="Z328" s="6" t="str">
        <f>INDEX(Lookup!$C$2:$C$1300, MATCH(X328, Lookup!$A$2:$A$1300,0))</f>
        <v>Devon</v>
      </c>
    </row>
    <row r="329" spans="1:26" ht="28.15" customHeight="1" x14ac:dyDescent="0.2">
      <c r="A329" s="6" t="s">
        <v>341</v>
      </c>
      <c r="B329" s="1" t="s">
        <v>341</v>
      </c>
      <c r="C329" s="2">
        <v>11814</v>
      </c>
      <c r="D329" s="2">
        <v>763382</v>
      </c>
      <c r="E329" s="2">
        <v>3734</v>
      </c>
      <c r="F329" s="2">
        <v>489280</v>
      </c>
      <c r="G329" s="2">
        <v>540</v>
      </c>
      <c r="H329" s="2">
        <v>143541</v>
      </c>
      <c r="I329" s="2">
        <v>1065</v>
      </c>
      <c r="J329" s="2">
        <v>369707</v>
      </c>
      <c r="K329" s="2">
        <v>310</v>
      </c>
      <c r="L329" s="2">
        <v>30708</v>
      </c>
      <c r="M329" s="2">
        <v>2117</v>
      </c>
      <c r="N329" s="2">
        <v>440775</v>
      </c>
      <c r="O329" s="2">
        <v>56</v>
      </c>
      <c r="P329" s="2">
        <v>33049</v>
      </c>
      <c r="Q329" s="2">
        <v>16436</v>
      </c>
      <c r="R329" s="2">
        <v>243100</v>
      </c>
      <c r="S329" s="2">
        <v>2529978</v>
      </c>
      <c r="T329" s="10">
        <f t="shared" si="15"/>
        <v>1396203</v>
      </c>
      <c r="U329" s="8">
        <f t="shared" si="16"/>
        <v>0.55186369209534625</v>
      </c>
      <c r="V329" s="9" t="s">
        <v>5268</v>
      </c>
      <c r="W329" s="9" t="str">
        <f t="shared" si="17"/>
        <v>Torquay MB</v>
      </c>
      <c r="X329" s="9" t="str">
        <f>INDEX(Lookup!$A$2:$A$1349, MATCH(W329, Lookup!$B$2:$B$1349,0))</f>
        <v>J04001285</v>
      </c>
      <c r="Y329" s="9" t="str">
        <f>INDEX(Lookup!$F$2:$F$1349, MATCH(W329, Lookup!$B$2:$B$1349,0))</f>
        <v>e090198</v>
      </c>
      <c r="Z329" s="6" t="str">
        <f>INDEX(Lookup!$C$2:$C$1300, MATCH(X329, Lookup!$A$2:$A$1300,0))</f>
        <v>Devon</v>
      </c>
    </row>
    <row r="330" spans="1:26" ht="28.15" customHeight="1" x14ac:dyDescent="0.2">
      <c r="A330" s="6" t="s">
        <v>342</v>
      </c>
      <c r="B330" s="1" t="s">
        <v>342</v>
      </c>
      <c r="C330" s="2">
        <v>1725</v>
      </c>
      <c r="D330" s="2">
        <v>87765</v>
      </c>
      <c r="E330" s="2">
        <v>133</v>
      </c>
      <c r="F330" s="2">
        <v>16697</v>
      </c>
      <c r="G330" s="2">
        <v>2</v>
      </c>
      <c r="H330" s="2">
        <v>464</v>
      </c>
      <c r="I330" s="2">
        <v>182</v>
      </c>
      <c r="J330" s="2">
        <v>27728</v>
      </c>
      <c r="K330" s="2">
        <v>42</v>
      </c>
      <c r="L330" s="2">
        <v>4197</v>
      </c>
      <c r="M330" s="2">
        <v>279</v>
      </c>
      <c r="N330" s="2">
        <v>21732</v>
      </c>
      <c r="O330" s="2">
        <v>13</v>
      </c>
      <c r="P330" s="2">
        <v>21419</v>
      </c>
      <c r="Q330" s="2">
        <v>2419</v>
      </c>
      <c r="R330" s="2">
        <v>16711</v>
      </c>
      <c r="S330" s="2">
        <v>199128</v>
      </c>
      <c r="T330" s="10">
        <f t="shared" si="15"/>
        <v>104926</v>
      </c>
      <c r="U330" s="8">
        <f t="shared" si="16"/>
        <v>0.52692740347916922</v>
      </c>
      <c r="V330" s="9" t="s">
        <v>5268</v>
      </c>
      <c r="W330" s="9" t="str">
        <f t="shared" si="17"/>
        <v>Totnes MB</v>
      </c>
      <c r="X330" s="9" t="str">
        <f>INDEX(Lookup!$A$2:$A$1349, MATCH(W330, Lookup!$B$2:$B$1349,0))</f>
        <v>J04001287</v>
      </c>
      <c r="Y330" s="9" t="str">
        <f>INDEX(Lookup!$F$2:$F$1349, MATCH(W330, Lookup!$B$2:$B$1349,0))</f>
        <v>e090222</v>
      </c>
      <c r="Z330" s="6" t="str">
        <f>INDEX(Lookup!$C$2:$C$1300, MATCH(X330, Lookup!$A$2:$A$1300,0))</f>
        <v>Devon</v>
      </c>
    </row>
    <row r="331" spans="1:26" ht="28.15" customHeight="1" x14ac:dyDescent="0.2">
      <c r="A331" s="6" t="s">
        <v>179</v>
      </c>
      <c r="B331" s="1" t="s">
        <v>179</v>
      </c>
      <c r="T331" s="10"/>
      <c r="W331" s="9" t="str">
        <f t="shared" si="17"/>
        <v xml:space="preserve">Urban Districts-- </v>
      </c>
      <c r="X331" s="9" t="e">
        <f>INDEX(Lookup!$A$2:$A$1349, MATCH(W331, Lookup!$B$2:$B$1349,0))</f>
        <v>#N/A</v>
      </c>
      <c r="Y331" s="9" t="e">
        <f>INDEX(Lookup!$F$2:$F$1349, MATCH(W331, Lookup!$B$2:$B$1349,0))</f>
        <v>#N/A</v>
      </c>
      <c r="Z331" s="6" t="e">
        <f>INDEX(Lookup!$C$2:$C$1300, MATCH(X331, Lookup!$A$2:$A$1300,0))</f>
        <v>#N/A</v>
      </c>
    </row>
    <row r="332" spans="1:26" ht="28.15" customHeight="1" x14ac:dyDescent="0.2">
      <c r="A332" s="6" t="s">
        <v>343</v>
      </c>
      <c r="B332" s="1" t="s">
        <v>343</v>
      </c>
      <c r="C332" s="2">
        <v>777</v>
      </c>
      <c r="D332" s="2">
        <v>33184</v>
      </c>
      <c r="E332" s="2">
        <v>47</v>
      </c>
      <c r="F332" s="2">
        <v>6011</v>
      </c>
      <c r="G332" s="2">
        <v>8</v>
      </c>
      <c r="H332" s="2">
        <v>1976</v>
      </c>
      <c r="I332" s="2">
        <v>64</v>
      </c>
      <c r="J332" s="2">
        <v>6800</v>
      </c>
      <c r="K332" s="2">
        <v>10</v>
      </c>
      <c r="L332" s="2">
        <v>399</v>
      </c>
      <c r="M332" s="2">
        <v>162</v>
      </c>
      <c r="N332" s="2">
        <v>5921</v>
      </c>
      <c r="O332" s="2">
        <v>7</v>
      </c>
      <c r="P332" s="2">
        <v>1370</v>
      </c>
      <c r="Q332" s="2">
        <v>255</v>
      </c>
      <c r="R332" s="2">
        <v>19855</v>
      </c>
      <c r="S332" s="2">
        <v>75771</v>
      </c>
      <c r="T332" s="10">
        <f t="shared" si="15"/>
        <v>41171</v>
      </c>
      <c r="U332" s="8">
        <f t="shared" si="16"/>
        <v>0.5433609164456058</v>
      </c>
      <c r="V332" s="9" t="s">
        <v>5270</v>
      </c>
      <c r="W332" s="9" t="str">
        <f t="shared" si="17"/>
        <v>Ashburton UD</v>
      </c>
      <c r="X332" s="9" t="str">
        <f>INDEX(Lookup!$A$2:$A$1349, MATCH(W332, Lookup!$B$2:$B$1349,0))</f>
        <v>J04000050</v>
      </c>
      <c r="Y332" s="9" t="str">
        <f>INDEX(Lookup!$F$2:$F$1349, MATCH(W332, Lookup!$B$2:$B$1349,0))</f>
        <v>e090199</v>
      </c>
      <c r="Z332" s="6" t="str">
        <f>INDEX(Lookup!$C$2:$C$1300, MATCH(X332, Lookup!$A$2:$A$1300,0))</f>
        <v>Devon</v>
      </c>
    </row>
    <row r="333" spans="1:26" ht="28.15" customHeight="1" x14ac:dyDescent="0.2">
      <c r="A333" s="6" t="s">
        <v>344</v>
      </c>
      <c r="B333" s="1" t="s">
        <v>344</v>
      </c>
      <c r="C333" s="2">
        <v>3670</v>
      </c>
      <c r="D333" s="2">
        <v>221559</v>
      </c>
      <c r="E333" s="2">
        <v>515</v>
      </c>
      <c r="F333" s="2">
        <v>63774</v>
      </c>
      <c r="G333" s="2">
        <v>11</v>
      </c>
      <c r="H333" s="2">
        <v>3500</v>
      </c>
      <c r="I333" s="2">
        <v>229</v>
      </c>
      <c r="J333" s="2">
        <v>39656</v>
      </c>
      <c r="K333" s="2">
        <v>30</v>
      </c>
      <c r="L333" s="2">
        <v>1665</v>
      </c>
      <c r="M333" s="2">
        <v>363</v>
      </c>
      <c r="N333" s="2">
        <v>66494</v>
      </c>
      <c r="O333" s="2">
        <v>16</v>
      </c>
      <c r="P333" s="2">
        <v>15533</v>
      </c>
      <c r="Q333" s="2">
        <v>3899</v>
      </c>
      <c r="R333" s="2">
        <v>35524</v>
      </c>
      <c r="S333" s="2">
        <v>451604</v>
      </c>
      <c r="T333" s="10">
        <f t="shared" si="15"/>
        <v>288833</v>
      </c>
      <c r="U333" s="8">
        <f t="shared" si="16"/>
        <v>0.63957139440748978</v>
      </c>
      <c r="V333" s="9" t="s">
        <v>5270</v>
      </c>
      <c r="W333" s="9" t="str">
        <f t="shared" si="17"/>
        <v>Brixham UD</v>
      </c>
      <c r="X333" s="9" t="str">
        <f>INDEX(Lookup!$A$2:$A$1349, MATCH(W333, Lookup!$B$2:$B$1349,0))</f>
        <v>J04000214</v>
      </c>
      <c r="Y333" s="9" t="str">
        <f>INDEX(Lookup!$F$2:$F$1349, MATCH(W333, Lookup!$B$2:$B$1349,0))</f>
        <v>e090198</v>
      </c>
      <c r="Z333" s="6" t="str">
        <f>INDEX(Lookup!$C$2:$C$1300, MATCH(X333, Lookup!$A$2:$A$1300,0))</f>
        <v>Devon</v>
      </c>
    </row>
    <row r="334" spans="1:26" ht="28.15" customHeight="1" x14ac:dyDescent="0.2">
      <c r="A334" s="6" t="s">
        <v>345</v>
      </c>
      <c r="B334" s="1" t="s">
        <v>345</v>
      </c>
      <c r="C334" s="2">
        <v>839</v>
      </c>
      <c r="D334" s="2">
        <v>34139</v>
      </c>
      <c r="E334" s="2">
        <v>50</v>
      </c>
      <c r="F334" s="2">
        <v>6332</v>
      </c>
      <c r="I334" s="2">
        <v>49</v>
      </c>
      <c r="J334" s="2">
        <v>5720</v>
      </c>
      <c r="K334" s="2">
        <v>2</v>
      </c>
      <c r="L334" s="2">
        <v>133</v>
      </c>
      <c r="M334" s="2">
        <v>106</v>
      </c>
      <c r="N334" s="2">
        <v>6665</v>
      </c>
      <c r="O334" s="2">
        <v>8</v>
      </c>
      <c r="P334" s="2">
        <v>21755</v>
      </c>
      <c r="Q334" s="2">
        <v>77</v>
      </c>
      <c r="R334" s="2">
        <v>15414</v>
      </c>
      <c r="S334" s="2">
        <v>90235</v>
      </c>
      <c r="T334" s="10">
        <f>SUM(D334+F334)</f>
        <v>40471</v>
      </c>
      <c r="U334" s="8">
        <f t="shared" si="16"/>
        <v>0.44850667701002939</v>
      </c>
      <c r="V334" s="9" t="s">
        <v>5270</v>
      </c>
      <c r="W334" s="9" t="str">
        <f t="shared" si="17"/>
        <v>Buckfastleigh UD</v>
      </c>
      <c r="X334" s="9" t="str">
        <f>INDEX(Lookup!$A$2:$A$1349, MATCH(W334, Lookup!$B$2:$B$1349,0))</f>
        <v>J04000225</v>
      </c>
      <c r="Y334" s="9" t="str">
        <f>INDEX(Lookup!$F$2:$F$1349, MATCH(W334, Lookup!$B$2:$B$1349,0))</f>
        <v>e090202</v>
      </c>
      <c r="Z334" s="6" t="str">
        <f>INDEX(Lookup!$C$2:$C$1300, MATCH(X334, Lookup!$A$2:$A$1300,0))</f>
        <v>Devon</v>
      </c>
    </row>
    <row r="335" spans="1:26" ht="28.15" customHeight="1" x14ac:dyDescent="0.2">
      <c r="A335" s="6" t="s">
        <v>346</v>
      </c>
      <c r="B335" s="1" t="s">
        <v>346</v>
      </c>
      <c r="C335" s="2">
        <v>806</v>
      </c>
      <c r="D335" s="2">
        <v>50691</v>
      </c>
      <c r="E335" s="2">
        <v>476</v>
      </c>
      <c r="F335" s="2">
        <v>69422</v>
      </c>
      <c r="G335" s="2">
        <v>195</v>
      </c>
      <c r="H335" s="2">
        <v>48077</v>
      </c>
      <c r="I335" s="2">
        <v>84</v>
      </c>
      <c r="J335" s="2">
        <v>20113</v>
      </c>
      <c r="K335" s="2">
        <v>5</v>
      </c>
      <c r="L335" s="2">
        <v>350</v>
      </c>
      <c r="M335" s="2">
        <v>99</v>
      </c>
      <c r="N335" s="2">
        <v>17096</v>
      </c>
      <c r="O335" s="2">
        <v>4</v>
      </c>
      <c r="P335" s="2">
        <v>2300</v>
      </c>
      <c r="Q335" s="2">
        <v>756</v>
      </c>
      <c r="R335" s="2">
        <v>13080</v>
      </c>
      <c r="S335" s="2">
        <v>221885</v>
      </c>
      <c r="T335" s="10">
        <f t="shared" si="15"/>
        <v>168190</v>
      </c>
      <c r="U335" s="8">
        <f t="shared" si="16"/>
        <v>0.75800527300178022</v>
      </c>
      <c r="V335" s="9" t="s">
        <v>5270</v>
      </c>
      <c r="W335" s="9" t="str">
        <f t="shared" si="17"/>
        <v>Budleigh Salterton UD</v>
      </c>
      <c r="X335" s="9" t="str">
        <f>INDEX(Lookup!$A$2:$A$1349, MATCH(W335, Lookup!$B$2:$B$1349,0))</f>
        <v>J04000231</v>
      </c>
      <c r="Y335" s="9" t="str">
        <f>INDEX(Lookup!$F$2:$F$1349, MATCH(W335, Lookup!$B$2:$B$1349,0))</f>
        <v>e090203</v>
      </c>
      <c r="Z335" s="6" t="str">
        <f>INDEX(Lookup!$C$2:$C$1300, MATCH(X335, Lookup!$A$2:$A$1300,0))</f>
        <v>Devon</v>
      </c>
    </row>
    <row r="336" spans="1:26" ht="28.15" customHeight="1" x14ac:dyDescent="0.2">
      <c r="A336" s="6" t="s">
        <v>347</v>
      </c>
      <c r="B336" s="1" t="s">
        <v>347</v>
      </c>
      <c r="C336" s="2">
        <v>1338</v>
      </c>
      <c r="D336" s="2">
        <v>61462</v>
      </c>
      <c r="E336" s="2">
        <v>99</v>
      </c>
      <c r="F336" s="2">
        <v>12127</v>
      </c>
      <c r="G336" s="2">
        <v>9</v>
      </c>
      <c r="H336" s="2">
        <v>2046</v>
      </c>
      <c r="I336" s="2">
        <v>105</v>
      </c>
      <c r="J336" s="2">
        <v>13841</v>
      </c>
      <c r="K336" s="2">
        <v>24</v>
      </c>
      <c r="L336" s="2">
        <v>1263</v>
      </c>
      <c r="M336" s="2">
        <v>262</v>
      </c>
      <c r="N336" s="2">
        <v>15569</v>
      </c>
      <c r="O336" s="2">
        <v>16</v>
      </c>
      <c r="P336" s="2">
        <v>34900</v>
      </c>
      <c r="Q336" s="2">
        <v>1062</v>
      </c>
      <c r="R336" s="2">
        <v>24100</v>
      </c>
      <c r="S336" s="2">
        <v>166370</v>
      </c>
      <c r="T336" s="10">
        <f t="shared" si="15"/>
        <v>75635</v>
      </c>
      <c r="U336" s="8">
        <f t="shared" si="16"/>
        <v>0.45461922221554368</v>
      </c>
      <c r="V336" s="9" t="s">
        <v>5270</v>
      </c>
      <c r="W336" s="9" t="str">
        <f t="shared" si="17"/>
        <v>Crediton UD</v>
      </c>
      <c r="X336" s="9" t="str">
        <f>INDEX(Lookup!$A$2:$A$1349, MATCH(W336, Lookup!$B$2:$B$1349,0))</f>
        <v>J04000360</v>
      </c>
      <c r="Y336" s="9" t="str">
        <f>INDEX(Lookup!$F$2:$F$1349, MATCH(W336, Lookup!$B$2:$B$1349,0))</f>
        <v>e090204</v>
      </c>
      <c r="Z336" s="6" t="str">
        <f>INDEX(Lookup!$C$2:$C$1300, MATCH(X336, Lookup!$A$2:$A$1300,0))</f>
        <v>Devon</v>
      </c>
    </row>
    <row r="337" spans="1:26" ht="28.15" customHeight="1" x14ac:dyDescent="0.2">
      <c r="A337" s="6" t="s">
        <v>348</v>
      </c>
      <c r="B337" s="1" t="s">
        <v>348</v>
      </c>
      <c r="C337" s="2">
        <v>1783</v>
      </c>
      <c r="D337" s="2">
        <v>93145</v>
      </c>
      <c r="E337" s="2">
        <v>535</v>
      </c>
      <c r="F337" s="2">
        <v>64799</v>
      </c>
      <c r="G337" s="2">
        <v>18</v>
      </c>
      <c r="H337" s="2">
        <v>4800</v>
      </c>
      <c r="I337" s="2">
        <v>154</v>
      </c>
      <c r="J337" s="2">
        <v>21063</v>
      </c>
      <c r="K337" s="2">
        <v>10</v>
      </c>
      <c r="L337" s="2">
        <v>859</v>
      </c>
      <c r="M337" s="2">
        <v>297</v>
      </c>
      <c r="N337" s="2">
        <v>47436</v>
      </c>
      <c r="O337" s="2">
        <v>10</v>
      </c>
      <c r="P337" s="2">
        <v>1928</v>
      </c>
      <c r="Q337" s="2">
        <v>6200</v>
      </c>
      <c r="R337" s="2">
        <v>26100</v>
      </c>
      <c r="S337" s="2">
        <v>266330</v>
      </c>
      <c r="T337" s="10">
        <f t="shared" si="15"/>
        <v>162744</v>
      </c>
      <c r="U337" s="8">
        <f t="shared" si="16"/>
        <v>0.61106146509968839</v>
      </c>
      <c r="V337" s="9" t="s">
        <v>5270</v>
      </c>
      <c r="W337" s="9" t="str">
        <f t="shared" si="17"/>
        <v>Dawlish UD</v>
      </c>
      <c r="X337" s="9" t="str">
        <f>INDEX(Lookup!$A$2:$A$1349, MATCH(W337, Lookup!$B$2:$B$1349,0))</f>
        <v>J04000391</v>
      </c>
      <c r="Y337" s="9" t="str">
        <f>INDEX(Lookup!$F$2:$F$1349, MATCH(W337, Lookup!$B$2:$B$1349,0))</f>
        <v>e090206</v>
      </c>
      <c r="Z337" s="6" t="str">
        <f>INDEX(Lookup!$C$2:$C$1300, MATCH(X337, Lookup!$A$2:$A$1300,0))</f>
        <v>Devon</v>
      </c>
    </row>
    <row r="338" spans="1:26" ht="28.15" customHeight="1" x14ac:dyDescent="0.2">
      <c r="A338" s="6" t="s">
        <v>349</v>
      </c>
      <c r="B338" s="1" t="s">
        <v>349</v>
      </c>
      <c r="C338" s="2">
        <v>5373</v>
      </c>
      <c r="D338" s="2">
        <v>337697</v>
      </c>
      <c r="E338" s="2">
        <v>1678</v>
      </c>
      <c r="F338" s="2">
        <v>218719</v>
      </c>
      <c r="G338" s="2">
        <v>160</v>
      </c>
      <c r="H338" s="2">
        <v>39669</v>
      </c>
      <c r="I338" s="2">
        <v>400</v>
      </c>
      <c r="J338" s="2">
        <v>123324</v>
      </c>
      <c r="K338" s="2">
        <v>63</v>
      </c>
      <c r="L338" s="2">
        <v>8519</v>
      </c>
      <c r="M338" s="2">
        <v>753</v>
      </c>
      <c r="N338" s="2">
        <v>87680</v>
      </c>
      <c r="O338" s="2">
        <v>43</v>
      </c>
      <c r="P338" s="2">
        <v>17820</v>
      </c>
      <c r="Q338" s="2">
        <v>4523</v>
      </c>
      <c r="R338" s="2">
        <v>87889</v>
      </c>
      <c r="S338" s="2">
        <v>925840</v>
      </c>
      <c r="T338" s="10">
        <f t="shared" si="15"/>
        <v>596085</v>
      </c>
      <c r="U338" s="8">
        <f t="shared" si="16"/>
        <v>0.64383154756761429</v>
      </c>
      <c r="V338" s="9" t="s">
        <v>5270</v>
      </c>
      <c r="W338" s="9" t="str">
        <f t="shared" si="17"/>
        <v>Exmouth UD</v>
      </c>
      <c r="X338" s="9" t="str">
        <f>INDEX(Lookup!$A$2:$A$1349, MATCH(W338, Lookup!$B$2:$B$1349,0))</f>
        <v>J04000487</v>
      </c>
      <c r="Y338" s="9" t="str">
        <f>INDEX(Lookup!$F$2:$F$1349, MATCH(W338, Lookup!$B$2:$B$1349,0))</f>
        <v>e090207</v>
      </c>
      <c r="Z338" s="6" t="str">
        <f>INDEX(Lookup!$C$2:$C$1300, MATCH(X338, Lookup!$A$2:$A$1300,0))</f>
        <v>Devon</v>
      </c>
    </row>
    <row r="339" spans="1:26" ht="28.15" customHeight="1" x14ac:dyDescent="0.2">
      <c r="A339" s="6" t="s">
        <v>350</v>
      </c>
      <c r="B339" s="1" t="s">
        <v>350</v>
      </c>
      <c r="C339" s="2">
        <v>474</v>
      </c>
      <c r="D339" s="2">
        <v>19920</v>
      </c>
      <c r="E339" s="2">
        <v>22</v>
      </c>
      <c r="F339" s="2">
        <v>2684</v>
      </c>
      <c r="G339" s="2">
        <v>1</v>
      </c>
      <c r="H339" s="2">
        <v>206</v>
      </c>
      <c r="I339" s="2">
        <v>65</v>
      </c>
      <c r="J339" s="2">
        <v>7385</v>
      </c>
      <c r="K339" s="2">
        <v>22</v>
      </c>
      <c r="L339" s="2">
        <v>1201</v>
      </c>
      <c r="M339" s="2">
        <v>164</v>
      </c>
      <c r="N339" s="2">
        <v>8754</v>
      </c>
      <c r="O339" s="2">
        <v>4</v>
      </c>
      <c r="P339" s="2">
        <v>595</v>
      </c>
      <c r="Q339" s="2">
        <v>851</v>
      </c>
      <c r="R339" s="2">
        <v>6950</v>
      </c>
      <c r="S339" s="2">
        <v>48546</v>
      </c>
      <c r="T339" s="10">
        <f t="shared" si="15"/>
        <v>22810</v>
      </c>
      <c r="U339" s="8">
        <f t="shared" si="16"/>
        <v>0.46986363449099822</v>
      </c>
      <c r="V339" s="9" t="s">
        <v>5270</v>
      </c>
      <c r="W339" s="9" t="str">
        <f t="shared" si="17"/>
        <v>Holsworthy UD</v>
      </c>
      <c r="X339" s="9" t="str">
        <f>INDEX(Lookup!$A$2:$A$1349, MATCH(W339, Lookup!$B$2:$B$1349,0))</f>
        <v>J04000635</v>
      </c>
      <c r="Y339" s="9" t="str">
        <f>INDEX(Lookup!$F$2:$F$1349, MATCH(W339, Lookup!$B$2:$B$1349,0))</f>
        <v>e090227</v>
      </c>
      <c r="Z339" s="6" t="str">
        <f>INDEX(Lookup!$C$2:$C$1300, MATCH(X339, Lookup!$A$2:$A$1300,0))</f>
        <v>Devon</v>
      </c>
    </row>
    <row r="340" spans="1:26" ht="28.15" customHeight="1" x14ac:dyDescent="0.2">
      <c r="A340" s="6" t="s">
        <v>351</v>
      </c>
      <c r="B340" s="1" t="s">
        <v>351</v>
      </c>
      <c r="C340" s="2">
        <v>2312</v>
      </c>
      <c r="D340" s="2">
        <v>116739</v>
      </c>
      <c r="E340" s="2">
        <v>222</v>
      </c>
      <c r="F340" s="2">
        <v>26600</v>
      </c>
      <c r="G340" s="2">
        <v>5</v>
      </c>
      <c r="H340" s="2">
        <v>1764</v>
      </c>
      <c r="I340" s="2">
        <v>317</v>
      </c>
      <c r="J340" s="2">
        <v>55742</v>
      </c>
      <c r="K340" s="2">
        <v>20</v>
      </c>
      <c r="L340" s="2">
        <v>1669</v>
      </c>
      <c r="M340" s="2">
        <v>726</v>
      </c>
      <c r="N340" s="2">
        <v>82776</v>
      </c>
      <c r="O340" s="2">
        <v>13</v>
      </c>
      <c r="P340" s="2">
        <v>2293</v>
      </c>
      <c r="Q340" s="2">
        <v>2099</v>
      </c>
      <c r="R340" s="2">
        <v>31316</v>
      </c>
      <c r="S340" s="2">
        <v>320998</v>
      </c>
      <c r="T340" s="10">
        <f t="shared" si="15"/>
        <v>145103</v>
      </c>
      <c r="U340" s="8">
        <f t="shared" si="16"/>
        <v>0.45203708434320461</v>
      </c>
      <c r="V340" s="9" t="s">
        <v>5270</v>
      </c>
      <c r="W340" s="9" t="str">
        <f t="shared" si="17"/>
        <v>Ilfracombe UD</v>
      </c>
      <c r="X340" s="9" t="str">
        <f>INDEX(Lookup!$A$2:$A$1349, MATCH(W340, Lookup!$B$2:$B$1349,0))</f>
        <v>J04000666</v>
      </c>
      <c r="Y340" s="9" t="str">
        <f>INDEX(Lookup!$F$2:$F$1349, MATCH(W340, Lookup!$B$2:$B$1349,0))</f>
        <v>e090210</v>
      </c>
      <c r="Z340" s="6" t="str">
        <f>INDEX(Lookup!$C$2:$C$1300, MATCH(X340, Lookup!$A$2:$A$1300,0))</f>
        <v>Devon</v>
      </c>
    </row>
    <row r="341" spans="1:26" ht="28.15" customHeight="1" x14ac:dyDescent="0.2">
      <c r="A341" s="6" t="s">
        <v>352</v>
      </c>
      <c r="B341" s="1" t="s">
        <v>352</v>
      </c>
      <c r="C341" s="2">
        <v>920</v>
      </c>
      <c r="D341" s="2">
        <v>44228</v>
      </c>
      <c r="E341" s="2">
        <v>113</v>
      </c>
      <c r="F341" s="2">
        <v>14181</v>
      </c>
      <c r="I341" s="2">
        <v>114</v>
      </c>
      <c r="J341" s="2">
        <v>22430</v>
      </c>
      <c r="K341" s="2">
        <v>20</v>
      </c>
      <c r="L341" s="2">
        <v>1420</v>
      </c>
      <c r="M341" s="2">
        <v>155</v>
      </c>
      <c r="N341" s="2">
        <v>16560</v>
      </c>
      <c r="O341" s="2">
        <v>12</v>
      </c>
      <c r="P341" s="2">
        <v>5760</v>
      </c>
      <c r="Q341" s="2">
        <v>1097</v>
      </c>
      <c r="R341" s="2">
        <v>14412</v>
      </c>
      <c r="S341" s="2">
        <v>120088</v>
      </c>
      <c r="T341" s="10">
        <f>SUM(D341+F341)</f>
        <v>58409</v>
      </c>
      <c r="U341" s="8">
        <f t="shared" si="16"/>
        <v>0.48638498434481381</v>
      </c>
      <c r="V341" s="9" t="s">
        <v>5270</v>
      </c>
      <c r="W341" s="9" t="str">
        <f t="shared" si="17"/>
        <v>Kingsbridge UD</v>
      </c>
      <c r="X341" s="9" t="str">
        <f>INDEX(Lookup!$A$2:$A$1349, MATCH(W341, Lookup!$B$2:$B$1349,0))</f>
        <v>J04000697</v>
      </c>
      <c r="Y341" s="9" t="str">
        <f>INDEX(Lookup!$F$2:$F$1349, MATCH(W341, Lookup!$B$2:$B$1349,0))</f>
        <v>e090211</v>
      </c>
      <c r="Z341" s="6" t="str">
        <f>INDEX(Lookup!$C$2:$C$1300, MATCH(X341, Lookup!$A$2:$A$1300,0))</f>
        <v>Devon</v>
      </c>
    </row>
    <row r="342" spans="1:26" ht="28.15" customHeight="1" x14ac:dyDescent="0.2">
      <c r="A342" s="6" t="s">
        <v>353</v>
      </c>
      <c r="B342" s="1" t="s">
        <v>353</v>
      </c>
      <c r="C342" s="2">
        <v>453</v>
      </c>
      <c r="D342" s="2">
        <v>18705</v>
      </c>
      <c r="E342" s="2">
        <v>20</v>
      </c>
      <c r="F342" s="2">
        <v>2482</v>
      </c>
      <c r="I342" s="2">
        <v>83</v>
      </c>
      <c r="J342" s="2">
        <v>8223</v>
      </c>
      <c r="M342" s="2">
        <v>162</v>
      </c>
      <c r="N342" s="2">
        <v>19708</v>
      </c>
      <c r="O342" s="2">
        <v>1</v>
      </c>
      <c r="P342" s="2">
        <v>180</v>
      </c>
      <c r="Q342" s="2">
        <v>401</v>
      </c>
      <c r="R342" s="2">
        <v>7626</v>
      </c>
      <c r="S342" s="2">
        <v>57325</v>
      </c>
      <c r="T342" s="10">
        <f>SUM(D342+F342)</f>
        <v>21187</v>
      </c>
      <c r="U342" s="8">
        <f t="shared" si="16"/>
        <v>0.36959441779328389</v>
      </c>
      <c r="V342" s="9" t="s">
        <v>5270</v>
      </c>
      <c r="W342" s="9" t="str">
        <f t="shared" si="17"/>
        <v>Lynton UD</v>
      </c>
      <c r="X342" s="9" t="str">
        <f>INDEX(Lookup!$A$2:$A$1349, MATCH(W342, Lookup!$B$2:$B$1349,0))</f>
        <v>J04000798</v>
      </c>
      <c r="Y342" s="9" t="str">
        <f>INDEX(Lookup!$F$2:$F$1349, MATCH(W342, Lookup!$B$2:$B$1349,0))</f>
        <v>e090212</v>
      </c>
      <c r="Z342" s="6" t="str">
        <f>INDEX(Lookup!$C$2:$C$1300, MATCH(X342, Lookup!$A$2:$A$1300,0))</f>
        <v>Devon</v>
      </c>
    </row>
    <row r="343" spans="1:26" ht="28.15" customHeight="1" x14ac:dyDescent="0.2">
      <c r="A343" s="6" t="s">
        <v>354</v>
      </c>
      <c r="B343" s="1" t="s">
        <v>354</v>
      </c>
      <c r="C343" s="2">
        <v>4814</v>
      </c>
      <c r="D343" s="2">
        <v>273585</v>
      </c>
      <c r="E343" s="2">
        <v>770</v>
      </c>
      <c r="F343" s="2">
        <v>92890</v>
      </c>
      <c r="G343" s="2">
        <v>9</v>
      </c>
      <c r="H343" s="2">
        <v>1982</v>
      </c>
      <c r="I343" s="2">
        <v>379</v>
      </c>
      <c r="J343" s="2">
        <v>107975</v>
      </c>
      <c r="K343" s="2">
        <v>90</v>
      </c>
      <c r="L343" s="2">
        <v>9019</v>
      </c>
      <c r="M343" s="2">
        <v>499</v>
      </c>
      <c r="N343" s="2">
        <v>50494</v>
      </c>
      <c r="O343" s="2">
        <v>49</v>
      </c>
      <c r="P343" s="2">
        <v>56211</v>
      </c>
      <c r="Q343" s="2">
        <v>9136</v>
      </c>
      <c r="R343" s="2">
        <v>84658</v>
      </c>
      <c r="S343" s="2">
        <v>685950</v>
      </c>
      <c r="T343" s="10">
        <f t="shared" si="15"/>
        <v>368457</v>
      </c>
      <c r="U343" s="8">
        <f t="shared" si="16"/>
        <v>0.53714848020992789</v>
      </c>
      <c r="V343" s="9" t="s">
        <v>5270</v>
      </c>
      <c r="W343" s="9" t="str">
        <f t="shared" si="17"/>
        <v>Newton Abbot UD</v>
      </c>
      <c r="X343" s="9" t="str">
        <f>INDEX(Lookup!$A$2:$A$1349, MATCH(W343, Lookup!$B$2:$B$1349,0))</f>
        <v>J04000914</v>
      </c>
      <c r="Y343" s="9" t="str">
        <f>INDEX(Lookup!$F$2:$F$1349, MATCH(W343, Lookup!$B$2:$B$1349,0))</f>
        <v>e090213</v>
      </c>
      <c r="Z343" s="6" t="str">
        <f>INDEX(Lookup!$C$2:$C$1300, MATCH(X343, Lookup!$A$2:$A$1300,0))</f>
        <v>Devon</v>
      </c>
    </row>
    <row r="344" spans="1:26" ht="28.15" customHeight="1" x14ac:dyDescent="0.2">
      <c r="A344" s="6" t="s">
        <v>355</v>
      </c>
      <c r="B344" s="1" t="s">
        <v>355</v>
      </c>
      <c r="C344" s="2">
        <v>2046</v>
      </c>
      <c r="D344" s="2">
        <v>99334</v>
      </c>
      <c r="E344" s="2">
        <v>275</v>
      </c>
      <c r="F344" s="2">
        <v>33656</v>
      </c>
      <c r="G344" s="2">
        <v>17</v>
      </c>
      <c r="H344" s="2">
        <v>4023</v>
      </c>
      <c r="I344" s="2">
        <v>96</v>
      </c>
      <c r="J344" s="2">
        <v>7659</v>
      </c>
      <c r="K344" s="2">
        <v>1</v>
      </c>
      <c r="L344" s="2">
        <v>24</v>
      </c>
      <c r="M344" s="2">
        <v>246</v>
      </c>
      <c r="N344" s="2">
        <v>29127</v>
      </c>
      <c r="O344" s="2">
        <v>15</v>
      </c>
      <c r="P344" s="2">
        <v>9802</v>
      </c>
      <c r="Q344" s="2">
        <v>594</v>
      </c>
      <c r="R344" s="2">
        <v>14998</v>
      </c>
      <c r="S344" s="2">
        <v>199217</v>
      </c>
      <c r="T344" s="10">
        <f t="shared" si="15"/>
        <v>137013</v>
      </c>
      <c r="U344" s="8">
        <f t="shared" si="16"/>
        <v>0.68775757089003453</v>
      </c>
      <c r="V344" s="9" t="s">
        <v>5270</v>
      </c>
      <c r="W344" s="9" t="str">
        <f t="shared" si="17"/>
        <v>Northam UD</v>
      </c>
      <c r="X344" s="9" t="str">
        <f>INDEX(Lookup!$A$2:$A$1349, MATCH(W344, Lookup!$B$2:$B$1349,0))</f>
        <v>J04000931</v>
      </c>
      <c r="Y344" s="9" t="str">
        <f>INDEX(Lookup!$F$2:$F$1349, MATCH(W344, Lookup!$B$2:$B$1349,0))</f>
        <v>e090214</v>
      </c>
      <c r="Z344" s="6" t="str">
        <f>INDEX(Lookup!$C$2:$C$1300, MATCH(X344, Lookup!$A$2:$A$1300,0))</f>
        <v>Devon</v>
      </c>
    </row>
    <row r="345" spans="1:26" ht="28.15" customHeight="1" x14ac:dyDescent="0.2">
      <c r="A345" s="6" t="s">
        <v>356</v>
      </c>
      <c r="B345" s="1" t="s">
        <v>5350</v>
      </c>
      <c r="C345" s="2">
        <v>1086</v>
      </c>
      <c r="D345" s="2">
        <v>50305</v>
      </c>
      <c r="E345" s="2">
        <v>223</v>
      </c>
      <c r="F345" s="2">
        <v>29394</v>
      </c>
      <c r="G345" s="2">
        <v>34</v>
      </c>
      <c r="H345" s="2">
        <v>7888</v>
      </c>
      <c r="I345" s="2">
        <v>72</v>
      </c>
      <c r="J345" s="2">
        <v>11419</v>
      </c>
      <c r="K345" s="2">
        <v>7</v>
      </c>
      <c r="L345" s="2">
        <v>663</v>
      </c>
      <c r="M345" s="2">
        <v>90</v>
      </c>
      <c r="N345" s="2">
        <v>8074</v>
      </c>
      <c r="O345" s="2">
        <v>6</v>
      </c>
      <c r="P345" s="2">
        <v>10940</v>
      </c>
      <c r="Q345" s="2">
        <v>527</v>
      </c>
      <c r="R345" s="2">
        <v>23346</v>
      </c>
      <c r="S345" s="2">
        <v>142556</v>
      </c>
      <c r="T345" s="10">
        <f t="shared" si="15"/>
        <v>87587</v>
      </c>
      <c r="U345" s="8">
        <f t="shared" si="16"/>
        <v>0.61440416397766495</v>
      </c>
      <c r="V345" s="9" t="s">
        <v>5270</v>
      </c>
      <c r="W345" s="9" t="str">
        <f t="shared" si="17"/>
        <v>Ottery St. Mary UD</v>
      </c>
      <c r="X345" s="9" t="str">
        <f>INDEX(Lookup!$A$2:$A$1349, MATCH(W345, Lookup!$B$2:$B$1349,0))</f>
        <v>J04000964</v>
      </c>
      <c r="Y345" s="9" t="str">
        <f>INDEX(Lookup!$F$2:$F$1349, MATCH(W345, Lookup!$B$2:$B$1349,0))</f>
        <v>e090216</v>
      </c>
      <c r="Z345" s="6" t="str">
        <f>INDEX(Lookup!$C$2:$C$1300, MATCH(X345, Lookup!$A$2:$A$1300,0))</f>
        <v>Devon</v>
      </c>
    </row>
    <row r="346" spans="1:26" ht="28.15" customHeight="1" x14ac:dyDescent="0.2">
      <c r="A346" s="6" t="s">
        <v>357</v>
      </c>
      <c r="B346" s="1" t="s">
        <v>357</v>
      </c>
      <c r="C346" s="2">
        <v>7092</v>
      </c>
      <c r="D346" s="2">
        <v>478433</v>
      </c>
      <c r="E346" s="2">
        <v>3210</v>
      </c>
      <c r="F346" s="2">
        <v>415598</v>
      </c>
      <c r="G346" s="2">
        <v>233</v>
      </c>
      <c r="H346" s="2">
        <v>51472</v>
      </c>
      <c r="I346" s="2">
        <v>647</v>
      </c>
      <c r="J346" s="2">
        <v>168115</v>
      </c>
      <c r="K346" s="2">
        <v>83</v>
      </c>
      <c r="L346" s="2">
        <v>8709</v>
      </c>
      <c r="M346" s="2">
        <v>1069</v>
      </c>
      <c r="N346" s="2">
        <v>223653</v>
      </c>
      <c r="O346" s="2">
        <v>25</v>
      </c>
      <c r="P346" s="2">
        <v>68961</v>
      </c>
      <c r="Q346" s="2">
        <v>3102</v>
      </c>
      <c r="R346" s="2">
        <v>124046</v>
      </c>
      <c r="S346" s="2">
        <v>1542089</v>
      </c>
      <c r="T346" s="10">
        <f t="shared" si="15"/>
        <v>945503</v>
      </c>
      <c r="U346" s="8">
        <f t="shared" si="16"/>
        <v>0.61313127841518877</v>
      </c>
      <c r="V346" s="9" t="s">
        <v>5270</v>
      </c>
      <c r="W346" s="9" t="str">
        <f t="shared" si="17"/>
        <v>Paignton UD</v>
      </c>
      <c r="X346" s="9" t="str">
        <f>INDEX(Lookup!$A$2:$A$1349, MATCH(W346, Lookup!$B$2:$B$1349,0))</f>
        <v>J04000971</v>
      </c>
      <c r="Y346" s="9" t="str">
        <f>INDEX(Lookup!$F$2:$F$1349, MATCH(W346, Lookup!$B$2:$B$1349,0))</f>
        <v>e090198</v>
      </c>
      <c r="Z346" s="6" t="str">
        <f>INDEX(Lookup!$C$2:$C$1300, MATCH(X346, Lookup!$A$2:$A$1300,0))</f>
        <v>Devon</v>
      </c>
    </row>
    <row r="347" spans="1:26" ht="28.15" customHeight="1" x14ac:dyDescent="0.2">
      <c r="A347" s="6" t="s">
        <v>358</v>
      </c>
      <c r="B347" s="1" t="s">
        <v>358</v>
      </c>
      <c r="C347" s="2">
        <v>711</v>
      </c>
      <c r="D347" s="2">
        <v>39280</v>
      </c>
      <c r="E347" s="2">
        <v>193</v>
      </c>
      <c r="F347" s="2">
        <v>25498</v>
      </c>
      <c r="G347" s="2">
        <v>19</v>
      </c>
      <c r="H347" s="2">
        <v>5597</v>
      </c>
      <c r="I347" s="2">
        <v>60</v>
      </c>
      <c r="J347" s="2">
        <v>6714</v>
      </c>
      <c r="K347" s="2">
        <v>5</v>
      </c>
      <c r="L347" s="2">
        <v>229</v>
      </c>
      <c r="M347" s="2">
        <v>142</v>
      </c>
      <c r="N347" s="2">
        <v>21942</v>
      </c>
      <c r="O347" s="2">
        <v>7</v>
      </c>
      <c r="P347" s="2">
        <v>1527</v>
      </c>
      <c r="Q347" s="2">
        <v>372</v>
      </c>
      <c r="R347" s="2">
        <v>7409</v>
      </c>
      <c r="S347" s="2">
        <v>108568</v>
      </c>
      <c r="T347" s="10">
        <f t="shared" si="15"/>
        <v>70375</v>
      </c>
      <c r="U347" s="8">
        <f t="shared" si="16"/>
        <v>0.64821125930292534</v>
      </c>
      <c r="V347" s="9" t="s">
        <v>5270</v>
      </c>
      <c r="W347" s="9" t="str">
        <f t="shared" si="17"/>
        <v>Salcombe UD</v>
      </c>
      <c r="X347" s="9" t="str">
        <f>INDEX(Lookup!$A$2:$A$1349, MATCH(W347, Lookup!$B$2:$B$1349,0))</f>
        <v>J04001092</v>
      </c>
      <c r="Y347" s="9" t="str">
        <f>INDEX(Lookup!$F$2:$F$1349, MATCH(W347, Lookup!$B$2:$B$1349,0))</f>
        <v>e090217</v>
      </c>
      <c r="Z347" s="6" t="str">
        <f>INDEX(Lookup!$C$2:$C$1300, MATCH(X347, Lookup!$A$2:$A$1300,0))</f>
        <v>Devon</v>
      </c>
    </row>
    <row r="348" spans="1:26" ht="28.15" customHeight="1" x14ac:dyDescent="0.2">
      <c r="A348" s="6" t="s">
        <v>359</v>
      </c>
      <c r="B348" s="1" t="s">
        <v>359</v>
      </c>
      <c r="C348" s="2">
        <v>838</v>
      </c>
      <c r="D348" s="2">
        <v>55210</v>
      </c>
      <c r="E348" s="2">
        <v>412</v>
      </c>
      <c r="F348" s="2">
        <v>53053</v>
      </c>
      <c r="G348" s="2">
        <v>43</v>
      </c>
      <c r="H348" s="2">
        <v>10091</v>
      </c>
      <c r="I348" s="2">
        <v>96</v>
      </c>
      <c r="J348" s="2">
        <v>21503</v>
      </c>
      <c r="K348" s="2">
        <v>15</v>
      </c>
      <c r="L348" s="2">
        <v>1269</v>
      </c>
      <c r="M348" s="2">
        <v>113</v>
      </c>
      <c r="N348" s="2">
        <v>26062</v>
      </c>
      <c r="O348" s="2">
        <v>3</v>
      </c>
      <c r="P348" s="2">
        <v>1125</v>
      </c>
      <c r="Q348" s="2">
        <v>434</v>
      </c>
      <c r="R348" s="2">
        <v>16503</v>
      </c>
      <c r="S348" s="2">
        <v>185250</v>
      </c>
      <c r="T348" s="10">
        <f t="shared" si="15"/>
        <v>118354</v>
      </c>
      <c r="U348" s="8">
        <f t="shared" si="16"/>
        <v>0.63888798920377865</v>
      </c>
      <c r="V348" s="9" t="s">
        <v>5270</v>
      </c>
      <c r="W348" s="9" t="str">
        <f t="shared" si="17"/>
        <v>Seaton UD</v>
      </c>
      <c r="X348" s="9" t="str">
        <f>INDEX(Lookup!$A$2:$A$1349, MATCH(W348, Lookup!$B$2:$B$1349,0))</f>
        <v>J04001112</v>
      </c>
      <c r="Y348" s="9" t="str">
        <f>INDEX(Lookup!$F$2:$F$1349, MATCH(W348, Lookup!$B$2:$B$1349,0))</f>
        <v>e090218</v>
      </c>
      <c r="Z348" s="6" t="str">
        <f>INDEX(Lookup!$C$2:$C$1300, MATCH(X348, Lookup!$A$2:$A$1300,0))</f>
        <v>Devon</v>
      </c>
    </row>
    <row r="349" spans="1:26" ht="28.15" customHeight="1" x14ac:dyDescent="0.2">
      <c r="A349" s="6" t="s">
        <v>360</v>
      </c>
      <c r="B349" s="1" t="s">
        <v>360</v>
      </c>
      <c r="C349" s="2">
        <v>2313</v>
      </c>
      <c r="D349" s="2">
        <v>132241</v>
      </c>
      <c r="E349" s="2">
        <v>1409</v>
      </c>
      <c r="F349" s="2">
        <v>188190</v>
      </c>
      <c r="G349" s="2">
        <v>157</v>
      </c>
      <c r="H349" s="2">
        <v>37821</v>
      </c>
      <c r="I349" s="2">
        <v>237</v>
      </c>
      <c r="J349" s="2">
        <v>75979</v>
      </c>
      <c r="K349" s="2">
        <v>32</v>
      </c>
      <c r="L349" s="2">
        <v>4485</v>
      </c>
      <c r="M349" s="2">
        <v>459</v>
      </c>
      <c r="N349" s="2">
        <v>69575</v>
      </c>
      <c r="O349" s="2">
        <v>10</v>
      </c>
      <c r="P349" s="2">
        <v>4670</v>
      </c>
      <c r="Q349" s="2">
        <v>1575</v>
      </c>
      <c r="R349" s="2">
        <v>42393</v>
      </c>
      <c r="S349" s="2">
        <v>556929</v>
      </c>
      <c r="T349" s="10">
        <f t="shared" si="15"/>
        <v>358252</v>
      </c>
      <c r="U349" s="8">
        <f t="shared" si="16"/>
        <v>0.64326332440939504</v>
      </c>
      <c r="V349" s="9" t="s">
        <v>5270</v>
      </c>
      <c r="W349" s="9" t="str">
        <f t="shared" si="17"/>
        <v>Sidmouth UD</v>
      </c>
      <c r="X349" s="9" t="str">
        <f>INDEX(Lookup!$A$2:$A$1349, MATCH(W349, Lookup!$B$2:$B$1349,0))</f>
        <v>J04001141</v>
      </c>
      <c r="Y349" s="9" t="str">
        <f>INDEX(Lookup!$F$2:$F$1349, MATCH(W349, Lookup!$B$2:$B$1349,0))</f>
        <v>e090219</v>
      </c>
      <c r="Z349" s="6" t="str">
        <f>INDEX(Lookup!$C$2:$C$1300, MATCH(X349, Lookup!$A$2:$A$1300,0))</f>
        <v>Devon</v>
      </c>
    </row>
    <row r="350" spans="1:26" ht="28.15" customHeight="1" x14ac:dyDescent="0.2">
      <c r="A350" s="6" t="s">
        <v>361</v>
      </c>
      <c r="B350" s="1" t="s">
        <v>361</v>
      </c>
      <c r="C350" s="2">
        <v>1767</v>
      </c>
      <c r="D350" s="2">
        <v>93677</v>
      </c>
      <c r="E350" s="2">
        <v>269</v>
      </c>
      <c r="F350" s="2">
        <v>35147</v>
      </c>
      <c r="G350" s="2">
        <v>13</v>
      </c>
      <c r="H350" s="2">
        <v>3086</v>
      </c>
      <c r="I350" s="2">
        <v>155</v>
      </c>
      <c r="J350" s="2">
        <v>29846</v>
      </c>
      <c r="K350" s="2">
        <v>36</v>
      </c>
      <c r="L350" s="2">
        <v>2917</v>
      </c>
      <c r="M350" s="2">
        <v>332</v>
      </c>
      <c r="N350" s="2">
        <v>21623</v>
      </c>
      <c r="O350" s="2">
        <v>10</v>
      </c>
      <c r="P350" s="2">
        <v>7269</v>
      </c>
      <c r="Q350" s="2">
        <v>2508</v>
      </c>
      <c r="R350" s="2">
        <v>40372</v>
      </c>
      <c r="S350" s="2">
        <v>236445</v>
      </c>
      <c r="T350" s="10">
        <f t="shared" si="15"/>
        <v>131910</v>
      </c>
      <c r="U350" s="8">
        <f t="shared" si="16"/>
        <v>0.55788872676520962</v>
      </c>
      <c r="V350" s="9" t="s">
        <v>5270</v>
      </c>
      <c r="W350" s="9" t="str">
        <f t="shared" si="17"/>
        <v>Tavistock UD</v>
      </c>
      <c r="X350" s="9" t="str">
        <f>INDEX(Lookup!$A$2:$A$1349, MATCH(W350, Lookup!$B$2:$B$1349,0))</f>
        <v>J04001254</v>
      </c>
      <c r="Y350" s="9" t="str">
        <f>INDEX(Lookup!$F$2:$F$1349, MATCH(W350, Lookup!$B$2:$B$1349,0))</f>
        <v>e090235</v>
      </c>
      <c r="Z350" s="6" t="str">
        <f>INDEX(Lookup!$C$2:$C$1300, MATCH(X350, Lookup!$A$2:$A$1300,0))</f>
        <v>Devon</v>
      </c>
    </row>
    <row r="351" spans="1:26" ht="28.15" customHeight="1" x14ac:dyDescent="0.2">
      <c r="A351" s="6" t="s">
        <v>362</v>
      </c>
      <c r="B351" s="1" t="s">
        <v>362</v>
      </c>
      <c r="C351" s="2">
        <v>2931</v>
      </c>
      <c r="D351" s="2">
        <v>170156</v>
      </c>
      <c r="E351" s="2">
        <v>776</v>
      </c>
      <c r="F351" s="2">
        <v>93540</v>
      </c>
      <c r="G351" s="2">
        <v>23</v>
      </c>
      <c r="H351" s="2">
        <v>5476</v>
      </c>
      <c r="I351" s="2">
        <v>303</v>
      </c>
      <c r="J351" s="2">
        <v>49548</v>
      </c>
      <c r="K351" s="2">
        <v>30</v>
      </c>
      <c r="L351" s="2">
        <v>2813</v>
      </c>
      <c r="M351" s="2">
        <v>498</v>
      </c>
      <c r="N351" s="2">
        <v>51379</v>
      </c>
      <c r="O351" s="2">
        <v>17</v>
      </c>
      <c r="P351" s="2">
        <v>5912</v>
      </c>
      <c r="Q351" s="2">
        <v>2714</v>
      </c>
      <c r="R351" s="2">
        <v>37566</v>
      </c>
      <c r="S351" s="2">
        <v>419104</v>
      </c>
      <c r="T351" s="10">
        <f t="shared" si="15"/>
        <v>269172</v>
      </c>
      <c r="U351" s="8">
        <f t="shared" si="16"/>
        <v>0.64225586012063829</v>
      </c>
      <c r="V351" s="9" t="s">
        <v>5270</v>
      </c>
      <c r="W351" s="9" t="str">
        <f t="shared" si="17"/>
        <v>Teignmouth UD</v>
      </c>
      <c r="X351" s="9" t="str">
        <f>INDEX(Lookup!$A$2:$A$1349, MATCH(W351, Lookup!$B$2:$B$1349,0))</f>
        <v>J04001256</v>
      </c>
      <c r="Y351" s="9" t="str">
        <f>INDEX(Lookup!$F$2:$F$1349, MATCH(W351, Lookup!$B$2:$B$1349,0))</f>
        <v>e090220</v>
      </c>
      <c r="Z351" s="6" t="str">
        <f>INDEX(Lookup!$C$2:$C$1300, MATCH(X351, Lookup!$A$2:$A$1300,0))</f>
        <v>Devon</v>
      </c>
    </row>
    <row r="352" spans="1:26" ht="28.15" customHeight="1" x14ac:dyDescent="0.2">
      <c r="A352" s="6" t="s">
        <v>363</v>
      </c>
      <c r="B352" s="1" t="s">
        <v>363</v>
      </c>
      <c r="T352" s="10"/>
      <c r="W352" s="9" t="str">
        <f t="shared" si="17"/>
        <v xml:space="preserve">DEVON:-contd </v>
      </c>
      <c r="X352" s="9" t="e">
        <f>INDEX(Lookup!$A$2:$A$1349, MATCH(W352, Lookup!$B$2:$B$1349,0))</f>
        <v>#N/A</v>
      </c>
      <c r="Y352" s="9" t="e">
        <f>INDEX(Lookup!$F$2:$F$1349, MATCH(W352, Lookup!$B$2:$B$1349,0))</f>
        <v>#N/A</v>
      </c>
      <c r="Z352" s="6" t="e">
        <f>INDEX(Lookup!$C$2:$C$1300, MATCH(X352, Lookup!$A$2:$A$1300,0))</f>
        <v>#N/A</v>
      </c>
    </row>
    <row r="353" spans="1:26" ht="28.15" customHeight="1" x14ac:dyDescent="0.2">
      <c r="A353" s="6" t="s">
        <v>212</v>
      </c>
      <c r="B353" s="1" t="s">
        <v>212</v>
      </c>
      <c r="T353" s="10"/>
      <c r="W353" s="9" t="str">
        <f t="shared" si="17"/>
        <v xml:space="preserve">Rural Districts-- </v>
      </c>
      <c r="X353" s="9" t="e">
        <f>INDEX(Lookup!$A$2:$A$1349, MATCH(W353, Lookup!$B$2:$B$1349,0))</f>
        <v>#N/A</v>
      </c>
      <c r="Y353" s="9" t="e">
        <f>INDEX(Lookup!$F$2:$F$1349, MATCH(W353, Lookup!$B$2:$B$1349,0))</f>
        <v>#N/A</v>
      </c>
      <c r="Z353" s="6" t="e">
        <f>INDEX(Lookup!$C$2:$C$1300, MATCH(X353, Lookup!$A$2:$A$1300,0))</f>
        <v>#N/A</v>
      </c>
    </row>
    <row r="354" spans="1:26" ht="28.15" customHeight="1" x14ac:dyDescent="0.2">
      <c r="A354" s="6" t="s">
        <v>364</v>
      </c>
      <c r="B354" s="1" t="s">
        <v>364</v>
      </c>
      <c r="C354" s="2">
        <v>3767</v>
      </c>
      <c r="D354" s="2">
        <v>192965</v>
      </c>
      <c r="E354" s="2">
        <v>567</v>
      </c>
      <c r="F354" s="2">
        <v>73318</v>
      </c>
      <c r="G354" s="2">
        <v>49</v>
      </c>
      <c r="H354" s="2">
        <v>11516</v>
      </c>
      <c r="I354" s="2">
        <v>174</v>
      </c>
      <c r="J354" s="2">
        <v>31361</v>
      </c>
      <c r="K354" s="2">
        <v>17</v>
      </c>
      <c r="L354" s="2">
        <v>2095</v>
      </c>
      <c r="M354" s="2">
        <v>457</v>
      </c>
      <c r="N354" s="2">
        <v>40785</v>
      </c>
      <c r="O354" s="2">
        <v>15</v>
      </c>
      <c r="P354" s="2">
        <v>40754</v>
      </c>
      <c r="Q354" s="2">
        <v>2298</v>
      </c>
      <c r="R354" s="2">
        <v>95498</v>
      </c>
      <c r="S354" s="2">
        <v>490590</v>
      </c>
      <c r="T354" s="10">
        <f t="shared" si="15"/>
        <v>277799</v>
      </c>
      <c r="U354" s="8">
        <f t="shared" si="16"/>
        <v>0.56625491754825819</v>
      </c>
      <c r="V354" s="9" t="s">
        <v>5271</v>
      </c>
      <c r="W354" s="9" t="str">
        <f t="shared" si="17"/>
        <v>Axminster RD</v>
      </c>
      <c r="X354" s="9" t="str">
        <f>INDEX(Lookup!$A$2:$A$1349, MATCH(W354, Lookup!$B$2:$B$1349,0))</f>
        <v>J04000064</v>
      </c>
      <c r="Y354" s="9" t="str">
        <f>INDEX(Lookup!$F$2:$F$1349, MATCH(W354, Lookup!$B$2:$B$1349,0))</f>
        <v>e090223</v>
      </c>
      <c r="Z354" s="6" t="str">
        <f>INDEX(Lookup!$C$2:$C$1300, MATCH(X354, Lookup!$A$2:$A$1300,0))</f>
        <v>Devon</v>
      </c>
    </row>
    <row r="355" spans="1:26" ht="28.15" customHeight="1" x14ac:dyDescent="0.2">
      <c r="A355" s="6" t="s">
        <v>333</v>
      </c>
      <c r="B355" s="1" t="s">
        <v>333</v>
      </c>
      <c r="C355" s="2">
        <v>6556</v>
      </c>
      <c r="D355" s="2">
        <v>314912</v>
      </c>
      <c r="E355" s="2">
        <v>522</v>
      </c>
      <c r="F355" s="2">
        <v>65144</v>
      </c>
      <c r="G355" s="2">
        <v>57</v>
      </c>
      <c r="H355" s="2">
        <v>14203</v>
      </c>
      <c r="I355" s="2">
        <v>287</v>
      </c>
      <c r="J355" s="2">
        <v>26961</v>
      </c>
      <c r="K355" s="2">
        <v>15</v>
      </c>
      <c r="L355" s="2">
        <v>589</v>
      </c>
      <c r="M355" s="2">
        <v>686</v>
      </c>
      <c r="N355" s="2">
        <v>82704</v>
      </c>
      <c r="O355" s="2">
        <v>19</v>
      </c>
      <c r="P355" s="2">
        <v>13635</v>
      </c>
      <c r="Q355" s="2">
        <v>20319</v>
      </c>
      <c r="R355" s="2">
        <v>206676</v>
      </c>
      <c r="S355" s="2">
        <v>745143</v>
      </c>
      <c r="T355" s="10">
        <f t="shared" si="15"/>
        <v>394259</v>
      </c>
      <c r="U355" s="8">
        <f t="shared" si="16"/>
        <v>0.5291051516286136</v>
      </c>
      <c r="V355" s="9" t="s">
        <v>5271</v>
      </c>
      <c r="W355" s="9" t="str">
        <f t="shared" si="17"/>
        <v>Barnstaple RD</v>
      </c>
      <c r="X355" s="9" t="str">
        <f>INDEX(Lookup!$A$2:$A$1349, MATCH(W355, Lookup!$B$2:$B$1349,0))</f>
        <v>J04000089</v>
      </c>
      <c r="Y355" s="9" t="str">
        <f>INDEX(Lookup!$F$2:$F$1349, MATCH(W355, Lookup!$B$2:$B$1349,0))</f>
        <v>e090224</v>
      </c>
      <c r="Z355" s="6" t="str">
        <f>INDEX(Lookup!$C$2:$C$1300, MATCH(X355, Lookup!$A$2:$A$1300,0))</f>
        <v>Devon</v>
      </c>
    </row>
    <row r="356" spans="1:26" ht="28.15" customHeight="1" x14ac:dyDescent="0.2">
      <c r="A356" s="6" t="s">
        <v>334</v>
      </c>
      <c r="B356" s="1" t="s">
        <v>334</v>
      </c>
      <c r="C356" s="2">
        <v>1113</v>
      </c>
      <c r="D356" s="2">
        <v>31946</v>
      </c>
      <c r="E356" s="2">
        <v>17</v>
      </c>
      <c r="F356" s="2">
        <v>2050</v>
      </c>
      <c r="G356" s="2">
        <v>4</v>
      </c>
      <c r="H356" s="2">
        <v>1056</v>
      </c>
      <c r="I356" s="2">
        <v>38</v>
      </c>
      <c r="J356" s="2">
        <v>2289</v>
      </c>
      <c r="K356" s="2" t="s">
        <v>5467</v>
      </c>
      <c r="M356" s="2">
        <v>110</v>
      </c>
      <c r="N356" s="2">
        <v>10502</v>
      </c>
      <c r="O356" s="2">
        <v>1</v>
      </c>
      <c r="P356" s="2">
        <v>300</v>
      </c>
      <c r="Q356" s="2">
        <v>1710</v>
      </c>
      <c r="R356" s="2">
        <v>26975</v>
      </c>
      <c r="S356" s="2">
        <v>76828</v>
      </c>
      <c r="T356" s="10">
        <f t="shared" si="15"/>
        <v>35052</v>
      </c>
      <c r="U356" s="8">
        <f t="shared" si="16"/>
        <v>0.45623991253188939</v>
      </c>
      <c r="V356" s="9" t="s">
        <v>5271</v>
      </c>
      <c r="W356" s="9" t="str">
        <f t="shared" si="17"/>
        <v>Bideford RD</v>
      </c>
      <c r="X356" s="9" t="str">
        <f>INDEX(Lookup!$A$2:$A$1349, MATCH(W356, Lookup!$B$2:$B$1349,0))</f>
        <v>J04000140</v>
      </c>
      <c r="Y356" s="9" t="str">
        <f>INDEX(Lookup!$F$2:$F$1349, MATCH(W356, Lookup!$B$2:$B$1349,0))</f>
        <v>e090225</v>
      </c>
      <c r="Z356" s="6" t="str">
        <f>INDEX(Lookup!$C$2:$C$1300, MATCH(X356, Lookup!$A$2:$A$1300,0))</f>
        <v>Devon</v>
      </c>
    </row>
    <row r="357" spans="1:26" ht="28.15" customHeight="1" x14ac:dyDescent="0.2">
      <c r="A357" s="6" t="s">
        <v>365</v>
      </c>
      <c r="B357" s="1" t="s">
        <v>365</v>
      </c>
      <c r="C357" s="2">
        <v>228</v>
      </c>
      <c r="D357" s="2">
        <v>5671</v>
      </c>
      <c r="E357" s="2">
        <v>5</v>
      </c>
      <c r="F357" s="2">
        <v>724</v>
      </c>
      <c r="G357" s="2">
        <v>2</v>
      </c>
      <c r="H357" s="2">
        <v>612</v>
      </c>
      <c r="I357" s="2">
        <v>7</v>
      </c>
      <c r="J357" s="2">
        <v>322</v>
      </c>
      <c r="M357" s="2">
        <v>45</v>
      </c>
      <c r="N357" s="2">
        <v>637</v>
      </c>
      <c r="O357" s="2">
        <v>1</v>
      </c>
      <c r="P357" s="2">
        <v>15</v>
      </c>
      <c r="Q357" s="2">
        <v>14</v>
      </c>
      <c r="R357" s="2">
        <v>14162</v>
      </c>
      <c r="S357" s="2">
        <v>22157</v>
      </c>
      <c r="T357" s="10">
        <f t="shared" si="15"/>
        <v>7007</v>
      </c>
      <c r="U357" s="8">
        <f t="shared" si="16"/>
        <v>0.31624317371485311</v>
      </c>
      <c r="V357" s="9" t="s">
        <v>5271</v>
      </c>
      <c r="W357" s="9" t="str">
        <f t="shared" si="17"/>
        <v>Broadwoodwidger RD</v>
      </c>
      <c r="X357" s="9" t="str">
        <f>INDEX(Lookup!$A$2:$A$1349, MATCH(W357, Lookup!$B$2:$B$1349,0))</f>
        <v>J04000217</v>
      </c>
      <c r="Y357" s="9" t="str">
        <f>INDEX(Lookup!$F$2:$F$1349, MATCH(W357, Lookup!$B$2:$B$1349,0))</f>
        <v>e090227</v>
      </c>
      <c r="Z357" s="6" t="str">
        <f>INDEX(Lookup!$C$2:$C$1300, MATCH(X357, Lookup!$A$2:$A$1300,0))</f>
        <v>Devon</v>
      </c>
    </row>
    <row r="358" spans="1:26" ht="28.15" customHeight="1" x14ac:dyDescent="0.2">
      <c r="A358" s="6" t="s">
        <v>347</v>
      </c>
      <c r="B358" s="1" t="s">
        <v>347</v>
      </c>
      <c r="C358" s="2">
        <v>1825</v>
      </c>
      <c r="D358" s="2">
        <v>75399</v>
      </c>
      <c r="E358" s="2">
        <v>60</v>
      </c>
      <c r="F358" s="2">
        <v>7848</v>
      </c>
      <c r="G358" s="2">
        <v>13</v>
      </c>
      <c r="H358" s="2">
        <v>4054</v>
      </c>
      <c r="I358" s="2">
        <v>60</v>
      </c>
      <c r="J358" s="2">
        <v>5110</v>
      </c>
      <c r="M358" s="2">
        <v>233</v>
      </c>
      <c r="N358" s="2">
        <v>10829</v>
      </c>
      <c r="O358" s="2">
        <v>9</v>
      </c>
      <c r="P358" s="2">
        <v>12060</v>
      </c>
      <c r="Q358" s="2">
        <v>157</v>
      </c>
      <c r="R358" s="2">
        <v>81386</v>
      </c>
      <c r="S358" s="2">
        <v>196843</v>
      </c>
      <c r="T358" s="10">
        <f t="shared" si="15"/>
        <v>87301</v>
      </c>
      <c r="U358" s="8">
        <f t="shared" si="16"/>
        <v>0.44350573807552213</v>
      </c>
      <c r="V358" s="9" t="s">
        <v>5271</v>
      </c>
      <c r="W358" s="9" t="str">
        <f t="shared" si="17"/>
        <v>Crediton RD</v>
      </c>
      <c r="X358" s="9" t="str">
        <f>INDEX(Lookup!$A$2:$A$1349, MATCH(W358, Lookup!$B$2:$B$1349,0))</f>
        <v>J04000359</v>
      </c>
      <c r="Y358" s="9" t="str">
        <f>INDEX(Lookup!$F$2:$F$1349, MATCH(W358, Lookup!$B$2:$B$1349,0))</f>
        <v>e090226</v>
      </c>
      <c r="Z358" s="6" t="str">
        <f>INDEX(Lookup!$C$2:$C$1300, MATCH(X358, Lookup!$A$2:$A$1300,0))</f>
        <v>Devon</v>
      </c>
    </row>
    <row r="359" spans="1:26" ht="28.15" customHeight="1" x14ac:dyDescent="0.2">
      <c r="A359" s="6" t="s">
        <v>350</v>
      </c>
      <c r="B359" s="1" t="s">
        <v>350</v>
      </c>
      <c r="C359" s="2">
        <v>1028</v>
      </c>
      <c r="D359" s="2">
        <v>29732</v>
      </c>
      <c r="E359" s="2">
        <v>20</v>
      </c>
      <c r="F359" s="2">
        <v>2424</v>
      </c>
      <c r="I359" s="2">
        <v>55</v>
      </c>
      <c r="J359" s="2">
        <v>2979</v>
      </c>
      <c r="K359" s="2">
        <v>2</v>
      </c>
      <c r="L359" s="2">
        <v>70</v>
      </c>
      <c r="M359" s="2">
        <v>185</v>
      </c>
      <c r="N359" s="2">
        <v>4535</v>
      </c>
      <c r="O359" s="2">
        <v>3</v>
      </c>
      <c r="P359" s="2">
        <v>311</v>
      </c>
      <c r="Q359" s="2">
        <v>89</v>
      </c>
      <c r="R359" s="2">
        <v>37736</v>
      </c>
      <c r="S359" s="2">
        <v>77876</v>
      </c>
      <c r="T359" s="10">
        <f>SUM(D359+F359)</f>
        <v>32156</v>
      </c>
      <c r="U359" s="8">
        <f t="shared" si="16"/>
        <v>0.41291283579023064</v>
      </c>
      <c r="V359" s="9" t="s">
        <v>5271</v>
      </c>
      <c r="W359" s="9" t="str">
        <f t="shared" si="17"/>
        <v>Holsworthy RD</v>
      </c>
      <c r="X359" s="9" t="str">
        <f>INDEX(Lookup!$A$2:$A$1349, MATCH(W359, Lookup!$B$2:$B$1349,0))</f>
        <v>J04000634</v>
      </c>
      <c r="Y359" s="9" t="str">
        <f>INDEX(Lookup!$F$2:$F$1349, MATCH(W359, Lookup!$B$2:$B$1349,0))</f>
        <v>e090227</v>
      </c>
      <c r="Z359" s="6" t="str">
        <f>INDEX(Lookup!$C$2:$C$1300, MATCH(X359, Lookup!$A$2:$A$1300,0))</f>
        <v>Devon</v>
      </c>
    </row>
    <row r="360" spans="1:26" ht="28.15" customHeight="1" x14ac:dyDescent="0.2">
      <c r="A360" s="6" t="s">
        <v>337</v>
      </c>
      <c r="B360" s="1" t="s">
        <v>337</v>
      </c>
      <c r="C360" s="2">
        <v>1486</v>
      </c>
      <c r="D360" s="2">
        <v>60611</v>
      </c>
      <c r="E360" s="2">
        <v>102</v>
      </c>
      <c r="F360" s="2">
        <v>13038</v>
      </c>
      <c r="G360" s="2">
        <v>16</v>
      </c>
      <c r="H360" s="2">
        <v>3916</v>
      </c>
      <c r="I360" s="2">
        <v>24</v>
      </c>
      <c r="J360" s="2">
        <v>1800</v>
      </c>
      <c r="K360" s="2">
        <v>1</v>
      </c>
      <c r="L360" s="2">
        <v>15</v>
      </c>
      <c r="M360" s="2">
        <v>177</v>
      </c>
      <c r="N360" s="2">
        <v>12354</v>
      </c>
      <c r="O360" s="2">
        <v>8</v>
      </c>
      <c r="P360" s="2">
        <v>2950</v>
      </c>
      <c r="Q360" s="2">
        <v>3510</v>
      </c>
      <c r="R360" s="2">
        <v>53889</v>
      </c>
      <c r="S360" s="2">
        <v>152083</v>
      </c>
      <c r="T360" s="10">
        <f t="shared" si="15"/>
        <v>77565</v>
      </c>
      <c r="U360" s="8">
        <f t="shared" si="16"/>
        <v>0.51001755620286293</v>
      </c>
      <c r="V360" s="9" t="s">
        <v>5271</v>
      </c>
      <c r="W360" s="9" t="str">
        <f t="shared" si="17"/>
        <v>Honiton RD</v>
      </c>
      <c r="X360" s="9" t="str">
        <f>INDEX(Lookup!$A$2:$A$1349, MATCH(W360, Lookup!$B$2:$B$1349,0))</f>
        <v>J04000640</v>
      </c>
      <c r="Y360" s="9" t="str">
        <f>INDEX(Lookup!$F$2:$F$1349, MATCH(W360, Lookup!$B$2:$B$1349,0))</f>
        <v>e090228</v>
      </c>
      <c r="Z360" s="6" t="str">
        <f>INDEX(Lookup!$C$2:$C$1300, MATCH(X360, Lookup!$A$2:$A$1300,0))</f>
        <v>Devon</v>
      </c>
    </row>
    <row r="361" spans="1:26" ht="28.15" customHeight="1" x14ac:dyDescent="0.2">
      <c r="A361" s="6" t="s">
        <v>352</v>
      </c>
      <c r="B361" s="1" t="s">
        <v>352</v>
      </c>
      <c r="C361" s="2">
        <v>3002</v>
      </c>
      <c r="D361" s="2">
        <v>130339</v>
      </c>
      <c r="E361" s="2">
        <v>263</v>
      </c>
      <c r="F361" s="2">
        <v>34753</v>
      </c>
      <c r="G361" s="2">
        <v>35</v>
      </c>
      <c r="H361" s="2">
        <v>8645</v>
      </c>
      <c r="I361" s="2">
        <v>109</v>
      </c>
      <c r="J361" s="2">
        <v>9707</v>
      </c>
      <c r="K361" s="2">
        <v>2</v>
      </c>
      <c r="L361" s="2">
        <v>59</v>
      </c>
      <c r="M361" s="2">
        <v>509</v>
      </c>
      <c r="N361" s="2">
        <v>44928</v>
      </c>
      <c r="O361" s="2">
        <v>3</v>
      </c>
      <c r="P361" s="2">
        <v>360</v>
      </c>
      <c r="Q361" s="2">
        <v>1986</v>
      </c>
      <c r="R361" s="2">
        <v>77851</v>
      </c>
      <c r="S361" s="2">
        <v>308628</v>
      </c>
      <c r="T361" s="10">
        <f t="shared" si="15"/>
        <v>173737</v>
      </c>
      <c r="U361" s="8">
        <f t="shared" si="16"/>
        <v>0.56293336962297658</v>
      </c>
      <c r="V361" s="9" t="s">
        <v>5271</v>
      </c>
      <c r="W361" s="9" t="str">
        <f t="shared" si="17"/>
        <v>Kingsbridge RD</v>
      </c>
      <c r="X361" s="9" t="str">
        <f>INDEX(Lookup!$A$2:$A$1349, MATCH(W361, Lookup!$B$2:$B$1349,0))</f>
        <v>J04000696</v>
      </c>
      <c r="Y361" s="9" t="str">
        <f>INDEX(Lookup!$F$2:$F$1349, MATCH(W361, Lookup!$B$2:$B$1349,0))</f>
        <v>e090229</v>
      </c>
      <c r="Z361" s="6" t="str">
        <f>INDEX(Lookup!$C$2:$C$1300, MATCH(X361, Lookup!$A$2:$A$1300,0))</f>
        <v>Devon</v>
      </c>
    </row>
    <row r="362" spans="1:26" ht="28.15" customHeight="1" x14ac:dyDescent="0.2">
      <c r="A362" s="6" t="s">
        <v>354</v>
      </c>
      <c r="B362" s="1" t="s">
        <v>354</v>
      </c>
      <c r="C362" s="2">
        <v>7563</v>
      </c>
      <c r="D362" s="2">
        <v>382706</v>
      </c>
      <c r="E362" s="2">
        <v>374</v>
      </c>
      <c r="F362" s="2">
        <v>45725</v>
      </c>
      <c r="G362" s="2">
        <v>25</v>
      </c>
      <c r="H362" s="2">
        <v>7261</v>
      </c>
      <c r="I362" s="2">
        <v>282</v>
      </c>
      <c r="J362" s="2">
        <v>23987</v>
      </c>
      <c r="K362" s="2">
        <v>14</v>
      </c>
      <c r="L362" s="2">
        <v>540</v>
      </c>
      <c r="M362" s="2">
        <v>598</v>
      </c>
      <c r="N362" s="2">
        <v>60194</v>
      </c>
      <c r="O362" s="2">
        <v>38</v>
      </c>
      <c r="P362" s="2">
        <v>32888</v>
      </c>
      <c r="Q362" s="2">
        <v>8986</v>
      </c>
      <c r="R362" s="2">
        <v>147753</v>
      </c>
      <c r="S362" s="2">
        <v>710040</v>
      </c>
      <c r="T362" s="10">
        <f t="shared" si="15"/>
        <v>435692</v>
      </c>
      <c r="U362" s="8">
        <f t="shared" si="16"/>
        <v>0.61361613430229278</v>
      </c>
      <c r="V362" s="9" t="s">
        <v>5271</v>
      </c>
      <c r="W362" s="9" t="str">
        <f t="shared" si="17"/>
        <v>Newton Abbot RD</v>
      </c>
      <c r="X362" s="9" t="str">
        <f>INDEX(Lookup!$A$2:$A$1349, MATCH(W362, Lookup!$B$2:$B$1349,0))</f>
        <v>J04000913</v>
      </c>
      <c r="Y362" s="9" t="str">
        <f>INDEX(Lookup!$F$2:$F$1349, MATCH(W362, Lookup!$B$2:$B$1349,0))</f>
        <v>e090230</v>
      </c>
      <c r="Z362" s="6" t="str">
        <f>INDEX(Lookup!$C$2:$C$1300, MATCH(X362, Lookup!$A$2:$A$1300,0))</f>
        <v>Devon</v>
      </c>
    </row>
    <row r="363" spans="1:26" ht="28.15" customHeight="1" x14ac:dyDescent="0.2">
      <c r="A363" s="6" t="s">
        <v>338</v>
      </c>
      <c r="B363" s="1" t="s">
        <v>338</v>
      </c>
      <c r="C363" s="2">
        <v>2462</v>
      </c>
      <c r="D363" s="2">
        <v>81040</v>
      </c>
      <c r="E363" s="2">
        <v>167</v>
      </c>
      <c r="F363" s="2">
        <v>23299</v>
      </c>
      <c r="G363" s="2">
        <v>27</v>
      </c>
      <c r="H363" s="2">
        <v>7602</v>
      </c>
      <c r="I363" s="2">
        <v>147</v>
      </c>
      <c r="J363" s="2">
        <v>10489</v>
      </c>
      <c r="K363" s="2">
        <v>23</v>
      </c>
      <c r="L363" s="2">
        <v>453</v>
      </c>
      <c r="M363" s="2">
        <v>324</v>
      </c>
      <c r="N363" s="2">
        <v>17497</v>
      </c>
      <c r="O363" s="2">
        <v>4</v>
      </c>
      <c r="P363" s="2">
        <v>1212</v>
      </c>
      <c r="Q363" s="2">
        <v>6412</v>
      </c>
      <c r="R363" s="2">
        <v>78013</v>
      </c>
      <c r="S363" s="2">
        <v>226017</v>
      </c>
      <c r="T363" s="10">
        <f t="shared" si="15"/>
        <v>111941</v>
      </c>
      <c r="U363" s="8">
        <f t="shared" si="16"/>
        <v>0.49527690394970292</v>
      </c>
      <c r="V363" s="9" t="s">
        <v>5271</v>
      </c>
      <c r="W363" s="9" t="str">
        <f t="shared" si="17"/>
        <v>Okehampton RD</v>
      </c>
      <c r="X363" s="9" t="str">
        <f>INDEX(Lookup!$A$2:$A$1349, MATCH(W363, Lookup!$B$2:$B$1349,0))</f>
        <v>J04000951</v>
      </c>
      <c r="Y363" s="9" t="str">
        <f>INDEX(Lookup!$F$2:$F$1349, MATCH(W363, Lookup!$B$2:$B$1349,0))</f>
        <v>e090231</v>
      </c>
      <c r="Z363" s="6" t="str">
        <f>INDEX(Lookup!$C$2:$C$1300, MATCH(X363, Lookup!$A$2:$A$1300,0))</f>
        <v>Devon</v>
      </c>
    </row>
    <row r="364" spans="1:26" ht="28.15" customHeight="1" x14ac:dyDescent="0.2">
      <c r="A364" s="6" t="s">
        <v>366</v>
      </c>
      <c r="B364" s="1" t="s">
        <v>5351</v>
      </c>
      <c r="C364" s="2">
        <v>10418</v>
      </c>
      <c r="D364" s="2">
        <v>660997</v>
      </c>
      <c r="E364" s="2">
        <v>2509</v>
      </c>
      <c r="F364" s="2">
        <v>305692</v>
      </c>
      <c r="G364" s="2">
        <v>91</v>
      </c>
      <c r="H364" s="2">
        <v>22000</v>
      </c>
      <c r="I364" s="2">
        <v>331</v>
      </c>
      <c r="J364" s="2">
        <v>52878</v>
      </c>
      <c r="K364" s="2">
        <v>36</v>
      </c>
      <c r="L364" s="2">
        <v>6197</v>
      </c>
      <c r="M364" s="2">
        <v>878</v>
      </c>
      <c r="N364" s="2">
        <v>73723</v>
      </c>
      <c r="O364" s="2">
        <v>40</v>
      </c>
      <c r="P364" s="2">
        <v>111045</v>
      </c>
      <c r="Q364" s="2">
        <v>38595</v>
      </c>
      <c r="R364" s="2">
        <v>254561</v>
      </c>
      <c r="S364" s="2">
        <v>1525688</v>
      </c>
      <c r="T364" s="10">
        <f t="shared" si="15"/>
        <v>988689</v>
      </c>
      <c r="U364" s="8">
        <f t="shared" si="16"/>
        <v>0.64802829936395911</v>
      </c>
      <c r="V364" s="9" t="s">
        <v>5271</v>
      </c>
      <c r="W364" s="9" t="str">
        <f t="shared" si="17"/>
        <v>Plympton St. Mary RD</v>
      </c>
      <c r="X364" s="9" t="str">
        <f>INDEX(Lookup!$A$2:$A$1349, MATCH(W364, Lookup!$B$2:$B$1349,0))</f>
        <v>J04000997</v>
      </c>
      <c r="Y364" s="9" t="str">
        <f>INDEX(Lookup!$F$2:$F$1349, MATCH(W364, Lookup!$B$2:$B$1349,0))</f>
        <v>e090197</v>
      </c>
      <c r="Z364" s="6" t="str">
        <f>INDEX(Lookup!$C$2:$C$1300, MATCH(X364, Lookup!$A$2:$A$1300,0))</f>
        <v>Devon</v>
      </c>
    </row>
    <row r="365" spans="1:26" ht="28.15" customHeight="1" x14ac:dyDescent="0.2">
      <c r="A365" s="6" t="s">
        <v>367</v>
      </c>
      <c r="B365" s="1" t="s">
        <v>5352</v>
      </c>
      <c r="C365" s="2">
        <v>7725</v>
      </c>
      <c r="D365" s="2">
        <v>407525</v>
      </c>
      <c r="E365" s="2">
        <v>1226</v>
      </c>
      <c r="F365" s="2">
        <v>157737</v>
      </c>
      <c r="G365" s="2">
        <v>147</v>
      </c>
      <c r="H365" s="2">
        <v>36663</v>
      </c>
      <c r="I365" s="2">
        <v>225</v>
      </c>
      <c r="J365" s="2">
        <v>25181</v>
      </c>
      <c r="K365" s="2">
        <v>7</v>
      </c>
      <c r="L365" s="2">
        <v>1049</v>
      </c>
      <c r="M365" s="2">
        <v>649</v>
      </c>
      <c r="N365" s="2">
        <v>120352</v>
      </c>
      <c r="O365" s="2">
        <v>49</v>
      </c>
      <c r="P365" s="2">
        <v>100366</v>
      </c>
      <c r="Q365" s="2">
        <v>36255</v>
      </c>
      <c r="R365" s="2">
        <v>165495</v>
      </c>
      <c r="S365" s="2">
        <v>1050623</v>
      </c>
      <c r="T365" s="10">
        <f t="shared" si="15"/>
        <v>601925</v>
      </c>
      <c r="U365" s="8">
        <f t="shared" si="16"/>
        <v>0.57292197105907638</v>
      </c>
      <c r="V365" s="9" t="s">
        <v>5271</v>
      </c>
      <c r="W365" s="9" t="str">
        <f t="shared" si="17"/>
        <v>St. Thomas RD</v>
      </c>
      <c r="X365" s="9" t="str">
        <f>INDEX(Lookup!$A$2:$A$1349, MATCH(W365, Lookup!$B$2:$B$1349,0))</f>
        <v>J04001195</v>
      </c>
      <c r="Y365" s="9" t="str">
        <f>INDEX(Lookup!$F$2:$F$1349, MATCH(W365, Lookup!$B$2:$B$1349,0))</f>
        <v>e090233</v>
      </c>
      <c r="Z365" s="6" t="str">
        <f>INDEX(Lookup!$C$2:$C$1300, MATCH(X365, Lookup!$A$2:$A$1300,0))</f>
        <v>Devon</v>
      </c>
    </row>
    <row r="366" spans="1:26" ht="28.15" customHeight="1" x14ac:dyDescent="0.2">
      <c r="A366" s="6" t="s">
        <v>339</v>
      </c>
      <c r="B366" s="1" t="s">
        <v>339</v>
      </c>
      <c r="C366" s="2">
        <v>1656</v>
      </c>
      <c r="D366" s="2">
        <v>45501</v>
      </c>
      <c r="E366" s="2">
        <v>28</v>
      </c>
      <c r="F366" s="2">
        <v>3944</v>
      </c>
      <c r="G366" s="2">
        <v>5</v>
      </c>
      <c r="H366" s="2">
        <v>2136</v>
      </c>
      <c r="I366" s="2">
        <v>93</v>
      </c>
      <c r="J366" s="2">
        <v>4881</v>
      </c>
      <c r="K366" s="2">
        <v>6</v>
      </c>
      <c r="L366" s="2">
        <v>196</v>
      </c>
      <c r="M366" s="2">
        <v>251</v>
      </c>
      <c r="N366" s="2">
        <v>8793</v>
      </c>
      <c r="O366" s="2">
        <v>5</v>
      </c>
      <c r="P366" s="2">
        <v>1140</v>
      </c>
      <c r="Q366" s="2">
        <v>333</v>
      </c>
      <c r="R366" s="2">
        <v>55662</v>
      </c>
      <c r="S366" s="2">
        <v>122586</v>
      </c>
      <c r="T366" s="10">
        <f t="shared" si="15"/>
        <v>51581</v>
      </c>
      <c r="U366" s="8">
        <f t="shared" si="16"/>
        <v>0.42077398724160997</v>
      </c>
      <c r="V366" s="9" t="s">
        <v>5271</v>
      </c>
      <c r="W366" s="9" t="str">
        <f t="shared" si="17"/>
        <v>South Molton RD</v>
      </c>
      <c r="X366" s="9" t="str">
        <f>INDEX(Lookup!$A$2:$A$1349, MATCH(W366, Lookup!$B$2:$B$1349,0))</f>
        <v>J04001159</v>
      </c>
      <c r="Y366" s="9" t="str">
        <f>INDEX(Lookup!$F$2:$F$1349, MATCH(W366, Lookup!$B$2:$B$1349,0))</f>
        <v>e090234</v>
      </c>
      <c r="Z366" s="6" t="str">
        <f>INDEX(Lookup!$C$2:$C$1300, MATCH(X366, Lookup!$A$2:$A$1300,0))</f>
        <v>Devon</v>
      </c>
    </row>
    <row r="367" spans="1:26" ht="28.15" customHeight="1" x14ac:dyDescent="0.2">
      <c r="A367" s="6" t="s">
        <v>361</v>
      </c>
      <c r="B367" s="1" t="s">
        <v>361</v>
      </c>
      <c r="C367" s="2">
        <v>3489</v>
      </c>
      <c r="D367" s="2">
        <v>142404</v>
      </c>
      <c r="E367" s="2">
        <v>480</v>
      </c>
      <c r="F367" s="2">
        <v>64367</v>
      </c>
      <c r="G367" s="2">
        <v>40</v>
      </c>
      <c r="H367" s="2">
        <v>9856</v>
      </c>
      <c r="I367" s="2">
        <v>135</v>
      </c>
      <c r="J367" s="2">
        <v>10070</v>
      </c>
      <c r="K367" s="2">
        <v>4</v>
      </c>
      <c r="L367" s="2">
        <v>81</v>
      </c>
      <c r="M367" s="2">
        <v>357</v>
      </c>
      <c r="N367" s="2">
        <v>25311</v>
      </c>
      <c r="O367" s="2">
        <v>15</v>
      </c>
      <c r="P367" s="2">
        <v>22999</v>
      </c>
      <c r="Q367" s="2">
        <v>12162</v>
      </c>
      <c r="R367" s="2">
        <v>117243</v>
      </c>
      <c r="S367" s="2">
        <v>404493</v>
      </c>
      <c r="T367" s="10">
        <f t="shared" si="15"/>
        <v>216627</v>
      </c>
      <c r="U367" s="8">
        <f t="shared" si="16"/>
        <v>0.53555191313570316</v>
      </c>
      <c r="V367" s="9" t="s">
        <v>5271</v>
      </c>
      <c r="W367" s="9" t="str">
        <f t="shared" si="17"/>
        <v>Tavistock RD</v>
      </c>
      <c r="X367" s="9" t="str">
        <f>INDEX(Lookup!$A$2:$A$1349, MATCH(W367, Lookup!$B$2:$B$1349,0))</f>
        <v>J04001253</v>
      </c>
      <c r="Y367" s="9" t="str">
        <f>INDEX(Lookup!$F$2:$F$1349, MATCH(W367, Lookup!$B$2:$B$1349,0))</f>
        <v>e090235</v>
      </c>
      <c r="Z367" s="6" t="str">
        <f>INDEX(Lookup!$C$2:$C$1300, MATCH(X367, Lookup!$A$2:$A$1300,0))</f>
        <v>Devon</v>
      </c>
    </row>
    <row r="368" spans="1:26" ht="28.15" customHeight="1" x14ac:dyDescent="0.2">
      <c r="A368" s="6" t="s">
        <v>340</v>
      </c>
      <c r="B368" s="1" t="s">
        <v>5319</v>
      </c>
      <c r="C368" s="2">
        <v>4711</v>
      </c>
      <c r="D368" s="2">
        <v>198276</v>
      </c>
      <c r="E368" s="2">
        <v>231</v>
      </c>
      <c r="F368" s="2">
        <v>29089</v>
      </c>
      <c r="G368" s="2">
        <v>15</v>
      </c>
      <c r="H368" s="2">
        <v>4733</v>
      </c>
      <c r="I368" s="2">
        <v>251</v>
      </c>
      <c r="J368" s="2">
        <v>25945</v>
      </c>
      <c r="K368" s="2">
        <v>14</v>
      </c>
      <c r="L368" s="2">
        <v>884</v>
      </c>
      <c r="M368" s="2">
        <v>449</v>
      </c>
      <c r="N368" s="2">
        <v>33022</v>
      </c>
      <c r="O368" s="2">
        <v>42</v>
      </c>
      <c r="P368" s="2">
        <v>72457</v>
      </c>
      <c r="Q368" s="2">
        <v>1121</v>
      </c>
      <c r="R368" s="2">
        <v>134734</v>
      </c>
      <c r="S368" s="2">
        <v>500261</v>
      </c>
      <c r="T368" s="10">
        <f t="shared" si="15"/>
        <v>232098</v>
      </c>
      <c r="U368" s="8">
        <f t="shared" si="16"/>
        <v>0.46395381610799163</v>
      </c>
      <c r="V368" s="9" t="s">
        <v>5271</v>
      </c>
      <c r="W368" s="9" t="str">
        <f t="shared" si="17"/>
        <v>Tiverton RD</v>
      </c>
      <c r="X368" s="9" t="str">
        <f>INDEX(Lookup!$A$2:$A$1349, MATCH(W368, Lookup!$B$2:$B$1349,0))</f>
        <v>J04001280</v>
      </c>
      <c r="Y368" s="9" t="str">
        <f>INDEX(Lookup!$F$2:$F$1349, MATCH(W368, Lookup!$B$2:$B$1349,0))</f>
        <v>e090236</v>
      </c>
      <c r="Z368" s="6" t="str">
        <f>INDEX(Lookup!$C$2:$C$1300, MATCH(X368, Lookup!$A$2:$A$1300,0))</f>
        <v>Devon</v>
      </c>
    </row>
    <row r="369" spans="1:26" ht="28.15" customHeight="1" x14ac:dyDescent="0.2">
      <c r="A369" s="6" t="s">
        <v>368</v>
      </c>
      <c r="B369" s="1" t="s">
        <v>368</v>
      </c>
      <c r="C369" s="2">
        <v>1542</v>
      </c>
      <c r="D369" s="2">
        <v>40800</v>
      </c>
      <c r="E369" s="2">
        <v>20</v>
      </c>
      <c r="F369" s="2">
        <v>2552</v>
      </c>
      <c r="G369" s="2">
        <v>6</v>
      </c>
      <c r="H369" s="2">
        <v>1781</v>
      </c>
      <c r="I369" s="2">
        <v>47</v>
      </c>
      <c r="J369" s="2">
        <v>2605</v>
      </c>
      <c r="K369" s="2">
        <v>7</v>
      </c>
      <c r="L369" s="2">
        <v>202</v>
      </c>
      <c r="M369" s="2">
        <v>147</v>
      </c>
      <c r="N369" s="2">
        <v>6755</v>
      </c>
      <c r="O369" s="2">
        <v>2</v>
      </c>
      <c r="P369" s="2">
        <v>605</v>
      </c>
      <c r="Q369" s="2">
        <v>132</v>
      </c>
      <c r="R369" s="2">
        <v>47112</v>
      </c>
      <c r="S369" s="2">
        <v>102544</v>
      </c>
      <c r="T369" s="10">
        <f t="shared" si="15"/>
        <v>45133</v>
      </c>
      <c r="U369" s="8">
        <f t="shared" si="16"/>
        <v>0.44013301607114996</v>
      </c>
      <c r="V369" s="9" t="s">
        <v>5271</v>
      </c>
      <c r="W369" s="9" t="str">
        <f t="shared" si="17"/>
        <v>Torrington RD</v>
      </c>
      <c r="X369" s="9" t="str">
        <f>INDEX(Lookup!$A$2:$A$1349, MATCH(W369, Lookup!$B$2:$B$1349,0))</f>
        <v>J04001286</v>
      </c>
      <c r="Y369" s="9" t="str">
        <f>INDEX(Lookup!$F$2:$F$1349, MATCH(W369, Lookup!$B$2:$B$1349,0))</f>
        <v>e090237</v>
      </c>
      <c r="Z369" s="6" t="str">
        <f>INDEX(Lookup!$C$2:$C$1300, MATCH(X369, Lookup!$A$2:$A$1300,0))</f>
        <v>Devon</v>
      </c>
    </row>
    <row r="370" spans="1:26" ht="28.15" customHeight="1" x14ac:dyDescent="0.2">
      <c r="A370" s="6" t="s">
        <v>342</v>
      </c>
      <c r="B370" s="1" t="s">
        <v>342</v>
      </c>
      <c r="C370" s="2">
        <v>3484</v>
      </c>
      <c r="D370" s="2">
        <v>158074</v>
      </c>
      <c r="E370" s="2">
        <v>636</v>
      </c>
      <c r="F370" s="2">
        <v>79558</v>
      </c>
      <c r="G370" s="2">
        <v>38</v>
      </c>
      <c r="H370" s="2">
        <v>9538</v>
      </c>
      <c r="I370" s="2">
        <v>99</v>
      </c>
      <c r="J370" s="2">
        <v>10182</v>
      </c>
      <c r="K370" s="2">
        <v>5</v>
      </c>
      <c r="L370" s="2">
        <v>1436</v>
      </c>
      <c r="M370" s="2">
        <v>371</v>
      </c>
      <c r="N370" s="2">
        <v>31271</v>
      </c>
      <c r="O370" s="2">
        <v>12</v>
      </c>
      <c r="P370" s="2">
        <v>12035</v>
      </c>
      <c r="Q370" s="2">
        <v>14243</v>
      </c>
      <c r="R370" s="2">
        <v>115504</v>
      </c>
      <c r="S370" s="2">
        <v>431841</v>
      </c>
      <c r="T370" s="10">
        <f t="shared" si="15"/>
        <v>247170</v>
      </c>
      <c r="U370" s="8">
        <f t="shared" si="16"/>
        <v>0.57236343932141687</v>
      </c>
      <c r="V370" s="9" t="s">
        <v>5271</v>
      </c>
      <c r="W370" s="9" t="str">
        <f t="shared" si="17"/>
        <v>Totnes RD</v>
      </c>
      <c r="X370" s="9" t="str">
        <f>INDEX(Lookup!$A$2:$A$1349, MATCH(W370, Lookup!$B$2:$B$1349,0))</f>
        <v>J04001288</v>
      </c>
      <c r="Y370" s="9" t="str">
        <f>INDEX(Lookup!$F$2:$F$1349, MATCH(W370, Lookup!$B$2:$B$1349,0))</f>
        <v>e090238</v>
      </c>
      <c r="Z370" s="6" t="str">
        <f>INDEX(Lookup!$C$2:$C$1300, MATCH(X370, Lookup!$A$2:$A$1300,0))</f>
        <v>Devon</v>
      </c>
    </row>
    <row r="371" spans="1:26" ht="28.15" customHeight="1" x14ac:dyDescent="0.2">
      <c r="A371" s="6" t="s">
        <v>369</v>
      </c>
      <c r="B371" s="1" t="s">
        <v>369</v>
      </c>
      <c r="T371" s="10"/>
      <c r="W371" s="9" t="str">
        <f t="shared" si="17"/>
        <v xml:space="preserve">DORSET </v>
      </c>
      <c r="X371" s="9" t="e">
        <f>INDEX(Lookup!$A$2:$A$1349, MATCH(W371, Lookup!$B$2:$B$1349,0))</f>
        <v>#N/A</v>
      </c>
      <c r="Y371" s="9" t="e">
        <f>INDEX(Lookup!$F$2:$F$1349, MATCH(W371, Lookup!$B$2:$B$1349,0))</f>
        <v>#N/A</v>
      </c>
      <c r="Z371" s="6" t="e">
        <f>INDEX(Lookup!$C$2:$C$1300, MATCH(X371, Lookup!$A$2:$A$1300,0))</f>
        <v>#N/A</v>
      </c>
    </row>
    <row r="372" spans="1:26" ht="28.15" customHeight="1" x14ac:dyDescent="0.2">
      <c r="A372" s="6" t="s">
        <v>371</v>
      </c>
      <c r="B372" s="1" t="s">
        <v>371</v>
      </c>
      <c r="T372" s="10"/>
      <c r="W372" s="9" t="str">
        <f t="shared" si="17"/>
        <v xml:space="preserve">Non-County Boroughs- </v>
      </c>
      <c r="X372" s="9" t="e">
        <f>INDEX(Lookup!$A$2:$A$1349, MATCH(W372, Lookup!$B$2:$B$1349,0))</f>
        <v>#N/A</v>
      </c>
      <c r="Y372" s="9" t="e">
        <f>INDEX(Lookup!$F$2:$F$1349, MATCH(W372, Lookup!$B$2:$B$1349,0))</f>
        <v>#N/A</v>
      </c>
      <c r="Z372" s="6" t="e">
        <f>INDEX(Lookup!$C$2:$C$1300, MATCH(X372, Lookup!$A$2:$A$1300,0))</f>
        <v>#N/A</v>
      </c>
    </row>
    <row r="373" spans="1:26" ht="28.15" customHeight="1" x14ac:dyDescent="0.2">
      <c r="A373" s="6" t="s">
        <v>372</v>
      </c>
      <c r="B373" s="1" t="s">
        <v>372</v>
      </c>
      <c r="C373" s="2">
        <v>1057</v>
      </c>
      <c r="D373" s="2">
        <v>53634</v>
      </c>
      <c r="E373" s="2">
        <v>118</v>
      </c>
      <c r="F373" s="2">
        <v>16066</v>
      </c>
      <c r="G373" s="2">
        <v>13</v>
      </c>
      <c r="H373" s="2">
        <v>2986</v>
      </c>
      <c r="I373" s="2">
        <v>140</v>
      </c>
      <c r="J373" s="2">
        <v>38668</v>
      </c>
      <c r="K373" s="2">
        <v>28</v>
      </c>
      <c r="L373" s="2">
        <v>3458</v>
      </c>
      <c r="M373" s="2">
        <v>177</v>
      </c>
      <c r="N373" s="2">
        <v>17411</v>
      </c>
      <c r="O373" s="2">
        <v>3</v>
      </c>
      <c r="P373" s="2">
        <v>565</v>
      </c>
      <c r="Q373" s="2">
        <v>1306</v>
      </c>
      <c r="R373" s="2">
        <v>9757</v>
      </c>
      <c r="S373" s="2">
        <v>143851</v>
      </c>
      <c r="T373" s="10">
        <f t="shared" si="15"/>
        <v>72686</v>
      </c>
      <c r="U373" s="8">
        <f t="shared" si="16"/>
        <v>0.50528672028696364</v>
      </c>
      <c r="V373" s="9" t="s">
        <v>5268</v>
      </c>
      <c r="W373" s="9" t="str">
        <f t="shared" si="17"/>
        <v>Blandford Forum MB</v>
      </c>
      <c r="X373" s="9" t="str">
        <f>INDEX(Lookup!$A$2:$A$1349, MATCH(W373, Lookup!$B$2:$B$1349,0))</f>
        <v>J04000161</v>
      </c>
      <c r="Y373" s="9" t="str">
        <f>INDEX(Lookup!$F$2:$F$1349, MATCH(W373, Lookup!$B$2:$B$1349,0))</f>
        <v>e100239</v>
      </c>
      <c r="Z373" s="6" t="str">
        <f>INDEX(Lookup!$C$2:$C$1300, MATCH(X373, Lookup!$A$2:$A$1300,0))</f>
        <v>Dorset</v>
      </c>
    </row>
    <row r="374" spans="1:26" ht="28.15" customHeight="1" x14ac:dyDescent="0.2">
      <c r="A374" s="6" t="s">
        <v>373</v>
      </c>
      <c r="B374" s="1" t="s">
        <v>373</v>
      </c>
      <c r="C374" s="2">
        <v>2000</v>
      </c>
      <c r="D374" s="2">
        <v>93369</v>
      </c>
      <c r="E374" s="2">
        <v>243</v>
      </c>
      <c r="F374" s="2">
        <v>28123</v>
      </c>
      <c r="G374" s="2">
        <v>12</v>
      </c>
      <c r="H374" s="2">
        <v>2740</v>
      </c>
      <c r="I374" s="2">
        <v>209</v>
      </c>
      <c r="J374" s="2">
        <v>39846</v>
      </c>
      <c r="K374" s="2">
        <v>32</v>
      </c>
      <c r="L374" s="2">
        <v>4165</v>
      </c>
      <c r="M374" s="2">
        <v>357</v>
      </c>
      <c r="N374" s="2">
        <v>27604</v>
      </c>
      <c r="O374" s="2">
        <v>20</v>
      </c>
      <c r="P374" s="2">
        <v>41240</v>
      </c>
      <c r="Q374" s="2">
        <v>3284</v>
      </c>
      <c r="R374" s="2">
        <v>18148</v>
      </c>
      <c r="S374" s="2">
        <v>258519</v>
      </c>
      <c r="T374" s="10">
        <f t="shared" si="15"/>
        <v>124232</v>
      </c>
      <c r="U374" s="8">
        <f t="shared" si="16"/>
        <v>0.480552686649724</v>
      </c>
      <c r="V374" s="9" t="s">
        <v>5268</v>
      </c>
      <c r="W374" s="9" t="str">
        <f t="shared" si="17"/>
        <v>Bridport MB</v>
      </c>
      <c r="X374" s="9" t="str">
        <f>INDEX(Lookup!$A$2:$A$1349, MATCH(W374, Lookup!$B$2:$B$1349,0))</f>
        <v>J04000205</v>
      </c>
      <c r="Y374" s="9" t="str">
        <f>INDEX(Lookup!$F$2:$F$1349, MATCH(W374, Lookup!$B$2:$B$1349,0))</f>
        <v>e100240</v>
      </c>
      <c r="Z374" s="6" t="str">
        <f>INDEX(Lookup!$C$2:$C$1300, MATCH(X374, Lookup!$A$2:$A$1300,0))</f>
        <v>Dorset</v>
      </c>
    </row>
    <row r="375" spans="1:26" ht="28.15" customHeight="1" x14ac:dyDescent="0.2">
      <c r="A375" s="6" t="s">
        <v>374</v>
      </c>
      <c r="B375" s="1" t="s">
        <v>374</v>
      </c>
      <c r="C375" s="2">
        <v>2513</v>
      </c>
      <c r="D375" s="2">
        <v>140486</v>
      </c>
      <c r="E375" s="2">
        <v>1127</v>
      </c>
      <c r="F375" s="2">
        <v>141098</v>
      </c>
      <c r="G375" s="2">
        <v>64</v>
      </c>
      <c r="H375" s="2">
        <v>15944</v>
      </c>
      <c r="I375" s="2">
        <v>253</v>
      </c>
      <c r="J375" s="2">
        <v>128463</v>
      </c>
      <c r="K375" s="2">
        <v>83</v>
      </c>
      <c r="L375" s="2">
        <v>33939</v>
      </c>
      <c r="M375" s="2">
        <v>419</v>
      </c>
      <c r="N375" s="2">
        <v>44583</v>
      </c>
      <c r="O375" s="2">
        <v>11</v>
      </c>
      <c r="P375" s="2">
        <v>14445</v>
      </c>
      <c r="Q375" s="2">
        <v>15478</v>
      </c>
      <c r="R375" s="2">
        <v>59305</v>
      </c>
      <c r="S375" s="2">
        <v>593741</v>
      </c>
      <c r="T375" s="10">
        <f t="shared" si="15"/>
        <v>297528</v>
      </c>
      <c r="U375" s="8">
        <f t="shared" si="16"/>
        <v>0.50110738520668108</v>
      </c>
      <c r="V375" s="9" t="s">
        <v>5268</v>
      </c>
      <c r="W375" s="9" t="str">
        <f t="shared" si="17"/>
        <v>Dorchester MB</v>
      </c>
      <c r="X375" s="9" t="str">
        <f>INDEX(Lookup!$A$2:$A$1349, MATCH(W375, Lookup!$B$2:$B$1349,0))</f>
        <v>J04000416</v>
      </c>
      <c r="Y375" s="9" t="str">
        <f>INDEX(Lookup!$F$2:$F$1349, MATCH(W375, Lookup!$B$2:$B$1349,0))</f>
        <v>e100241</v>
      </c>
      <c r="Z375" s="6" t="str">
        <f>INDEX(Lookup!$C$2:$C$1300, MATCH(X375, Lookup!$A$2:$A$1300,0))</f>
        <v>Dorset</v>
      </c>
    </row>
    <row r="376" spans="1:26" ht="28.15" customHeight="1" x14ac:dyDescent="0.2">
      <c r="A376" s="6" t="s">
        <v>375</v>
      </c>
      <c r="B376" s="1" t="s">
        <v>375</v>
      </c>
      <c r="C376" s="2">
        <v>911</v>
      </c>
      <c r="D376" s="2">
        <v>50187</v>
      </c>
      <c r="E376" s="2">
        <v>286</v>
      </c>
      <c r="F376" s="2">
        <v>37552</v>
      </c>
      <c r="G376" s="2">
        <v>27</v>
      </c>
      <c r="H376" s="2">
        <v>6138</v>
      </c>
      <c r="I376" s="2">
        <v>97</v>
      </c>
      <c r="J376" s="2">
        <v>13013</v>
      </c>
      <c r="K376" s="2">
        <v>13</v>
      </c>
      <c r="L376" s="2">
        <v>780</v>
      </c>
      <c r="M376" s="2">
        <v>149</v>
      </c>
      <c r="N376" s="2">
        <v>14339</v>
      </c>
      <c r="O376" s="2">
        <v>1</v>
      </c>
      <c r="P376" s="2">
        <v>80</v>
      </c>
      <c r="Q376" s="2">
        <v>1848</v>
      </c>
      <c r="R376" s="2">
        <v>12755</v>
      </c>
      <c r="S376" s="2">
        <v>136692</v>
      </c>
      <c r="T376" s="10">
        <f t="shared" si="15"/>
        <v>93877</v>
      </c>
      <c r="U376" s="8">
        <f t="shared" si="16"/>
        <v>0.68677757293769937</v>
      </c>
      <c r="V376" s="9" t="s">
        <v>5268</v>
      </c>
      <c r="W376" s="9" t="str">
        <f t="shared" si="17"/>
        <v>Lyme Regis MB</v>
      </c>
      <c r="X376" s="9" t="str">
        <f>INDEX(Lookup!$A$2:$A$1349, MATCH(W376, Lookup!$B$2:$B$1349,0))</f>
        <v>J04000795</v>
      </c>
      <c r="Y376" s="9" t="str">
        <f>INDEX(Lookup!$F$2:$F$1349, MATCH(W376, Lookup!$B$2:$B$1349,0))</f>
        <v>e100242</v>
      </c>
      <c r="Z376" s="6" t="str">
        <f>INDEX(Lookup!$C$2:$C$1300, MATCH(X376, Lookup!$A$2:$A$1300,0))</f>
        <v>Dorset</v>
      </c>
    </row>
    <row r="377" spans="1:26" ht="28.15" customHeight="1" x14ac:dyDescent="0.2">
      <c r="A377" s="6" t="s">
        <v>376</v>
      </c>
      <c r="B377" s="1" t="s">
        <v>5361</v>
      </c>
      <c r="C377" s="2">
        <v>20815</v>
      </c>
      <c r="D377" s="2">
        <v>1501937</v>
      </c>
      <c r="E377" s="2">
        <v>7966</v>
      </c>
      <c r="F377" s="2">
        <v>1044448</v>
      </c>
      <c r="G377" s="2">
        <v>1681</v>
      </c>
      <c r="H377" s="2">
        <v>478126</v>
      </c>
      <c r="I377" s="2">
        <v>1167</v>
      </c>
      <c r="J377" s="2">
        <v>340429</v>
      </c>
      <c r="K377" s="2">
        <v>155</v>
      </c>
      <c r="L377" s="2">
        <v>31205</v>
      </c>
      <c r="M377" s="2">
        <v>1955</v>
      </c>
      <c r="N377" s="2">
        <v>240605</v>
      </c>
      <c r="O377" s="2">
        <v>215</v>
      </c>
      <c r="P377" s="2">
        <v>505795</v>
      </c>
      <c r="Q377" s="2">
        <v>19490</v>
      </c>
      <c r="R377" s="2">
        <v>576178</v>
      </c>
      <c r="S377" s="2">
        <v>4738213</v>
      </c>
      <c r="T377" s="10">
        <f t="shared" si="15"/>
        <v>3024511</v>
      </c>
      <c r="U377" s="8">
        <f t="shared" si="16"/>
        <v>0.63832313996859158</v>
      </c>
      <c r="V377" s="9" t="s">
        <v>5268</v>
      </c>
      <c r="W377" s="9" t="str">
        <f t="shared" si="17"/>
        <v>Poole, county of a town MB</v>
      </c>
      <c r="X377" s="9" t="str">
        <f>INDEX(Lookup!$A$2:$A$1349, MATCH(W377, Lookup!$B$2:$B$1349,0))</f>
        <v>J04001004</v>
      </c>
      <c r="Y377" s="9" t="str">
        <f>INDEX(Lookup!$F$2:$F$1349, MATCH(W377, Lookup!$B$2:$B$1349,0))</f>
        <v>e100243</v>
      </c>
      <c r="Z377" s="6" t="str">
        <f>INDEX(Lookup!$C$2:$C$1300, MATCH(X377, Lookup!$A$2:$A$1300,0))</f>
        <v>Dorset</v>
      </c>
    </row>
    <row r="378" spans="1:26" ht="28.15" customHeight="1" x14ac:dyDescent="0.2">
      <c r="A378" s="6" t="s">
        <v>377</v>
      </c>
      <c r="B378" s="1" t="s">
        <v>377</v>
      </c>
      <c r="C378" s="2">
        <v>962</v>
      </c>
      <c r="D378" s="2">
        <v>51584</v>
      </c>
      <c r="E378" s="2">
        <v>136</v>
      </c>
      <c r="F378" s="2">
        <v>17420</v>
      </c>
      <c r="G378" s="2">
        <v>6</v>
      </c>
      <c r="H378" s="2">
        <v>1376</v>
      </c>
      <c r="I378" s="2">
        <v>95</v>
      </c>
      <c r="J378" s="2">
        <v>20640</v>
      </c>
      <c r="K378" s="2">
        <v>20</v>
      </c>
      <c r="L378" s="2">
        <v>2413</v>
      </c>
      <c r="M378" s="2">
        <v>144</v>
      </c>
      <c r="N378" s="2">
        <v>12582</v>
      </c>
      <c r="O378" s="2">
        <v>8</v>
      </c>
      <c r="P378" s="2">
        <v>3190</v>
      </c>
      <c r="Q378" s="2">
        <v>1835</v>
      </c>
      <c r="R378" s="2">
        <v>13776</v>
      </c>
      <c r="S378" s="2">
        <v>124816</v>
      </c>
      <c r="T378" s="10">
        <f t="shared" si="15"/>
        <v>70380</v>
      </c>
      <c r="U378" s="8">
        <f t="shared" si="16"/>
        <v>0.56387001666453018</v>
      </c>
      <c r="V378" s="9" t="s">
        <v>5268</v>
      </c>
      <c r="W378" s="9" t="str">
        <f t="shared" si="17"/>
        <v>Shaftesbury MB</v>
      </c>
      <c r="X378" s="9" t="str">
        <f>INDEX(Lookup!$A$2:$A$1349, MATCH(W378, Lookup!$B$2:$B$1349,0))</f>
        <v>J04001123</v>
      </c>
      <c r="Y378" s="9" t="str">
        <f>INDEX(Lookup!$F$2:$F$1349, MATCH(W378, Lookup!$B$2:$B$1349,0))</f>
        <v>e100245</v>
      </c>
      <c r="Z378" s="6" t="str">
        <f>INDEX(Lookup!$C$2:$C$1300, MATCH(X378, Lookup!$A$2:$A$1300,0))</f>
        <v>Dorset</v>
      </c>
    </row>
    <row r="379" spans="1:26" ht="28.15" customHeight="1" x14ac:dyDescent="0.2">
      <c r="A379" s="6" t="s">
        <v>378</v>
      </c>
      <c r="B379" s="1" t="s">
        <v>378</v>
      </c>
      <c r="C379" s="2">
        <v>832</v>
      </c>
      <c r="D379" s="2">
        <v>46063</v>
      </c>
      <c r="E379" s="2">
        <v>136</v>
      </c>
      <c r="F379" s="2">
        <v>17108</v>
      </c>
      <c r="G379" s="2">
        <v>7</v>
      </c>
      <c r="H379" s="2">
        <v>1650</v>
      </c>
      <c r="I379" s="2">
        <v>82</v>
      </c>
      <c r="J379" s="2">
        <v>19719</v>
      </c>
      <c r="K379" s="2">
        <v>11</v>
      </c>
      <c r="L379" s="2">
        <v>976</v>
      </c>
      <c r="M379" s="2">
        <v>145</v>
      </c>
      <c r="N379" s="2">
        <v>8231</v>
      </c>
      <c r="O379" s="2">
        <v>7</v>
      </c>
      <c r="P379" s="2">
        <v>2735</v>
      </c>
      <c r="Q379" s="2">
        <v>614</v>
      </c>
      <c r="R379" s="2">
        <v>11265</v>
      </c>
      <c r="S379" s="2">
        <v>108361</v>
      </c>
      <c r="T379" s="10">
        <f t="shared" si="15"/>
        <v>64821</v>
      </c>
      <c r="U379" s="8">
        <f t="shared" si="16"/>
        <v>0.59819492252747763</v>
      </c>
      <c r="V379" s="9" t="s">
        <v>5268</v>
      </c>
      <c r="W379" s="9" t="str">
        <f t="shared" si="17"/>
        <v>Wareham MB</v>
      </c>
      <c r="X379" s="9" t="str">
        <f>INDEX(Lookup!$A$2:$A$1349, MATCH(W379, Lookup!$B$2:$B$1349,0))</f>
        <v>J04001342</v>
      </c>
      <c r="Y379" s="9" t="str">
        <f>INDEX(Lookup!$F$2:$F$1349, MATCH(W379, Lookup!$B$2:$B$1349,0))</f>
        <v>e100248</v>
      </c>
      <c r="Z379" s="6" t="str">
        <f>INDEX(Lookup!$C$2:$C$1300, MATCH(X379, Lookup!$A$2:$A$1300,0))</f>
        <v>Dorset</v>
      </c>
    </row>
    <row r="380" spans="1:26" ht="28.15" customHeight="1" x14ac:dyDescent="0.2">
      <c r="A380" s="6" t="s">
        <v>379</v>
      </c>
      <c r="B380" s="1" t="s">
        <v>379</v>
      </c>
      <c r="C380" s="2">
        <v>9866</v>
      </c>
      <c r="D380" s="2">
        <v>612844</v>
      </c>
      <c r="E380" s="2">
        <v>3084</v>
      </c>
      <c r="F380" s="2">
        <v>390572</v>
      </c>
      <c r="G380" s="2">
        <v>119</v>
      </c>
      <c r="H380" s="2">
        <v>29743</v>
      </c>
      <c r="I380" s="2">
        <v>689</v>
      </c>
      <c r="J380" s="2">
        <v>247190</v>
      </c>
      <c r="K380" s="2">
        <v>104</v>
      </c>
      <c r="L380" s="2">
        <v>24976</v>
      </c>
      <c r="M380" s="2">
        <v>1200</v>
      </c>
      <c r="N380" s="2">
        <v>167841</v>
      </c>
      <c r="O380" s="2">
        <v>36</v>
      </c>
      <c r="P380" s="2">
        <v>58147</v>
      </c>
      <c r="Q380" s="2">
        <v>21382</v>
      </c>
      <c r="R380" s="2">
        <v>176853</v>
      </c>
      <c r="S380" s="2">
        <v>1729548</v>
      </c>
      <c r="T380" s="10">
        <f t="shared" si="15"/>
        <v>1033159</v>
      </c>
      <c r="U380" s="8">
        <f t="shared" si="16"/>
        <v>0.59735780677957473</v>
      </c>
      <c r="V380" s="9" t="s">
        <v>5268</v>
      </c>
      <c r="W380" s="9" t="str">
        <f t="shared" si="17"/>
        <v>Weymouth and Melcombe Regis MB</v>
      </c>
      <c r="X380" s="9" t="str">
        <f>INDEX(Lookup!$A$2:$A$1349, MATCH(W380, Lookup!$B$2:$B$1349,0))</f>
        <v>J04001394</v>
      </c>
      <c r="Y380" s="9" t="str">
        <f>INDEX(Lookup!$F$2:$F$1349, MATCH(W380, Lookup!$B$2:$B$1349,0))</f>
        <v>e100249</v>
      </c>
      <c r="Z380" s="6" t="str">
        <f>INDEX(Lookup!$C$2:$C$1300, MATCH(X380, Lookup!$A$2:$A$1300,0))</f>
        <v>Dorset</v>
      </c>
    </row>
    <row r="381" spans="1:26" ht="28.15" customHeight="1" x14ac:dyDescent="0.2">
      <c r="A381" s="6" t="s">
        <v>179</v>
      </c>
      <c r="B381" s="1" t="s">
        <v>179</v>
      </c>
      <c r="T381" s="10"/>
      <c r="W381" s="9" t="str">
        <f t="shared" si="17"/>
        <v xml:space="preserve">Urban Districts-- </v>
      </c>
      <c r="X381" s="9" t="e">
        <f>INDEX(Lookup!$A$2:$A$1349, MATCH(W381, Lookup!$B$2:$B$1349,0))</f>
        <v>#N/A</v>
      </c>
      <c r="Y381" s="9" t="e">
        <f>INDEX(Lookup!$F$2:$F$1349, MATCH(W381, Lookup!$B$2:$B$1349,0))</f>
        <v>#N/A</v>
      </c>
      <c r="Z381" s="6" t="e">
        <f>INDEX(Lookup!$C$2:$C$1300, MATCH(X381, Lookup!$A$2:$A$1300,0))</f>
        <v>#N/A</v>
      </c>
    </row>
    <row r="382" spans="1:26" ht="28.15" customHeight="1" x14ac:dyDescent="0.2">
      <c r="A382" s="6" t="s">
        <v>380</v>
      </c>
      <c r="B382" s="1" t="s">
        <v>380</v>
      </c>
      <c r="C382" s="2">
        <v>2564</v>
      </c>
      <c r="D382" s="2">
        <v>106442</v>
      </c>
      <c r="E382" s="2">
        <v>24</v>
      </c>
      <c r="F382" s="2">
        <v>2824</v>
      </c>
      <c r="G382" s="2" t="s">
        <v>290</v>
      </c>
      <c r="I382" s="2">
        <v>158</v>
      </c>
      <c r="J382" s="2">
        <v>13905</v>
      </c>
      <c r="K382" s="2">
        <v>16</v>
      </c>
      <c r="L382" s="2">
        <v>5184</v>
      </c>
      <c r="M382" s="2">
        <v>433</v>
      </c>
      <c r="N382" s="2">
        <v>12971</v>
      </c>
      <c r="O382" s="2">
        <v>13</v>
      </c>
      <c r="P382" s="2">
        <v>35665</v>
      </c>
      <c r="Q382" s="2">
        <v>60941</v>
      </c>
      <c r="R382" s="2">
        <v>36504</v>
      </c>
      <c r="S382" s="2">
        <v>274436</v>
      </c>
      <c r="T382" s="10">
        <f>SUM(D382+F382)</f>
        <v>109266</v>
      </c>
      <c r="U382" s="8">
        <f t="shared" si="16"/>
        <v>0.39814747336355288</v>
      </c>
      <c r="V382" s="9" t="s">
        <v>5270</v>
      </c>
      <c r="W382" s="9" t="str">
        <f t="shared" si="17"/>
        <v>Portland UD</v>
      </c>
      <c r="X382" s="9" t="str">
        <f>INDEX(Lookup!$A$2:$A$1349, MATCH(W382, Lookup!$B$2:$B$1349,0))</f>
        <v>J04001009</v>
      </c>
      <c r="Y382" s="9" t="str">
        <f>INDEX(Lookup!$F$2:$F$1349, MATCH(W382, Lookup!$B$2:$B$1349,0))</f>
        <v>e100244</v>
      </c>
      <c r="Z382" s="6" t="str">
        <f>INDEX(Lookup!$C$2:$C$1300, MATCH(X382, Lookup!$A$2:$A$1300,0))</f>
        <v>Dorset</v>
      </c>
    </row>
    <row r="383" spans="1:26" ht="28.15" customHeight="1" x14ac:dyDescent="0.2">
      <c r="A383" s="6" t="s">
        <v>381</v>
      </c>
      <c r="B383" s="1" t="s">
        <v>381</v>
      </c>
      <c r="C383" s="2">
        <v>1766</v>
      </c>
      <c r="D383" s="2">
        <v>82209</v>
      </c>
      <c r="E383" s="2">
        <v>230</v>
      </c>
      <c r="F383" s="2">
        <v>32682</v>
      </c>
      <c r="G383" s="2">
        <v>16</v>
      </c>
      <c r="H383" s="2">
        <v>4064</v>
      </c>
      <c r="I383" s="2">
        <v>139</v>
      </c>
      <c r="J383" s="2">
        <v>29078</v>
      </c>
      <c r="K383" s="2">
        <v>18</v>
      </c>
      <c r="L383" s="2">
        <v>1811</v>
      </c>
      <c r="M383" s="2">
        <v>379</v>
      </c>
      <c r="N383" s="2">
        <v>14113</v>
      </c>
      <c r="O383" s="2">
        <v>13</v>
      </c>
      <c r="P383" s="2">
        <v>22675</v>
      </c>
      <c r="Q383" s="2">
        <v>6066</v>
      </c>
      <c r="R383" s="2">
        <v>47464</v>
      </c>
      <c r="S383" s="2">
        <v>240162</v>
      </c>
      <c r="T383" s="10">
        <f t="shared" si="15"/>
        <v>118955</v>
      </c>
      <c r="U383" s="8">
        <f t="shared" si="16"/>
        <v>0.49531149807213465</v>
      </c>
      <c r="V383" s="9" t="s">
        <v>5270</v>
      </c>
      <c r="W383" s="9" t="str">
        <f t="shared" si="17"/>
        <v>Sherborne UD</v>
      </c>
      <c r="X383" s="9" t="str">
        <f>INDEX(Lookup!$A$2:$A$1349, MATCH(W383, Lookup!$B$2:$B$1349,0))</f>
        <v>J04001132</v>
      </c>
      <c r="Y383" s="9" t="str">
        <f>INDEX(Lookup!$F$2:$F$1349, MATCH(W383, Lookup!$B$2:$B$1349,0))</f>
        <v>e100246</v>
      </c>
      <c r="Z383" s="6" t="str">
        <f>INDEX(Lookup!$C$2:$C$1300, MATCH(X383, Lookup!$A$2:$A$1300,0))</f>
        <v>Dorset</v>
      </c>
    </row>
    <row r="384" spans="1:26" ht="28.15" customHeight="1" x14ac:dyDescent="0.2">
      <c r="A384" s="6" t="s">
        <v>382</v>
      </c>
      <c r="B384" s="1" t="s">
        <v>382</v>
      </c>
      <c r="C384" s="2">
        <v>1408</v>
      </c>
      <c r="D384" s="2">
        <v>94970</v>
      </c>
      <c r="E384" s="2">
        <v>978</v>
      </c>
      <c r="F384" s="2">
        <v>128218</v>
      </c>
      <c r="G384" s="2">
        <v>88</v>
      </c>
      <c r="H384" s="2">
        <v>21815</v>
      </c>
      <c r="I384" s="2">
        <v>185</v>
      </c>
      <c r="J384" s="2">
        <v>50798</v>
      </c>
      <c r="K384" s="2">
        <v>13</v>
      </c>
      <c r="L384" s="2">
        <v>1733</v>
      </c>
      <c r="M384" s="2">
        <v>367</v>
      </c>
      <c r="N384" s="2">
        <v>75973</v>
      </c>
      <c r="O384" s="2">
        <v>15</v>
      </c>
      <c r="P384" s="2">
        <v>3245</v>
      </c>
      <c r="Q384" s="2">
        <v>1273</v>
      </c>
      <c r="R384" s="2">
        <v>41212</v>
      </c>
      <c r="S384" s="2">
        <v>419237</v>
      </c>
      <c r="T384" s="10">
        <f t="shared" si="15"/>
        <v>245003</v>
      </c>
      <c r="U384" s="8">
        <f t="shared" si="16"/>
        <v>0.58440214007828506</v>
      </c>
      <c r="V384" s="9" t="s">
        <v>5270</v>
      </c>
      <c r="W384" s="9" t="str">
        <f t="shared" si="17"/>
        <v>Swanage UD</v>
      </c>
      <c r="X384" s="9" t="str">
        <f>INDEX(Lookup!$A$2:$A$1349, MATCH(W384, Lookup!$B$2:$B$1349,0))</f>
        <v>J04001241</v>
      </c>
      <c r="Y384" s="9" t="str">
        <f>INDEX(Lookup!$F$2:$F$1349, MATCH(W384, Lookup!$B$2:$B$1349,0))</f>
        <v>e100247</v>
      </c>
      <c r="Z384" s="6" t="str">
        <f>INDEX(Lookup!$C$2:$C$1300, MATCH(X384, Lookup!$A$2:$A$1300,0))</f>
        <v>Dorset</v>
      </c>
    </row>
    <row r="385" spans="1:26" ht="28.15" customHeight="1" x14ac:dyDescent="0.2">
      <c r="A385" s="6" t="s">
        <v>383</v>
      </c>
      <c r="B385" s="1" t="s">
        <v>383</v>
      </c>
      <c r="C385" s="2">
        <v>1154</v>
      </c>
      <c r="D385" s="2">
        <v>62403</v>
      </c>
      <c r="E385" s="2">
        <v>173</v>
      </c>
      <c r="F385" s="2">
        <v>21774</v>
      </c>
      <c r="G385" s="2">
        <v>23</v>
      </c>
      <c r="H385" s="2">
        <v>6143</v>
      </c>
      <c r="I385" s="2">
        <v>170</v>
      </c>
      <c r="J385" s="2">
        <v>38433</v>
      </c>
      <c r="K385" s="2">
        <v>32</v>
      </c>
      <c r="L385" s="2">
        <v>4062</v>
      </c>
      <c r="M385" s="2">
        <v>222</v>
      </c>
      <c r="N385" s="2">
        <v>17531</v>
      </c>
      <c r="O385" s="2">
        <v>15</v>
      </c>
      <c r="P385" s="2">
        <v>3420</v>
      </c>
      <c r="Q385" s="2">
        <v>1154</v>
      </c>
      <c r="R385" s="2">
        <v>15317</v>
      </c>
      <c r="S385" s="2">
        <v>170237</v>
      </c>
      <c r="T385" s="10">
        <f t="shared" si="15"/>
        <v>90320</v>
      </c>
      <c r="U385" s="8">
        <f t="shared" si="16"/>
        <v>0.53055446230842884</v>
      </c>
      <c r="V385" s="9" t="s">
        <v>5270</v>
      </c>
      <c r="W385" s="9" t="str">
        <f t="shared" si="17"/>
        <v>Wimborne Minster UD</v>
      </c>
      <c r="X385" s="9" t="str">
        <f>INDEX(Lookup!$A$2:$A$1349, MATCH(W385, Lookup!$B$2:$B$1349,0))</f>
        <v>J04001420</v>
      </c>
      <c r="Y385" s="9" t="str">
        <f>INDEX(Lookup!$F$2:$F$1349, MATCH(W385, Lookup!$B$2:$B$1349,0))</f>
        <v>e100250</v>
      </c>
      <c r="Z385" s="6" t="str">
        <f>INDEX(Lookup!$C$2:$C$1300, MATCH(X385, Lookup!$A$2:$A$1300,0))</f>
        <v>Dorset</v>
      </c>
    </row>
    <row r="386" spans="1:26" ht="28.15" customHeight="1" x14ac:dyDescent="0.2">
      <c r="A386" s="6" t="s">
        <v>212</v>
      </c>
      <c r="B386" s="1" t="s">
        <v>212</v>
      </c>
      <c r="T386" s="10"/>
      <c r="W386" s="9" t="str">
        <f t="shared" si="17"/>
        <v xml:space="preserve">Rural Districts-- </v>
      </c>
      <c r="X386" s="9" t="e">
        <f>INDEX(Lookup!$A$2:$A$1349, MATCH(W386, Lookup!$B$2:$B$1349,0))</f>
        <v>#N/A</v>
      </c>
      <c r="Y386" s="9" t="e">
        <f>INDEX(Lookup!$F$2:$F$1349, MATCH(W386, Lookup!$B$2:$B$1349,0))</f>
        <v>#N/A</v>
      </c>
      <c r="Z386" s="6" t="e">
        <f>INDEX(Lookup!$C$2:$C$1300, MATCH(X386, Lookup!$A$2:$A$1300,0))</f>
        <v>#N/A</v>
      </c>
    </row>
    <row r="387" spans="1:26" ht="28.15" customHeight="1" x14ac:dyDescent="0.2">
      <c r="A387" s="6" t="s">
        <v>384</v>
      </c>
      <c r="B387" s="1" t="s">
        <v>384</v>
      </c>
      <c r="C387" s="2">
        <v>1870</v>
      </c>
      <c r="D387" s="2">
        <v>62626</v>
      </c>
      <c r="E387" s="2">
        <v>80</v>
      </c>
      <c r="F387" s="2">
        <v>10948</v>
      </c>
      <c r="G387" s="2">
        <v>24</v>
      </c>
      <c r="H387" s="2">
        <v>5821</v>
      </c>
      <c r="I387" s="2">
        <v>79</v>
      </c>
      <c r="J387" s="2">
        <v>5476</v>
      </c>
      <c r="K387" s="2">
        <v>8</v>
      </c>
      <c r="L387" s="2">
        <v>520</v>
      </c>
      <c r="M387" s="2">
        <v>269</v>
      </c>
      <c r="N387" s="2">
        <v>8363</v>
      </c>
      <c r="O387" s="2">
        <v>10</v>
      </c>
      <c r="P387" s="2">
        <v>12064</v>
      </c>
      <c r="Q387" s="2">
        <v>411</v>
      </c>
      <c r="R387" s="2">
        <v>59021</v>
      </c>
      <c r="S387" s="2">
        <v>165250</v>
      </c>
      <c r="T387" s="10">
        <f t="shared" ref="T387:T450" si="18">SUM(D387+F387+H387)</f>
        <v>79395</v>
      </c>
      <c r="U387" s="8">
        <f t="shared" ref="U387:U450" si="19">T387/S387</f>
        <v>0.4804538577912254</v>
      </c>
      <c r="V387" s="9" t="s">
        <v>5271</v>
      </c>
      <c r="W387" s="9" t="str">
        <f t="shared" ref="W387:W450" si="20">_xlfn.CONCAT(B387," ",V387)</f>
        <v>Beaminster RD</v>
      </c>
      <c r="X387" s="9" t="str">
        <f>INDEX(Lookup!$A$2:$A$1349, MATCH(W387, Lookup!$B$2:$B$1349,0))</f>
        <v>J04000105</v>
      </c>
      <c r="Y387" s="9" t="str">
        <f>INDEX(Lookup!$F$2:$F$1349, MATCH(W387, Lookup!$B$2:$B$1349,0))</f>
        <v>e100251</v>
      </c>
      <c r="Z387" s="6" t="str">
        <f>INDEX(Lookup!$C$2:$C$1300, MATCH(X387, Lookup!$A$2:$A$1300,0))</f>
        <v>Dorset</v>
      </c>
    </row>
    <row r="388" spans="1:26" ht="28.15" customHeight="1" x14ac:dyDescent="0.2">
      <c r="A388" s="6" t="s">
        <v>385</v>
      </c>
      <c r="B388" s="1" t="s">
        <v>5320</v>
      </c>
      <c r="C388" s="2">
        <v>2128</v>
      </c>
      <c r="D388" s="2">
        <v>99792</v>
      </c>
      <c r="E388" s="2">
        <v>154</v>
      </c>
      <c r="F388" s="2">
        <v>19720</v>
      </c>
      <c r="G388" s="2">
        <v>51</v>
      </c>
      <c r="H388" s="2">
        <v>13489</v>
      </c>
      <c r="I388" s="2">
        <v>47</v>
      </c>
      <c r="J388" s="2">
        <v>4411</v>
      </c>
      <c r="K388" s="2">
        <v>1</v>
      </c>
      <c r="L388" s="2">
        <v>54</v>
      </c>
      <c r="M388" s="2">
        <v>234</v>
      </c>
      <c r="N388" s="2">
        <v>9540</v>
      </c>
      <c r="O388" s="2">
        <v>9</v>
      </c>
      <c r="P388" s="2">
        <v>13265</v>
      </c>
      <c r="Q388" s="2">
        <v>16112</v>
      </c>
      <c r="R388" s="2">
        <v>94989</v>
      </c>
      <c r="S388" s="2">
        <v>271372</v>
      </c>
      <c r="T388" s="10">
        <f t="shared" si="18"/>
        <v>133001</v>
      </c>
      <c r="U388" s="8">
        <f t="shared" si="19"/>
        <v>0.49010583258405438</v>
      </c>
      <c r="V388" s="9" t="s">
        <v>5271</v>
      </c>
      <c r="W388" s="9" t="str">
        <f t="shared" si="20"/>
        <v>Blandford RD</v>
      </c>
      <c r="X388" s="9" t="str">
        <f>INDEX(Lookup!$A$2:$A$1349, MATCH(W388, Lookup!$B$2:$B$1349,0))</f>
        <v>J04000162</v>
      </c>
      <c r="Y388" s="9" t="str">
        <f>INDEX(Lookup!$F$2:$F$1349, MATCH(W388, Lookup!$B$2:$B$1349,0))</f>
        <v>e100252</v>
      </c>
      <c r="Z388" s="6" t="str">
        <f>INDEX(Lookup!$C$2:$C$1300, MATCH(X388, Lookup!$A$2:$A$1300,0))</f>
        <v>Dorset</v>
      </c>
    </row>
    <row r="389" spans="1:26" ht="28.15" customHeight="1" x14ac:dyDescent="0.2">
      <c r="A389" s="6" t="s">
        <v>373</v>
      </c>
      <c r="B389" s="1" t="s">
        <v>373</v>
      </c>
      <c r="C389" s="2">
        <v>2228</v>
      </c>
      <c r="D389" s="2">
        <v>100423</v>
      </c>
      <c r="E389" s="2">
        <v>348</v>
      </c>
      <c r="F389" s="2">
        <v>43055</v>
      </c>
      <c r="G389" s="2">
        <v>16</v>
      </c>
      <c r="H389" s="2">
        <v>3634</v>
      </c>
      <c r="I389" s="2">
        <v>60</v>
      </c>
      <c r="J389" s="2">
        <v>3177</v>
      </c>
      <c r="K389" s="2">
        <v>3</v>
      </c>
      <c r="L389" s="2">
        <v>69</v>
      </c>
      <c r="M389" s="2">
        <v>183</v>
      </c>
      <c r="N389" s="2">
        <v>11071</v>
      </c>
      <c r="O389" s="2">
        <v>7</v>
      </c>
      <c r="P389" s="2">
        <v>9190</v>
      </c>
      <c r="Q389" s="2">
        <v>450</v>
      </c>
      <c r="R389" s="2">
        <v>33444</v>
      </c>
      <c r="S389" s="2">
        <v>204513</v>
      </c>
      <c r="T389" s="10">
        <f t="shared" si="18"/>
        <v>147112</v>
      </c>
      <c r="U389" s="8">
        <f t="shared" si="19"/>
        <v>0.71932835565465281</v>
      </c>
      <c r="V389" s="9" t="s">
        <v>5271</v>
      </c>
      <c r="W389" s="9" t="str">
        <f t="shared" si="20"/>
        <v>Bridport RD</v>
      </c>
      <c r="X389" s="9" t="str">
        <f>INDEX(Lookup!$A$2:$A$1349, MATCH(W389, Lookup!$B$2:$B$1349,0))</f>
        <v>J04000206</v>
      </c>
      <c r="Y389" s="9" t="str">
        <f>INDEX(Lookup!$F$2:$F$1349, MATCH(W389, Lookup!$B$2:$B$1349,0))</f>
        <v>e100253</v>
      </c>
      <c r="Z389" s="6" t="str">
        <f>INDEX(Lookup!$C$2:$C$1300, MATCH(X389, Lookup!$A$2:$A$1300,0))</f>
        <v>Dorset</v>
      </c>
    </row>
    <row r="390" spans="1:26" ht="28.15" customHeight="1" x14ac:dyDescent="0.2">
      <c r="A390" s="6" t="s">
        <v>374</v>
      </c>
      <c r="B390" s="1" t="s">
        <v>374</v>
      </c>
      <c r="C390" s="2">
        <v>3774</v>
      </c>
      <c r="D390" s="2">
        <v>163417</v>
      </c>
      <c r="E390" s="2">
        <v>241</v>
      </c>
      <c r="F390" s="2">
        <v>31170</v>
      </c>
      <c r="G390" s="2">
        <v>54</v>
      </c>
      <c r="H390" s="2">
        <v>13383</v>
      </c>
      <c r="I390" s="2">
        <v>98</v>
      </c>
      <c r="J390" s="2">
        <v>6449</v>
      </c>
      <c r="K390" s="2">
        <v>4</v>
      </c>
      <c r="L390" s="2">
        <v>166</v>
      </c>
      <c r="M390" s="2">
        <v>500</v>
      </c>
      <c r="N390" s="2">
        <v>41136</v>
      </c>
      <c r="O390" s="2">
        <v>14</v>
      </c>
      <c r="P390" s="2">
        <v>24395</v>
      </c>
      <c r="Q390" s="2">
        <v>26772</v>
      </c>
      <c r="R390" s="2">
        <v>100803</v>
      </c>
      <c r="S390" s="2">
        <v>407691</v>
      </c>
      <c r="T390" s="10">
        <f t="shared" si="18"/>
        <v>207970</v>
      </c>
      <c r="U390" s="8">
        <f t="shared" si="19"/>
        <v>0.51011673056309803</v>
      </c>
      <c r="V390" s="9" t="s">
        <v>5271</v>
      </c>
      <c r="W390" s="9" t="str">
        <f t="shared" si="20"/>
        <v>Dorchester RD</v>
      </c>
      <c r="X390" s="9" t="str">
        <f>INDEX(Lookup!$A$2:$A$1349, MATCH(W390, Lookup!$B$2:$B$1349,0))</f>
        <v>J04000417</v>
      </c>
      <c r="Y390" s="9" t="str">
        <f>INDEX(Lookup!$F$2:$F$1349, MATCH(W390, Lookup!$B$2:$B$1349,0))</f>
        <v>e100254</v>
      </c>
      <c r="Z390" s="6" t="str">
        <f>INDEX(Lookup!$C$2:$C$1300, MATCH(X390, Lookup!$A$2:$A$1300,0))</f>
        <v>Dorset</v>
      </c>
    </row>
    <row r="391" spans="1:26" ht="28.15" customHeight="1" x14ac:dyDescent="0.2">
      <c r="A391" s="6" t="s">
        <v>377</v>
      </c>
      <c r="B391" s="1" t="s">
        <v>377</v>
      </c>
      <c r="C391" s="2">
        <v>2405</v>
      </c>
      <c r="D391" s="2">
        <v>108839</v>
      </c>
      <c r="E391" s="2">
        <v>156</v>
      </c>
      <c r="F391" s="2">
        <v>20476</v>
      </c>
      <c r="G391" s="2">
        <v>32</v>
      </c>
      <c r="H391" s="2">
        <v>8884</v>
      </c>
      <c r="I391" s="2">
        <v>98</v>
      </c>
      <c r="J391" s="2">
        <v>17921</v>
      </c>
      <c r="K391" s="2">
        <v>14</v>
      </c>
      <c r="L391" s="2">
        <v>917</v>
      </c>
      <c r="M391" s="2">
        <v>190</v>
      </c>
      <c r="N391" s="2">
        <v>14377</v>
      </c>
      <c r="O391" s="2">
        <v>17</v>
      </c>
      <c r="P391" s="2">
        <v>17615</v>
      </c>
      <c r="Q391" s="2">
        <v>1198</v>
      </c>
      <c r="R391" s="2">
        <v>56320</v>
      </c>
      <c r="S391" s="2">
        <v>246547</v>
      </c>
      <c r="T391" s="10">
        <f t="shared" si="18"/>
        <v>138199</v>
      </c>
      <c r="U391" s="8">
        <f t="shared" si="19"/>
        <v>0.56053815296880516</v>
      </c>
      <c r="V391" s="9" t="s">
        <v>5271</v>
      </c>
      <c r="W391" s="9" t="str">
        <f t="shared" si="20"/>
        <v>Shaftesbury RD</v>
      </c>
      <c r="X391" s="9" t="str">
        <f>INDEX(Lookup!$A$2:$A$1349, MATCH(W391, Lookup!$B$2:$B$1349,0))</f>
        <v>J04001124</v>
      </c>
      <c r="Y391" s="9" t="str">
        <f>INDEX(Lookup!$F$2:$F$1349, MATCH(W391, Lookup!$B$2:$B$1349,0))</f>
        <v>e100255</v>
      </c>
      <c r="Z391" s="6" t="str">
        <f>INDEX(Lookup!$C$2:$C$1300, MATCH(X391, Lookup!$A$2:$A$1300,0))</f>
        <v>Dorset</v>
      </c>
    </row>
    <row r="392" spans="1:26" ht="28.15" customHeight="1" x14ac:dyDescent="0.2">
      <c r="A392" s="6" t="s">
        <v>381</v>
      </c>
      <c r="B392" s="1" t="s">
        <v>381</v>
      </c>
      <c r="C392" s="2">
        <v>1366</v>
      </c>
      <c r="D392" s="2">
        <v>55016</v>
      </c>
      <c r="E392" s="2">
        <v>89</v>
      </c>
      <c r="F392" s="2">
        <v>12068</v>
      </c>
      <c r="G392" s="2">
        <v>21</v>
      </c>
      <c r="H392" s="2">
        <v>5078</v>
      </c>
      <c r="I392" s="2">
        <v>23</v>
      </c>
      <c r="J392" s="2">
        <v>1679</v>
      </c>
      <c r="K392" s="2">
        <v>2</v>
      </c>
      <c r="L392" s="2">
        <v>356</v>
      </c>
      <c r="M392" s="2">
        <v>113</v>
      </c>
      <c r="N392" s="2">
        <v>4594</v>
      </c>
      <c r="O392" s="2">
        <v>2</v>
      </c>
      <c r="P392" s="2">
        <v>516</v>
      </c>
      <c r="Q392" s="2">
        <v>663</v>
      </c>
      <c r="R392" s="2">
        <v>31491</v>
      </c>
      <c r="S392" s="2">
        <v>111461</v>
      </c>
      <c r="T392" s="10">
        <f t="shared" si="18"/>
        <v>72162</v>
      </c>
      <c r="U392" s="8">
        <f t="shared" si="19"/>
        <v>0.64741927669767896</v>
      </c>
      <c r="V392" s="9" t="s">
        <v>5271</v>
      </c>
      <c r="W392" s="9" t="str">
        <f t="shared" si="20"/>
        <v>Sherborne RD</v>
      </c>
      <c r="X392" s="9" t="str">
        <f>INDEX(Lookup!$A$2:$A$1349, MATCH(W392, Lookup!$B$2:$B$1349,0))</f>
        <v>J04001131</v>
      </c>
      <c r="Y392" s="9" t="str">
        <f>INDEX(Lookup!$F$2:$F$1349, MATCH(W392, Lookup!$B$2:$B$1349,0))</f>
        <v>e100256</v>
      </c>
      <c r="Z392" s="6" t="str">
        <f>INDEX(Lookup!$C$2:$C$1300, MATCH(X392, Lookup!$A$2:$A$1300,0))</f>
        <v>Dorset</v>
      </c>
    </row>
    <row r="393" spans="1:26" ht="28.15" customHeight="1" x14ac:dyDescent="0.2">
      <c r="A393" s="6" t="s">
        <v>386</v>
      </c>
      <c r="B393" s="1" t="s">
        <v>386</v>
      </c>
      <c r="C393" s="2">
        <v>2639</v>
      </c>
      <c r="D393" s="2">
        <v>109302</v>
      </c>
      <c r="E393" s="2">
        <v>112</v>
      </c>
      <c r="F393" s="2">
        <v>14511</v>
      </c>
      <c r="G393" s="2">
        <v>20</v>
      </c>
      <c r="H393" s="2">
        <v>4705</v>
      </c>
      <c r="I393" s="2">
        <v>123</v>
      </c>
      <c r="J393" s="2">
        <v>11336</v>
      </c>
      <c r="K393" s="2">
        <v>20</v>
      </c>
      <c r="L393" s="2">
        <v>808</v>
      </c>
      <c r="M393" s="2">
        <v>368</v>
      </c>
      <c r="N393" s="2">
        <v>11150</v>
      </c>
      <c r="O393" s="2">
        <v>14</v>
      </c>
      <c r="P393" s="2">
        <v>13089</v>
      </c>
      <c r="Q393" s="2">
        <v>966</v>
      </c>
      <c r="R393" s="2">
        <v>44464</v>
      </c>
      <c r="S393" s="2">
        <v>210331</v>
      </c>
      <c r="T393" s="10">
        <f t="shared" si="18"/>
        <v>128518</v>
      </c>
      <c r="U393" s="8">
        <f t="shared" si="19"/>
        <v>0.61102738065240025</v>
      </c>
      <c r="V393" s="9" t="s">
        <v>5271</v>
      </c>
      <c r="W393" s="9" t="str">
        <f t="shared" si="20"/>
        <v>Sturminster RD</v>
      </c>
      <c r="X393" s="9" t="str">
        <f>INDEX(Lookup!$A$2:$A$1349, MATCH(W393, Lookup!$B$2:$B$1349,0))</f>
        <v>J04001228</v>
      </c>
      <c r="Y393" s="9" t="str">
        <f>INDEX(Lookup!$F$2:$F$1349, MATCH(W393, Lookup!$B$2:$B$1349,0))</f>
        <v>e100257</v>
      </c>
      <c r="Z393" s="6" t="str">
        <f>INDEX(Lookup!$C$2:$C$1300, MATCH(X393, Lookup!$A$2:$A$1300,0))</f>
        <v>Dorset</v>
      </c>
    </row>
    <row r="394" spans="1:26" ht="28.15" customHeight="1" x14ac:dyDescent="0.2">
      <c r="A394" s="6" t="s">
        <v>387</v>
      </c>
      <c r="B394" s="1" t="s">
        <v>387</v>
      </c>
      <c r="C394" s="2">
        <v>4661</v>
      </c>
      <c r="D394" s="2">
        <v>241938</v>
      </c>
      <c r="E394" s="2">
        <v>439</v>
      </c>
      <c r="F394" s="2">
        <v>54016</v>
      </c>
      <c r="G394" s="2">
        <v>65</v>
      </c>
      <c r="H394" s="2">
        <v>20315</v>
      </c>
      <c r="I394" s="2">
        <v>144</v>
      </c>
      <c r="J394" s="2">
        <v>18427</v>
      </c>
      <c r="K394" s="2">
        <v>10</v>
      </c>
      <c r="L394" s="2">
        <v>1322</v>
      </c>
      <c r="M394" s="2">
        <v>394</v>
      </c>
      <c r="N394" s="2">
        <v>34886</v>
      </c>
      <c r="O394" s="2">
        <v>16</v>
      </c>
      <c r="P394" s="2">
        <v>14510</v>
      </c>
      <c r="Q394" s="2">
        <v>75224</v>
      </c>
      <c r="R394" s="2">
        <v>146143</v>
      </c>
      <c r="S394" s="2">
        <v>606781</v>
      </c>
      <c r="T394" s="10">
        <f t="shared" si="18"/>
        <v>316269</v>
      </c>
      <c r="U394" s="8">
        <f t="shared" si="19"/>
        <v>0.5212242967396804</v>
      </c>
      <c r="V394" s="9" t="s">
        <v>5271</v>
      </c>
      <c r="W394" s="9" t="str">
        <f t="shared" si="20"/>
        <v>Wareham and Purbeck RD</v>
      </c>
      <c r="X394" s="9" t="str">
        <f>INDEX(Lookup!$A$2:$A$1349, MATCH(W394, Lookup!$B$2:$B$1349,0))</f>
        <v>J04001341</v>
      </c>
      <c r="Y394" s="9" t="str">
        <f>INDEX(Lookup!$F$2:$F$1349, MATCH(W394, Lookup!$B$2:$B$1349,0))</f>
        <v>e100258</v>
      </c>
      <c r="Z394" s="6" t="str">
        <f>INDEX(Lookup!$C$2:$C$1300, MATCH(X394, Lookup!$A$2:$A$1300,0))</f>
        <v>Dorset</v>
      </c>
    </row>
    <row r="395" spans="1:26" ht="28.15" customHeight="1" x14ac:dyDescent="0.2">
      <c r="A395" s="6" t="s">
        <v>388</v>
      </c>
      <c r="B395" s="1" t="s">
        <v>388</v>
      </c>
      <c r="C395" s="2">
        <v>6067</v>
      </c>
      <c r="D395" s="2">
        <v>382667</v>
      </c>
      <c r="E395" s="2">
        <v>2374</v>
      </c>
      <c r="F395" s="2">
        <v>299906</v>
      </c>
      <c r="G395" s="2">
        <v>134</v>
      </c>
      <c r="H395" s="2">
        <v>34400</v>
      </c>
      <c r="I395" s="2">
        <v>248</v>
      </c>
      <c r="J395" s="2">
        <v>48831</v>
      </c>
      <c r="K395" s="2">
        <v>19</v>
      </c>
      <c r="L395" s="2">
        <v>2394</v>
      </c>
      <c r="M395" s="2">
        <v>245</v>
      </c>
      <c r="N395" s="2">
        <v>37211</v>
      </c>
      <c r="O395" s="2">
        <v>23</v>
      </c>
      <c r="P395" s="2">
        <v>40685</v>
      </c>
      <c r="Q395" s="2">
        <v>7588</v>
      </c>
      <c r="R395" s="2">
        <v>130593</v>
      </c>
      <c r="S395" s="2">
        <v>984275</v>
      </c>
      <c r="T395" s="10">
        <f t="shared" si="18"/>
        <v>716973</v>
      </c>
      <c r="U395" s="8">
        <f t="shared" si="19"/>
        <v>0.72842752279596656</v>
      </c>
      <c r="V395" s="9" t="s">
        <v>5271</v>
      </c>
      <c r="W395" s="9" t="str">
        <f t="shared" si="20"/>
        <v>Wimborne and Cranborne RD</v>
      </c>
      <c r="X395" s="9" t="str">
        <f>INDEX(Lookup!$A$2:$A$1349, MATCH(W395, Lookup!$B$2:$B$1349,0))</f>
        <v>J04001419</v>
      </c>
      <c r="Y395" s="9" t="str">
        <f>INDEX(Lookup!$F$2:$F$1349, MATCH(W395, Lookup!$B$2:$B$1349,0))</f>
        <v>e100259</v>
      </c>
      <c r="Z395" s="6" t="str">
        <f>INDEX(Lookup!$C$2:$C$1300, MATCH(X395, Lookup!$A$2:$A$1300,0))</f>
        <v>Dorset</v>
      </c>
    </row>
    <row r="396" spans="1:26" ht="28.15" customHeight="1" x14ac:dyDescent="0.2">
      <c r="A396" s="6" t="s">
        <v>389</v>
      </c>
      <c r="B396" s="1" t="s">
        <v>389</v>
      </c>
      <c r="T396" s="10"/>
      <c r="W396" s="9" t="str">
        <f t="shared" si="20"/>
        <v xml:space="preserve">DURHAM:- </v>
      </c>
      <c r="X396" s="9" t="e">
        <f>INDEX(Lookup!$A$2:$A$1349, MATCH(W396, Lookup!$B$2:$B$1349,0))</f>
        <v>#N/A</v>
      </c>
      <c r="Y396" s="9" t="e">
        <f>INDEX(Lookup!$F$2:$F$1349, MATCH(W396, Lookup!$B$2:$B$1349,0))</f>
        <v>#N/A</v>
      </c>
      <c r="Z396" s="6" t="e">
        <f>INDEX(Lookup!$C$2:$C$1300, MATCH(X396, Lookup!$A$2:$A$1300,0))</f>
        <v>#N/A</v>
      </c>
    </row>
    <row r="397" spans="1:26" ht="28.15" customHeight="1" x14ac:dyDescent="0.2">
      <c r="A397" s="6" t="s">
        <v>175</v>
      </c>
      <c r="B397" s="1" t="s">
        <v>175</v>
      </c>
      <c r="T397" s="10"/>
      <c r="W397" s="9" t="str">
        <f t="shared" si="20"/>
        <v xml:space="preserve">Non-County Boroughs-- </v>
      </c>
      <c r="X397" s="9" t="e">
        <f>INDEX(Lookup!$A$2:$A$1349, MATCH(W397, Lookup!$B$2:$B$1349,0))</f>
        <v>#N/A</v>
      </c>
      <c r="Y397" s="9" t="e">
        <f>INDEX(Lookup!$F$2:$F$1349, MATCH(W397, Lookup!$B$2:$B$1349,0))</f>
        <v>#N/A</v>
      </c>
      <c r="Z397" s="6" t="e">
        <f>INDEX(Lookup!$C$2:$C$1300, MATCH(X397, Lookup!$A$2:$A$1300,0))</f>
        <v>#N/A</v>
      </c>
    </row>
    <row r="398" spans="1:26" ht="28.15" customHeight="1" x14ac:dyDescent="0.2">
      <c r="A398" s="6" t="s">
        <v>26</v>
      </c>
      <c r="B398" s="1" t="s">
        <v>5362</v>
      </c>
      <c r="C398" s="2">
        <v>5791</v>
      </c>
      <c r="D398" s="2">
        <v>293003</v>
      </c>
      <c r="E398" s="2">
        <v>434</v>
      </c>
      <c r="F398" s="2">
        <v>54055</v>
      </c>
      <c r="G398" s="2">
        <v>21</v>
      </c>
      <c r="H398" s="2">
        <v>4911</v>
      </c>
      <c r="I398" s="2">
        <v>341</v>
      </c>
      <c r="J398" s="2">
        <v>144120</v>
      </c>
      <c r="K398" s="2">
        <v>128</v>
      </c>
      <c r="L398" s="2">
        <v>21929</v>
      </c>
      <c r="M398" s="2">
        <v>646</v>
      </c>
      <c r="N398" s="2">
        <v>44290</v>
      </c>
      <c r="O398" s="2">
        <v>17</v>
      </c>
      <c r="P398" s="2">
        <v>22920</v>
      </c>
      <c r="Q398" s="2">
        <v>20636</v>
      </c>
      <c r="R398" s="2">
        <v>244254</v>
      </c>
      <c r="S398" s="2">
        <v>850118</v>
      </c>
      <c r="T398" s="10">
        <f t="shared" si="18"/>
        <v>351969</v>
      </c>
      <c r="U398" s="8">
        <f t="shared" si="19"/>
        <v>0.41402370023926088</v>
      </c>
      <c r="V398" s="9" t="s">
        <v>5268</v>
      </c>
      <c r="W398" s="9" t="str">
        <f t="shared" si="20"/>
        <v>Durham, city of MB</v>
      </c>
      <c r="X398" s="9" t="str">
        <f>INDEX(Lookup!$A$2:$A$1349, MATCH(W398, Lookup!$B$2:$B$1349,0))</f>
        <v>J04000439</v>
      </c>
      <c r="Y398" s="9" t="str">
        <f>INDEX(Lookup!$F$2:$F$1349, MATCH(W398, Lookup!$B$2:$B$1349,0))</f>
        <v>e110273</v>
      </c>
      <c r="Z398" s="6" t="str">
        <f>INDEX(Lookup!$C$2:$C$1300, MATCH(X398, Lookup!$A$2:$A$1300,0))</f>
        <v>Durham</v>
      </c>
    </row>
    <row r="399" spans="1:26" ht="28.15" customHeight="1" x14ac:dyDescent="0.2">
      <c r="A399" s="6" t="s">
        <v>390</v>
      </c>
      <c r="B399" s="1" t="s">
        <v>390</v>
      </c>
      <c r="C399" s="2">
        <v>5183</v>
      </c>
      <c r="D399" s="2">
        <v>245782</v>
      </c>
      <c r="E399" s="2">
        <v>17</v>
      </c>
      <c r="F399" s="2">
        <v>1872</v>
      </c>
      <c r="G399" s="2">
        <v>1</v>
      </c>
      <c r="H399" s="2">
        <v>202</v>
      </c>
      <c r="I399" s="2">
        <v>181</v>
      </c>
      <c r="J399" s="2">
        <v>18561</v>
      </c>
      <c r="K399" s="2">
        <v>28</v>
      </c>
      <c r="L399" s="2">
        <v>772</v>
      </c>
      <c r="M399" s="2">
        <v>488</v>
      </c>
      <c r="N399" s="2">
        <v>14842</v>
      </c>
      <c r="O399" s="2">
        <v>34</v>
      </c>
      <c r="P399" s="2">
        <v>219860</v>
      </c>
      <c r="Q399" s="2">
        <v>2888</v>
      </c>
      <c r="R399" s="2">
        <v>88910</v>
      </c>
      <c r="S399" s="2">
        <v>593689</v>
      </c>
      <c r="T399" s="10">
        <f t="shared" si="18"/>
        <v>247856</v>
      </c>
      <c r="U399" s="8">
        <f t="shared" si="19"/>
        <v>0.41748457525741595</v>
      </c>
      <c r="V399" s="9" t="s">
        <v>5268</v>
      </c>
      <c r="W399" s="9" t="str">
        <f t="shared" si="20"/>
        <v>Hartlepool MB</v>
      </c>
      <c r="X399" s="9" t="str">
        <f>INDEX(Lookup!$A$2:$A$1349, MATCH(W399, Lookup!$B$2:$B$1349,0))</f>
        <v>J04000579</v>
      </c>
      <c r="Y399" s="9" t="str">
        <f>INDEX(Lookup!$F$2:$F$1349, MATCH(W399, Lookup!$B$2:$B$1349,0))</f>
        <v>e110262</v>
      </c>
      <c r="Z399" s="6" t="str">
        <f>INDEX(Lookup!$C$2:$C$1300, MATCH(X399, Lookup!$A$2:$A$1300,0))</f>
        <v>Cleveland</v>
      </c>
    </row>
    <row r="400" spans="1:26" ht="28.15" customHeight="1" x14ac:dyDescent="0.2">
      <c r="A400" s="6" t="s">
        <v>391</v>
      </c>
      <c r="B400" s="1" t="s">
        <v>391</v>
      </c>
      <c r="C400" s="2">
        <v>8700</v>
      </c>
      <c r="D400" s="2">
        <v>370507</v>
      </c>
      <c r="E400" s="2">
        <v>19</v>
      </c>
      <c r="F400" s="2">
        <v>2313</v>
      </c>
      <c r="I400" s="2">
        <v>368</v>
      </c>
      <c r="J400" s="2">
        <v>77982</v>
      </c>
      <c r="K400" s="2">
        <v>36</v>
      </c>
      <c r="L400" s="2">
        <v>3953</v>
      </c>
      <c r="M400" s="2">
        <v>688</v>
      </c>
      <c r="N400" s="2">
        <v>25224</v>
      </c>
      <c r="O400" s="2">
        <v>32</v>
      </c>
      <c r="P400" s="2">
        <v>286855</v>
      </c>
      <c r="Q400" s="2">
        <v>3427</v>
      </c>
      <c r="R400" s="2">
        <v>100853</v>
      </c>
      <c r="S400" s="2">
        <v>871114</v>
      </c>
      <c r="T400" s="10">
        <f>SUM(D400+F400)</f>
        <v>372820</v>
      </c>
      <c r="U400" s="8">
        <f t="shared" si="19"/>
        <v>0.42798072353331479</v>
      </c>
      <c r="V400" s="9" t="s">
        <v>5268</v>
      </c>
      <c r="W400" s="9" t="str">
        <f t="shared" si="20"/>
        <v>Jarrow MB</v>
      </c>
      <c r="X400" s="9" t="str">
        <f>INDEX(Lookup!$A$2:$A$1349, MATCH(W400, Lookup!$B$2:$B$1349,0))</f>
        <v>J04000678</v>
      </c>
      <c r="Y400" s="9" t="str">
        <f>INDEX(Lookup!$F$2:$F$1349, MATCH(W400, Lookup!$B$2:$B$1349,0))</f>
        <v>e110279</v>
      </c>
      <c r="Z400" s="6" t="str">
        <f>INDEX(Lookup!$C$2:$C$1300, MATCH(X400, Lookup!$A$2:$A$1300,0))</f>
        <v>Tyne And Wear</v>
      </c>
    </row>
    <row r="401" spans="1:26" ht="28.15" customHeight="1" x14ac:dyDescent="0.2">
      <c r="A401" s="6" t="s">
        <v>392</v>
      </c>
      <c r="B401" s="1" t="s">
        <v>5363</v>
      </c>
      <c r="C401" s="2">
        <v>24673</v>
      </c>
      <c r="D401" s="2">
        <v>1279495</v>
      </c>
      <c r="E401" s="2">
        <v>809</v>
      </c>
      <c r="F401" s="2">
        <v>96158</v>
      </c>
      <c r="G401" s="2">
        <v>13</v>
      </c>
      <c r="H401" s="2">
        <v>3087</v>
      </c>
      <c r="I401" s="2">
        <v>1022</v>
      </c>
      <c r="J401" s="2">
        <v>327725</v>
      </c>
      <c r="K401" s="2">
        <v>192</v>
      </c>
      <c r="L401" s="2">
        <v>47303</v>
      </c>
      <c r="M401" s="2">
        <v>1699</v>
      </c>
      <c r="N401" s="2">
        <v>172378</v>
      </c>
      <c r="O401" s="2">
        <v>139</v>
      </c>
      <c r="P401" s="2">
        <v>415027</v>
      </c>
      <c r="Q401" s="2">
        <v>12546</v>
      </c>
      <c r="R401" s="2">
        <v>263545</v>
      </c>
      <c r="S401" s="2">
        <v>2617264</v>
      </c>
      <c r="T401" s="10">
        <f t="shared" si="18"/>
        <v>1378740</v>
      </c>
      <c r="U401" s="8">
        <f t="shared" si="19"/>
        <v>0.52678675135561415</v>
      </c>
      <c r="V401" s="9" t="s">
        <v>5268</v>
      </c>
      <c r="W401" s="9" t="str">
        <f t="shared" si="20"/>
        <v>Stockton on Tees MB</v>
      </c>
      <c r="X401" s="9" t="str">
        <f>INDEX(Lookup!$A$2:$A$1349, MATCH(W401, Lookup!$B$2:$B$1349,0))</f>
        <v>J04001210</v>
      </c>
      <c r="Y401" s="9" t="str">
        <f>INDEX(Lookup!$F$2:$F$1349, MATCH(W401, Lookup!$B$2:$B$1349,0))</f>
        <v>e451167</v>
      </c>
      <c r="Z401" s="6" t="str">
        <f>INDEX(Lookup!$C$2:$C$1300, MATCH(X401, Lookup!$A$2:$A$1300,0))</f>
        <v>Cleveland</v>
      </c>
    </row>
    <row r="402" spans="1:26" ht="28.15" customHeight="1" x14ac:dyDescent="0.2">
      <c r="A402" s="6" t="s">
        <v>179</v>
      </c>
      <c r="B402" s="1" t="s">
        <v>179</v>
      </c>
      <c r="T402" s="10"/>
      <c r="W402" s="9" t="str">
        <f t="shared" si="20"/>
        <v xml:space="preserve">Urban Districts-- </v>
      </c>
      <c r="X402" s="9" t="e">
        <f>INDEX(Lookup!$A$2:$A$1349, MATCH(W402, Lookup!$B$2:$B$1349,0))</f>
        <v>#N/A</v>
      </c>
      <c r="Y402" s="9" t="e">
        <f>INDEX(Lookup!$F$2:$F$1349, MATCH(W402, Lookup!$B$2:$B$1349,0))</f>
        <v>#N/A</v>
      </c>
      <c r="Z402" s="6" t="e">
        <f>INDEX(Lookup!$C$2:$C$1300, MATCH(X402, Lookup!$A$2:$A$1300,0))</f>
        <v>#N/A</v>
      </c>
    </row>
    <row r="403" spans="1:26" ht="28.15" customHeight="1" x14ac:dyDescent="0.2">
      <c r="A403" s="6" t="s">
        <v>393</v>
      </c>
      <c r="B403" s="1" t="s">
        <v>393</v>
      </c>
      <c r="C403" s="2">
        <v>1508</v>
      </c>
      <c r="D403" s="2">
        <v>71937</v>
      </c>
      <c r="E403" s="2">
        <v>14</v>
      </c>
      <c r="F403" s="2">
        <v>1712</v>
      </c>
      <c r="G403" s="2">
        <v>1</v>
      </c>
      <c r="H403" s="2">
        <v>206</v>
      </c>
      <c r="I403" s="2">
        <v>155</v>
      </c>
      <c r="J403" s="2">
        <v>18666</v>
      </c>
      <c r="K403" s="2">
        <v>24</v>
      </c>
      <c r="L403" s="2">
        <v>1339</v>
      </c>
      <c r="M403" s="2">
        <v>333</v>
      </c>
      <c r="N403" s="2">
        <v>7951</v>
      </c>
      <c r="O403" s="2">
        <v>18</v>
      </c>
      <c r="P403" s="2">
        <v>9224</v>
      </c>
      <c r="Q403" s="2">
        <v>2361</v>
      </c>
      <c r="R403" s="2">
        <v>24800</v>
      </c>
      <c r="S403" s="2">
        <v>137896</v>
      </c>
      <c r="T403" s="10">
        <f t="shared" si="18"/>
        <v>73855</v>
      </c>
      <c r="U403" s="8">
        <f t="shared" si="19"/>
        <v>0.53558478853628821</v>
      </c>
      <c r="V403" s="9" t="s">
        <v>5270</v>
      </c>
      <c r="W403" s="9" t="str">
        <f t="shared" si="20"/>
        <v>Barnard Castle UD</v>
      </c>
      <c r="X403" s="9" t="str">
        <f>INDEX(Lookup!$A$2:$A$1349, MATCH(W403, Lookup!$B$2:$B$1349,0))</f>
        <v>J04000083</v>
      </c>
      <c r="Y403" s="9" t="str">
        <f>INDEX(Lookup!$F$2:$F$1349, MATCH(W403, Lookup!$B$2:$B$1349,0))</f>
        <v>e110265</v>
      </c>
      <c r="Z403" s="6" t="str">
        <f>INDEX(Lookup!$C$2:$C$1300, MATCH(X403, Lookup!$A$2:$A$1300,0))</f>
        <v>Durham</v>
      </c>
    </row>
    <row r="404" spans="1:26" ht="28.15" customHeight="1" x14ac:dyDescent="0.2">
      <c r="A404" s="6" t="s">
        <v>394</v>
      </c>
      <c r="B404" s="1" t="s">
        <v>394</v>
      </c>
      <c r="C404" s="2">
        <v>9637</v>
      </c>
      <c r="D404" s="2">
        <v>535635</v>
      </c>
      <c r="E404" s="2">
        <v>92</v>
      </c>
      <c r="F404" s="2">
        <v>11006</v>
      </c>
      <c r="G404" s="2">
        <v>3</v>
      </c>
      <c r="H404" s="2">
        <v>702</v>
      </c>
      <c r="I404" s="2">
        <v>275</v>
      </c>
      <c r="J404" s="2">
        <v>55498</v>
      </c>
      <c r="K404" s="2">
        <v>30</v>
      </c>
      <c r="L404" s="2">
        <v>38981</v>
      </c>
      <c r="M404" s="2">
        <v>856</v>
      </c>
      <c r="N404" s="2">
        <v>49032</v>
      </c>
      <c r="O404" s="2">
        <v>10</v>
      </c>
      <c r="P404" s="2">
        <v>1744850</v>
      </c>
      <c r="Q404" s="2">
        <v>1653</v>
      </c>
      <c r="R404" s="2">
        <v>349959</v>
      </c>
      <c r="S404" s="2">
        <v>2787316</v>
      </c>
      <c r="T404" s="10">
        <f t="shared" si="18"/>
        <v>547343</v>
      </c>
      <c r="U404" s="8">
        <f t="shared" si="19"/>
        <v>0.1963691953119058</v>
      </c>
      <c r="V404" s="9" t="s">
        <v>5270</v>
      </c>
      <c r="W404" s="9" t="str">
        <f t="shared" si="20"/>
        <v>Billingham UD</v>
      </c>
      <c r="X404" s="9" t="str">
        <f>INDEX(Lookup!$A$2:$A$1349, MATCH(W404, Lookup!$B$2:$B$1349,0))</f>
        <v>J04000145</v>
      </c>
      <c r="Y404" s="9" t="str">
        <f>INDEX(Lookup!$F$2:$F$1349, MATCH(W404, Lookup!$B$2:$B$1349,0))</f>
        <v>e451167</v>
      </c>
      <c r="Z404" s="6" t="str">
        <f>INDEX(Lookup!$C$2:$C$1300, MATCH(X404, Lookup!$A$2:$A$1300,0))</f>
        <v>Cleveland</v>
      </c>
    </row>
    <row r="405" spans="1:26" ht="28.15" customHeight="1" x14ac:dyDescent="0.2">
      <c r="A405" s="6" t="s">
        <v>395</v>
      </c>
      <c r="B405" s="1" t="s">
        <v>395</v>
      </c>
      <c r="C405" s="2">
        <v>10889</v>
      </c>
      <c r="D405" s="2">
        <v>375894</v>
      </c>
      <c r="E405" s="2">
        <v>197</v>
      </c>
      <c r="F405" s="2">
        <v>24198</v>
      </c>
      <c r="G405" s="2">
        <v>3</v>
      </c>
      <c r="H405" s="2">
        <v>620</v>
      </c>
      <c r="I405" s="2">
        <v>558</v>
      </c>
      <c r="J405" s="2">
        <v>189291</v>
      </c>
      <c r="K405" s="2">
        <v>101</v>
      </c>
      <c r="L405" s="2">
        <v>12996</v>
      </c>
      <c r="M405" s="2">
        <v>1512</v>
      </c>
      <c r="N405" s="2">
        <v>59450</v>
      </c>
      <c r="O405" s="2">
        <v>42</v>
      </c>
      <c r="P405" s="2">
        <v>100069</v>
      </c>
      <c r="Q405" s="2">
        <v>9552</v>
      </c>
      <c r="R405" s="2">
        <v>139216</v>
      </c>
      <c r="S405" s="2">
        <v>911286</v>
      </c>
      <c r="T405" s="10">
        <f t="shared" si="18"/>
        <v>400712</v>
      </c>
      <c r="U405" s="8">
        <f t="shared" si="19"/>
        <v>0.43972144859023404</v>
      </c>
      <c r="V405" s="9" t="s">
        <v>5270</v>
      </c>
      <c r="W405" s="9" t="str">
        <f t="shared" si="20"/>
        <v>Bishop Auckland UD</v>
      </c>
      <c r="X405" s="9" t="str">
        <f>INDEX(Lookup!$A$2:$A$1349, MATCH(W405, Lookup!$B$2:$B$1349,0))</f>
        <v>J04000151</v>
      </c>
      <c r="Y405" s="9" t="str">
        <f>INDEX(Lookup!$F$2:$F$1349, MATCH(W405, Lookup!$B$2:$B$1349,0))</f>
        <v>e110266</v>
      </c>
      <c r="Z405" s="6" t="str">
        <f>INDEX(Lookup!$C$2:$C$1300, MATCH(X405, Lookup!$A$2:$A$1300,0))</f>
        <v>Durham</v>
      </c>
    </row>
    <row r="406" spans="1:26" ht="28.15" customHeight="1" x14ac:dyDescent="0.2">
      <c r="A406" s="6" t="s">
        <v>396</v>
      </c>
      <c r="B406" s="1" t="s">
        <v>396</v>
      </c>
      <c r="C406" s="2">
        <v>9861</v>
      </c>
      <c r="D406" s="2">
        <v>391324</v>
      </c>
      <c r="E406" s="2">
        <v>92</v>
      </c>
      <c r="F406" s="2">
        <v>10791</v>
      </c>
      <c r="G406" s="2">
        <v>1</v>
      </c>
      <c r="H406" s="2">
        <v>206</v>
      </c>
      <c r="I406" s="2">
        <v>327</v>
      </c>
      <c r="J406" s="2">
        <v>32020</v>
      </c>
      <c r="K406" s="2">
        <v>23</v>
      </c>
      <c r="L406" s="2">
        <v>1628</v>
      </c>
      <c r="M406" s="2">
        <v>1144</v>
      </c>
      <c r="N406" s="2">
        <v>55772</v>
      </c>
      <c r="O406" s="2">
        <v>42</v>
      </c>
      <c r="P406" s="2">
        <v>137593</v>
      </c>
      <c r="Q406" s="2">
        <v>3857</v>
      </c>
      <c r="R406" s="2">
        <v>94768</v>
      </c>
      <c r="S406" s="2">
        <v>727959</v>
      </c>
      <c r="T406" s="10">
        <f t="shared" si="18"/>
        <v>402321</v>
      </c>
      <c r="U406" s="8">
        <f t="shared" si="19"/>
        <v>0.55266986190156309</v>
      </c>
      <c r="V406" s="9" t="s">
        <v>5270</v>
      </c>
      <c r="W406" s="9" t="str">
        <f t="shared" si="20"/>
        <v>Blaydon UD</v>
      </c>
      <c r="X406" s="9" t="str">
        <f>INDEX(Lookup!$A$2:$A$1349, MATCH(W406, Lookup!$B$2:$B$1349,0))</f>
        <v>J04000163</v>
      </c>
      <c r="Y406" s="9" t="str">
        <f>INDEX(Lookup!$F$2:$F$1349, MATCH(W406, Lookup!$B$2:$B$1349,0))</f>
        <v>e110267</v>
      </c>
      <c r="Z406" s="6" t="str">
        <f>INDEX(Lookup!$C$2:$C$1300, MATCH(X406, Lookup!$A$2:$A$1300,0))</f>
        <v>Tyne And Wear</v>
      </c>
    </row>
    <row r="407" spans="1:26" ht="28.15" customHeight="1" x14ac:dyDescent="0.2">
      <c r="A407" s="6" t="s">
        <v>397</v>
      </c>
      <c r="B407" s="1" t="s">
        <v>397</v>
      </c>
      <c r="C407" s="2">
        <v>7077</v>
      </c>
      <c r="D407" s="2">
        <v>368880</v>
      </c>
      <c r="E407" s="2">
        <v>643</v>
      </c>
      <c r="F407" s="2">
        <v>79926</v>
      </c>
      <c r="G407" s="2">
        <v>22</v>
      </c>
      <c r="H407" s="2">
        <v>5610</v>
      </c>
      <c r="I407" s="2">
        <v>157</v>
      </c>
      <c r="J407" s="2">
        <v>17964</v>
      </c>
      <c r="K407" s="2">
        <v>22</v>
      </c>
      <c r="L407" s="2">
        <v>1505</v>
      </c>
      <c r="M407" s="2">
        <v>554</v>
      </c>
      <c r="N407" s="2">
        <v>19621</v>
      </c>
      <c r="O407" s="2">
        <v>12</v>
      </c>
      <c r="P407" s="2">
        <v>10621</v>
      </c>
      <c r="Q407" s="2">
        <v>3141</v>
      </c>
      <c r="R407" s="2">
        <v>122908</v>
      </c>
      <c r="S407" s="2">
        <v>630176</v>
      </c>
      <c r="T407" s="10">
        <f t="shared" si="18"/>
        <v>454416</v>
      </c>
      <c r="U407" s="8">
        <f t="shared" si="19"/>
        <v>0.72109378967145688</v>
      </c>
      <c r="V407" s="9" t="s">
        <v>5270</v>
      </c>
      <c r="W407" s="9" t="str">
        <f t="shared" si="20"/>
        <v>Boldon UD</v>
      </c>
      <c r="X407" s="9" t="str">
        <f>INDEX(Lookup!$A$2:$A$1349, MATCH(W407, Lookup!$B$2:$B$1349,0))</f>
        <v>J04000170</v>
      </c>
      <c r="Y407" s="9" t="str">
        <f>INDEX(Lookup!$F$2:$F$1349, MATCH(W407, Lookup!$B$2:$B$1349,0))</f>
        <v>e110268</v>
      </c>
      <c r="Z407" s="6" t="str">
        <f>INDEX(Lookup!$C$2:$C$1300, MATCH(X407, Lookup!$A$2:$A$1300,0))</f>
        <v>Tyne And Wear</v>
      </c>
    </row>
    <row r="408" spans="1:26" ht="28.15" customHeight="1" x14ac:dyDescent="0.2">
      <c r="A408" s="6" t="s">
        <v>398</v>
      </c>
      <c r="B408" s="1" t="s">
        <v>5364</v>
      </c>
      <c r="C408" s="2">
        <v>6331</v>
      </c>
      <c r="D408" s="2">
        <v>220103</v>
      </c>
      <c r="E408" s="2">
        <v>14</v>
      </c>
      <c r="F408" s="2">
        <v>1703</v>
      </c>
      <c r="I408" s="2">
        <v>217</v>
      </c>
      <c r="J408" s="2">
        <v>20533</v>
      </c>
      <c r="K408" s="2">
        <v>20</v>
      </c>
      <c r="L408" s="2">
        <v>1363</v>
      </c>
      <c r="M408" s="2">
        <v>836</v>
      </c>
      <c r="N408" s="2">
        <v>13771</v>
      </c>
      <c r="O408" s="2">
        <v>14</v>
      </c>
      <c r="P408" s="2">
        <v>20191</v>
      </c>
      <c r="Q408" s="2">
        <v>295</v>
      </c>
      <c r="R408" s="2">
        <v>78795</v>
      </c>
      <c r="S408" s="2">
        <v>356754</v>
      </c>
      <c r="T408" s="10">
        <f>SUM(D408+F408)</f>
        <v>221806</v>
      </c>
      <c r="U408" s="8">
        <f t="shared" si="19"/>
        <v>0.62173374370014067</v>
      </c>
      <c r="V408" s="9" t="s">
        <v>5270</v>
      </c>
      <c r="W408" s="9" t="str">
        <f t="shared" si="20"/>
        <v>Brandon and Byshottles UD</v>
      </c>
      <c r="X408" s="9" t="str">
        <f>INDEX(Lookup!$A$2:$A$1349, MATCH(W408, Lookup!$B$2:$B$1349,0))</f>
        <v>J04000190</v>
      </c>
      <c r="Y408" s="9" t="str">
        <f>INDEX(Lookup!$F$2:$F$1349, MATCH(W408, Lookup!$B$2:$B$1349,0))</f>
        <v>e110269</v>
      </c>
      <c r="Z408" s="6" t="str">
        <f>INDEX(Lookup!$C$2:$C$1300, MATCH(X408, Lookup!$A$2:$A$1300,0))</f>
        <v>Durham</v>
      </c>
    </row>
    <row r="409" spans="1:26" ht="28.15" customHeight="1" x14ac:dyDescent="0.2">
      <c r="A409" s="6" t="s">
        <v>399</v>
      </c>
      <c r="B409" s="1" t="s">
        <v>5398</v>
      </c>
      <c r="C409" s="2">
        <v>6236</v>
      </c>
      <c r="D409" s="2">
        <v>291577</v>
      </c>
      <c r="E409" s="2">
        <v>162</v>
      </c>
      <c r="F409" s="2">
        <v>19190</v>
      </c>
      <c r="I409" s="2">
        <v>225</v>
      </c>
      <c r="J409" s="2">
        <v>82535</v>
      </c>
      <c r="K409" s="2">
        <v>45</v>
      </c>
      <c r="L409" s="2">
        <v>4099</v>
      </c>
      <c r="M409" s="2">
        <v>740</v>
      </c>
      <c r="N409" s="2">
        <v>35800</v>
      </c>
      <c r="O409" s="2">
        <v>19</v>
      </c>
      <c r="P409" s="2">
        <v>16028</v>
      </c>
      <c r="Q409" s="2">
        <v>3835</v>
      </c>
      <c r="R409" s="2">
        <v>72408</v>
      </c>
      <c r="S409" s="2">
        <v>525472</v>
      </c>
      <c r="T409" s="10">
        <f>SUM(D409+F409)</f>
        <v>310767</v>
      </c>
      <c r="U409" s="8">
        <f t="shared" si="19"/>
        <v>0.59140544120333716</v>
      </c>
      <c r="V409" s="9" t="s">
        <v>5270</v>
      </c>
      <c r="W409" s="9" t="str">
        <f t="shared" si="20"/>
        <v>Chester le Street UD</v>
      </c>
      <c r="X409" s="9" t="str">
        <f>INDEX(Lookup!$A$2:$A$1349, MATCH(W409, Lookup!$B$2:$B$1349,0))</f>
        <v>J04000299</v>
      </c>
      <c r="Y409" s="9" t="str">
        <f>INDEX(Lookup!$F$2:$F$1349, MATCH(W409, Lookup!$B$2:$B$1349,0))</f>
        <v>e110270</v>
      </c>
      <c r="Z409" s="6" t="str">
        <f>INDEX(Lookup!$C$2:$C$1300, MATCH(X409, Lookup!$A$2:$A$1300,0))</f>
        <v>Durham</v>
      </c>
    </row>
    <row r="410" spans="1:26" ht="28.15" customHeight="1" x14ac:dyDescent="0.2">
      <c r="A410" s="6" t="s">
        <v>400</v>
      </c>
      <c r="B410" s="1" t="s">
        <v>400</v>
      </c>
      <c r="C410" s="2">
        <v>11841</v>
      </c>
      <c r="D410" s="2">
        <v>481903</v>
      </c>
      <c r="E410" s="2">
        <v>167</v>
      </c>
      <c r="F410" s="2">
        <v>20541</v>
      </c>
      <c r="G410" s="2">
        <v>4</v>
      </c>
      <c r="H410" s="2">
        <v>872</v>
      </c>
      <c r="I410" s="2">
        <v>447</v>
      </c>
      <c r="J410" s="2">
        <v>76583</v>
      </c>
      <c r="K410" s="2">
        <v>55</v>
      </c>
      <c r="L410" s="2">
        <v>7223</v>
      </c>
      <c r="M410" s="2">
        <v>1544</v>
      </c>
      <c r="N410" s="2">
        <v>41284</v>
      </c>
      <c r="O410" s="2">
        <v>25</v>
      </c>
      <c r="P410" s="2">
        <v>757191</v>
      </c>
      <c r="Q410" s="2">
        <v>10798</v>
      </c>
      <c r="R410" s="2">
        <v>183287</v>
      </c>
      <c r="S410" s="2">
        <v>1579682</v>
      </c>
      <c r="T410" s="10">
        <f t="shared" si="18"/>
        <v>503316</v>
      </c>
      <c r="U410" s="8">
        <f t="shared" si="19"/>
        <v>0.31861855740585765</v>
      </c>
      <c r="V410" s="9" t="s">
        <v>5270</v>
      </c>
      <c r="W410" s="9" t="str">
        <f t="shared" si="20"/>
        <v>Consett UD</v>
      </c>
      <c r="X410" s="9" t="str">
        <f>INDEX(Lookup!$A$2:$A$1349, MATCH(W410, Lookup!$B$2:$B$1349,0))</f>
        <v>J04000345</v>
      </c>
      <c r="Y410" s="9" t="str">
        <f>INDEX(Lookup!$F$2:$F$1349, MATCH(W410, Lookup!$B$2:$B$1349,0))</f>
        <v>e110271</v>
      </c>
      <c r="Z410" s="6" t="str">
        <f>INDEX(Lookup!$C$2:$C$1300, MATCH(X410, Lookup!$A$2:$A$1300,0))</f>
        <v>Durham</v>
      </c>
    </row>
    <row r="411" spans="1:26" ht="28.15" customHeight="1" x14ac:dyDescent="0.2">
      <c r="A411" s="6" t="s">
        <v>401</v>
      </c>
      <c r="B411" s="1" t="s">
        <v>401</v>
      </c>
      <c r="T411" s="10"/>
      <c r="W411" s="9" t="str">
        <f t="shared" si="20"/>
        <v xml:space="preserve">DURHAM-contd: </v>
      </c>
      <c r="X411" s="9" t="e">
        <f>INDEX(Lookup!$A$2:$A$1349, MATCH(W411, Lookup!$B$2:$B$1349,0))</f>
        <v>#N/A</v>
      </c>
      <c r="Y411" s="9" t="e">
        <f>INDEX(Lookup!$F$2:$F$1349, MATCH(W411, Lookup!$B$2:$B$1349,0))</f>
        <v>#N/A</v>
      </c>
      <c r="Z411" s="6" t="e">
        <f>INDEX(Lookup!$C$2:$C$1300, MATCH(X411, Lookup!$A$2:$A$1300,0))</f>
        <v>#N/A</v>
      </c>
    </row>
    <row r="412" spans="1:26" ht="28.15" customHeight="1" x14ac:dyDescent="0.2">
      <c r="A412" s="6" t="s">
        <v>402</v>
      </c>
      <c r="B412" s="1" t="s">
        <v>402</v>
      </c>
      <c r="T412" s="10"/>
      <c r="W412" s="9" t="str">
        <f t="shared" si="20"/>
        <v xml:space="preserve">Urban Districts--contd: </v>
      </c>
      <c r="X412" s="9" t="e">
        <f>INDEX(Lookup!$A$2:$A$1349, MATCH(W412, Lookup!$B$2:$B$1349,0))</f>
        <v>#N/A</v>
      </c>
      <c r="Y412" s="9" t="e">
        <f>INDEX(Lookup!$F$2:$F$1349, MATCH(W412, Lookup!$B$2:$B$1349,0))</f>
        <v>#N/A</v>
      </c>
      <c r="Z412" s="6" t="e">
        <f>INDEX(Lookup!$C$2:$C$1300, MATCH(X412, Lookup!$A$2:$A$1300,0))</f>
        <v>#N/A</v>
      </c>
    </row>
    <row r="413" spans="1:26" ht="28.15" customHeight="1" x14ac:dyDescent="0.2">
      <c r="A413" s="6" t="s">
        <v>403</v>
      </c>
      <c r="B413" s="1" t="s">
        <v>5365</v>
      </c>
      <c r="C413" s="2">
        <v>8422</v>
      </c>
      <c r="D413" s="2">
        <v>270786</v>
      </c>
      <c r="E413" s="2">
        <v>30</v>
      </c>
      <c r="F413" s="2">
        <v>3504</v>
      </c>
      <c r="G413" s="2">
        <v>1</v>
      </c>
      <c r="H413" s="2">
        <v>214</v>
      </c>
      <c r="I413" s="2">
        <v>346</v>
      </c>
      <c r="J413" s="2">
        <v>40741</v>
      </c>
      <c r="K413" s="2">
        <v>29</v>
      </c>
      <c r="L413" s="2">
        <v>2333</v>
      </c>
      <c r="M413" s="2">
        <v>1117</v>
      </c>
      <c r="N413" s="2">
        <v>19571</v>
      </c>
      <c r="O413" s="2">
        <v>20</v>
      </c>
      <c r="P413" s="2">
        <v>85845</v>
      </c>
      <c r="Q413" s="2">
        <v>4619</v>
      </c>
      <c r="R413" s="2">
        <v>109965</v>
      </c>
      <c r="S413" s="2">
        <v>537578</v>
      </c>
      <c r="T413" s="10">
        <f t="shared" si="18"/>
        <v>274504</v>
      </c>
      <c r="U413" s="8">
        <f t="shared" si="19"/>
        <v>0.51063101540613642</v>
      </c>
      <c r="V413" s="9" t="s">
        <v>5270</v>
      </c>
      <c r="W413" s="9" t="str">
        <f t="shared" si="20"/>
        <v>Crook and Willington UD</v>
      </c>
      <c r="X413" s="9" t="str">
        <f>INDEX(Lookup!$A$2:$A$1349, MATCH(W413, Lookup!$B$2:$B$1349,0))</f>
        <v>J04000369</v>
      </c>
      <c r="Y413" s="9" t="str">
        <f>INDEX(Lookup!$F$2:$F$1349, MATCH(W413, Lookup!$B$2:$B$1349,0))</f>
        <v>e110272</v>
      </c>
      <c r="Z413" s="6" t="str">
        <f>INDEX(Lookup!$C$2:$C$1300, MATCH(X413, Lookup!$A$2:$A$1300,0))</f>
        <v>Durham</v>
      </c>
    </row>
    <row r="414" spans="1:26" ht="28.15" customHeight="1" x14ac:dyDescent="0.2">
      <c r="A414" s="6" t="s">
        <v>404</v>
      </c>
      <c r="B414" s="1" t="s">
        <v>404</v>
      </c>
      <c r="C414" s="2">
        <v>11865</v>
      </c>
      <c r="D414" s="2">
        <v>559086</v>
      </c>
      <c r="E414" s="2">
        <v>56</v>
      </c>
      <c r="F414" s="2">
        <v>6027</v>
      </c>
      <c r="I414" s="2">
        <v>258</v>
      </c>
      <c r="J414" s="2">
        <v>31121</v>
      </c>
      <c r="K414" s="2">
        <v>19</v>
      </c>
      <c r="L414" s="2">
        <v>963</v>
      </c>
      <c r="M414" s="2">
        <v>1230</v>
      </c>
      <c r="N414" s="2">
        <v>55696</v>
      </c>
      <c r="O414" s="2">
        <v>23</v>
      </c>
      <c r="P414" s="2">
        <v>139875</v>
      </c>
      <c r="Q414" s="2">
        <v>4182</v>
      </c>
      <c r="R414" s="2">
        <v>122469</v>
      </c>
      <c r="S414" s="2">
        <v>919419</v>
      </c>
      <c r="T414" s="10">
        <f>SUM(D414+F414)</f>
        <v>565113</v>
      </c>
      <c r="U414" s="8">
        <f t="shared" si="19"/>
        <v>0.6146414202882472</v>
      </c>
      <c r="V414" s="9" t="s">
        <v>5270</v>
      </c>
      <c r="W414" s="9" t="str">
        <f t="shared" si="20"/>
        <v>Felling UD</v>
      </c>
      <c r="X414" s="9" t="str">
        <f>INDEX(Lookup!$A$2:$A$1349, MATCH(W414, Lookup!$B$2:$B$1349,0))</f>
        <v>J04000499</v>
      </c>
      <c r="Y414" s="9" t="str">
        <f>INDEX(Lookup!$F$2:$F$1349, MATCH(W414, Lookup!$B$2:$B$1349,0))</f>
        <v>e110274</v>
      </c>
      <c r="Z414" s="6" t="str">
        <f>INDEX(Lookup!$C$2:$C$1300, MATCH(X414, Lookup!$A$2:$A$1300,0))</f>
        <v>Tyne And Wear</v>
      </c>
    </row>
    <row r="415" spans="1:26" ht="28.15" customHeight="1" x14ac:dyDescent="0.2">
      <c r="A415" s="6" t="s">
        <v>405</v>
      </c>
      <c r="B415" s="1" t="s">
        <v>405</v>
      </c>
      <c r="C415" s="2">
        <v>8031</v>
      </c>
      <c r="D415" s="2">
        <v>335441</v>
      </c>
      <c r="E415" s="2">
        <v>23</v>
      </c>
      <c r="F415" s="2">
        <v>2670</v>
      </c>
      <c r="G415" s="2" t="s">
        <v>290</v>
      </c>
      <c r="H415" s="2" t="s">
        <v>290</v>
      </c>
      <c r="I415" s="2">
        <v>257</v>
      </c>
      <c r="J415" s="2">
        <v>21128</v>
      </c>
      <c r="K415" s="2">
        <v>29</v>
      </c>
      <c r="L415" s="2">
        <v>3602</v>
      </c>
      <c r="M415" s="2">
        <v>495</v>
      </c>
      <c r="N415" s="2">
        <v>17073</v>
      </c>
      <c r="O415" s="2">
        <v>26</v>
      </c>
      <c r="P415" s="2">
        <v>541738</v>
      </c>
      <c r="Q415" s="2">
        <v>5165</v>
      </c>
      <c r="R415" s="2">
        <v>95258</v>
      </c>
      <c r="S415" s="2">
        <v>1022075</v>
      </c>
      <c r="T415" s="10">
        <f t="shared" ref="T415:T416" si="21">SUM(D415+F415)</f>
        <v>338111</v>
      </c>
      <c r="U415" s="8">
        <f t="shared" si="19"/>
        <v>0.33080840447129611</v>
      </c>
      <c r="V415" s="9" t="s">
        <v>5270</v>
      </c>
      <c r="W415" s="9" t="str">
        <f t="shared" si="20"/>
        <v>Hebburn UD</v>
      </c>
      <c r="X415" s="9" t="str">
        <f>INDEX(Lookup!$A$2:$A$1349, MATCH(W415, Lookup!$B$2:$B$1349,0))</f>
        <v>J04000597</v>
      </c>
      <c r="Y415" s="9" t="str">
        <f>INDEX(Lookup!$F$2:$F$1349, MATCH(W415, Lookup!$B$2:$B$1349,0))</f>
        <v>e110275</v>
      </c>
      <c r="Z415" s="6" t="str">
        <f>INDEX(Lookup!$C$2:$C$1300, MATCH(X415, Lookup!$A$2:$A$1300,0))</f>
        <v>Tyne And Wear</v>
      </c>
    </row>
    <row r="416" spans="1:26" ht="28.15" customHeight="1" x14ac:dyDescent="0.2">
      <c r="A416" s="6" t="s">
        <v>406</v>
      </c>
      <c r="B416" s="1" t="s">
        <v>406</v>
      </c>
      <c r="C416" s="2">
        <v>5438</v>
      </c>
      <c r="D416" s="2">
        <v>199780</v>
      </c>
      <c r="E416" s="2">
        <v>23</v>
      </c>
      <c r="F416" s="2">
        <v>2704</v>
      </c>
      <c r="G416" s="2" t="s">
        <v>290</v>
      </c>
      <c r="H416" s="2" t="s">
        <v>290</v>
      </c>
      <c r="I416" s="2">
        <v>196</v>
      </c>
      <c r="J416" s="2">
        <v>25592</v>
      </c>
      <c r="K416" s="2">
        <v>19</v>
      </c>
      <c r="L416" s="2">
        <v>769</v>
      </c>
      <c r="M416" s="2">
        <v>771</v>
      </c>
      <c r="N416" s="2">
        <v>16849</v>
      </c>
      <c r="O416" s="2">
        <v>10</v>
      </c>
      <c r="P416" s="2">
        <v>1698</v>
      </c>
      <c r="Q416" s="2">
        <v>245</v>
      </c>
      <c r="R416" s="2">
        <v>73868</v>
      </c>
      <c r="S416" s="2">
        <v>321505</v>
      </c>
      <c r="T416" s="10">
        <f t="shared" si="21"/>
        <v>202484</v>
      </c>
      <c r="U416" s="8">
        <f t="shared" si="19"/>
        <v>0.62980046966610159</v>
      </c>
      <c r="V416" s="9" t="s">
        <v>5270</v>
      </c>
      <c r="W416" s="9" t="str">
        <f t="shared" si="20"/>
        <v>Hetton UD</v>
      </c>
      <c r="X416" s="9" t="str">
        <f>INDEX(Lookup!$A$2:$A$1349, MATCH(W416, Lookup!$B$2:$B$1349,0))</f>
        <v>J04000617</v>
      </c>
      <c r="Y416" s="9" t="str">
        <f>INDEX(Lookup!$F$2:$F$1349, MATCH(W416, Lookup!$B$2:$B$1349,0))</f>
        <v>e110276</v>
      </c>
      <c r="Z416" s="6" t="str">
        <f>INDEX(Lookup!$C$2:$C$1300, MATCH(X416, Lookup!$A$2:$A$1300,0))</f>
        <v>Tyne And Wear</v>
      </c>
    </row>
    <row r="417" spans="1:26" ht="28.15" customHeight="1" x14ac:dyDescent="0.2">
      <c r="A417" s="6" t="s">
        <v>407</v>
      </c>
      <c r="B417" s="1" t="s">
        <v>5399</v>
      </c>
      <c r="C417" s="2">
        <v>9813</v>
      </c>
      <c r="D417" s="2">
        <v>388400</v>
      </c>
      <c r="E417" s="2">
        <v>46</v>
      </c>
      <c r="F417" s="2">
        <v>5341</v>
      </c>
      <c r="G417" s="2">
        <v>2</v>
      </c>
      <c r="H417" s="2">
        <v>642</v>
      </c>
      <c r="I417" s="2">
        <v>352</v>
      </c>
      <c r="J417" s="2">
        <v>45624</v>
      </c>
      <c r="K417" s="2">
        <v>46</v>
      </c>
      <c r="L417" s="2">
        <v>3145</v>
      </c>
      <c r="M417" s="2">
        <v>965</v>
      </c>
      <c r="N417" s="2">
        <v>25946</v>
      </c>
      <c r="O417" s="2">
        <v>23</v>
      </c>
      <c r="P417" s="2">
        <v>27425</v>
      </c>
      <c r="Q417" s="2">
        <v>1795</v>
      </c>
      <c r="R417" s="2">
        <v>157382</v>
      </c>
      <c r="S417" s="2">
        <v>655700</v>
      </c>
      <c r="T417" s="10">
        <f t="shared" si="18"/>
        <v>394383</v>
      </c>
      <c r="U417" s="8">
        <f t="shared" si="19"/>
        <v>0.60146865944791827</v>
      </c>
      <c r="V417" s="9" t="s">
        <v>5270</v>
      </c>
      <c r="W417" s="9" t="str">
        <f t="shared" si="20"/>
        <v>Houghton le Spring UD</v>
      </c>
      <c r="X417" s="9" t="str">
        <f>INDEX(Lookup!$A$2:$A$1349, MATCH(W417, Lookup!$B$2:$B$1349,0))</f>
        <v>J04000651</v>
      </c>
      <c r="Y417" s="9" t="str">
        <f>INDEX(Lookup!$F$2:$F$1349, MATCH(W417, Lookup!$B$2:$B$1349,0))</f>
        <v>e110277</v>
      </c>
      <c r="Z417" s="6" t="str">
        <f>INDEX(Lookup!$C$2:$C$1300, MATCH(X417, Lookup!$A$2:$A$1300,0))</f>
        <v>Tyne And Wear</v>
      </c>
    </row>
    <row r="418" spans="1:26" ht="28.15" customHeight="1" x14ac:dyDescent="0.2">
      <c r="A418" s="6" t="s">
        <v>408</v>
      </c>
      <c r="B418" s="1" t="s">
        <v>408</v>
      </c>
      <c r="C418" s="2">
        <v>4559</v>
      </c>
      <c r="D418" s="2">
        <v>179753</v>
      </c>
      <c r="E418" s="2">
        <v>53</v>
      </c>
      <c r="F418" s="2">
        <v>6266</v>
      </c>
      <c r="G418" s="2">
        <v>2</v>
      </c>
      <c r="H418" s="2">
        <v>573</v>
      </c>
      <c r="I418" s="2">
        <v>145</v>
      </c>
      <c r="J418" s="2">
        <v>14873</v>
      </c>
      <c r="K418" s="2">
        <v>13</v>
      </c>
      <c r="L418" s="2">
        <v>1034</v>
      </c>
      <c r="M418" s="2">
        <v>572</v>
      </c>
      <c r="N418" s="2">
        <v>9692</v>
      </c>
      <c r="O418" s="2">
        <v>4</v>
      </c>
      <c r="P418" s="2">
        <v>1819</v>
      </c>
      <c r="Q418" s="2">
        <v>720</v>
      </c>
      <c r="R418" s="2">
        <v>213082</v>
      </c>
      <c r="S418" s="2">
        <v>427812</v>
      </c>
      <c r="T418" s="10">
        <f t="shared" si="18"/>
        <v>186592</v>
      </c>
      <c r="U418" s="8">
        <f t="shared" si="19"/>
        <v>0.43615419857320503</v>
      </c>
      <c r="V418" s="9" t="s">
        <v>5270</v>
      </c>
      <c r="W418" s="9" t="str">
        <f t="shared" si="20"/>
        <v>Ryton UD</v>
      </c>
      <c r="X418" s="9" t="str">
        <f>INDEX(Lookup!$A$2:$A$1349, MATCH(W418, Lookup!$B$2:$B$1349,0))</f>
        <v>J04001088</v>
      </c>
      <c r="Y418" s="9" t="str">
        <f>INDEX(Lookup!$F$2:$F$1349, MATCH(W418, Lookup!$B$2:$B$1349,0))</f>
        <v>e110280</v>
      </c>
      <c r="Z418" s="6" t="str">
        <f>INDEX(Lookup!$C$2:$C$1300, MATCH(X418, Lookup!$A$2:$A$1300,0))</f>
        <v>Tyne And Wear</v>
      </c>
    </row>
    <row r="419" spans="1:26" ht="28.15" customHeight="1" x14ac:dyDescent="0.2">
      <c r="A419" s="6" t="s">
        <v>409</v>
      </c>
      <c r="B419" s="1" t="s">
        <v>409</v>
      </c>
      <c r="C419" s="2">
        <v>7879</v>
      </c>
      <c r="D419" s="2">
        <v>310221</v>
      </c>
      <c r="E419" s="2">
        <v>26</v>
      </c>
      <c r="F419" s="2">
        <v>2937</v>
      </c>
      <c r="G419" s="2" t="s">
        <v>290</v>
      </c>
      <c r="H419" s="2" t="s">
        <v>290</v>
      </c>
      <c r="I419" s="2">
        <v>241</v>
      </c>
      <c r="J419" s="2">
        <v>32367</v>
      </c>
      <c r="K419" s="2">
        <v>46</v>
      </c>
      <c r="L419" s="2">
        <v>2937</v>
      </c>
      <c r="M419" s="2">
        <v>733</v>
      </c>
      <c r="N419" s="2">
        <v>19481</v>
      </c>
      <c r="O419" s="2">
        <v>15</v>
      </c>
      <c r="P419" s="2">
        <v>13378</v>
      </c>
      <c r="Q419" s="2">
        <v>2354</v>
      </c>
      <c r="R419" s="2">
        <v>134495</v>
      </c>
      <c r="S419" s="2">
        <v>518170</v>
      </c>
      <c r="T419" s="10">
        <f>SUM(D419+F419)</f>
        <v>313158</v>
      </c>
      <c r="U419" s="8">
        <f t="shared" si="19"/>
        <v>0.60435378350734315</v>
      </c>
      <c r="V419" s="9" t="s">
        <v>5270</v>
      </c>
      <c r="W419" s="9" t="str">
        <f t="shared" si="20"/>
        <v>Seaham UD</v>
      </c>
      <c r="X419" s="9" t="str">
        <f>INDEX(Lookup!$A$2:$A$1349, MATCH(W419, Lookup!$B$2:$B$1349,0))</f>
        <v>J04001111</v>
      </c>
      <c r="Y419" s="9" t="str">
        <f>INDEX(Lookup!$F$2:$F$1349, MATCH(W419, Lookup!$B$2:$B$1349,0))</f>
        <v>e110281</v>
      </c>
      <c r="Z419" s="6" t="str">
        <f>INDEX(Lookup!$C$2:$C$1300, MATCH(X419, Lookup!$A$2:$A$1300,0))</f>
        <v>Durham</v>
      </c>
    </row>
    <row r="420" spans="1:26" ht="28.15" customHeight="1" x14ac:dyDescent="0.2">
      <c r="A420" s="6" t="s">
        <v>410</v>
      </c>
      <c r="B420" s="1" t="s">
        <v>410</v>
      </c>
      <c r="C420" s="2">
        <v>4605</v>
      </c>
      <c r="D420" s="2">
        <v>154134</v>
      </c>
      <c r="E420" s="2">
        <v>5</v>
      </c>
      <c r="F420" s="2">
        <v>591</v>
      </c>
      <c r="G420" s="2" t="s">
        <v>290</v>
      </c>
      <c r="H420" s="2" t="s">
        <v>290</v>
      </c>
      <c r="I420" s="2">
        <v>212</v>
      </c>
      <c r="J420" s="2">
        <v>18395</v>
      </c>
      <c r="K420" s="2">
        <v>13</v>
      </c>
      <c r="L420" s="2">
        <v>817</v>
      </c>
      <c r="M420" s="2">
        <v>650</v>
      </c>
      <c r="N420" s="2">
        <v>8799</v>
      </c>
      <c r="O420" s="2">
        <v>13</v>
      </c>
      <c r="P420" s="2">
        <v>31200</v>
      </c>
      <c r="Q420" s="2">
        <v>341</v>
      </c>
      <c r="R420" s="2">
        <v>55838</v>
      </c>
      <c r="S420" s="2">
        <v>270115</v>
      </c>
      <c r="T420" s="10">
        <f t="shared" ref="T420:T421" si="22">SUM(D420+F420)</f>
        <v>154725</v>
      </c>
      <c r="U420" s="8">
        <f t="shared" si="19"/>
        <v>0.57281158025285528</v>
      </c>
      <c r="V420" s="9" t="s">
        <v>5270</v>
      </c>
      <c r="W420" s="9" t="str">
        <f t="shared" si="20"/>
        <v>Shildon UD</v>
      </c>
      <c r="X420" s="9" t="str">
        <f>INDEX(Lookup!$A$2:$A$1349, MATCH(W420, Lookup!$B$2:$B$1349,0))</f>
        <v>J04001135</v>
      </c>
      <c r="Y420" s="9" t="str">
        <f>INDEX(Lookup!$F$2:$F$1349, MATCH(W420, Lookup!$B$2:$B$1349,0))</f>
        <v>e110282</v>
      </c>
      <c r="Z420" s="6" t="str">
        <f>INDEX(Lookup!$C$2:$C$1300, MATCH(X420, Lookup!$A$2:$A$1300,0))</f>
        <v>Durham</v>
      </c>
    </row>
    <row r="421" spans="1:26" ht="28.15" customHeight="1" x14ac:dyDescent="0.2">
      <c r="A421" s="6" t="s">
        <v>411</v>
      </c>
      <c r="B421" s="1" t="s">
        <v>411</v>
      </c>
      <c r="C421" s="2">
        <v>5884</v>
      </c>
      <c r="D421" s="2">
        <v>215956</v>
      </c>
      <c r="E421" s="2">
        <v>34</v>
      </c>
      <c r="F421" s="2">
        <v>4074</v>
      </c>
      <c r="G421" s="2" t="s">
        <v>290</v>
      </c>
      <c r="H421" s="2" t="s">
        <v>290</v>
      </c>
      <c r="I421" s="2">
        <v>260</v>
      </c>
      <c r="J421" s="2">
        <v>46513</v>
      </c>
      <c r="K421" s="2">
        <v>21</v>
      </c>
      <c r="L421" s="2">
        <v>7257</v>
      </c>
      <c r="M421" s="2">
        <v>702</v>
      </c>
      <c r="N421" s="2">
        <v>15940</v>
      </c>
      <c r="O421" s="2">
        <v>26</v>
      </c>
      <c r="P421" s="2">
        <v>83741</v>
      </c>
      <c r="Q421" s="2">
        <v>1004</v>
      </c>
      <c r="R421" s="2">
        <v>85972</v>
      </c>
      <c r="S421" s="2">
        <v>460457</v>
      </c>
      <c r="T421" s="10">
        <f t="shared" si="22"/>
        <v>220030</v>
      </c>
      <c r="U421" s="8">
        <f t="shared" si="19"/>
        <v>0.47785135202635642</v>
      </c>
      <c r="V421" s="9" t="s">
        <v>5270</v>
      </c>
      <c r="W421" s="9" t="str">
        <f t="shared" si="20"/>
        <v>Spennymoor UD</v>
      </c>
      <c r="X421" s="9" t="str">
        <f>INDEX(Lookup!$A$2:$A$1349, MATCH(W421, Lookup!$B$2:$B$1349,0))</f>
        <v>J04001177</v>
      </c>
      <c r="Y421" s="9" t="str">
        <f>INDEX(Lookup!$F$2:$F$1349, MATCH(W421, Lookup!$B$2:$B$1349,0))</f>
        <v>e110284</v>
      </c>
      <c r="Z421" s="6" t="str">
        <f>INDEX(Lookup!$C$2:$C$1300, MATCH(X421, Lookup!$A$2:$A$1300,0))</f>
        <v>Durham</v>
      </c>
    </row>
    <row r="422" spans="1:26" ht="28.15" customHeight="1" x14ac:dyDescent="0.2">
      <c r="A422" s="6" t="s">
        <v>412</v>
      </c>
      <c r="B422" s="1" t="s">
        <v>412</v>
      </c>
      <c r="C422" s="2">
        <v>14505</v>
      </c>
      <c r="D422" s="2">
        <v>511129</v>
      </c>
      <c r="E422" s="2">
        <v>28</v>
      </c>
      <c r="F422" s="2">
        <v>3430</v>
      </c>
      <c r="G422" s="2">
        <v>3</v>
      </c>
      <c r="H422" s="2">
        <v>706</v>
      </c>
      <c r="I422" s="2">
        <v>452</v>
      </c>
      <c r="J422" s="2">
        <v>68423</v>
      </c>
      <c r="K422" s="2">
        <v>51</v>
      </c>
      <c r="L422" s="2">
        <v>5790</v>
      </c>
      <c r="M422" s="2">
        <v>1993</v>
      </c>
      <c r="N422" s="2">
        <v>41480</v>
      </c>
      <c r="O422" s="2">
        <v>17</v>
      </c>
      <c r="P422" s="2">
        <v>61214</v>
      </c>
      <c r="Q422" s="2">
        <v>1917</v>
      </c>
      <c r="R422" s="2">
        <v>194039</v>
      </c>
      <c r="S422" s="2">
        <v>888128</v>
      </c>
      <c r="T422" s="10">
        <f t="shared" si="18"/>
        <v>515265</v>
      </c>
      <c r="U422" s="8">
        <f t="shared" si="19"/>
        <v>0.58016975030626217</v>
      </c>
      <c r="V422" s="9" t="s">
        <v>5270</v>
      </c>
      <c r="W422" s="9" t="str">
        <f t="shared" si="20"/>
        <v>Stanley UD</v>
      </c>
      <c r="X422" s="9" t="str">
        <f>INDEX(Lookup!$A$2:$A$1349, MATCH(W422, Lookup!$B$2:$B$1349,0))</f>
        <v>J04001202</v>
      </c>
      <c r="Y422" s="9" t="str">
        <f>INDEX(Lookup!$F$2:$F$1349, MATCH(W422, Lookup!$B$2:$B$1349,0))</f>
        <v>e110285</v>
      </c>
      <c r="Z422" s="6" t="str">
        <f>INDEX(Lookup!$C$2:$C$1300, MATCH(X422, Lookup!$A$2:$A$1300,0))</f>
        <v>Durham</v>
      </c>
    </row>
    <row r="423" spans="1:26" ht="28.15" customHeight="1" x14ac:dyDescent="0.2">
      <c r="A423" s="6" t="s">
        <v>413</v>
      </c>
      <c r="B423" s="1" t="s">
        <v>413</v>
      </c>
      <c r="C423" s="2">
        <v>950</v>
      </c>
      <c r="D423" s="2">
        <v>26721</v>
      </c>
      <c r="E423" s="2">
        <v>1</v>
      </c>
      <c r="F423" s="2">
        <v>114</v>
      </c>
      <c r="G423" s="2" t="s">
        <v>290</v>
      </c>
      <c r="I423" s="2">
        <v>56</v>
      </c>
      <c r="J423" s="2">
        <v>4515</v>
      </c>
      <c r="K423" s="2">
        <v>8</v>
      </c>
      <c r="L423" s="2">
        <v>244</v>
      </c>
      <c r="M423" s="2">
        <v>194</v>
      </c>
      <c r="N423" s="2">
        <v>2803</v>
      </c>
      <c r="O423" s="2">
        <v>5</v>
      </c>
      <c r="P423" s="2">
        <v>3290</v>
      </c>
      <c r="Q423" s="2">
        <v>28</v>
      </c>
      <c r="R423" s="2">
        <v>6332</v>
      </c>
      <c r="S423" s="2">
        <v>44047</v>
      </c>
      <c r="T423" s="10">
        <f>SUM(D423+F423)</f>
        <v>26835</v>
      </c>
      <c r="U423" s="8">
        <f t="shared" si="19"/>
        <v>0.60923558925693011</v>
      </c>
      <c r="V423" s="9" t="s">
        <v>5270</v>
      </c>
      <c r="W423" s="9" t="str">
        <f t="shared" si="20"/>
        <v>Tow Law UD</v>
      </c>
      <c r="X423" s="9" t="str">
        <f>INDEX(Lookup!$A$2:$A$1349, MATCH(W423, Lookup!$B$2:$B$1349,0))</f>
        <v>J04001291</v>
      </c>
      <c r="Y423" s="9" t="str">
        <f>INDEX(Lookup!$F$2:$F$1349, MATCH(W423, Lookup!$B$2:$B$1349,0))</f>
        <v>e110286</v>
      </c>
      <c r="Z423" s="6" t="str">
        <f>INDEX(Lookup!$C$2:$C$1300, MATCH(X423, Lookup!$A$2:$A$1300,0))</f>
        <v>Durham</v>
      </c>
    </row>
    <row r="424" spans="1:26" ht="28.15" customHeight="1" x14ac:dyDescent="0.2">
      <c r="A424" s="6" t="s">
        <v>414</v>
      </c>
      <c r="B424" s="1" t="s">
        <v>414</v>
      </c>
      <c r="C424" s="2">
        <v>5952</v>
      </c>
      <c r="D424" s="2">
        <v>234465</v>
      </c>
      <c r="E424" s="2">
        <v>16</v>
      </c>
      <c r="F424" s="2">
        <v>1926</v>
      </c>
      <c r="H424" s="2" t="s">
        <v>290</v>
      </c>
      <c r="I424" s="2">
        <v>189</v>
      </c>
      <c r="J424" s="2">
        <v>36138</v>
      </c>
      <c r="K424" s="2">
        <v>24</v>
      </c>
      <c r="L424" s="2">
        <v>2585</v>
      </c>
      <c r="M424" s="2">
        <v>722</v>
      </c>
      <c r="N424" s="2">
        <v>15638</v>
      </c>
      <c r="O424" s="2">
        <v>13</v>
      </c>
      <c r="P424" s="2">
        <v>115572</v>
      </c>
      <c r="Q424" s="2">
        <v>1668</v>
      </c>
      <c r="R424" s="2">
        <v>116969</v>
      </c>
      <c r="S424" s="2">
        <v>524961</v>
      </c>
      <c r="T424" s="10">
        <f t="shared" ref="T424:T425" si="23">SUM(D424+F424)</f>
        <v>236391</v>
      </c>
      <c r="U424" s="8">
        <f t="shared" si="19"/>
        <v>0.45030202243595241</v>
      </c>
      <c r="V424" s="9" t="s">
        <v>5270</v>
      </c>
      <c r="W424" s="9" t="str">
        <f t="shared" si="20"/>
        <v>Washington UD</v>
      </c>
      <c r="X424" s="9" t="str">
        <f>INDEX(Lookup!$A$2:$A$1349, MATCH(W424, Lookup!$B$2:$B$1349,0))</f>
        <v>J04001351</v>
      </c>
      <c r="Y424" s="9" t="str">
        <f>INDEX(Lookup!$F$2:$F$1349, MATCH(W424, Lookup!$B$2:$B$1349,0))</f>
        <v>e110287</v>
      </c>
      <c r="Z424" s="6" t="str">
        <f>INDEX(Lookup!$C$2:$C$1300, MATCH(X424, Lookup!$A$2:$A$1300,0))</f>
        <v>Tyne And Wear</v>
      </c>
    </row>
    <row r="425" spans="1:26" ht="28.15" customHeight="1" x14ac:dyDescent="0.2">
      <c r="A425" s="6" t="s">
        <v>415</v>
      </c>
      <c r="B425" s="1" t="s">
        <v>415</v>
      </c>
      <c r="C425" s="2">
        <v>8076</v>
      </c>
      <c r="D425" s="2">
        <v>384400</v>
      </c>
      <c r="E425" s="2">
        <v>121</v>
      </c>
      <c r="F425" s="2">
        <v>13839</v>
      </c>
      <c r="I425" s="2">
        <v>258</v>
      </c>
      <c r="J425" s="2">
        <v>19363</v>
      </c>
      <c r="K425" s="2">
        <v>11</v>
      </c>
      <c r="L425" s="2">
        <v>669</v>
      </c>
      <c r="M425" s="2">
        <v>649</v>
      </c>
      <c r="N425" s="2">
        <v>20484</v>
      </c>
      <c r="O425" s="2">
        <v>37</v>
      </c>
      <c r="P425" s="2">
        <v>115379</v>
      </c>
      <c r="Q425" s="2">
        <v>3626</v>
      </c>
      <c r="R425" s="2">
        <v>208422</v>
      </c>
      <c r="S425" s="2">
        <v>766182</v>
      </c>
      <c r="T425" s="10">
        <f t="shared" si="23"/>
        <v>398239</v>
      </c>
      <c r="U425" s="8">
        <f t="shared" si="19"/>
        <v>0.51977075942791662</v>
      </c>
      <c r="V425" s="9" t="s">
        <v>5270</v>
      </c>
      <c r="W425" s="9" t="str">
        <f t="shared" si="20"/>
        <v>Whickham UD</v>
      </c>
      <c r="X425" s="9" t="str">
        <f>INDEX(Lookup!$A$2:$A$1349, MATCH(W425, Lookup!$B$2:$B$1349,0))</f>
        <v>J04001397</v>
      </c>
      <c r="Y425" s="9" t="str">
        <f>INDEX(Lookup!$F$2:$F$1349, MATCH(W425, Lookup!$B$2:$B$1349,0))</f>
        <v>e110289</v>
      </c>
      <c r="Z425" s="6" t="str">
        <f>INDEX(Lookup!$C$2:$C$1300, MATCH(X425, Lookup!$A$2:$A$1300,0))</f>
        <v>Tyne And Wear</v>
      </c>
    </row>
    <row r="426" spans="1:26" ht="28.15" customHeight="1" x14ac:dyDescent="0.2">
      <c r="A426" s="6" t="s">
        <v>212</v>
      </c>
      <c r="B426" s="1" t="s">
        <v>212</v>
      </c>
      <c r="T426" s="10"/>
      <c r="W426" s="9" t="str">
        <f t="shared" si="20"/>
        <v xml:space="preserve">Rural Districts-- </v>
      </c>
      <c r="X426" s="9" t="e">
        <f>INDEX(Lookup!$A$2:$A$1349, MATCH(W426, Lookup!$B$2:$B$1349,0))</f>
        <v>#N/A</v>
      </c>
      <c r="Y426" s="9" t="e">
        <f>INDEX(Lookup!$F$2:$F$1349, MATCH(W426, Lookup!$B$2:$B$1349,0))</f>
        <v>#N/A</v>
      </c>
      <c r="Z426" s="6" t="e">
        <f>INDEX(Lookup!$C$2:$C$1300, MATCH(X426, Lookup!$A$2:$A$1300,0))</f>
        <v>#N/A</v>
      </c>
    </row>
    <row r="427" spans="1:26" ht="28.15" customHeight="1" x14ac:dyDescent="0.2">
      <c r="A427" s="6" t="s">
        <v>393</v>
      </c>
      <c r="B427" s="1" t="s">
        <v>393</v>
      </c>
      <c r="C427" s="2">
        <v>4992</v>
      </c>
      <c r="D427" s="2">
        <v>145376</v>
      </c>
      <c r="E427" s="2">
        <v>37</v>
      </c>
      <c r="F427" s="2">
        <v>4755</v>
      </c>
      <c r="G427" s="2">
        <v>7</v>
      </c>
      <c r="H427" s="2">
        <v>2103</v>
      </c>
      <c r="I427" s="2">
        <v>163</v>
      </c>
      <c r="J427" s="2">
        <v>11228</v>
      </c>
      <c r="K427" s="2">
        <v>12</v>
      </c>
      <c r="L427" s="2">
        <v>707</v>
      </c>
      <c r="M427" s="2">
        <v>747</v>
      </c>
      <c r="N427" s="2">
        <v>13881</v>
      </c>
      <c r="O427" s="2">
        <v>18</v>
      </c>
      <c r="P427" s="2">
        <v>42355</v>
      </c>
      <c r="Q427" s="2">
        <v>12031</v>
      </c>
      <c r="R427" s="2">
        <v>82469</v>
      </c>
      <c r="S427" s="2">
        <v>314905</v>
      </c>
      <c r="T427" s="10">
        <f t="shared" si="18"/>
        <v>152234</v>
      </c>
      <c r="U427" s="8">
        <f t="shared" si="19"/>
        <v>0.48342833552976294</v>
      </c>
      <c r="V427" s="9" t="s">
        <v>5271</v>
      </c>
      <c r="W427" s="9" t="str">
        <f t="shared" si="20"/>
        <v>Barnard Castle RD</v>
      </c>
      <c r="X427" s="9" t="str">
        <f>INDEX(Lookup!$A$2:$A$1349, MATCH(W427, Lookup!$B$2:$B$1349,0))</f>
        <v>J04000082</v>
      </c>
      <c r="Y427" s="9" t="str">
        <f>INDEX(Lookup!$F$2:$F$1349, MATCH(W427, Lookup!$B$2:$B$1349,0))</f>
        <v>e110290</v>
      </c>
      <c r="Z427" s="6" t="str">
        <f>INDEX(Lookup!$C$2:$C$1300, MATCH(X427, Lookup!$A$2:$A$1300,0))</f>
        <v>Durham</v>
      </c>
    </row>
    <row r="428" spans="1:26" ht="28.15" customHeight="1" x14ac:dyDescent="0.2">
      <c r="A428" s="6" t="s">
        <v>399</v>
      </c>
      <c r="B428" s="1" t="s">
        <v>5398</v>
      </c>
      <c r="C428" s="2">
        <v>13257</v>
      </c>
      <c r="D428" s="2">
        <v>543198</v>
      </c>
      <c r="E428" s="2">
        <v>132</v>
      </c>
      <c r="F428" s="2">
        <v>16234</v>
      </c>
      <c r="G428" s="2">
        <v>4</v>
      </c>
      <c r="H428" s="2">
        <v>1040</v>
      </c>
      <c r="I428" s="2">
        <v>350</v>
      </c>
      <c r="J428" s="2">
        <v>34301</v>
      </c>
      <c r="K428" s="2">
        <v>26</v>
      </c>
      <c r="L428" s="2">
        <v>25247</v>
      </c>
      <c r="M428" s="2">
        <v>1054</v>
      </c>
      <c r="N428" s="2">
        <v>43313</v>
      </c>
      <c r="O428" s="2">
        <v>30</v>
      </c>
      <c r="P428" s="2">
        <v>298660</v>
      </c>
      <c r="Q428" s="2">
        <v>17049</v>
      </c>
      <c r="R428" s="2">
        <v>267972</v>
      </c>
      <c r="S428" s="2">
        <v>1247014</v>
      </c>
      <c r="T428" s="10">
        <f t="shared" si="18"/>
        <v>560472</v>
      </c>
      <c r="U428" s="8">
        <f t="shared" si="19"/>
        <v>0.44945124914395507</v>
      </c>
      <c r="V428" s="9" t="s">
        <v>5271</v>
      </c>
      <c r="W428" s="9" t="str">
        <f t="shared" si="20"/>
        <v>Chester le Street RD</v>
      </c>
      <c r="X428" s="9" t="str">
        <f>INDEX(Lookup!$A$2:$A$1349, MATCH(W428, Lookup!$B$2:$B$1349,0))</f>
        <v>J04000298</v>
      </c>
      <c r="Y428" s="9" t="str">
        <f>INDEX(Lookup!$F$2:$F$1349, MATCH(W428, Lookup!$B$2:$B$1349,0))</f>
        <v>e110291</v>
      </c>
      <c r="Z428" s="6" t="str">
        <f>INDEX(Lookup!$C$2:$C$1300, MATCH(X428, Lookup!$A$2:$A$1300,0))</f>
        <v>Durham</v>
      </c>
    </row>
    <row r="429" spans="1:26" ht="28.15" customHeight="1" x14ac:dyDescent="0.2">
      <c r="A429" s="6" t="s">
        <v>116</v>
      </c>
      <c r="B429" s="1" t="s">
        <v>116</v>
      </c>
      <c r="C429" s="2">
        <v>6365</v>
      </c>
      <c r="D429" s="2">
        <v>344361</v>
      </c>
      <c r="E429" s="2">
        <v>362</v>
      </c>
      <c r="F429" s="2">
        <v>43461</v>
      </c>
      <c r="G429" s="2">
        <v>45</v>
      </c>
      <c r="H429" s="2">
        <v>12137</v>
      </c>
      <c r="I429" s="2">
        <v>142</v>
      </c>
      <c r="J429" s="2">
        <v>40980</v>
      </c>
      <c r="K429" s="2">
        <v>18</v>
      </c>
      <c r="L429" s="2">
        <v>2148</v>
      </c>
      <c r="M429" s="2">
        <v>1410</v>
      </c>
      <c r="N429" s="2">
        <v>48285</v>
      </c>
      <c r="O429" s="2">
        <v>86</v>
      </c>
      <c r="P429" s="2">
        <v>198514</v>
      </c>
      <c r="Q429" s="2">
        <v>52150</v>
      </c>
      <c r="R429" s="2">
        <v>164450</v>
      </c>
      <c r="S429" s="2">
        <v>906486</v>
      </c>
      <c r="T429" s="10">
        <f t="shared" si="18"/>
        <v>399959</v>
      </c>
      <c r="U429" s="8">
        <f t="shared" si="19"/>
        <v>0.44121916940802175</v>
      </c>
      <c r="V429" s="9" t="s">
        <v>5271</v>
      </c>
      <c r="W429" s="9" t="str">
        <f t="shared" si="20"/>
        <v>Darlington RD</v>
      </c>
      <c r="X429" s="9" t="str">
        <f>INDEX(Lookup!$A$2:$A$1349, MATCH(W429, Lookup!$B$2:$B$1349,0))</f>
        <v>J04000382</v>
      </c>
      <c r="Y429" s="9" t="str">
        <f>INDEX(Lookup!$F$2:$F$1349, MATCH(W429, Lookup!$B$2:$B$1349,0))</f>
        <v>e110296</v>
      </c>
      <c r="Z429" s="6" t="str">
        <f>INDEX(Lookup!$C$2:$C$1300, MATCH(X429, Lookup!$A$2:$A$1300,0))</f>
        <v>Durham</v>
      </c>
    </row>
    <row r="430" spans="1:26" ht="28.15" customHeight="1" x14ac:dyDescent="0.2">
      <c r="A430" s="6" t="s">
        <v>26</v>
      </c>
      <c r="B430" s="1" t="s">
        <v>26</v>
      </c>
      <c r="C430" s="2">
        <v>10874</v>
      </c>
      <c r="D430" s="2">
        <v>454068</v>
      </c>
      <c r="E430" s="2">
        <v>63</v>
      </c>
      <c r="F430" s="2">
        <v>7548</v>
      </c>
      <c r="G430" s="2">
        <v>2</v>
      </c>
      <c r="H430" s="2">
        <v>516</v>
      </c>
      <c r="I430" s="2">
        <v>260</v>
      </c>
      <c r="J430" s="2">
        <v>26348</v>
      </c>
      <c r="K430" s="2">
        <v>39</v>
      </c>
      <c r="L430" s="2">
        <v>2971</v>
      </c>
      <c r="M430" s="2">
        <v>1372</v>
      </c>
      <c r="N430" s="2">
        <v>41241</v>
      </c>
      <c r="O430" s="2">
        <v>22</v>
      </c>
      <c r="P430" s="2">
        <v>73373</v>
      </c>
      <c r="Q430" s="2">
        <v>3591</v>
      </c>
      <c r="R430" s="2">
        <v>267404</v>
      </c>
      <c r="S430" s="2">
        <v>877060</v>
      </c>
      <c r="T430" s="10">
        <f t="shared" si="18"/>
        <v>462132</v>
      </c>
      <c r="U430" s="8">
        <f t="shared" si="19"/>
        <v>0.52691035961051691</v>
      </c>
      <c r="V430" s="9" t="s">
        <v>5271</v>
      </c>
      <c r="W430" s="9" t="str">
        <f t="shared" si="20"/>
        <v>Durham RD</v>
      </c>
      <c r="X430" s="9" t="str">
        <f>INDEX(Lookup!$A$2:$A$1349, MATCH(W430, Lookup!$B$2:$B$1349,0))</f>
        <v>J04000438</v>
      </c>
      <c r="Y430" s="9" t="str">
        <f>INDEX(Lookup!$F$2:$F$1349, MATCH(W430, Lookup!$B$2:$B$1349,0))</f>
        <v>e110298</v>
      </c>
      <c r="Z430" s="6" t="str">
        <f>INDEX(Lookup!$C$2:$C$1300, MATCH(X430, Lookup!$A$2:$A$1300,0))</f>
        <v>Durham</v>
      </c>
    </row>
    <row r="431" spans="1:26" ht="28.15" customHeight="1" x14ac:dyDescent="0.2">
      <c r="A431" s="6" t="s">
        <v>416</v>
      </c>
      <c r="B431" s="1" t="s">
        <v>416</v>
      </c>
      <c r="C431" s="2">
        <v>26646</v>
      </c>
      <c r="D431" s="2">
        <v>1056712</v>
      </c>
      <c r="E431" s="2">
        <v>54</v>
      </c>
      <c r="F431" s="2">
        <v>6600</v>
      </c>
      <c r="G431" s="2">
        <v>1</v>
      </c>
      <c r="H431" s="2">
        <v>210</v>
      </c>
      <c r="I431" s="2">
        <v>850</v>
      </c>
      <c r="J431" s="2">
        <v>99126</v>
      </c>
      <c r="K431" s="2">
        <v>100</v>
      </c>
      <c r="L431" s="2">
        <v>7967</v>
      </c>
      <c r="M431" s="2">
        <v>2827</v>
      </c>
      <c r="N431" s="2">
        <v>60871</v>
      </c>
      <c r="O431" s="2">
        <v>19</v>
      </c>
      <c r="P431" s="2">
        <v>55918</v>
      </c>
      <c r="Q431" s="2">
        <v>3933</v>
      </c>
      <c r="R431" s="2">
        <v>571289</v>
      </c>
      <c r="S431" s="2">
        <v>1862626</v>
      </c>
      <c r="T431" s="10">
        <f t="shared" si="18"/>
        <v>1063522</v>
      </c>
      <c r="U431" s="8">
        <f t="shared" si="19"/>
        <v>0.57097989612514799</v>
      </c>
      <c r="V431" s="9" t="s">
        <v>5271</v>
      </c>
      <c r="W431" s="9" t="str">
        <f t="shared" si="20"/>
        <v>Easington RD</v>
      </c>
      <c r="X431" s="9" t="str">
        <f>INDEX(Lookup!$A$2:$A$1349, MATCH(W431, Lookup!$B$2:$B$1349,0))</f>
        <v>J04000443</v>
      </c>
      <c r="Y431" s="9" t="str">
        <f>INDEX(Lookup!$F$2:$F$1349, MATCH(W431, Lookup!$B$2:$B$1349,0))</f>
        <v>e110299</v>
      </c>
      <c r="Z431" s="6" t="str">
        <f>INDEX(Lookup!$C$2:$C$1300, MATCH(X431, Lookup!$A$2:$A$1300,0))</f>
        <v>Durham</v>
      </c>
    </row>
    <row r="432" spans="1:26" ht="28.15" customHeight="1" x14ac:dyDescent="0.2">
      <c r="A432" s="6" t="s">
        <v>417</v>
      </c>
      <c r="B432" s="1" t="s">
        <v>417</v>
      </c>
      <c r="C432" s="2">
        <v>4192</v>
      </c>
      <c r="D432" s="2">
        <v>156346</v>
      </c>
      <c r="E432" s="2">
        <v>30</v>
      </c>
      <c r="F432" s="2">
        <v>3699</v>
      </c>
      <c r="G432" s="2">
        <v>2</v>
      </c>
      <c r="H432" s="2">
        <v>609</v>
      </c>
      <c r="I432" s="2">
        <v>126</v>
      </c>
      <c r="J432" s="2">
        <v>8433</v>
      </c>
      <c r="K432" s="2">
        <v>15</v>
      </c>
      <c r="L432" s="2">
        <v>645</v>
      </c>
      <c r="M432" s="2">
        <v>607</v>
      </c>
      <c r="N432" s="2">
        <v>12616</v>
      </c>
      <c r="O432" s="2">
        <v>13</v>
      </c>
      <c r="P432" s="2">
        <v>15615</v>
      </c>
      <c r="Q432" s="2">
        <v>5133</v>
      </c>
      <c r="R432" s="2">
        <v>122647</v>
      </c>
      <c r="S432" s="2">
        <v>325743</v>
      </c>
      <c r="T432" s="10">
        <f t="shared" si="18"/>
        <v>160654</v>
      </c>
      <c r="U432" s="8">
        <f t="shared" si="19"/>
        <v>0.49319248610100602</v>
      </c>
      <c r="V432" s="9" t="s">
        <v>5271</v>
      </c>
      <c r="W432" s="9" t="str">
        <f t="shared" si="20"/>
        <v>Lanchester RD</v>
      </c>
      <c r="X432" s="9" t="str">
        <f>INDEX(Lookup!$A$2:$A$1349, MATCH(W432, Lookup!$B$2:$B$1349,0))</f>
        <v>J04000720</v>
      </c>
      <c r="Y432" s="9" t="str">
        <f>INDEX(Lookup!$F$2:$F$1349, MATCH(W432, Lookup!$B$2:$B$1349,0))</f>
        <v>e110302</v>
      </c>
      <c r="Z432" s="6" t="str">
        <f>INDEX(Lookup!$C$2:$C$1300, MATCH(X432, Lookup!$A$2:$A$1300,0))</f>
        <v>Durham</v>
      </c>
    </row>
    <row r="433" spans="1:26" ht="28.15" customHeight="1" x14ac:dyDescent="0.2">
      <c r="A433" s="6" t="s">
        <v>418</v>
      </c>
      <c r="B433" s="1" t="s">
        <v>418</v>
      </c>
      <c r="C433" s="2">
        <v>10515</v>
      </c>
      <c r="D433" s="2">
        <v>397529</v>
      </c>
      <c r="E433" s="2">
        <v>36</v>
      </c>
      <c r="F433" s="2">
        <v>4522</v>
      </c>
      <c r="G433" s="2">
        <v>1</v>
      </c>
      <c r="H433" s="2">
        <v>226</v>
      </c>
      <c r="I433" s="2">
        <v>379</v>
      </c>
      <c r="J433" s="2">
        <v>45647</v>
      </c>
      <c r="K433" s="2">
        <v>40</v>
      </c>
      <c r="L433" s="2">
        <v>2791</v>
      </c>
      <c r="M433" s="2">
        <v>1735</v>
      </c>
      <c r="N433" s="2">
        <v>35746</v>
      </c>
      <c r="O433" s="2">
        <v>11</v>
      </c>
      <c r="P433" s="2">
        <v>110915</v>
      </c>
      <c r="Q433" s="2">
        <v>17796</v>
      </c>
      <c r="R433" s="2">
        <v>220164</v>
      </c>
      <c r="S433" s="2">
        <v>835336</v>
      </c>
      <c r="T433" s="10">
        <f t="shared" si="18"/>
        <v>402277</v>
      </c>
      <c r="U433" s="8">
        <f t="shared" si="19"/>
        <v>0.48157507877069827</v>
      </c>
      <c r="V433" s="9" t="s">
        <v>5271</v>
      </c>
      <c r="W433" s="9" t="str">
        <f t="shared" si="20"/>
        <v>Sedgefield RD</v>
      </c>
      <c r="X433" s="9" t="str">
        <f>INDEX(Lookup!$A$2:$A$1349, MATCH(W433, Lookup!$B$2:$B$1349,0))</f>
        <v>J04001115</v>
      </c>
      <c r="Y433" s="9" t="str">
        <f>INDEX(Lookup!$F$2:$F$1349, MATCH(W433, Lookup!$B$2:$B$1349,0))</f>
        <v>e110303</v>
      </c>
      <c r="Z433" s="6" t="str">
        <f>INDEX(Lookup!$C$2:$C$1300, MATCH(X433, Lookup!$A$2:$A$1300,0))</f>
        <v>Durham</v>
      </c>
    </row>
    <row r="434" spans="1:26" ht="28.15" customHeight="1" x14ac:dyDescent="0.2">
      <c r="A434" s="6" t="s">
        <v>419</v>
      </c>
      <c r="B434" s="1" t="s">
        <v>419</v>
      </c>
      <c r="C434" s="2">
        <v>2648</v>
      </c>
      <c r="D434" s="2">
        <v>143017</v>
      </c>
      <c r="E434" s="2">
        <v>191</v>
      </c>
      <c r="F434" s="2">
        <v>24641</v>
      </c>
      <c r="G434" s="2">
        <v>5</v>
      </c>
      <c r="H434" s="2">
        <v>1170</v>
      </c>
      <c r="I434" s="2">
        <v>53</v>
      </c>
      <c r="J434" s="2">
        <v>4802</v>
      </c>
      <c r="K434" s="2">
        <v>6</v>
      </c>
      <c r="L434" s="2">
        <v>2974</v>
      </c>
      <c r="M434" s="2">
        <v>202</v>
      </c>
      <c r="N434" s="2">
        <v>13576</v>
      </c>
      <c r="O434" s="2">
        <v>19</v>
      </c>
      <c r="P434" s="2">
        <v>706395</v>
      </c>
      <c r="Q434" s="2">
        <v>19634</v>
      </c>
      <c r="R434" s="2">
        <v>130479</v>
      </c>
      <c r="S434" s="2">
        <v>1046688</v>
      </c>
      <c r="T434" s="10">
        <f t="shared" si="18"/>
        <v>168828</v>
      </c>
      <c r="U434" s="8">
        <f t="shared" si="19"/>
        <v>0.16129734935338896</v>
      </c>
      <c r="V434" s="9" t="s">
        <v>5271</v>
      </c>
      <c r="W434" s="9" t="str">
        <f t="shared" si="20"/>
        <v>Stockton RD</v>
      </c>
      <c r="X434" s="9" t="str">
        <f>INDEX(Lookup!$A$2:$A$1349, MATCH(W434, Lookup!$B$2:$B$1349,0))</f>
        <v>J04001211</v>
      </c>
      <c r="Y434" s="9" t="str">
        <f>INDEX(Lookup!$F$2:$F$1349, MATCH(W434, Lookup!$B$2:$B$1349,0))</f>
        <v>e110305</v>
      </c>
      <c r="Z434" s="6" t="str">
        <f>INDEX(Lookup!$C$2:$C$1300, MATCH(X434, Lookup!$A$2:$A$1300,0))</f>
        <v>Cleveland</v>
      </c>
    </row>
    <row r="435" spans="1:26" ht="28.15" customHeight="1" x14ac:dyDescent="0.2">
      <c r="A435" s="6" t="s">
        <v>160</v>
      </c>
      <c r="B435" s="1" t="s">
        <v>160</v>
      </c>
      <c r="C435" s="2">
        <v>8641</v>
      </c>
      <c r="D435" s="2">
        <v>403294</v>
      </c>
      <c r="E435" s="2">
        <v>124</v>
      </c>
      <c r="F435" s="2">
        <v>14632</v>
      </c>
      <c r="G435" s="2">
        <v>3</v>
      </c>
      <c r="H435" s="2">
        <v>881</v>
      </c>
      <c r="I435" s="2">
        <v>174</v>
      </c>
      <c r="J435" s="2">
        <v>22311</v>
      </c>
      <c r="K435" s="2">
        <v>18</v>
      </c>
      <c r="L435" s="2">
        <v>861</v>
      </c>
      <c r="M435" s="2">
        <v>772</v>
      </c>
      <c r="N435" s="2">
        <v>18931</v>
      </c>
      <c r="O435" s="2">
        <v>11</v>
      </c>
      <c r="P435" s="2">
        <v>30557</v>
      </c>
      <c r="Q435" s="2">
        <v>9848</v>
      </c>
      <c r="R435" s="2">
        <v>124455</v>
      </c>
      <c r="S435" s="2">
        <v>625770</v>
      </c>
      <c r="T435" s="10">
        <f t="shared" si="18"/>
        <v>418807</v>
      </c>
      <c r="U435" s="8">
        <f t="shared" si="19"/>
        <v>0.66926666347060426</v>
      </c>
      <c r="V435" s="9" t="s">
        <v>5271</v>
      </c>
      <c r="W435" s="9" t="str">
        <f t="shared" si="20"/>
        <v>Sunderland RD</v>
      </c>
      <c r="X435" s="9" t="str">
        <f>INDEX(Lookup!$A$2:$A$1349, MATCH(W435, Lookup!$B$2:$B$1349,0))</f>
        <v>J04001232</v>
      </c>
      <c r="Y435" s="9" t="str">
        <f>INDEX(Lookup!$F$2:$F$1349, MATCH(W435, Lookup!$B$2:$B$1349,0))</f>
        <v>e110264</v>
      </c>
      <c r="Z435" s="6" t="str">
        <f>INDEX(Lookup!$C$2:$C$1300, MATCH(X435, Lookup!$A$2:$A$1300,0))</f>
        <v>Tyne And Wear</v>
      </c>
    </row>
    <row r="436" spans="1:26" ht="28.15" customHeight="1" x14ac:dyDescent="0.2">
      <c r="A436" s="6" t="s">
        <v>420</v>
      </c>
      <c r="B436" s="1" t="s">
        <v>420</v>
      </c>
      <c r="C436" s="2">
        <v>2760</v>
      </c>
      <c r="D436" s="2">
        <v>75437</v>
      </c>
      <c r="E436" s="2">
        <v>22</v>
      </c>
      <c r="F436" s="2">
        <v>2724</v>
      </c>
      <c r="G436" s="2">
        <v>1</v>
      </c>
      <c r="H436" s="2">
        <v>266</v>
      </c>
      <c r="I436" s="2">
        <v>127</v>
      </c>
      <c r="J436" s="2">
        <v>8634</v>
      </c>
      <c r="K436" s="2">
        <v>14</v>
      </c>
      <c r="L436" s="2">
        <v>1422</v>
      </c>
      <c r="M436" s="2">
        <v>373</v>
      </c>
      <c r="N436" s="2">
        <v>10117</v>
      </c>
      <c r="O436" s="2">
        <v>17</v>
      </c>
      <c r="P436" s="2">
        <v>36394</v>
      </c>
      <c r="Q436" s="2">
        <v>2534</v>
      </c>
      <c r="R436" s="2">
        <v>112955</v>
      </c>
      <c r="S436" s="2">
        <v>250483</v>
      </c>
      <c r="T436" s="10">
        <f t="shared" si="18"/>
        <v>78427</v>
      </c>
      <c r="U436" s="8">
        <f t="shared" si="19"/>
        <v>0.31310308484008897</v>
      </c>
      <c r="V436" s="9" t="s">
        <v>5271</v>
      </c>
      <c r="W436" s="9" t="str">
        <f t="shared" si="20"/>
        <v>Weardale RD</v>
      </c>
      <c r="X436" s="9" t="str">
        <f>INDEX(Lookup!$A$2:$A$1349, MATCH(W436, Lookup!$B$2:$B$1349,0))</f>
        <v>J04001358</v>
      </c>
      <c r="Y436" s="9" t="str">
        <f>INDEX(Lookup!$F$2:$F$1349, MATCH(W436, Lookup!$B$2:$B$1349,0))</f>
        <v>e110306</v>
      </c>
      <c r="Z436" s="6" t="str">
        <f>INDEX(Lookup!$C$2:$C$1300, MATCH(X436, Lookup!$A$2:$A$1300,0))</f>
        <v>Durham</v>
      </c>
    </row>
    <row r="437" spans="1:26" ht="28.15" customHeight="1" x14ac:dyDescent="0.2">
      <c r="A437" s="6" t="s">
        <v>421</v>
      </c>
      <c r="B437" s="1" t="s">
        <v>421</v>
      </c>
      <c r="T437" s="10"/>
      <c r="W437" s="9" t="str">
        <f t="shared" si="20"/>
        <v xml:space="preserve">ESSEX: </v>
      </c>
      <c r="X437" s="9" t="e">
        <f>INDEX(Lookup!$A$2:$A$1349, MATCH(W437, Lookup!$B$2:$B$1349,0))</f>
        <v>#N/A</v>
      </c>
      <c r="Y437" s="9" t="e">
        <f>INDEX(Lookup!$F$2:$F$1349, MATCH(W437, Lookup!$B$2:$B$1349,0))</f>
        <v>#N/A</v>
      </c>
      <c r="Z437" s="6" t="e">
        <f>INDEX(Lookup!$C$2:$C$1300, MATCH(X437, Lookup!$A$2:$A$1300,0))</f>
        <v>#N/A</v>
      </c>
    </row>
    <row r="438" spans="1:26" ht="28.15" customHeight="1" x14ac:dyDescent="0.2">
      <c r="A438" s="6" t="s">
        <v>175</v>
      </c>
      <c r="B438" s="1" t="s">
        <v>175</v>
      </c>
      <c r="T438" s="10"/>
      <c r="W438" s="9" t="str">
        <f t="shared" si="20"/>
        <v xml:space="preserve">Non-County Boroughs-- </v>
      </c>
      <c r="X438" s="9" t="e">
        <f>INDEX(Lookup!$A$2:$A$1349, MATCH(W438, Lookup!$B$2:$B$1349,0))</f>
        <v>#N/A</v>
      </c>
      <c r="Y438" s="9" t="e">
        <f>INDEX(Lookup!$F$2:$F$1349, MATCH(W438, Lookup!$B$2:$B$1349,0))</f>
        <v>#N/A</v>
      </c>
      <c r="Z438" s="6" t="e">
        <f>INDEX(Lookup!$C$2:$C$1300, MATCH(X438, Lookup!$A$2:$A$1300,0))</f>
        <v>#N/A</v>
      </c>
    </row>
    <row r="439" spans="1:26" ht="28.15" customHeight="1" x14ac:dyDescent="0.2">
      <c r="A439" s="6" t="s">
        <v>422</v>
      </c>
      <c r="B439" s="1" t="s">
        <v>422</v>
      </c>
      <c r="C439" s="2">
        <v>20749</v>
      </c>
      <c r="D439" s="2">
        <v>1404428</v>
      </c>
      <c r="E439" s="2">
        <v>2020</v>
      </c>
      <c r="F439" s="2">
        <v>231501</v>
      </c>
      <c r="G439" s="2">
        <v>25</v>
      </c>
      <c r="H439" s="2">
        <v>5422</v>
      </c>
      <c r="I439" s="2">
        <v>780</v>
      </c>
      <c r="J439" s="2">
        <v>299198</v>
      </c>
      <c r="K439" s="2">
        <v>73</v>
      </c>
      <c r="L439" s="2">
        <v>20207</v>
      </c>
      <c r="M439" s="2">
        <v>1899</v>
      </c>
      <c r="N439" s="2">
        <v>303828</v>
      </c>
      <c r="O439" s="2">
        <v>163</v>
      </c>
      <c r="P439" s="2">
        <v>926538</v>
      </c>
      <c r="Q439" s="2">
        <v>13684</v>
      </c>
      <c r="R439" s="2">
        <v>868876</v>
      </c>
      <c r="S439" s="2">
        <v>4073682</v>
      </c>
      <c r="T439" s="10">
        <f t="shared" si="18"/>
        <v>1641351</v>
      </c>
      <c r="U439" s="8">
        <f t="shared" si="19"/>
        <v>0.40291583879154041</v>
      </c>
      <c r="V439" s="9" t="s">
        <v>5268</v>
      </c>
      <c r="W439" s="9" t="str">
        <f t="shared" si="20"/>
        <v>Barking MB</v>
      </c>
      <c r="X439" s="9" t="str">
        <f>INDEX(Lookup!$A$2:$A$1349, MATCH(W439, Lookup!$B$2:$B$1349,0))</f>
        <v>J04000079</v>
      </c>
      <c r="Y439" s="9" t="str">
        <f>INDEX(Lookup!$F$2:$F$1349, MATCH(W439, Lookup!$B$2:$B$1349,0))</f>
        <v>e140371</v>
      </c>
      <c r="Z439" s="6" t="str">
        <f>INDEX(Lookup!$C$2:$C$1300, MATCH(X439, Lookup!$A$2:$A$1300,0))</f>
        <v>Outer London</v>
      </c>
    </row>
    <row r="440" spans="1:26" ht="28.15" customHeight="1" x14ac:dyDescent="0.2">
      <c r="A440" s="6" t="s">
        <v>423</v>
      </c>
      <c r="B440" s="1" t="s">
        <v>423</v>
      </c>
      <c r="C440" s="2">
        <v>14466</v>
      </c>
      <c r="D440" s="2">
        <v>998562</v>
      </c>
      <c r="E440" s="2">
        <v>1967</v>
      </c>
      <c r="F440" s="2">
        <v>237224</v>
      </c>
      <c r="G440" s="2">
        <v>100</v>
      </c>
      <c r="H440" s="2">
        <v>24984</v>
      </c>
      <c r="I440" s="2">
        <v>657</v>
      </c>
      <c r="J440" s="2">
        <v>443971</v>
      </c>
      <c r="K440" s="2">
        <v>302</v>
      </c>
      <c r="L440" s="2">
        <v>156267</v>
      </c>
      <c r="M440" s="2">
        <v>2194</v>
      </c>
      <c r="N440" s="2">
        <v>214296</v>
      </c>
      <c r="O440" s="2">
        <v>63</v>
      </c>
      <c r="P440" s="2">
        <v>598408</v>
      </c>
      <c r="Q440" s="2">
        <v>24532</v>
      </c>
      <c r="R440" s="2">
        <v>305024</v>
      </c>
      <c r="S440" s="2">
        <v>3003268</v>
      </c>
      <c r="T440" s="10">
        <f t="shared" si="18"/>
        <v>1260770</v>
      </c>
      <c r="U440" s="8">
        <f t="shared" si="19"/>
        <v>0.41979936522481509</v>
      </c>
      <c r="V440" s="9" t="s">
        <v>5268</v>
      </c>
      <c r="W440" s="9" t="str">
        <f t="shared" si="20"/>
        <v>Chelmsford MB</v>
      </c>
      <c r="X440" s="9" t="str">
        <f>INDEX(Lookup!$A$2:$A$1349, MATCH(W440, Lookup!$B$2:$B$1349,0))</f>
        <v>J04000288</v>
      </c>
      <c r="Y440" s="9" t="str">
        <f>INDEX(Lookup!$F$2:$F$1349, MATCH(W440, Lookup!$B$2:$B$1349,0))</f>
        <v>e120316</v>
      </c>
      <c r="Z440" s="6" t="str">
        <f>INDEX(Lookup!$C$2:$C$1300, MATCH(X440, Lookup!$A$2:$A$1300,0))</f>
        <v>Essex</v>
      </c>
    </row>
    <row r="441" spans="1:26" ht="28.15" customHeight="1" x14ac:dyDescent="0.2">
      <c r="A441" s="6" t="s">
        <v>424</v>
      </c>
      <c r="B441" s="1" t="s">
        <v>424</v>
      </c>
      <c r="C441" s="2">
        <v>6618</v>
      </c>
      <c r="D441" s="2">
        <v>544311</v>
      </c>
      <c r="E441" s="2">
        <v>7671</v>
      </c>
      <c r="F441" s="2">
        <v>952360</v>
      </c>
      <c r="G441" s="2">
        <v>117</v>
      </c>
      <c r="H441" s="2">
        <v>26063</v>
      </c>
      <c r="I441" s="2">
        <v>478</v>
      </c>
      <c r="J441" s="2">
        <v>153946</v>
      </c>
      <c r="K441" s="2">
        <v>51</v>
      </c>
      <c r="L441" s="2">
        <v>7495</v>
      </c>
      <c r="M441" s="2">
        <v>863</v>
      </c>
      <c r="N441" s="2">
        <v>57650</v>
      </c>
      <c r="O441" s="2">
        <v>22</v>
      </c>
      <c r="P441" s="2">
        <v>217065</v>
      </c>
      <c r="Q441" s="2">
        <v>4757</v>
      </c>
      <c r="R441" s="2">
        <v>167001</v>
      </c>
      <c r="S441" s="2">
        <v>2130648</v>
      </c>
      <c r="T441" s="10">
        <f t="shared" si="18"/>
        <v>1522734</v>
      </c>
      <c r="U441" s="8">
        <f t="shared" si="19"/>
        <v>0.71468116741948928</v>
      </c>
      <c r="V441" s="9" t="s">
        <v>5268</v>
      </c>
      <c r="W441" s="9" t="str">
        <f t="shared" si="20"/>
        <v>Chingford MB</v>
      </c>
      <c r="X441" s="9" t="str">
        <f>INDEX(Lookup!$A$2:$A$1349, MATCH(W441, Lookup!$B$2:$B$1349,0))</f>
        <v>J04000308</v>
      </c>
      <c r="Y441" s="9" t="str">
        <f>INDEX(Lookup!$F$2:$F$1349, MATCH(W441, Lookup!$B$2:$B$1349,0))</f>
        <v>e140407</v>
      </c>
      <c r="Z441" s="6" t="str">
        <f>INDEX(Lookup!$C$2:$C$1300, MATCH(X441, Lookup!$A$2:$A$1300,0))</f>
        <v>Outer London</v>
      </c>
    </row>
    <row r="442" spans="1:26" ht="28.15" customHeight="1" x14ac:dyDescent="0.2">
      <c r="A442" s="6" t="s">
        <v>425</v>
      </c>
      <c r="B442" s="1" t="s">
        <v>425</v>
      </c>
      <c r="C442" s="2">
        <v>17842</v>
      </c>
      <c r="D442" s="2">
        <v>976064</v>
      </c>
      <c r="E442" s="2">
        <v>1365</v>
      </c>
      <c r="F442" s="2">
        <v>166474</v>
      </c>
      <c r="G442" s="2">
        <v>39</v>
      </c>
      <c r="H442" s="2">
        <v>9222</v>
      </c>
      <c r="I442" s="2">
        <v>893</v>
      </c>
      <c r="J442" s="2">
        <v>316647</v>
      </c>
      <c r="K442" s="2">
        <v>218</v>
      </c>
      <c r="L442" s="2">
        <v>39996</v>
      </c>
      <c r="M442" s="2">
        <v>1895</v>
      </c>
      <c r="N442" s="2">
        <v>142811</v>
      </c>
      <c r="O442" s="2">
        <v>89</v>
      </c>
      <c r="P442" s="2">
        <v>305630</v>
      </c>
      <c r="Q442" s="2">
        <v>124481</v>
      </c>
      <c r="R442" s="2">
        <v>283726</v>
      </c>
      <c r="S442" s="2">
        <v>2365051</v>
      </c>
      <c r="T442" s="10">
        <f t="shared" si="18"/>
        <v>1151760</v>
      </c>
      <c r="U442" s="8">
        <f t="shared" si="19"/>
        <v>0.48699161244302974</v>
      </c>
      <c r="V442" s="9" t="s">
        <v>5268</v>
      </c>
      <c r="W442" s="9" t="str">
        <f t="shared" si="20"/>
        <v>Colchester MB</v>
      </c>
      <c r="X442" s="9" t="str">
        <f>INDEX(Lookup!$A$2:$A$1349, MATCH(W442, Lookup!$B$2:$B$1349,0))</f>
        <v>J04000336</v>
      </c>
      <c r="Y442" s="9" t="str">
        <f>INDEX(Lookup!$F$2:$F$1349, MATCH(W442, Lookup!$B$2:$B$1349,0))</f>
        <v>e120319</v>
      </c>
      <c r="Z442" s="6" t="str">
        <f>INDEX(Lookup!$C$2:$C$1300, MATCH(X442, Lookup!$A$2:$A$1300,0))</f>
        <v>Essex</v>
      </c>
    </row>
    <row r="443" spans="1:26" ht="28.15" customHeight="1" x14ac:dyDescent="0.2">
      <c r="A443" s="6" t="s">
        <v>426</v>
      </c>
      <c r="B443" s="1" t="s">
        <v>426</v>
      </c>
      <c r="C443" s="2">
        <v>31215</v>
      </c>
      <c r="D443" s="2">
        <v>2238133</v>
      </c>
      <c r="E443" s="2">
        <v>641</v>
      </c>
      <c r="F443" s="2">
        <v>70268</v>
      </c>
      <c r="G443" s="2">
        <v>7</v>
      </c>
      <c r="H443" s="2">
        <v>1550</v>
      </c>
      <c r="I443" s="2">
        <v>805</v>
      </c>
      <c r="J443" s="2">
        <v>300906</v>
      </c>
      <c r="K443" s="2">
        <v>59</v>
      </c>
      <c r="L443" s="2">
        <v>12218</v>
      </c>
      <c r="M443" s="2">
        <v>1727</v>
      </c>
      <c r="N443" s="2">
        <v>201413</v>
      </c>
      <c r="O443" s="2">
        <v>107</v>
      </c>
      <c r="P443" s="2">
        <v>2853081</v>
      </c>
      <c r="Q443" s="2">
        <v>15030</v>
      </c>
      <c r="R443" s="2">
        <v>596975</v>
      </c>
      <c r="S443" s="2">
        <v>6289574</v>
      </c>
      <c r="T443" s="10">
        <f t="shared" si="18"/>
        <v>2309951</v>
      </c>
      <c r="U443" s="8">
        <f t="shared" si="19"/>
        <v>0.36726668610624502</v>
      </c>
      <c r="V443" s="9" t="s">
        <v>5268</v>
      </c>
      <c r="W443" s="9" t="str">
        <f t="shared" si="20"/>
        <v>Dagenham MB</v>
      </c>
      <c r="X443" s="9" t="str">
        <f>INDEX(Lookup!$A$2:$A$1349, MATCH(W443, Lookup!$B$2:$B$1349,0))</f>
        <v>J04000377</v>
      </c>
      <c r="Y443" s="9" t="str">
        <f>INDEX(Lookup!$F$2:$F$1349, MATCH(W443, Lookup!$B$2:$B$1349,0))</f>
        <v>e140371</v>
      </c>
      <c r="Z443" s="6" t="str">
        <f>INDEX(Lookup!$C$2:$C$1300, MATCH(X443, Lookup!$A$2:$A$1300,0))</f>
        <v>Outer London</v>
      </c>
    </row>
    <row r="444" spans="1:26" ht="28.15" customHeight="1" x14ac:dyDescent="0.2">
      <c r="A444" s="6" t="s">
        <v>427</v>
      </c>
      <c r="B444" s="1" t="s">
        <v>427</v>
      </c>
      <c r="C444" s="2">
        <v>3948</v>
      </c>
      <c r="D444" s="2">
        <v>226825</v>
      </c>
      <c r="E444" s="2">
        <v>380</v>
      </c>
      <c r="F444" s="2">
        <v>44656</v>
      </c>
      <c r="G444" s="2">
        <v>1</v>
      </c>
      <c r="H444" s="2">
        <v>218</v>
      </c>
      <c r="I444" s="2">
        <v>210</v>
      </c>
      <c r="J444" s="2">
        <v>29618</v>
      </c>
      <c r="K444" s="2">
        <v>21</v>
      </c>
      <c r="L444" s="2">
        <v>2106</v>
      </c>
      <c r="M444" s="2">
        <v>362</v>
      </c>
      <c r="N444" s="2">
        <v>38729</v>
      </c>
      <c r="O444" s="2">
        <v>14</v>
      </c>
      <c r="P444" s="2">
        <v>27867</v>
      </c>
      <c r="Q444" s="2">
        <v>4915</v>
      </c>
      <c r="R444" s="2">
        <v>38662</v>
      </c>
      <c r="S444" s="2">
        <v>413596</v>
      </c>
      <c r="T444" s="10">
        <f t="shared" si="18"/>
        <v>271699</v>
      </c>
      <c r="U444" s="8">
        <f t="shared" si="19"/>
        <v>0.65691882900221477</v>
      </c>
      <c r="V444" s="9" t="s">
        <v>5268</v>
      </c>
      <c r="W444" s="9" t="str">
        <f t="shared" si="20"/>
        <v>Harwich MB</v>
      </c>
      <c r="X444" s="9" t="str">
        <f>INDEX(Lookup!$A$2:$A$1349, MATCH(W444, Lookup!$B$2:$B$1349,0))</f>
        <v>J04000581</v>
      </c>
      <c r="Y444" s="9" t="str">
        <f>INDEX(Lookup!$F$2:$F$1349, MATCH(W444, Lookup!$B$2:$B$1349,0))</f>
        <v>e120325</v>
      </c>
      <c r="Z444" s="6" t="str">
        <f>INDEX(Lookup!$C$2:$C$1300, MATCH(X444, Lookup!$A$2:$A$1300,0))</f>
        <v>Essex</v>
      </c>
    </row>
    <row r="445" spans="1:26" ht="28.15" customHeight="1" x14ac:dyDescent="0.2">
      <c r="A445" s="6" t="s">
        <v>428</v>
      </c>
      <c r="B445" s="1" t="s">
        <v>5400</v>
      </c>
      <c r="C445" s="2">
        <v>25650</v>
      </c>
      <c r="D445" s="2">
        <v>2146145</v>
      </c>
      <c r="E445" s="2">
        <v>27413</v>
      </c>
      <c r="F445" s="2">
        <v>3350214</v>
      </c>
      <c r="G445" s="2">
        <v>197</v>
      </c>
      <c r="H445" s="2">
        <v>44031</v>
      </c>
      <c r="I445" s="2">
        <v>2355</v>
      </c>
      <c r="J445" s="2">
        <v>1301263</v>
      </c>
      <c r="K445" s="2">
        <v>284</v>
      </c>
      <c r="L445" s="2">
        <v>100125</v>
      </c>
      <c r="M445" s="2">
        <v>3545</v>
      </c>
      <c r="N445" s="2">
        <v>351329</v>
      </c>
      <c r="O445" s="2">
        <v>140</v>
      </c>
      <c r="P445" s="2">
        <v>706478</v>
      </c>
      <c r="Q445" s="2">
        <v>55389</v>
      </c>
      <c r="R445" s="2">
        <v>706000</v>
      </c>
      <c r="S445" s="2">
        <v>8760974</v>
      </c>
      <c r="T445" s="10">
        <f t="shared" si="18"/>
        <v>5540390</v>
      </c>
      <c r="U445" s="8">
        <f t="shared" si="19"/>
        <v>0.63239429771164712</v>
      </c>
      <c r="V445" s="9" t="s">
        <v>5268</v>
      </c>
      <c r="W445" s="9" t="str">
        <f t="shared" si="20"/>
        <v>Ilford MB</v>
      </c>
      <c r="X445" s="9" t="str">
        <f>INDEX(Lookup!$A$2:$A$1349, MATCH(W445, Lookup!$B$2:$B$1349,0))</f>
        <v>J04000665</v>
      </c>
      <c r="Y445" s="9" t="str">
        <f>INDEX(Lookup!$F$2:$F$1349, MATCH(W445, Lookup!$B$2:$B$1349,0))</f>
        <v>e140400</v>
      </c>
      <c r="Z445" s="6" t="str">
        <f>INDEX(Lookup!$C$2:$C$1300, MATCH(X445, Lookup!$A$2:$A$1300,0))</f>
        <v>Outer London</v>
      </c>
    </row>
    <row r="446" spans="1:26" ht="28.15" customHeight="1" x14ac:dyDescent="0.2">
      <c r="A446" s="6" t="s">
        <v>429</v>
      </c>
      <c r="B446" s="1" t="s">
        <v>429</v>
      </c>
      <c r="C446" s="2">
        <v>22010</v>
      </c>
      <c r="D446" s="2">
        <v>2540803</v>
      </c>
      <c r="E446" s="2">
        <v>5708</v>
      </c>
      <c r="F446" s="2">
        <v>664663</v>
      </c>
      <c r="G446" s="2">
        <v>18</v>
      </c>
      <c r="H446" s="2">
        <v>4120</v>
      </c>
      <c r="I446" s="2">
        <v>1600</v>
      </c>
      <c r="J446" s="2">
        <v>429601</v>
      </c>
      <c r="K446" s="2">
        <v>114</v>
      </c>
      <c r="L446" s="2">
        <v>24258</v>
      </c>
      <c r="M446" s="2">
        <v>2038</v>
      </c>
      <c r="N446" s="2">
        <v>178835</v>
      </c>
      <c r="O446" s="2">
        <v>221</v>
      </c>
      <c r="P446" s="2">
        <v>524050</v>
      </c>
      <c r="Q446" s="2">
        <v>33809</v>
      </c>
      <c r="R446" s="2">
        <v>327608</v>
      </c>
      <c r="S446" s="2">
        <v>3727747</v>
      </c>
      <c r="T446" s="10">
        <f t="shared" si="18"/>
        <v>3209586</v>
      </c>
      <c r="U446" s="8">
        <f t="shared" si="19"/>
        <v>0.86099888216662768</v>
      </c>
      <c r="V446" s="9" t="s">
        <v>5268</v>
      </c>
      <c r="W446" s="9" t="str">
        <f t="shared" si="20"/>
        <v>Leyton MB</v>
      </c>
      <c r="X446" s="9" t="str">
        <f>INDEX(Lookup!$A$2:$A$1349, MATCH(W446, Lookup!$B$2:$B$1349,0))</f>
        <v>J04000743</v>
      </c>
      <c r="Y446" s="9" t="str">
        <f>INDEX(Lookup!$F$2:$F$1349, MATCH(W446, Lookup!$B$2:$B$1349,0))</f>
        <v>e140407</v>
      </c>
      <c r="Z446" s="6" t="str">
        <f>INDEX(Lookup!$C$2:$C$1300, MATCH(X446, Lookup!$A$2:$A$1300,0))</f>
        <v>Outer London</v>
      </c>
    </row>
    <row r="447" spans="1:26" ht="28.15" customHeight="1" x14ac:dyDescent="0.2">
      <c r="A447" s="6" t="s">
        <v>430</v>
      </c>
      <c r="B447" s="1" t="s">
        <v>430</v>
      </c>
      <c r="C447" s="2">
        <v>3479</v>
      </c>
      <c r="D447" s="2">
        <v>183559</v>
      </c>
      <c r="E447" s="2">
        <v>204</v>
      </c>
      <c r="F447" s="2">
        <v>24606</v>
      </c>
      <c r="G447" s="2">
        <v>6</v>
      </c>
      <c r="H447" s="2">
        <v>1414</v>
      </c>
      <c r="I447" s="2">
        <v>217</v>
      </c>
      <c r="J447" s="2">
        <v>44650</v>
      </c>
      <c r="K447" s="2">
        <v>39</v>
      </c>
      <c r="L447" s="2">
        <v>5099</v>
      </c>
      <c r="M447" s="2">
        <v>376</v>
      </c>
      <c r="N447" s="2">
        <v>32251</v>
      </c>
      <c r="O447" s="2">
        <v>36</v>
      </c>
      <c r="P447" s="2">
        <v>88630</v>
      </c>
      <c r="Q447" s="2">
        <v>2408</v>
      </c>
      <c r="R447" s="2">
        <v>81674</v>
      </c>
      <c r="S447" s="2">
        <v>464291</v>
      </c>
      <c r="T447" s="10">
        <f t="shared" si="18"/>
        <v>209579</v>
      </c>
      <c r="U447" s="8">
        <f t="shared" si="19"/>
        <v>0.45139578410953474</v>
      </c>
      <c r="V447" s="9" t="s">
        <v>5268</v>
      </c>
      <c r="W447" s="9" t="str">
        <f t="shared" si="20"/>
        <v>Maldon MB</v>
      </c>
      <c r="X447" s="9" t="str">
        <f>INDEX(Lookup!$A$2:$A$1349, MATCH(W447, Lookup!$B$2:$B$1349,0))</f>
        <v>J04000812</v>
      </c>
      <c r="Y447" s="9" t="str">
        <f>INDEX(Lookup!$F$2:$F$1349, MATCH(W447, Lookup!$B$2:$B$1349,0))</f>
        <v>e120326</v>
      </c>
      <c r="Z447" s="6" t="str">
        <f>INDEX(Lookup!$C$2:$C$1300, MATCH(X447, Lookup!$A$2:$A$1300,0))</f>
        <v>Essex</v>
      </c>
    </row>
    <row r="448" spans="1:26" ht="28.15" customHeight="1" x14ac:dyDescent="0.2">
      <c r="A448" s="6" t="s">
        <v>431</v>
      </c>
      <c r="B448" s="1" t="s">
        <v>431</v>
      </c>
      <c r="C448" s="2">
        <v>26927</v>
      </c>
      <c r="D448" s="2">
        <v>2026758</v>
      </c>
      <c r="E448" s="2">
        <v>6271</v>
      </c>
      <c r="F448" s="2">
        <v>753661</v>
      </c>
      <c r="G448" s="2">
        <v>190</v>
      </c>
      <c r="H448" s="2">
        <v>47202</v>
      </c>
      <c r="I448" s="2">
        <v>1080</v>
      </c>
      <c r="J448" s="2">
        <v>875283</v>
      </c>
      <c r="K448" s="2">
        <v>210</v>
      </c>
      <c r="L448" s="2">
        <v>110567</v>
      </c>
      <c r="M448" s="2">
        <v>2622</v>
      </c>
      <c r="N448" s="2">
        <v>353089</v>
      </c>
      <c r="O448" s="2">
        <v>146</v>
      </c>
      <c r="P448" s="2">
        <v>571445</v>
      </c>
      <c r="Q448" s="2">
        <v>30567</v>
      </c>
      <c r="R448" s="2">
        <v>465233</v>
      </c>
      <c r="S448" s="2">
        <v>5233805</v>
      </c>
      <c r="T448" s="10">
        <f t="shared" si="18"/>
        <v>2827621</v>
      </c>
      <c r="U448" s="8">
        <f t="shared" si="19"/>
        <v>0.5402610529051044</v>
      </c>
      <c r="V448" s="9" t="s">
        <v>5268</v>
      </c>
      <c r="W448" s="9" t="str">
        <f t="shared" si="20"/>
        <v>Romford MB</v>
      </c>
      <c r="X448" s="9" t="str">
        <f>INDEX(Lookup!$A$2:$A$1349, MATCH(W448, Lookup!$B$2:$B$1349,0))</f>
        <v>J04001060</v>
      </c>
      <c r="Y448" s="9" t="str">
        <f>INDEX(Lookup!$F$2:$F$1349, MATCH(W448, Lookup!$B$2:$B$1349,0))</f>
        <v>e140387</v>
      </c>
      <c r="Z448" s="6" t="str">
        <f>INDEX(Lookup!$C$2:$C$1300, MATCH(X448, Lookup!$A$2:$A$1300,0))</f>
        <v>Outer London</v>
      </c>
    </row>
    <row r="449" spans="1:26" ht="28.15" customHeight="1" x14ac:dyDescent="0.2">
      <c r="A449" s="6" t="s">
        <v>432</v>
      </c>
      <c r="B449" s="1" t="s">
        <v>432</v>
      </c>
      <c r="C449" s="2">
        <v>2267</v>
      </c>
      <c r="D449" s="2">
        <v>126569</v>
      </c>
      <c r="E449" s="2">
        <v>397</v>
      </c>
      <c r="F449" s="2">
        <v>46868</v>
      </c>
      <c r="G449" s="2">
        <v>8</v>
      </c>
      <c r="H449" s="2">
        <v>2021</v>
      </c>
      <c r="I449" s="2">
        <v>149</v>
      </c>
      <c r="J449" s="2">
        <v>53360</v>
      </c>
      <c r="K449" s="2">
        <v>48</v>
      </c>
      <c r="L449" s="2">
        <v>8794</v>
      </c>
      <c r="M449" s="2">
        <v>409</v>
      </c>
      <c r="N449" s="2">
        <v>26635</v>
      </c>
      <c r="O449" s="2">
        <v>26</v>
      </c>
      <c r="P449" s="2">
        <v>77401</v>
      </c>
      <c r="Q449" s="2">
        <v>3214</v>
      </c>
      <c r="R449" s="2">
        <v>46787</v>
      </c>
      <c r="S449" s="2">
        <v>391646</v>
      </c>
      <c r="T449" s="10">
        <f t="shared" si="18"/>
        <v>175458</v>
      </c>
      <c r="U449" s="8">
        <f t="shared" si="19"/>
        <v>0.4480015115691211</v>
      </c>
      <c r="V449" s="9" t="s">
        <v>5268</v>
      </c>
      <c r="W449" s="9" t="str">
        <f t="shared" si="20"/>
        <v>Saffron Walden MB</v>
      </c>
      <c r="X449" s="9" t="str">
        <f>INDEX(Lookup!$A$2:$A$1349, MATCH(W449, Lookup!$B$2:$B$1349,0))</f>
        <v>J04001090</v>
      </c>
      <c r="Y449" s="9" t="str">
        <f>INDEX(Lookup!$F$2:$F$1349, MATCH(W449, Lookup!$B$2:$B$1349,0))</f>
        <v>e120328</v>
      </c>
      <c r="Z449" s="6" t="str">
        <f>INDEX(Lookup!$C$2:$C$1300, MATCH(X449, Lookup!$A$2:$A$1300,0))</f>
        <v>Essex</v>
      </c>
    </row>
    <row r="450" spans="1:26" ht="28.15" customHeight="1" x14ac:dyDescent="0.2">
      <c r="A450" s="6" t="s">
        <v>433</v>
      </c>
      <c r="B450" s="1" t="s">
        <v>433</v>
      </c>
      <c r="C450" s="2">
        <v>27538</v>
      </c>
      <c r="D450" s="2">
        <v>1996888</v>
      </c>
      <c r="E450" s="2">
        <v>6993</v>
      </c>
      <c r="F450" s="2">
        <v>817520</v>
      </c>
      <c r="G450" s="2">
        <v>55</v>
      </c>
      <c r="H450" s="2">
        <v>13582</v>
      </c>
      <c r="I450" s="2">
        <v>1877</v>
      </c>
      <c r="J450" s="2">
        <v>533170</v>
      </c>
      <c r="K450" s="2">
        <v>145</v>
      </c>
      <c r="L450" s="2">
        <v>36406</v>
      </c>
      <c r="M450" s="2">
        <v>3399</v>
      </c>
      <c r="N450" s="2">
        <v>235009</v>
      </c>
      <c r="O450" s="2">
        <v>313</v>
      </c>
      <c r="P450" s="2">
        <v>1417075</v>
      </c>
      <c r="Q450" s="2">
        <v>14694</v>
      </c>
      <c r="R450" s="2">
        <v>518512</v>
      </c>
      <c r="S450" s="2">
        <v>5582856</v>
      </c>
      <c r="T450" s="10">
        <f t="shared" si="18"/>
        <v>2827990</v>
      </c>
      <c r="U450" s="8">
        <f t="shared" si="19"/>
        <v>0.50654897779917663</v>
      </c>
      <c r="V450" s="9" t="s">
        <v>5268</v>
      </c>
      <c r="W450" s="9" t="str">
        <f t="shared" si="20"/>
        <v>Walthamstow MB</v>
      </c>
      <c r="X450" s="9" t="str">
        <f>INDEX(Lookup!$A$2:$A$1349, MATCH(W450, Lookup!$B$2:$B$1349,0))</f>
        <v>J04001331</v>
      </c>
      <c r="Y450" s="9" t="str">
        <f>INDEX(Lookup!$F$2:$F$1349, MATCH(W450, Lookup!$B$2:$B$1349,0))</f>
        <v>e140407</v>
      </c>
      <c r="Z450" s="6" t="str">
        <f>INDEX(Lookup!$C$2:$C$1300, MATCH(X450, Lookup!$A$2:$A$1300,0))</f>
        <v>Outer London</v>
      </c>
    </row>
    <row r="451" spans="1:26" ht="28.15" customHeight="1" x14ac:dyDescent="0.2">
      <c r="A451" s="6" t="s">
        <v>434</v>
      </c>
      <c r="B451" s="1" t="s">
        <v>5366</v>
      </c>
      <c r="C451" s="2">
        <v>7219</v>
      </c>
      <c r="D451" s="2">
        <v>567198</v>
      </c>
      <c r="E451" s="2">
        <v>11595</v>
      </c>
      <c r="F451" s="2">
        <v>1518698</v>
      </c>
      <c r="G451" s="2">
        <v>751</v>
      </c>
      <c r="H451" s="2">
        <v>173433</v>
      </c>
      <c r="I451" s="2">
        <v>660</v>
      </c>
      <c r="J451" s="2">
        <v>204148</v>
      </c>
      <c r="K451" s="2">
        <v>88</v>
      </c>
      <c r="L451" s="2">
        <v>26935</v>
      </c>
      <c r="M451" s="2">
        <v>2031</v>
      </c>
      <c r="N451" s="2">
        <v>166067</v>
      </c>
      <c r="O451" s="2">
        <v>57</v>
      </c>
      <c r="P451" s="2">
        <v>114968</v>
      </c>
      <c r="Q451" s="2">
        <v>12685</v>
      </c>
      <c r="R451" s="2">
        <v>201052</v>
      </c>
      <c r="S451" s="2">
        <v>2985184</v>
      </c>
      <c r="T451" s="10">
        <f t="shared" ref="T451:T514" si="24">SUM(D451+F451+H451)</f>
        <v>2259329</v>
      </c>
      <c r="U451" s="8">
        <f t="shared" ref="U451:U514" si="25">T451/S451</f>
        <v>0.75684748410818226</v>
      </c>
      <c r="V451" s="9" t="s">
        <v>5268</v>
      </c>
      <c r="W451" s="9" t="str">
        <f t="shared" ref="W451:W514" si="26">_xlfn.CONCAT(B451," ",V451)</f>
        <v>Wanstead and Woodford MB</v>
      </c>
      <c r="X451" s="9" t="str">
        <f>INDEX(Lookup!$A$2:$A$1349, MATCH(W451, Lookup!$B$2:$B$1349,0))</f>
        <v>J04001335</v>
      </c>
      <c r="Y451" s="9" t="str">
        <f>INDEX(Lookup!$F$2:$F$1349, MATCH(W451, Lookup!$B$2:$B$1349,0))</f>
        <v>e140400</v>
      </c>
      <c r="Z451" s="6" t="str">
        <f>INDEX(Lookup!$C$2:$C$1300, MATCH(X451, Lookup!$A$2:$A$1300,0))</f>
        <v>Outer London</v>
      </c>
    </row>
    <row r="452" spans="1:26" ht="28.15" customHeight="1" x14ac:dyDescent="0.2">
      <c r="A452" s="6" t="s">
        <v>179</v>
      </c>
      <c r="B452" s="1" t="s">
        <v>179</v>
      </c>
      <c r="T452" s="10"/>
      <c r="W452" s="9" t="str">
        <f t="shared" si="26"/>
        <v xml:space="preserve">Urban Districts-- </v>
      </c>
      <c r="X452" s="9" t="e">
        <f>INDEX(Lookup!$A$2:$A$1349, MATCH(W452, Lookup!$B$2:$B$1349,0))</f>
        <v>#N/A</v>
      </c>
      <c r="Y452" s="9" t="e">
        <f>INDEX(Lookup!$F$2:$F$1349, MATCH(W452, Lookup!$B$2:$B$1349,0))</f>
        <v>#N/A</v>
      </c>
      <c r="Z452" s="6" t="e">
        <f>INDEX(Lookup!$C$2:$C$1300, MATCH(X452, Lookup!$A$2:$A$1300,0))</f>
        <v>#N/A</v>
      </c>
    </row>
    <row r="453" spans="1:26" ht="28.15" customHeight="1" x14ac:dyDescent="0.2">
      <c r="A453" s="6" t="s">
        <v>435</v>
      </c>
      <c r="B453" s="1" t="s">
        <v>435</v>
      </c>
      <c r="C453" s="2">
        <v>28535</v>
      </c>
      <c r="D453" s="2">
        <v>1789512</v>
      </c>
      <c r="E453" s="2">
        <v>1329</v>
      </c>
      <c r="F453" s="2">
        <v>155724</v>
      </c>
      <c r="G453" s="2">
        <v>8</v>
      </c>
      <c r="H453" s="2">
        <v>1756</v>
      </c>
      <c r="I453" s="2">
        <v>866</v>
      </c>
      <c r="J453" s="2">
        <v>377086</v>
      </c>
      <c r="K453" s="2">
        <v>111</v>
      </c>
      <c r="L453" s="2">
        <v>24852</v>
      </c>
      <c r="M453" s="2">
        <v>3670</v>
      </c>
      <c r="N453" s="2">
        <v>162422</v>
      </c>
      <c r="O453" s="2">
        <v>151</v>
      </c>
      <c r="P453" s="2">
        <v>761195</v>
      </c>
      <c r="Q453" s="2">
        <v>12283</v>
      </c>
      <c r="R453" s="2">
        <v>320659</v>
      </c>
      <c r="S453" s="2">
        <v>3605489</v>
      </c>
      <c r="T453" s="10">
        <f t="shared" si="24"/>
        <v>1946992</v>
      </c>
      <c r="U453" s="8">
        <f t="shared" si="25"/>
        <v>0.54000774929558792</v>
      </c>
      <c r="V453" s="9" t="s">
        <v>5270</v>
      </c>
      <c r="W453" s="9" t="str">
        <f t="shared" si="26"/>
        <v>Basildon UD</v>
      </c>
      <c r="X453" s="9" t="str">
        <f>INDEX(Lookup!$A$2:$A$1349, MATCH(W453, Lookup!$B$2:$B$1349,0))</f>
        <v>J04000096</v>
      </c>
      <c r="Y453" s="9" t="str">
        <f>INDEX(Lookup!$F$2:$F$1349, MATCH(W453, Lookup!$B$2:$B$1349,0))</f>
        <v>e120308</v>
      </c>
      <c r="Z453" s="6" t="str">
        <f>INDEX(Lookup!$C$2:$C$1300, MATCH(X453, Lookup!$A$2:$A$1300,0))</f>
        <v>Essex</v>
      </c>
    </row>
    <row r="454" spans="1:26" ht="28.15" customHeight="1" x14ac:dyDescent="0.2">
      <c r="A454" s="6" t="s">
        <v>436</v>
      </c>
      <c r="B454" s="1" t="s">
        <v>436</v>
      </c>
      <c r="C454" s="2">
        <v>11260</v>
      </c>
      <c r="D454" s="2">
        <v>765003</v>
      </c>
      <c r="E454" s="2">
        <v>979</v>
      </c>
      <c r="F454" s="2">
        <v>113806</v>
      </c>
      <c r="G454" s="2">
        <v>8</v>
      </c>
      <c r="H454" s="2">
        <v>1888</v>
      </c>
      <c r="I454" s="2">
        <v>368</v>
      </c>
      <c r="J454" s="2">
        <v>70302</v>
      </c>
      <c r="K454" s="2">
        <v>46</v>
      </c>
      <c r="L454" s="2">
        <v>11626</v>
      </c>
      <c r="M454" s="2">
        <v>402</v>
      </c>
      <c r="N454" s="2">
        <v>49653</v>
      </c>
      <c r="O454" s="2">
        <v>54</v>
      </c>
      <c r="P454" s="2">
        <v>59972</v>
      </c>
      <c r="Q454" s="2">
        <v>741</v>
      </c>
      <c r="R454" s="2">
        <v>78321</v>
      </c>
      <c r="S454" s="2">
        <v>1151312</v>
      </c>
      <c r="T454" s="10">
        <f t="shared" si="24"/>
        <v>880697</v>
      </c>
      <c r="U454" s="8">
        <f t="shared" si="25"/>
        <v>0.76495076920938898</v>
      </c>
      <c r="V454" s="9" t="s">
        <v>5270</v>
      </c>
      <c r="W454" s="9" t="str">
        <f t="shared" si="26"/>
        <v>Benfleet UD</v>
      </c>
      <c r="X454" s="9" t="str">
        <f>INDEX(Lookup!$A$2:$A$1349, MATCH(W454, Lookup!$B$2:$B$1349,0))</f>
        <v>J04000123</v>
      </c>
      <c r="Y454" s="9" t="str">
        <f>INDEX(Lookup!$F$2:$F$1349, MATCH(W454, Lookup!$B$2:$B$1349,0))</f>
        <v>e120310</v>
      </c>
      <c r="Z454" s="6" t="str">
        <f>INDEX(Lookup!$C$2:$C$1300, MATCH(X454, Lookup!$A$2:$A$1300,0))</f>
        <v>Essex</v>
      </c>
    </row>
    <row r="455" spans="1:26" ht="28.15" customHeight="1" x14ac:dyDescent="0.2">
      <c r="A455" s="6" t="s">
        <v>437</v>
      </c>
      <c r="B455" s="1" t="s">
        <v>5367</v>
      </c>
      <c r="C455" s="2">
        <v>6198</v>
      </c>
      <c r="D455" s="2">
        <v>389184</v>
      </c>
      <c r="E455" s="2">
        <v>448</v>
      </c>
      <c r="F455" s="2">
        <v>56590</v>
      </c>
      <c r="G455" s="2">
        <v>34</v>
      </c>
      <c r="H455" s="2">
        <v>9145</v>
      </c>
      <c r="I455" s="2">
        <v>269</v>
      </c>
      <c r="J455" s="2">
        <v>97709</v>
      </c>
      <c r="K455" s="2">
        <v>51</v>
      </c>
      <c r="L455" s="2">
        <v>11969</v>
      </c>
      <c r="M455" s="2">
        <v>903</v>
      </c>
      <c r="N455" s="2">
        <v>40287</v>
      </c>
      <c r="O455" s="2">
        <v>42</v>
      </c>
      <c r="P455" s="2">
        <v>222257</v>
      </c>
      <c r="Q455" s="2">
        <v>4959</v>
      </c>
      <c r="R455" s="2">
        <v>111302</v>
      </c>
      <c r="S455" s="2">
        <v>943402</v>
      </c>
      <c r="T455" s="10">
        <f t="shared" si="24"/>
        <v>454919</v>
      </c>
      <c r="U455" s="8">
        <f t="shared" si="25"/>
        <v>0.48221118886752412</v>
      </c>
      <c r="V455" s="9" t="s">
        <v>5270</v>
      </c>
      <c r="W455" s="9" t="str">
        <f t="shared" si="26"/>
        <v>Braintree and Bocking UD</v>
      </c>
      <c r="X455" s="9" t="str">
        <f>INDEX(Lookup!$A$2:$A$1349, MATCH(W455, Lookup!$B$2:$B$1349,0))</f>
        <v>J04000188</v>
      </c>
      <c r="Y455" s="9" t="str">
        <f>INDEX(Lookup!$F$2:$F$1349, MATCH(W455, Lookup!$B$2:$B$1349,0))</f>
        <v>e120311</v>
      </c>
      <c r="Z455" s="6" t="str">
        <f>INDEX(Lookup!$C$2:$C$1300, MATCH(X455, Lookup!$A$2:$A$1300,0))</f>
        <v>Essex</v>
      </c>
    </row>
    <row r="456" spans="1:26" ht="28.15" customHeight="1" x14ac:dyDescent="0.2">
      <c r="A456" s="6" t="s">
        <v>438</v>
      </c>
      <c r="B456" s="1" t="s">
        <v>438</v>
      </c>
      <c r="C456" s="2">
        <v>11646</v>
      </c>
      <c r="D456" s="2">
        <v>756834</v>
      </c>
      <c r="E456" s="2">
        <v>3372</v>
      </c>
      <c r="F456" s="2">
        <v>430912</v>
      </c>
      <c r="G456" s="2">
        <v>159</v>
      </c>
      <c r="H456" s="2">
        <v>43513</v>
      </c>
      <c r="I456" s="2">
        <v>537</v>
      </c>
      <c r="J456" s="2">
        <v>194517</v>
      </c>
      <c r="K456" s="2">
        <v>96</v>
      </c>
      <c r="L456" s="2">
        <v>14789</v>
      </c>
      <c r="M456" s="2">
        <v>1390</v>
      </c>
      <c r="N456" s="2">
        <v>109764</v>
      </c>
      <c r="O456" s="2">
        <v>48</v>
      </c>
      <c r="P456" s="2">
        <v>229632</v>
      </c>
      <c r="Q456" s="2">
        <v>31976</v>
      </c>
      <c r="R456" s="2">
        <v>203943</v>
      </c>
      <c r="S456" s="2">
        <v>2015880</v>
      </c>
      <c r="T456" s="10">
        <f t="shared" si="24"/>
        <v>1231259</v>
      </c>
      <c r="U456" s="8">
        <f t="shared" si="25"/>
        <v>0.61077990753417866</v>
      </c>
      <c r="V456" s="9" t="s">
        <v>5270</v>
      </c>
      <c r="W456" s="9" t="str">
        <f t="shared" si="26"/>
        <v>Brentwood UD</v>
      </c>
      <c r="X456" s="9" t="str">
        <f>INDEX(Lookup!$A$2:$A$1349, MATCH(W456, Lookup!$B$2:$B$1349,0))</f>
        <v>J04000196</v>
      </c>
      <c r="Y456" s="9" t="str">
        <f>INDEX(Lookup!$F$2:$F$1349, MATCH(W456, Lookup!$B$2:$B$1349,0))</f>
        <v>e120312</v>
      </c>
      <c r="Z456" s="6" t="str">
        <f>INDEX(Lookup!$C$2:$C$1300, MATCH(X456, Lookup!$A$2:$A$1300,0))</f>
        <v>Essex</v>
      </c>
    </row>
    <row r="457" spans="1:26" ht="28.15" customHeight="1" x14ac:dyDescent="0.2">
      <c r="A457" s="6" t="s">
        <v>439</v>
      </c>
      <c r="B457" s="1" t="s">
        <v>439</v>
      </c>
      <c r="C457" s="2">
        <v>1842</v>
      </c>
      <c r="D457" s="2">
        <v>84492</v>
      </c>
      <c r="E457" s="2">
        <v>29</v>
      </c>
      <c r="F457" s="2">
        <v>3248</v>
      </c>
      <c r="G457" s="2">
        <v>1</v>
      </c>
      <c r="H457" s="2">
        <v>347</v>
      </c>
      <c r="I457" s="2">
        <v>105</v>
      </c>
      <c r="J457" s="2">
        <v>9599</v>
      </c>
      <c r="K457" s="2">
        <v>10</v>
      </c>
      <c r="L457" s="2">
        <v>320</v>
      </c>
      <c r="M457" s="2">
        <v>171</v>
      </c>
      <c r="N457" s="2">
        <v>6046</v>
      </c>
      <c r="O457" s="2">
        <v>11</v>
      </c>
      <c r="P457" s="2">
        <v>7535</v>
      </c>
      <c r="Q457" s="2">
        <v>215</v>
      </c>
      <c r="R457" s="2">
        <v>18224</v>
      </c>
      <c r="S457" s="2">
        <v>130026</v>
      </c>
      <c r="T457" s="10">
        <f t="shared" si="24"/>
        <v>88087</v>
      </c>
      <c r="U457" s="8">
        <f t="shared" si="25"/>
        <v>0.67745681632904187</v>
      </c>
      <c r="V457" s="9" t="s">
        <v>5270</v>
      </c>
      <c r="W457" s="9" t="str">
        <f t="shared" si="26"/>
        <v>Brightlingsea UD</v>
      </c>
      <c r="X457" s="9" t="str">
        <f>INDEX(Lookup!$A$2:$A$1349, MATCH(W457, Lookup!$B$2:$B$1349,0))</f>
        <v>J04000211</v>
      </c>
      <c r="Y457" s="9" t="str">
        <f>INDEX(Lookup!$F$2:$F$1349, MATCH(W457, Lookup!$B$2:$B$1349,0))</f>
        <v>e120313</v>
      </c>
      <c r="Z457" s="6" t="str">
        <f>INDEX(Lookup!$C$2:$C$1300, MATCH(X457, Lookup!$A$2:$A$1300,0))</f>
        <v>Essex</v>
      </c>
    </row>
    <row r="458" spans="1:26" ht="28.15" customHeight="1" x14ac:dyDescent="0.2">
      <c r="A458" s="6" t="s">
        <v>440</v>
      </c>
      <c r="B458" s="1" t="s">
        <v>5401</v>
      </c>
      <c r="C458" s="2">
        <v>1326</v>
      </c>
      <c r="D458" s="2">
        <v>68331</v>
      </c>
      <c r="E458" s="2">
        <v>134</v>
      </c>
      <c r="F458" s="2">
        <v>17006</v>
      </c>
      <c r="G458" s="2">
        <v>10</v>
      </c>
      <c r="H458" s="2">
        <v>2420</v>
      </c>
      <c r="I458" s="2">
        <v>88</v>
      </c>
      <c r="J458" s="2">
        <v>13501</v>
      </c>
      <c r="K458" s="2">
        <v>12</v>
      </c>
      <c r="L458" s="2">
        <v>1003</v>
      </c>
      <c r="M458" s="2">
        <v>143</v>
      </c>
      <c r="N458" s="2">
        <v>8900</v>
      </c>
      <c r="O458" s="2">
        <v>12</v>
      </c>
      <c r="P458" s="2">
        <v>7640</v>
      </c>
      <c r="Q458" s="2">
        <v>452</v>
      </c>
      <c r="R458" s="2">
        <v>22144</v>
      </c>
      <c r="S458" s="2">
        <v>141397</v>
      </c>
      <c r="T458" s="10">
        <f t="shared" si="24"/>
        <v>87757</v>
      </c>
      <c r="U458" s="8">
        <f t="shared" si="25"/>
        <v>0.62064258789083215</v>
      </c>
      <c r="V458" s="9" t="s">
        <v>5270</v>
      </c>
      <c r="W458" s="9" t="str">
        <f t="shared" si="26"/>
        <v>Burnham on Crouch UD</v>
      </c>
      <c r="X458" s="9" t="str">
        <f>INDEX(Lookup!$A$2:$A$1349, MATCH(W458, Lookup!$B$2:$B$1349,0))</f>
        <v>J04000237</v>
      </c>
      <c r="Y458" s="9" t="str">
        <f>INDEX(Lookup!$F$2:$F$1349, MATCH(W458, Lookup!$B$2:$B$1349,0))</f>
        <v>e120314</v>
      </c>
      <c r="Z458" s="6" t="str">
        <f>INDEX(Lookup!$C$2:$C$1300, MATCH(X458, Lookup!$A$2:$A$1300,0))</f>
        <v>Essex</v>
      </c>
    </row>
    <row r="459" spans="1:26" ht="28.15" customHeight="1" x14ac:dyDescent="0.2">
      <c r="A459" s="6" t="s">
        <v>441</v>
      </c>
      <c r="B459" s="1" t="s">
        <v>441</v>
      </c>
      <c r="C459" s="2">
        <v>6105</v>
      </c>
      <c r="D459" s="2">
        <v>314157</v>
      </c>
      <c r="E459" s="2">
        <v>58</v>
      </c>
      <c r="F459" s="2">
        <v>6664</v>
      </c>
      <c r="G459" s="2">
        <v>1</v>
      </c>
      <c r="H459" s="2">
        <v>226</v>
      </c>
      <c r="I459" s="2">
        <v>262</v>
      </c>
      <c r="J459" s="2">
        <v>47567</v>
      </c>
      <c r="K459" s="2">
        <v>14</v>
      </c>
      <c r="L459" s="2">
        <v>1978</v>
      </c>
      <c r="M459" s="2">
        <v>224</v>
      </c>
      <c r="N459" s="2">
        <v>21447</v>
      </c>
      <c r="O459" s="2">
        <v>21</v>
      </c>
      <c r="P459" s="2">
        <v>86285</v>
      </c>
      <c r="Q459" s="2">
        <v>1005</v>
      </c>
      <c r="R459" s="2">
        <v>55132</v>
      </c>
      <c r="S459" s="2">
        <v>534461</v>
      </c>
      <c r="T459" s="10">
        <f t="shared" si="24"/>
        <v>321047</v>
      </c>
      <c r="U459" s="8">
        <f t="shared" si="25"/>
        <v>0.60069303466483059</v>
      </c>
      <c r="V459" s="9" t="s">
        <v>5270</v>
      </c>
      <c r="W459" s="9" t="str">
        <f t="shared" si="26"/>
        <v>Canvey Island UD</v>
      </c>
      <c r="X459" s="9" t="str">
        <f>INDEX(Lookup!$A$2:$A$1349, MATCH(W459, Lookup!$B$2:$B$1349,0))</f>
        <v>J04000261</v>
      </c>
      <c r="Y459" s="9" t="str">
        <f>INDEX(Lookup!$F$2:$F$1349, MATCH(W459, Lookup!$B$2:$B$1349,0))</f>
        <v>e120315</v>
      </c>
      <c r="Z459" s="6" t="str">
        <f>INDEX(Lookup!$C$2:$C$1300, MATCH(X459, Lookup!$A$2:$A$1300,0))</f>
        <v>Essex</v>
      </c>
    </row>
    <row r="460" spans="1:26" ht="28.15" customHeight="1" x14ac:dyDescent="0.2">
      <c r="A460" s="6" t="s">
        <v>442</v>
      </c>
      <c r="B460" s="1" t="s">
        <v>442</v>
      </c>
      <c r="C460" s="2">
        <v>11707</v>
      </c>
      <c r="D460" s="2">
        <v>889052</v>
      </c>
      <c r="E460" s="2">
        <v>5388</v>
      </c>
      <c r="F460" s="2">
        <v>745922</v>
      </c>
      <c r="G460" s="2">
        <v>975</v>
      </c>
      <c r="H460" s="2">
        <v>250377</v>
      </c>
      <c r="I460" s="2">
        <v>502</v>
      </c>
      <c r="J460" s="2">
        <v>180478</v>
      </c>
      <c r="K460" s="2">
        <v>65</v>
      </c>
      <c r="L460" s="2">
        <v>32319</v>
      </c>
      <c r="M460" s="2">
        <v>1532</v>
      </c>
      <c r="N460" s="2">
        <v>79891</v>
      </c>
      <c r="O460" s="2">
        <v>39</v>
      </c>
      <c r="P460" s="2">
        <v>412460</v>
      </c>
      <c r="Q460" s="2">
        <v>12436</v>
      </c>
      <c r="R460" s="2">
        <v>300754</v>
      </c>
      <c r="S460" s="2">
        <v>2903689</v>
      </c>
      <c r="T460" s="10">
        <f t="shared" si="24"/>
        <v>1885351</v>
      </c>
      <c r="U460" s="8">
        <f t="shared" si="25"/>
        <v>0.64929508635394495</v>
      </c>
      <c r="V460" s="9" t="s">
        <v>5270</v>
      </c>
      <c r="W460" s="9" t="str">
        <f t="shared" si="26"/>
        <v>Chigwell UD</v>
      </c>
      <c r="X460" s="9" t="str">
        <f>INDEX(Lookup!$A$2:$A$1349, MATCH(W460, Lookup!$B$2:$B$1349,0))</f>
        <v>J04000307</v>
      </c>
      <c r="Y460" s="9" t="str">
        <f>INDEX(Lookup!$F$2:$F$1349, MATCH(W460, Lookup!$B$2:$B$1349,0))</f>
        <v>e120317</v>
      </c>
      <c r="Z460" s="6" t="str">
        <f>INDEX(Lookup!$C$2:$C$1300, MATCH(X460, Lookup!$A$2:$A$1300,0))</f>
        <v>Essex</v>
      </c>
    </row>
    <row r="461" spans="1:26" ht="28.15" customHeight="1" x14ac:dyDescent="0.2">
      <c r="A461" s="6" t="s">
        <v>443</v>
      </c>
      <c r="B461" s="1" t="s">
        <v>443</v>
      </c>
      <c r="C461" s="2">
        <v>10237</v>
      </c>
      <c r="D461" s="2">
        <v>638636</v>
      </c>
      <c r="E461" s="2">
        <v>2070</v>
      </c>
      <c r="F461" s="2">
        <v>249692</v>
      </c>
      <c r="G461" s="2">
        <v>67</v>
      </c>
      <c r="H461" s="2">
        <v>8490</v>
      </c>
      <c r="I461" s="2">
        <v>598</v>
      </c>
      <c r="J461" s="2">
        <v>147733</v>
      </c>
      <c r="K461" s="2">
        <v>83</v>
      </c>
      <c r="L461" s="2">
        <v>10634</v>
      </c>
      <c r="M461" s="2">
        <v>823</v>
      </c>
      <c r="N461" s="2">
        <v>217614</v>
      </c>
      <c r="O461" s="2">
        <v>23</v>
      </c>
      <c r="P461" s="2">
        <v>22840</v>
      </c>
      <c r="Q461" s="2">
        <v>6398</v>
      </c>
      <c r="R461" s="2">
        <v>172678</v>
      </c>
      <c r="S461" s="2">
        <v>1474715</v>
      </c>
      <c r="T461" s="10">
        <f t="shared" si="24"/>
        <v>896818</v>
      </c>
      <c r="U461" s="8">
        <f t="shared" si="25"/>
        <v>0.60812970641785025</v>
      </c>
      <c r="V461" s="9" t="s">
        <v>5270</v>
      </c>
      <c r="W461" s="9" t="str">
        <f t="shared" si="26"/>
        <v>Clacton UD</v>
      </c>
      <c r="X461" s="9" t="str">
        <f>INDEX(Lookup!$A$2:$A$1349, MATCH(W461, Lookup!$B$2:$B$1349,0))</f>
        <v>J04000322</v>
      </c>
      <c r="Y461" s="9" t="str">
        <f>INDEX(Lookup!$F$2:$F$1349, MATCH(W461, Lookup!$B$2:$B$1349,0))</f>
        <v>e120318</v>
      </c>
      <c r="Z461" s="6" t="str">
        <f>INDEX(Lookup!$C$2:$C$1300, MATCH(X461, Lookup!$A$2:$A$1300,0))</f>
        <v>Essex</v>
      </c>
    </row>
    <row r="462" spans="1:26" ht="28.15" customHeight="1" x14ac:dyDescent="0.2">
      <c r="A462" s="6" t="s">
        <v>444</v>
      </c>
      <c r="B462" s="1" t="s">
        <v>444</v>
      </c>
      <c r="C462" s="2">
        <v>2037</v>
      </c>
      <c r="D462" s="2">
        <v>137373</v>
      </c>
      <c r="E462" s="2">
        <v>888</v>
      </c>
      <c r="F462" s="2">
        <v>109880</v>
      </c>
      <c r="G462" s="2">
        <v>36</v>
      </c>
      <c r="H462" s="2">
        <v>9029</v>
      </c>
      <c r="I462" s="2">
        <v>124</v>
      </c>
      <c r="J462" s="2">
        <v>68401</v>
      </c>
      <c r="K462" s="2">
        <v>26</v>
      </c>
      <c r="L462" s="2">
        <v>5949</v>
      </c>
      <c r="M462" s="2">
        <v>308</v>
      </c>
      <c r="N462" s="2">
        <v>31798</v>
      </c>
      <c r="O462" s="2">
        <v>16</v>
      </c>
      <c r="P462" s="2">
        <v>40590</v>
      </c>
      <c r="Q462" s="2">
        <v>7128</v>
      </c>
      <c r="R462" s="2">
        <v>30576</v>
      </c>
      <c r="S462" s="2">
        <v>440724</v>
      </c>
      <c r="T462" s="10">
        <f t="shared" si="24"/>
        <v>256282</v>
      </c>
      <c r="U462" s="8">
        <f t="shared" si="25"/>
        <v>0.58150225537978417</v>
      </c>
      <c r="V462" s="9" t="s">
        <v>5270</v>
      </c>
      <c r="W462" s="9" t="str">
        <f t="shared" si="26"/>
        <v>Epping UD</v>
      </c>
      <c r="X462" s="9" t="str">
        <f>INDEX(Lookup!$A$2:$A$1349, MATCH(W462, Lookup!$B$2:$B$1349,0))</f>
        <v>J04000476</v>
      </c>
      <c r="Y462" s="9" t="str">
        <f>INDEX(Lookup!$F$2:$F$1349, MATCH(W462, Lookup!$B$2:$B$1349,0))</f>
        <v>e120320</v>
      </c>
      <c r="Z462" s="6" t="str">
        <f>INDEX(Lookup!$C$2:$C$1300, MATCH(X462, Lookup!$A$2:$A$1300,0))</f>
        <v>Essex</v>
      </c>
    </row>
    <row r="463" spans="1:26" ht="28.15" customHeight="1" x14ac:dyDescent="0.2">
      <c r="A463" s="6" t="s">
        <v>445</v>
      </c>
      <c r="B463" s="1" t="s">
        <v>5368</v>
      </c>
      <c r="C463" s="2">
        <v>3334</v>
      </c>
      <c r="D463" s="2">
        <v>197680</v>
      </c>
      <c r="E463" s="2">
        <v>1021</v>
      </c>
      <c r="F463" s="2">
        <v>132490</v>
      </c>
      <c r="G463" s="2">
        <v>136</v>
      </c>
      <c r="H463" s="2">
        <v>33492</v>
      </c>
      <c r="I463" s="2">
        <v>264</v>
      </c>
      <c r="J463" s="2">
        <v>47383</v>
      </c>
      <c r="K463" s="2">
        <v>22</v>
      </c>
      <c r="L463" s="2">
        <v>3310</v>
      </c>
      <c r="M463" s="2">
        <v>315</v>
      </c>
      <c r="N463" s="2">
        <v>45544</v>
      </c>
      <c r="O463" s="2">
        <v>7</v>
      </c>
      <c r="P463" s="2">
        <v>3709</v>
      </c>
      <c r="Q463" s="2">
        <v>764</v>
      </c>
      <c r="R463" s="2">
        <v>42503</v>
      </c>
      <c r="S463" s="2">
        <v>506875</v>
      </c>
      <c r="T463" s="10">
        <f t="shared" si="24"/>
        <v>363662</v>
      </c>
      <c r="U463" s="8">
        <f t="shared" si="25"/>
        <v>0.71745893958076445</v>
      </c>
      <c r="V463" s="9" t="s">
        <v>5270</v>
      </c>
      <c r="W463" s="9" t="str">
        <f t="shared" si="26"/>
        <v>Frinton and Walton UD</v>
      </c>
      <c r="X463" s="9" t="str">
        <f>INDEX(Lookup!$A$2:$A$1349, MATCH(W463, Lookup!$B$2:$B$1349,0))</f>
        <v>J04000518</v>
      </c>
      <c r="Y463" s="9" t="str">
        <f>INDEX(Lookup!$F$2:$F$1349, MATCH(W463, Lookup!$B$2:$B$1349,0))</f>
        <v>e120321</v>
      </c>
      <c r="Z463" s="6" t="str">
        <f>INDEX(Lookup!$C$2:$C$1300, MATCH(X463, Lookup!$A$2:$A$1300,0))</f>
        <v>Essex</v>
      </c>
    </row>
    <row r="464" spans="1:26" ht="28.15" customHeight="1" x14ac:dyDescent="0.2">
      <c r="A464" s="6" t="s">
        <v>446</v>
      </c>
      <c r="B464" s="1" t="s">
        <v>446</v>
      </c>
      <c r="C464" s="2">
        <v>2280</v>
      </c>
      <c r="D464" s="2">
        <v>100581</v>
      </c>
      <c r="E464" s="2">
        <v>53</v>
      </c>
      <c r="F464" s="2">
        <v>6570</v>
      </c>
      <c r="G464" s="2">
        <v>1</v>
      </c>
      <c r="H464" s="2">
        <v>226</v>
      </c>
      <c r="I464" s="2">
        <v>120</v>
      </c>
      <c r="J464" s="2">
        <v>18376</v>
      </c>
      <c r="K464" s="2">
        <v>14</v>
      </c>
      <c r="L464" s="2">
        <v>1109</v>
      </c>
      <c r="M464" s="2">
        <v>360</v>
      </c>
      <c r="N464" s="2">
        <v>9596</v>
      </c>
      <c r="O464" s="2">
        <v>23</v>
      </c>
      <c r="P464" s="2">
        <v>41692</v>
      </c>
      <c r="Q464" s="2">
        <v>901</v>
      </c>
      <c r="R464" s="2">
        <v>16052</v>
      </c>
      <c r="S464" s="2">
        <v>195103</v>
      </c>
      <c r="T464" s="10">
        <f t="shared" si="24"/>
        <v>107377</v>
      </c>
      <c r="U464" s="8">
        <f t="shared" si="25"/>
        <v>0.55036057877121314</v>
      </c>
      <c r="V464" s="9" t="s">
        <v>5270</v>
      </c>
      <c r="W464" s="9" t="str">
        <f t="shared" si="26"/>
        <v>Halstead UD</v>
      </c>
      <c r="X464" s="9" t="str">
        <f>INDEX(Lookup!$A$2:$A$1349, MATCH(W464, Lookup!$B$2:$B$1349,0))</f>
        <v>J04000568</v>
      </c>
      <c r="Y464" s="9" t="str">
        <f>INDEX(Lookup!$F$2:$F$1349, MATCH(W464, Lookup!$B$2:$B$1349,0))</f>
        <v>e120322</v>
      </c>
      <c r="Z464" s="6" t="str">
        <f>INDEX(Lookup!$C$2:$C$1300, MATCH(X464, Lookup!$A$2:$A$1300,0))</f>
        <v>Essex</v>
      </c>
    </row>
    <row r="465" spans="1:26" ht="28.15" customHeight="1" x14ac:dyDescent="0.2">
      <c r="A465" s="6" t="s">
        <v>447</v>
      </c>
      <c r="B465" s="1" t="s">
        <v>447</v>
      </c>
      <c r="C465" s="2">
        <v>15259</v>
      </c>
      <c r="D465" s="2">
        <v>1168172</v>
      </c>
      <c r="E465" s="2">
        <v>2028</v>
      </c>
      <c r="F465" s="2">
        <v>240669</v>
      </c>
      <c r="G465" s="2">
        <v>25</v>
      </c>
      <c r="H465" s="2">
        <v>5722</v>
      </c>
      <c r="I465" s="2">
        <v>353</v>
      </c>
      <c r="J465" s="2">
        <v>216045</v>
      </c>
      <c r="K465" s="2">
        <v>104</v>
      </c>
      <c r="L465" s="2">
        <v>90556</v>
      </c>
      <c r="M465" s="2">
        <v>4698</v>
      </c>
      <c r="N465" s="2">
        <v>180257</v>
      </c>
      <c r="O465" s="2">
        <v>87</v>
      </c>
      <c r="P465" s="2">
        <v>888270</v>
      </c>
      <c r="Q465" s="2">
        <v>18989</v>
      </c>
      <c r="R465" s="2">
        <v>303443</v>
      </c>
      <c r="S465" s="2">
        <v>3112123</v>
      </c>
      <c r="T465" s="10">
        <f t="shared" si="24"/>
        <v>1414563</v>
      </c>
      <c r="U465" s="8">
        <f t="shared" si="25"/>
        <v>0.45453312738603197</v>
      </c>
      <c r="V465" s="9" t="s">
        <v>5270</v>
      </c>
      <c r="W465" s="9" t="str">
        <f t="shared" si="26"/>
        <v>Harlow UD</v>
      </c>
      <c r="X465" s="9" t="str">
        <f>INDEX(Lookup!$A$2:$A$1349, MATCH(W465, Lookup!$B$2:$B$1349,0))</f>
        <v>J04000574</v>
      </c>
      <c r="Y465" s="9" t="str">
        <f>INDEX(Lookup!$F$2:$F$1349, MATCH(W465, Lookup!$B$2:$B$1349,0))</f>
        <v>e120323</v>
      </c>
      <c r="Z465" s="6" t="str">
        <f>INDEX(Lookup!$C$2:$C$1300, MATCH(X465, Lookup!$A$2:$A$1300,0))</f>
        <v>Essex</v>
      </c>
    </row>
    <row r="466" spans="1:26" ht="28.15" customHeight="1" x14ac:dyDescent="0.2">
      <c r="A466" s="6" t="s">
        <v>448</v>
      </c>
      <c r="B466" s="1" t="s">
        <v>448</v>
      </c>
      <c r="C466" s="2">
        <v>29968</v>
      </c>
      <c r="D466" s="2">
        <v>2404657</v>
      </c>
      <c r="E466" s="2">
        <v>10652</v>
      </c>
      <c r="F466" s="2">
        <v>1266434</v>
      </c>
      <c r="G466" s="2">
        <v>186</v>
      </c>
      <c r="H466" s="2">
        <v>43780</v>
      </c>
      <c r="I466" s="2">
        <v>1192</v>
      </c>
      <c r="J466" s="2">
        <v>493621</v>
      </c>
      <c r="K466" s="2">
        <v>134</v>
      </c>
      <c r="L466" s="2">
        <v>43394</v>
      </c>
      <c r="M466" s="2">
        <v>1901</v>
      </c>
      <c r="N466" s="2">
        <v>258726</v>
      </c>
      <c r="O466" s="2">
        <v>184</v>
      </c>
      <c r="P466" s="2">
        <v>940370</v>
      </c>
      <c r="Q466" s="2">
        <v>33934</v>
      </c>
      <c r="R466" s="2">
        <v>611882</v>
      </c>
      <c r="S466" s="2">
        <v>6096798</v>
      </c>
      <c r="T466" s="10">
        <f t="shared" si="24"/>
        <v>3714871</v>
      </c>
      <c r="U466" s="8">
        <f t="shared" si="25"/>
        <v>0.60931508637812837</v>
      </c>
      <c r="V466" s="9" t="s">
        <v>5270</v>
      </c>
      <c r="W466" s="9" t="str">
        <f t="shared" si="26"/>
        <v>Hornchurch UD</v>
      </c>
      <c r="X466" s="9" t="str">
        <f>INDEX(Lookup!$A$2:$A$1349, MATCH(W466, Lookup!$B$2:$B$1349,0))</f>
        <v>J04000644</v>
      </c>
      <c r="Y466" s="9" t="str">
        <f>INDEX(Lookup!$F$2:$F$1349, MATCH(W466, Lookup!$B$2:$B$1349,0))</f>
        <v>e140387</v>
      </c>
      <c r="Z466" s="6" t="str">
        <f>INDEX(Lookup!$C$2:$C$1300, MATCH(X466, Lookup!$A$2:$A$1300,0))</f>
        <v>Outer London</v>
      </c>
    </row>
    <row r="467" spans="1:26" ht="28.15" customHeight="1" x14ac:dyDescent="0.2">
      <c r="A467" s="6" t="s">
        <v>449</v>
      </c>
      <c r="B467" s="1" t="s">
        <v>449</v>
      </c>
      <c r="C467" s="2">
        <v>5679</v>
      </c>
      <c r="D467" s="2">
        <v>426874</v>
      </c>
      <c r="E467" s="2">
        <v>878</v>
      </c>
      <c r="F467" s="2">
        <v>100257</v>
      </c>
      <c r="G467" s="2">
        <v>3</v>
      </c>
      <c r="H467" s="2">
        <v>758</v>
      </c>
      <c r="I467" s="2">
        <v>176</v>
      </c>
      <c r="J467" s="2">
        <v>58356</v>
      </c>
      <c r="K467" s="2">
        <v>27</v>
      </c>
      <c r="L467" s="2">
        <v>4750</v>
      </c>
      <c r="M467" s="2">
        <v>219</v>
      </c>
      <c r="N467" s="2">
        <v>21639</v>
      </c>
      <c r="O467" s="2">
        <v>38</v>
      </c>
      <c r="P467" s="2">
        <v>50020</v>
      </c>
      <c r="Q467" s="2">
        <v>5497</v>
      </c>
      <c r="R467" s="2">
        <v>63290</v>
      </c>
      <c r="S467" s="2">
        <v>731441</v>
      </c>
      <c r="T467" s="10">
        <f t="shared" si="24"/>
        <v>527889</v>
      </c>
      <c r="U467" s="8">
        <f t="shared" si="25"/>
        <v>0.7217109787392284</v>
      </c>
      <c r="V467" s="9" t="s">
        <v>5270</v>
      </c>
      <c r="W467" s="9" t="str">
        <f t="shared" si="26"/>
        <v>Rayleigh UD</v>
      </c>
      <c r="X467" s="9" t="str">
        <f>INDEX(Lookup!$A$2:$A$1349, MATCH(W467, Lookup!$B$2:$B$1349,0))</f>
        <v>J04001035</v>
      </c>
      <c r="Y467" s="9" t="str">
        <f>INDEX(Lookup!$F$2:$F$1349, MATCH(W467, Lookup!$B$2:$B$1349,0))</f>
        <v>e120327</v>
      </c>
      <c r="Z467" s="6" t="str">
        <f>INDEX(Lookup!$C$2:$C$1300, MATCH(X467, Lookup!$A$2:$A$1300,0))</f>
        <v>Essex</v>
      </c>
    </row>
    <row r="468" spans="1:26" ht="28.15" customHeight="1" x14ac:dyDescent="0.2">
      <c r="A468" s="6" t="s">
        <v>450</v>
      </c>
      <c r="B468" s="1" t="s">
        <v>450</v>
      </c>
      <c r="C468" s="2">
        <v>31274</v>
      </c>
      <c r="D468" s="2">
        <v>1772078</v>
      </c>
      <c r="E468" s="2">
        <v>754</v>
      </c>
      <c r="F468" s="2">
        <v>87488</v>
      </c>
      <c r="G468" s="2">
        <v>9</v>
      </c>
      <c r="H468" s="2">
        <v>2343</v>
      </c>
      <c r="I468" s="2">
        <v>978</v>
      </c>
      <c r="J468" s="2">
        <v>305590</v>
      </c>
      <c r="K468" s="2">
        <v>124</v>
      </c>
      <c r="L468" s="2">
        <v>40327</v>
      </c>
      <c r="M468" s="2">
        <v>2360</v>
      </c>
      <c r="N468" s="2">
        <v>524125</v>
      </c>
      <c r="O468" s="2">
        <v>128</v>
      </c>
      <c r="P468" s="2">
        <v>2958070</v>
      </c>
      <c r="Q468" s="2">
        <v>29982</v>
      </c>
      <c r="R468" s="2">
        <v>946169</v>
      </c>
      <c r="S468" s="2">
        <v>6666172</v>
      </c>
      <c r="T468" s="10">
        <f t="shared" si="24"/>
        <v>1861909</v>
      </c>
      <c r="U468" s="8">
        <f t="shared" si="25"/>
        <v>0.2793070745849342</v>
      </c>
      <c r="V468" s="9" t="s">
        <v>5270</v>
      </c>
      <c r="W468" s="9" t="str">
        <f t="shared" si="26"/>
        <v>Thurrock UD</v>
      </c>
      <c r="X468" s="9" t="str">
        <f>INDEX(Lookup!$A$2:$A$1349, MATCH(W468, Lookup!$B$2:$B$1349,0))</f>
        <v>J04001275</v>
      </c>
      <c r="Y468" s="9" t="str">
        <f>INDEX(Lookup!$F$2:$F$1349, MATCH(W468, Lookup!$B$2:$B$1349,0))</f>
        <v>e120329</v>
      </c>
      <c r="Z468" s="6" t="str">
        <f>INDEX(Lookup!$C$2:$C$1300, MATCH(X468, Lookup!$A$2:$A$1300,0))</f>
        <v>Essex</v>
      </c>
    </row>
    <row r="469" spans="1:26" ht="28.15" customHeight="1" x14ac:dyDescent="0.2">
      <c r="A469" s="6" t="s">
        <v>451</v>
      </c>
      <c r="B469" s="1" t="s">
        <v>451</v>
      </c>
      <c r="C469" s="2">
        <v>2277</v>
      </c>
      <c r="D469" s="2">
        <v>162344</v>
      </c>
      <c r="E469" s="2">
        <v>762</v>
      </c>
      <c r="F469" s="2">
        <v>89496</v>
      </c>
      <c r="G469" s="2">
        <v>57</v>
      </c>
      <c r="H469" s="2">
        <v>15539</v>
      </c>
      <c r="I469" s="2">
        <v>125</v>
      </c>
      <c r="J469" s="2">
        <v>23974</v>
      </c>
      <c r="K469" s="2">
        <v>12</v>
      </c>
      <c r="L469" s="2">
        <v>2286</v>
      </c>
      <c r="M469" s="2">
        <v>310</v>
      </c>
      <c r="N469" s="2">
        <v>41034</v>
      </c>
      <c r="O469" s="2">
        <v>43</v>
      </c>
      <c r="P469" s="2">
        <v>123560</v>
      </c>
      <c r="Q469" s="2">
        <v>39462</v>
      </c>
      <c r="R469" s="2">
        <v>127302</v>
      </c>
      <c r="S469" s="2">
        <v>624997</v>
      </c>
      <c r="T469" s="10">
        <f t="shared" si="24"/>
        <v>267379</v>
      </c>
      <c r="U469" s="8">
        <f t="shared" si="25"/>
        <v>0.42780845348057672</v>
      </c>
      <c r="V469" s="9" t="s">
        <v>5270</v>
      </c>
      <c r="W469" s="9" t="str">
        <f t="shared" si="26"/>
        <v>Waltham Holy Cross UD</v>
      </c>
      <c r="X469" s="9" t="str">
        <f>INDEX(Lookup!$A$2:$A$1349, MATCH(W469, Lookup!$B$2:$B$1349,0))</f>
        <v>J04001330</v>
      </c>
      <c r="Y469" s="9" t="str">
        <f>INDEX(Lookup!$F$2:$F$1349, MATCH(W469, Lookup!$B$2:$B$1349,0))</f>
        <v>e120331</v>
      </c>
      <c r="Z469" s="6" t="str">
        <f>INDEX(Lookup!$C$2:$C$1300, MATCH(X469, Lookup!$A$2:$A$1300,0))</f>
        <v>Essex</v>
      </c>
    </row>
    <row r="470" spans="1:26" ht="28.15" customHeight="1" x14ac:dyDescent="0.2">
      <c r="A470" s="6" t="s">
        <v>452</v>
      </c>
      <c r="B470" s="1" t="s">
        <v>5321</v>
      </c>
      <c r="C470" s="2">
        <v>1121</v>
      </c>
      <c r="D470" s="2">
        <v>63443</v>
      </c>
      <c r="E470" s="2">
        <v>205</v>
      </c>
      <c r="F470" s="2">
        <v>25094</v>
      </c>
      <c r="G470" s="2">
        <v>3</v>
      </c>
      <c r="H470" s="2">
        <v>614</v>
      </c>
      <c r="I470" s="2">
        <v>64</v>
      </c>
      <c r="J470" s="2">
        <v>6503</v>
      </c>
      <c r="K470" s="2">
        <v>4</v>
      </c>
      <c r="L470" s="2">
        <v>340</v>
      </c>
      <c r="M470" s="2">
        <v>84</v>
      </c>
      <c r="N470" s="2">
        <v>10330</v>
      </c>
      <c r="O470" s="2">
        <v>1</v>
      </c>
      <c r="P470" s="2">
        <v>375</v>
      </c>
      <c r="Q470" s="2">
        <v>42</v>
      </c>
      <c r="R470" s="2">
        <v>9173</v>
      </c>
      <c r="S470" s="2">
        <v>115914</v>
      </c>
      <c r="T470" s="10">
        <f t="shared" si="24"/>
        <v>89151</v>
      </c>
      <c r="U470" s="8">
        <f t="shared" si="25"/>
        <v>0.76911330814224343</v>
      </c>
      <c r="V470" s="9" t="s">
        <v>5270</v>
      </c>
      <c r="W470" s="9" t="str">
        <f t="shared" si="26"/>
        <v>West Mersea UD</v>
      </c>
      <c r="X470" s="9" t="str">
        <f>INDEX(Lookup!$A$2:$A$1349, MATCH(W470, Lookup!$B$2:$B$1349,0))</f>
        <v>J04001387</v>
      </c>
      <c r="Y470" s="9" t="str">
        <f>INDEX(Lookup!$F$2:$F$1349, MATCH(W470, Lookup!$B$2:$B$1349,0))</f>
        <v>e120332</v>
      </c>
      <c r="Z470" s="6" t="str">
        <f>INDEX(Lookup!$C$2:$C$1300, MATCH(X470, Lookup!$A$2:$A$1300,0))</f>
        <v>Essex</v>
      </c>
    </row>
    <row r="471" spans="1:26" ht="28.15" customHeight="1" x14ac:dyDescent="0.2">
      <c r="A471" s="6" t="s">
        <v>453</v>
      </c>
      <c r="B471" s="1" t="s">
        <v>453</v>
      </c>
      <c r="C471" s="2">
        <v>2749</v>
      </c>
      <c r="D471" s="2">
        <v>163233</v>
      </c>
      <c r="E471" s="2">
        <v>182</v>
      </c>
      <c r="F471" s="2">
        <v>22684</v>
      </c>
      <c r="G471" s="2">
        <v>12</v>
      </c>
      <c r="H471" s="2">
        <v>2204</v>
      </c>
      <c r="I471" s="2">
        <v>125</v>
      </c>
      <c r="J471" s="2">
        <v>29702</v>
      </c>
      <c r="K471" s="2">
        <v>35</v>
      </c>
      <c r="L471" s="2">
        <v>6930</v>
      </c>
      <c r="M471" s="2">
        <v>357</v>
      </c>
      <c r="N471" s="2">
        <v>19916</v>
      </c>
      <c r="O471" s="2">
        <v>28</v>
      </c>
      <c r="P471" s="2">
        <v>151056</v>
      </c>
      <c r="Q471" s="2">
        <v>3439</v>
      </c>
      <c r="R471" s="2">
        <v>37548</v>
      </c>
      <c r="S471" s="2">
        <v>436712</v>
      </c>
      <c r="T471" s="10">
        <f t="shared" si="24"/>
        <v>188121</v>
      </c>
      <c r="U471" s="8">
        <f t="shared" si="25"/>
        <v>0.43076672956090056</v>
      </c>
      <c r="V471" s="9" t="s">
        <v>5270</v>
      </c>
      <c r="W471" s="9" t="str">
        <f t="shared" si="26"/>
        <v>Witham UD</v>
      </c>
      <c r="X471" s="9" t="str">
        <f>INDEX(Lookup!$A$2:$A$1349, MATCH(W471, Lookup!$B$2:$B$1349,0))</f>
        <v>J04001433</v>
      </c>
      <c r="Y471" s="9" t="str">
        <f>INDEX(Lookup!$F$2:$F$1349, MATCH(W471, Lookup!$B$2:$B$1349,0))</f>
        <v>e120333</v>
      </c>
      <c r="Z471" s="6" t="str">
        <f>INDEX(Lookup!$C$2:$C$1300, MATCH(X471, Lookup!$A$2:$A$1300,0))</f>
        <v>Essex</v>
      </c>
    </row>
    <row r="472" spans="1:26" ht="28.15" customHeight="1" x14ac:dyDescent="0.2">
      <c r="A472" s="6" t="s">
        <v>454</v>
      </c>
      <c r="B472" s="1" t="s">
        <v>454</v>
      </c>
      <c r="C472" s="2">
        <v>1130</v>
      </c>
      <c r="D472" s="2">
        <v>55075</v>
      </c>
      <c r="E472" s="2">
        <v>20</v>
      </c>
      <c r="F472" s="2">
        <v>2388</v>
      </c>
      <c r="G472" s="2">
        <v>1</v>
      </c>
      <c r="H472" s="2">
        <v>388</v>
      </c>
      <c r="I472" s="2">
        <v>35</v>
      </c>
      <c r="J472" s="2">
        <v>2627</v>
      </c>
      <c r="K472" s="2">
        <v>3</v>
      </c>
      <c r="L472" s="2">
        <v>125</v>
      </c>
      <c r="M472" s="2">
        <v>101</v>
      </c>
      <c r="N472" s="2">
        <v>2890</v>
      </c>
      <c r="O472" s="2">
        <v>8</v>
      </c>
      <c r="P472" s="2">
        <v>5590</v>
      </c>
      <c r="Q472" s="2">
        <v>30</v>
      </c>
      <c r="R472" s="2">
        <v>3520</v>
      </c>
      <c r="S472" s="2">
        <v>72633</v>
      </c>
      <c r="T472" s="10">
        <f t="shared" si="24"/>
        <v>57851</v>
      </c>
      <c r="U472" s="8">
        <f t="shared" si="25"/>
        <v>0.79648369198573654</v>
      </c>
      <c r="V472" s="9" t="s">
        <v>5270</v>
      </c>
      <c r="W472" s="9" t="str">
        <f t="shared" si="26"/>
        <v>Wivenhoe UD</v>
      </c>
      <c r="X472" s="9" t="str">
        <f>INDEX(Lookup!$A$2:$A$1349, MATCH(W472, Lookup!$B$2:$B$1349,0))</f>
        <v>J04001438</v>
      </c>
      <c r="Y472" s="9" t="str">
        <f>INDEX(Lookup!$F$2:$F$1349, MATCH(W472, Lookup!$B$2:$B$1349,0))</f>
        <v>e120334</v>
      </c>
      <c r="Z472" s="6" t="str">
        <f>INDEX(Lookup!$C$2:$C$1300, MATCH(X472, Lookup!$A$2:$A$1300,0))</f>
        <v>Essex</v>
      </c>
    </row>
    <row r="473" spans="1:26" ht="28.15" customHeight="1" x14ac:dyDescent="0.2">
      <c r="A473" s="6" t="s">
        <v>455</v>
      </c>
      <c r="B473" s="1" t="s">
        <v>455</v>
      </c>
      <c r="T473" s="10"/>
      <c r="W473" s="9" t="str">
        <f t="shared" si="26"/>
        <v xml:space="preserve">ESSEX--contd: </v>
      </c>
      <c r="X473" s="9" t="e">
        <f>INDEX(Lookup!$A$2:$A$1349, MATCH(W473, Lookup!$B$2:$B$1349,0))</f>
        <v>#N/A</v>
      </c>
      <c r="Y473" s="9" t="e">
        <f>INDEX(Lookup!$F$2:$F$1349, MATCH(W473, Lookup!$B$2:$B$1349,0))</f>
        <v>#N/A</v>
      </c>
      <c r="Z473" s="6" t="e">
        <f>INDEX(Lookup!$C$2:$C$1300, MATCH(X473, Lookup!$A$2:$A$1300,0))</f>
        <v>#N/A</v>
      </c>
    </row>
    <row r="474" spans="1:26" ht="28.15" customHeight="1" x14ac:dyDescent="0.2">
      <c r="A474" s="6" t="s">
        <v>185</v>
      </c>
      <c r="B474" s="1" t="s">
        <v>185</v>
      </c>
      <c r="T474" s="10"/>
      <c r="W474" s="9" t="str">
        <f t="shared" si="26"/>
        <v xml:space="preserve">Rural District </v>
      </c>
      <c r="X474" s="9" t="e">
        <f>INDEX(Lookup!$A$2:$A$1349, MATCH(W474, Lookup!$B$2:$B$1349,0))</f>
        <v>#N/A</v>
      </c>
      <c r="Y474" s="9" t="e">
        <f>INDEX(Lookup!$F$2:$F$1349, MATCH(W474, Lookup!$B$2:$B$1349,0))</f>
        <v>#N/A</v>
      </c>
      <c r="Z474" s="6" t="e">
        <f>INDEX(Lookup!$C$2:$C$1300, MATCH(X474, Lookup!$A$2:$A$1300,0))</f>
        <v>#N/A</v>
      </c>
    </row>
    <row r="475" spans="1:26" ht="28.15" customHeight="1" x14ac:dyDescent="0.2">
      <c r="A475" s="6" t="s">
        <v>456</v>
      </c>
      <c r="B475" s="1" t="s">
        <v>456</v>
      </c>
      <c r="C475" s="2">
        <v>5564</v>
      </c>
      <c r="D475" s="2">
        <v>283579</v>
      </c>
      <c r="E475" s="2">
        <v>310</v>
      </c>
      <c r="F475" s="2">
        <v>39670</v>
      </c>
      <c r="G475" s="2">
        <v>52</v>
      </c>
      <c r="H475" s="2">
        <v>15602</v>
      </c>
      <c r="I475" s="2">
        <v>191</v>
      </c>
      <c r="J475" s="2">
        <v>25856</v>
      </c>
      <c r="K475" s="2">
        <v>15</v>
      </c>
      <c r="L475" s="2">
        <v>2008</v>
      </c>
      <c r="M475" s="2">
        <v>385</v>
      </c>
      <c r="N475" s="2">
        <v>31066</v>
      </c>
      <c r="O475" s="2">
        <v>21</v>
      </c>
      <c r="P475" s="2">
        <v>28786</v>
      </c>
      <c r="Q475" s="2">
        <v>39042</v>
      </c>
      <c r="R475" s="2">
        <v>86996</v>
      </c>
      <c r="S475" s="2">
        <v>552605</v>
      </c>
      <c r="T475" s="10">
        <f t="shared" si="24"/>
        <v>338851</v>
      </c>
      <c r="U475" s="8">
        <f t="shared" si="25"/>
        <v>0.61318844382515536</v>
      </c>
      <c r="V475" s="9" t="s">
        <v>5271</v>
      </c>
      <c r="W475" s="9" t="str">
        <f t="shared" si="26"/>
        <v>Braintree RD</v>
      </c>
      <c r="X475" s="9" t="str">
        <f>INDEX(Lookup!$A$2:$A$1349, MATCH(W475, Lookup!$B$2:$B$1349,0))</f>
        <v>J04000189</v>
      </c>
      <c r="Y475" s="9" t="str">
        <f>INDEX(Lookup!$F$2:$F$1349, MATCH(W475, Lookup!$B$2:$B$1349,0))</f>
        <v>e120335</v>
      </c>
      <c r="Z475" s="6" t="str">
        <f>INDEX(Lookup!$C$2:$C$1300, MATCH(X475, Lookup!$A$2:$A$1300,0))</f>
        <v>Essex</v>
      </c>
    </row>
    <row r="476" spans="1:26" ht="28.15" customHeight="1" x14ac:dyDescent="0.2">
      <c r="A476" s="6" t="s">
        <v>423</v>
      </c>
      <c r="B476" s="1" t="s">
        <v>423</v>
      </c>
      <c r="C476" s="2">
        <v>12558</v>
      </c>
      <c r="D476" s="2">
        <v>733659</v>
      </c>
      <c r="E476" s="2">
        <v>1738</v>
      </c>
      <c r="F476" s="2">
        <v>217423</v>
      </c>
      <c r="G476" s="2">
        <v>126</v>
      </c>
      <c r="H476" s="2">
        <v>34313</v>
      </c>
      <c r="I476" s="2">
        <v>284</v>
      </c>
      <c r="J476" s="2">
        <v>40887</v>
      </c>
      <c r="K476" s="2">
        <v>24</v>
      </c>
      <c r="L476" s="2">
        <v>6925</v>
      </c>
      <c r="M476" s="2">
        <v>1214</v>
      </c>
      <c r="N476" s="2">
        <v>65272</v>
      </c>
      <c r="O476" s="2">
        <v>59</v>
      </c>
      <c r="P476" s="2">
        <v>68818</v>
      </c>
      <c r="Q476" s="2">
        <v>2330</v>
      </c>
      <c r="R476" s="2">
        <v>1589062</v>
      </c>
      <c r="S476" s="2">
        <v>1589062</v>
      </c>
      <c r="T476" s="10">
        <f t="shared" si="24"/>
        <v>985395</v>
      </c>
      <c r="U476" s="8">
        <f t="shared" si="25"/>
        <v>0.62011110957281712</v>
      </c>
      <c r="V476" s="9" t="s">
        <v>5271</v>
      </c>
      <c r="W476" s="9" t="str">
        <f t="shared" si="26"/>
        <v>Chelmsford RD</v>
      </c>
      <c r="X476" s="9" t="str">
        <f>INDEX(Lookup!$A$2:$A$1349, MATCH(W476, Lookup!$B$2:$B$1349,0))</f>
        <v>J04000289</v>
      </c>
      <c r="Y476" s="9" t="str">
        <f>INDEX(Lookup!$F$2:$F$1349, MATCH(W476, Lookup!$B$2:$B$1349,0))</f>
        <v>e120336</v>
      </c>
      <c r="Z476" s="6" t="str">
        <f>INDEX(Lookup!$C$2:$C$1300, MATCH(X476, Lookup!$A$2:$A$1300,0))</f>
        <v>Essex</v>
      </c>
    </row>
    <row r="477" spans="1:26" ht="28.15" customHeight="1" x14ac:dyDescent="0.2">
      <c r="A477" s="6" t="s">
        <v>457</v>
      </c>
      <c r="B477" s="1" t="s">
        <v>457</v>
      </c>
      <c r="C477" s="2">
        <v>5034</v>
      </c>
      <c r="D477" s="2">
        <v>267024</v>
      </c>
      <c r="E477" s="2">
        <v>659</v>
      </c>
      <c r="F477" s="2">
        <v>83530</v>
      </c>
      <c r="G477" s="2">
        <v>63</v>
      </c>
      <c r="H477" s="2">
        <v>16461</v>
      </c>
      <c r="I477" s="2">
        <v>194</v>
      </c>
      <c r="J477" s="2">
        <v>43660</v>
      </c>
      <c r="K477" s="2">
        <v>30</v>
      </c>
      <c r="L477" s="2">
        <v>4113</v>
      </c>
      <c r="M477" s="2">
        <v>349</v>
      </c>
      <c r="N477" s="2">
        <v>47508</v>
      </c>
      <c r="O477" s="2">
        <v>33</v>
      </c>
      <c r="P477" s="2">
        <v>83930</v>
      </c>
      <c r="Q477" s="2">
        <v>2498</v>
      </c>
      <c r="R477" s="2">
        <v>671337</v>
      </c>
      <c r="S477" s="2">
        <v>671337</v>
      </c>
      <c r="T477" s="10">
        <f t="shared" si="24"/>
        <v>367015</v>
      </c>
      <c r="U477" s="8">
        <f t="shared" si="25"/>
        <v>0.54669264467771028</v>
      </c>
      <c r="V477" s="9" t="s">
        <v>5271</v>
      </c>
      <c r="W477" s="9" t="str">
        <f t="shared" si="26"/>
        <v>Dunmow RD</v>
      </c>
      <c r="X477" s="9" t="str">
        <f>INDEX(Lookup!$A$2:$A$1349, MATCH(W477, Lookup!$B$2:$B$1349,0))</f>
        <v>J04000436</v>
      </c>
      <c r="Y477" s="9" t="str">
        <f>INDEX(Lookup!$F$2:$F$1349, MATCH(W477, Lookup!$B$2:$B$1349,0))</f>
        <v>e120337</v>
      </c>
      <c r="Z477" s="6" t="str">
        <f>INDEX(Lookup!$C$2:$C$1300, MATCH(X477, Lookup!$A$2:$A$1300,0))</f>
        <v>Essex</v>
      </c>
    </row>
    <row r="478" spans="1:26" ht="28.15" customHeight="1" x14ac:dyDescent="0.2">
      <c r="A478" s="6" t="s">
        <v>458</v>
      </c>
      <c r="B478" s="1" t="s">
        <v>5369</v>
      </c>
      <c r="C478" s="2">
        <v>8304</v>
      </c>
      <c r="D478" s="2">
        <v>493672</v>
      </c>
      <c r="E478" s="2">
        <v>2418</v>
      </c>
      <c r="F478" s="2">
        <v>299948</v>
      </c>
      <c r="G478" s="2">
        <v>142</v>
      </c>
      <c r="H478" s="2">
        <v>38927</v>
      </c>
      <c r="I478" s="2">
        <v>250</v>
      </c>
      <c r="J478" s="2">
        <v>49020</v>
      </c>
      <c r="K478" s="2">
        <v>28</v>
      </c>
      <c r="L478" s="2">
        <v>5278</v>
      </c>
      <c r="M478" s="2">
        <v>854</v>
      </c>
      <c r="N478" s="2">
        <v>103983</v>
      </c>
      <c r="O478" s="2">
        <v>40</v>
      </c>
      <c r="P478" s="2">
        <v>88930</v>
      </c>
      <c r="Q478" s="2">
        <v>16877</v>
      </c>
      <c r="R478" s="2">
        <v>1322942</v>
      </c>
      <c r="S478" s="2">
        <v>1322942</v>
      </c>
      <c r="T478" s="10">
        <f t="shared" si="24"/>
        <v>832547</v>
      </c>
      <c r="U478" s="8">
        <f t="shared" si="25"/>
        <v>0.62931481501078657</v>
      </c>
      <c r="V478" s="9" t="s">
        <v>5271</v>
      </c>
      <c r="W478" s="9" t="str">
        <f t="shared" si="26"/>
        <v>Epping and Ongar RD</v>
      </c>
      <c r="X478" s="9" t="str">
        <f>INDEX(Lookup!$A$2:$A$1349, MATCH(W478, Lookup!$B$2:$B$1349,0))</f>
        <v>J04000475</v>
      </c>
      <c r="Y478" s="9" t="str">
        <f>INDEX(Lookup!$F$2:$F$1349, MATCH(W478, Lookup!$B$2:$B$1349,0))</f>
        <v>e120323</v>
      </c>
      <c r="Z478" s="6" t="str">
        <f>INDEX(Lookup!$C$2:$C$1300, MATCH(X478, Lookup!$A$2:$A$1300,0))</f>
        <v>Essex</v>
      </c>
    </row>
    <row r="479" spans="1:26" ht="28.15" customHeight="1" x14ac:dyDescent="0.2">
      <c r="A479" s="6" t="s">
        <v>446</v>
      </c>
      <c r="B479" s="1" t="s">
        <v>446</v>
      </c>
      <c r="C479" s="2">
        <v>4846</v>
      </c>
      <c r="D479" s="2">
        <v>176633</v>
      </c>
      <c r="E479" s="2">
        <v>115</v>
      </c>
      <c r="F479" s="2">
        <v>15106</v>
      </c>
      <c r="G479" s="2">
        <v>20</v>
      </c>
      <c r="H479" s="2">
        <v>6038</v>
      </c>
      <c r="I479" s="2">
        <v>139</v>
      </c>
      <c r="J479" s="2">
        <v>10261</v>
      </c>
      <c r="K479" s="2">
        <v>5</v>
      </c>
      <c r="L479" s="2">
        <v>157</v>
      </c>
      <c r="M479" s="2">
        <v>314</v>
      </c>
      <c r="N479" s="2">
        <v>14281</v>
      </c>
      <c r="O479" s="2">
        <v>28</v>
      </c>
      <c r="P479" s="2">
        <v>43347</v>
      </c>
      <c r="Q479" s="2">
        <v>4789</v>
      </c>
      <c r="R479" s="2">
        <v>342522</v>
      </c>
      <c r="S479" s="2">
        <v>342522</v>
      </c>
      <c r="T479" s="10">
        <f t="shared" si="24"/>
        <v>197777</v>
      </c>
      <c r="U479" s="8">
        <f t="shared" si="25"/>
        <v>0.57741400552373279</v>
      </c>
      <c r="V479" s="9" t="s">
        <v>5271</v>
      </c>
      <c r="W479" s="9" t="str">
        <f t="shared" si="26"/>
        <v>Halstead RD</v>
      </c>
      <c r="X479" s="9" t="str">
        <f>INDEX(Lookup!$A$2:$A$1349, MATCH(W479, Lookup!$B$2:$B$1349,0))</f>
        <v>J04000567</v>
      </c>
      <c r="Y479" s="9" t="str">
        <f>INDEX(Lookup!$F$2:$F$1349, MATCH(W479, Lookup!$B$2:$B$1349,0))</f>
        <v>e120339</v>
      </c>
      <c r="Z479" s="6" t="str">
        <f>INDEX(Lookup!$C$2:$C$1300, MATCH(X479, Lookup!$A$2:$A$1300,0))</f>
        <v>Essex</v>
      </c>
    </row>
    <row r="480" spans="1:26" ht="28.15" customHeight="1" x14ac:dyDescent="0.2">
      <c r="A480" s="6" t="s">
        <v>459</v>
      </c>
      <c r="B480" s="1" t="s">
        <v>5370</v>
      </c>
      <c r="C480" s="2">
        <v>6850</v>
      </c>
      <c r="D480" s="2">
        <v>295356</v>
      </c>
      <c r="E480" s="2">
        <v>271</v>
      </c>
      <c r="F480" s="2">
        <v>35030</v>
      </c>
      <c r="G480" s="2">
        <v>33</v>
      </c>
      <c r="H480" s="2">
        <v>8060</v>
      </c>
      <c r="I480" s="2">
        <v>169</v>
      </c>
      <c r="J480" s="2">
        <v>13078</v>
      </c>
      <c r="K480" s="2">
        <v>11</v>
      </c>
      <c r="L480" s="2">
        <v>581</v>
      </c>
      <c r="M480" s="2">
        <v>455</v>
      </c>
      <c r="N480" s="2">
        <v>30477</v>
      </c>
      <c r="O480" s="2">
        <v>31</v>
      </c>
      <c r="P480" s="2">
        <v>36160</v>
      </c>
      <c r="Q480" s="2">
        <v>4593</v>
      </c>
      <c r="R480" s="2">
        <v>616262</v>
      </c>
      <c r="S480" s="2">
        <v>616262</v>
      </c>
      <c r="T480" s="10">
        <f t="shared" si="24"/>
        <v>338446</v>
      </c>
      <c r="U480" s="8">
        <f t="shared" si="25"/>
        <v>0.54919173987687053</v>
      </c>
      <c r="V480" s="9" t="s">
        <v>5271</v>
      </c>
      <c r="W480" s="9" t="str">
        <f t="shared" si="26"/>
        <v>Lexden and Winstree RD</v>
      </c>
      <c r="X480" s="9" t="str">
        <f>INDEX(Lookup!$A$2:$A$1349, MATCH(W480, Lookup!$B$2:$B$1349,0))</f>
        <v>J04000740</v>
      </c>
      <c r="Y480" s="9" t="str">
        <f>INDEX(Lookup!$F$2:$F$1349, MATCH(W480, Lookup!$B$2:$B$1349,0))</f>
        <v>e120340</v>
      </c>
      <c r="Z480" s="6" t="str">
        <f>INDEX(Lookup!$C$2:$C$1300, MATCH(X480, Lookup!$A$2:$A$1300,0))</f>
        <v>Essex</v>
      </c>
    </row>
    <row r="481" spans="1:26" ht="28.15" customHeight="1" x14ac:dyDescent="0.2">
      <c r="A481" s="6" t="s">
        <v>430</v>
      </c>
      <c r="B481" s="1" t="s">
        <v>430</v>
      </c>
      <c r="C481" s="2">
        <v>4762</v>
      </c>
      <c r="D481" s="2">
        <v>225419</v>
      </c>
      <c r="E481" s="2">
        <v>307</v>
      </c>
      <c r="F481" s="2">
        <v>39493</v>
      </c>
      <c r="G481" s="2">
        <v>41</v>
      </c>
      <c r="H481" s="2">
        <v>10030</v>
      </c>
      <c r="I481" s="2">
        <v>143</v>
      </c>
      <c r="J481" s="2">
        <v>13778</v>
      </c>
      <c r="K481" s="2">
        <v>15</v>
      </c>
      <c r="L481" s="2">
        <v>1739</v>
      </c>
      <c r="M481" s="2">
        <v>382</v>
      </c>
      <c r="N481" s="2">
        <v>25302</v>
      </c>
      <c r="O481" s="2">
        <v>32</v>
      </c>
      <c r="P481" s="2">
        <v>34714</v>
      </c>
      <c r="Q481" s="2">
        <v>326</v>
      </c>
      <c r="R481" s="2">
        <v>525108</v>
      </c>
      <c r="S481" s="2">
        <v>525108</v>
      </c>
      <c r="T481" s="10">
        <f t="shared" si="24"/>
        <v>274942</v>
      </c>
      <c r="U481" s="8">
        <f t="shared" si="25"/>
        <v>0.523591337401068</v>
      </c>
      <c r="V481" s="9" t="s">
        <v>5271</v>
      </c>
      <c r="W481" s="9" t="str">
        <f t="shared" si="26"/>
        <v>Maldon RD</v>
      </c>
      <c r="X481" s="9" t="str">
        <f>INDEX(Lookup!$A$2:$A$1349, MATCH(W481, Lookup!$B$2:$B$1349,0))</f>
        <v>J04000813</v>
      </c>
      <c r="Y481" s="9" t="str">
        <f>INDEX(Lookup!$F$2:$F$1349, MATCH(W481, Lookup!$B$2:$B$1349,0))</f>
        <v>e120341</v>
      </c>
      <c r="Z481" s="6" t="str">
        <f>INDEX(Lookup!$C$2:$C$1300, MATCH(X481, Lookup!$A$2:$A$1300,0))</f>
        <v>Essex</v>
      </c>
    </row>
    <row r="482" spans="1:26" ht="28.15" customHeight="1" x14ac:dyDescent="0.2">
      <c r="A482" s="6" t="s">
        <v>460</v>
      </c>
      <c r="B482" s="1" t="s">
        <v>460</v>
      </c>
      <c r="C482" s="2">
        <v>9815</v>
      </c>
      <c r="D482" s="2">
        <v>610455</v>
      </c>
      <c r="E482" s="2">
        <v>528</v>
      </c>
      <c r="F482" s="2">
        <v>63309</v>
      </c>
      <c r="G482" s="2">
        <v>12</v>
      </c>
      <c r="H482" s="2">
        <v>3042</v>
      </c>
      <c r="I482" s="2">
        <v>295</v>
      </c>
      <c r="J482" s="2">
        <v>47164</v>
      </c>
      <c r="K482" s="2">
        <v>54</v>
      </c>
      <c r="L482" s="2">
        <v>8704</v>
      </c>
      <c r="M482" s="2">
        <v>337</v>
      </c>
      <c r="N482" s="2">
        <v>54168</v>
      </c>
      <c r="O482" s="2">
        <v>36</v>
      </c>
      <c r="P482" s="2">
        <v>71315</v>
      </c>
      <c r="Q482" s="2">
        <v>27180</v>
      </c>
      <c r="R482" s="2">
        <v>1047295</v>
      </c>
      <c r="S482" s="2">
        <v>1047295</v>
      </c>
      <c r="T482" s="10">
        <f t="shared" si="24"/>
        <v>676806</v>
      </c>
      <c r="U482" s="8">
        <f t="shared" si="25"/>
        <v>0.64624198530499999</v>
      </c>
      <c r="V482" s="9" t="s">
        <v>5271</v>
      </c>
      <c r="W482" s="9" t="str">
        <f t="shared" si="26"/>
        <v>Rochford RD</v>
      </c>
      <c r="X482" s="9" t="str">
        <f>INDEX(Lookup!$A$2:$A$1349, MATCH(W482, Lookup!$B$2:$B$1349,0))</f>
        <v>J04001059</v>
      </c>
      <c r="Y482" s="9" t="str">
        <f>INDEX(Lookup!$F$2:$F$1349, MATCH(W482, Lookup!$B$2:$B$1349,0))</f>
        <v>e120342</v>
      </c>
      <c r="Z482" s="6" t="str">
        <f>INDEX(Lookup!$C$2:$C$1300, MATCH(X482, Lookup!$A$2:$A$1300,0))</f>
        <v>Essex</v>
      </c>
    </row>
    <row r="483" spans="1:26" ht="28.15" customHeight="1" x14ac:dyDescent="0.2">
      <c r="A483" s="6" t="s">
        <v>432</v>
      </c>
      <c r="B483" s="1" t="s">
        <v>432</v>
      </c>
      <c r="C483" s="2">
        <v>4775</v>
      </c>
      <c r="D483" s="2">
        <v>215547</v>
      </c>
      <c r="E483" s="2">
        <v>414</v>
      </c>
      <c r="F483" s="2">
        <v>52377</v>
      </c>
      <c r="G483" s="2">
        <v>56</v>
      </c>
      <c r="H483" s="2">
        <v>16044</v>
      </c>
      <c r="I483" s="2">
        <v>125</v>
      </c>
      <c r="J483" s="2">
        <v>15898</v>
      </c>
      <c r="K483" s="2">
        <v>22</v>
      </c>
      <c r="L483" s="2">
        <v>5649</v>
      </c>
      <c r="M483" s="2">
        <v>290</v>
      </c>
      <c r="N483" s="2">
        <v>26649</v>
      </c>
      <c r="O483" s="2">
        <v>31</v>
      </c>
      <c r="P483" s="2">
        <v>31339</v>
      </c>
      <c r="Q483" s="2">
        <v>18558</v>
      </c>
      <c r="R483" s="2">
        <v>492437</v>
      </c>
      <c r="S483" s="2">
        <v>492437</v>
      </c>
      <c r="T483" s="10">
        <f t="shared" si="24"/>
        <v>283968</v>
      </c>
      <c r="U483" s="8">
        <f t="shared" si="25"/>
        <v>0.5766585370311329</v>
      </c>
      <c r="V483" s="9" t="s">
        <v>5271</v>
      </c>
      <c r="W483" s="9" t="str">
        <f t="shared" si="26"/>
        <v>Saffron Walden RD</v>
      </c>
      <c r="X483" s="9" t="str">
        <f>INDEX(Lookup!$A$2:$A$1349, MATCH(W483, Lookup!$B$2:$B$1349,0))</f>
        <v>J04001091</v>
      </c>
      <c r="Y483" s="9" t="str">
        <f>INDEX(Lookup!$F$2:$F$1349, MATCH(W483, Lookup!$B$2:$B$1349,0))</f>
        <v>e120343</v>
      </c>
      <c r="Z483" s="6" t="str">
        <f>INDEX(Lookup!$C$2:$C$1300, MATCH(X483, Lookup!$A$2:$A$1300,0))</f>
        <v>Essex</v>
      </c>
    </row>
    <row r="484" spans="1:26" ht="28.15" customHeight="1" x14ac:dyDescent="0.2">
      <c r="A484" s="6" t="s">
        <v>461</v>
      </c>
      <c r="B484" s="1" t="s">
        <v>2329</v>
      </c>
      <c r="C484" s="2">
        <v>7603</v>
      </c>
      <c r="D484" s="2">
        <v>340614</v>
      </c>
      <c r="E484" s="2">
        <v>276</v>
      </c>
      <c r="F484" s="2">
        <v>33630</v>
      </c>
      <c r="G484" s="2">
        <v>15</v>
      </c>
      <c r="H484" s="2">
        <v>4015</v>
      </c>
      <c r="I484" s="2">
        <v>278</v>
      </c>
      <c r="J484" s="2">
        <v>20193</v>
      </c>
      <c r="K484" s="2">
        <v>23</v>
      </c>
      <c r="L484" s="2">
        <v>960</v>
      </c>
      <c r="M484" s="2">
        <v>391</v>
      </c>
      <c r="N484" s="2">
        <v>48053</v>
      </c>
      <c r="O484" s="2">
        <v>19</v>
      </c>
      <c r="P484" s="2">
        <v>43460</v>
      </c>
      <c r="Q484" s="2">
        <v>7532</v>
      </c>
      <c r="R484" s="2">
        <v>129300</v>
      </c>
      <c r="S484" s="2">
        <v>627757</v>
      </c>
      <c r="T484" s="10">
        <f t="shared" si="24"/>
        <v>378259</v>
      </c>
      <c r="U484" s="8">
        <f t="shared" si="25"/>
        <v>0.60255640319422965</v>
      </c>
      <c r="V484" s="9" t="s">
        <v>5271</v>
      </c>
      <c r="W484" s="9" t="str">
        <f t="shared" si="26"/>
        <v>Tendring RD</v>
      </c>
      <c r="X484" s="9" t="str">
        <f>INDEX(Lookup!$A$2:$A$1349, MATCH(W484, Lookup!$B$2:$B$1349,0))</f>
        <v>J04001259</v>
      </c>
      <c r="Y484" s="9" t="str">
        <f>INDEX(Lookup!$F$2:$F$1349, MATCH(W484, Lookup!$B$2:$B$1349,0))</f>
        <v>e120344</v>
      </c>
      <c r="Z484" s="6" t="str">
        <f>INDEX(Lookup!$C$2:$C$1300, MATCH(X484, Lookup!$A$2:$A$1300,0))</f>
        <v>Essex</v>
      </c>
    </row>
    <row r="485" spans="1:26" ht="28.15" customHeight="1" x14ac:dyDescent="0.2">
      <c r="A485" s="6" t="s">
        <v>462</v>
      </c>
      <c r="B485" s="1" t="s">
        <v>462</v>
      </c>
      <c r="T485" s="10"/>
      <c r="W485" s="9" t="str">
        <f t="shared" si="26"/>
        <v xml:space="preserve">GLOUCESTERSHIRE: </v>
      </c>
      <c r="X485" s="9" t="e">
        <f>INDEX(Lookup!$A$2:$A$1349, MATCH(W485, Lookup!$B$2:$B$1349,0))</f>
        <v>#N/A</v>
      </c>
      <c r="Y485" s="9" t="e">
        <f>INDEX(Lookup!$F$2:$F$1349, MATCH(W485, Lookup!$B$2:$B$1349,0))</f>
        <v>#N/A</v>
      </c>
      <c r="Z485" s="6" t="e">
        <f>INDEX(Lookup!$C$2:$C$1300, MATCH(X485, Lookup!$A$2:$A$1300,0))</f>
        <v>#N/A</v>
      </c>
    </row>
    <row r="486" spans="1:26" ht="28.15" customHeight="1" x14ac:dyDescent="0.2">
      <c r="A486" s="6" t="s">
        <v>175</v>
      </c>
      <c r="B486" s="1" t="s">
        <v>175</v>
      </c>
      <c r="T486" s="10"/>
      <c r="W486" s="9" t="str">
        <f t="shared" si="26"/>
        <v xml:space="preserve">Non-County Boroughs-- </v>
      </c>
      <c r="X486" s="9" t="e">
        <f>INDEX(Lookup!$A$2:$A$1349, MATCH(W486, Lookup!$B$2:$B$1349,0))</f>
        <v>#N/A</v>
      </c>
      <c r="Y486" s="9" t="e">
        <f>INDEX(Lookup!$F$2:$F$1349, MATCH(W486, Lookup!$B$2:$B$1349,0))</f>
        <v>#N/A</v>
      </c>
      <c r="Z486" s="6" t="e">
        <f>INDEX(Lookup!$C$2:$C$1300, MATCH(X486, Lookup!$A$2:$A$1300,0))</f>
        <v>#N/A</v>
      </c>
    </row>
    <row r="487" spans="1:26" ht="28.15" customHeight="1" x14ac:dyDescent="0.2">
      <c r="A487" s="6" t="s">
        <v>463</v>
      </c>
      <c r="B487" s="1" t="s">
        <v>463</v>
      </c>
      <c r="C487" s="2">
        <v>19580</v>
      </c>
      <c r="D487" s="2">
        <v>1077905</v>
      </c>
      <c r="E487" s="2">
        <v>2964</v>
      </c>
      <c r="F487" s="2">
        <v>374335</v>
      </c>
      <c r="G487" s="2">
        <v>179</v>
      </c>
      <c r="H487" s="2">
        <v>42307</v>
      </c>
      <c r="I487" s="2">
        <v>1132</v>
      </c>
      <c r="J487" s="2">
        <v>659875</v>
      </c>
      <c r="K487" s="2">
        <v>379</v>
      </c>
      <c r="L487" s="2">
        <v>73911</v>
      </c>
      <c r="M487" s="2">
        <v>2470</v>
      </c>
      <c r="N487" s="2">
        <v>250320</v>
      </c>
      <c r="O487" s="2">
        <v>142</v>
      </c>
      <c r="P487" s="2">
        <v>237412</v>
      </c>
      <c r="Q487" s="2">
        <v>44666</v>
      </c>
      <c r="R487" s="2">
        <v>357228</v>
      </c>
      <c r="S487" s="2">
        <v>3117959</v>
      </c>
      <c r="T487" s="10">
        <f t="shared" si="24"/>
        <v>1494547</v>
      </c>
      <c r="U487" s="8">
        <f t="shared" si="25"/>
        <v>0.47933503936389155</v>
      </c>
      <c r="V487" s="9" t="s">
        <v>5268</v>
      </c>
      <c r="W487" s="9" t="str">
        <f t="shared" si="26"/>
        <v>Cheltenham MB</v>
      </c>
      <c r="X487" s="9" t="str">
        <f>INDEX(Lookup!$A$2:$A$1349, MATCH(W487, Lookup!$B$2:$B$1349,0))</f>
        <v>J04000291</v>
      </c>
      <c r="Y487" s="9" t="str">
        <f>INDEX(Lookup!$F$2:$F$1349, MATCH(W487, Lookup!$B$2:$B$1349,0))</f>
        <v>e130348</v>
      </c>
      <c r="Z487" s="6" t="str">
        <f>INDEX(Lookup!$C$2:$C$1300, MATCH(X487, Lookup!$A$2:$A$1300,0))</f>
        <v>Gloucestershire</v>
      </c>
    </row>
    <row r="488" spans="1:26" ht="28.15" customHeight="1" x14ac:dyDescent="0.2">
      <c r="A488" s="6" t="s">
        <v>464</v>
      </c>
      <c r="B488" s="1" t="s">
        <v>464</v>
      </c>
      <c r="C488" s="2">
        <v>1723</v>
      </c>
      <c r="D488" s="2">
        <v>76130</v>
      </c>
      <c r="E488" s="2">
        <v>56</v>
      </c>
      <c r="F488" s="2">
        <v>6633</v>
      </c>
      <c r="G488" s="2">
        <v>9</v>
      </c>
      <c r="H488" s="2">
        <v>2206</v>
      </c>
      <c r="I488" s="2">
        <v>181</v>
      </c>
      <c r="J488" s="2">
        <v>32559</v>
      </c>
      <c r="K488" s="2">
        <v>20</v>
      </c>
      <c r="L488" s="2">
        <v>2729</v>
      </c>
      <c r="M488" s="2">
        <v>336</v>
      </c>
      <c r="N488" s="2">
        <v>19889</v>
      </c>
      <c r="O488" s="2">
        <v>23</v>
      </c>
      <c r="P488" s="2">
        <v>21135</v>
      </c>
      <c r="Q488" s="2">
        <v>2658</v>
      </c>
      <c r="R488" s="2">
        <v>37013</v>
      </c>
      <c r="S488" s="2">
        <v>200952</v>
      </c>
      <c r="T488" s="10">
        <f t="shared" si="24"/>
        <v>84969</v>
      </c>
      <c r="U488" s="8">
        <f t="shared" si="25"/>
        <v>0.42283231816553207</v>
      </c>
      <c r="V488" s="9" t="s">
        <v>5268</v>
      </c>
      <c r="W488" s="9" t="str">
        <f t="shared" si="26"/>
        <v>Tewkesbury MB</v>
      </c>
      <c r="X488" s="9" t="str">
        <f>INDEX(Lookup!$A$2:$A$1349, MATCH(W488, Lookup!$B$2:$B$1349,0))</f>
        <v>J04001264</v>
      </c>
      <c r="Y488" s="9" t="str">
        <f>INDEX(Lookup!$F$2:$F$1349, MATCH(W488, Lookup!$B$2:$B$1349,0))</f>
        <v>e130354</v>
      </c>
      <c r="Z488" s="6" t="str">
        <f>INDEX(Lookup!$C$2:$C$1300, MATCH(X488, Lookup!$A$2:$A$1300,0))</f>
        <v>Gloucestershire</v>
      </c>
    </row>
    <row r="489" spans="1:26" ht="28.15" customHeight="1" x14ac:dyDescent="0.2">
      <c r="A489" s="6" t="s">
        <v>179</v>
      </c>
      <c r="B489" s="1" t="s">
        <v>179</v>
      </c>
      <c r="T489" s="10"/>
      <c r="W489" s="9" t="str">
        <f t="shared" si="26"/>
        <v xml:space="preserve">Urban Districts-- </v>
      </c>
      <c r="X489" s="9" t="e">
        <f>INDEX(Lookup!$A$2:$A$1349, MATCH(W489, Lookup!$B$2:$B$1349,0))</f>
        <v>#N/A</v>
      </c>
      <c r="Y489" s="9" t="e">
        <f>INDEX(Lookup!$F$2:$F$1349, MATCH(W489, Lookup!$B$2:$B$1349,0))</f>
        <v>#N/A</v>
      </c>
      <c r="Z489" s="6" t="e">
        <f>INDEX(Lookup!$C$2:$C$1300, MATCH(X489, Lookup!$A$2:$A$1300,0))</f>
        <v>#N/A</v>
      </c>
    </row>
    <row r="490" spans="1:26" ht="28.15" customHeight="1" x14ac:dyDescent="0.2">
      <c r="A490" s="6" t="s">
        <v>465</v>
      </c>
      <c r="B490" s="1" t="s">
        <v>465</v>
      </c>
      <c r="C490" s="2">
        <v>1882</v>
      </c>
      <c r="D490" s="2">
        <v>108868</v>
      </c>
      <c r="E490" s="2">
        <v>477</v>
      </c>
      <c r="F490" s="2">
        <v>66643</v>
      </c>
      <c r="G490" s="2">
        <v>128</v>
      </c>
      <c r="H490" s="2">
        <v>32280</v>
      </c>
      <c r="I490" s="2">
        <v>46</v>
      </c>
      <c r="J490" s="2">
        <v>5117</v>
      </c>
      <c r="K490" s="2">
        <v>2</v>
      </c>
      <c r="L490" s="2">
        <v>1203</v>
      </c>
      <c r="M490" s="2">
        <v>124</v>
      </c>
      <c r="N490" s="2">
        <v>9821</v>
      </c>
      <c r="O490" s="2">
        <v>2</v>
      </c>
      <c r="P490" s="2">
        <v>3265</v>
      </c>
      <c r="Q490" s="2">
        <v>103</v>
      </c>
      <c r="R490" s="2">
        <v>30688</v>
      </c>
      <c r="S490" s="2">
        <v>257988</v>
      </c>
      <c r="T490" s="10">
        <f t="shared" si="24"/>
        <v>207791</v>
      </c>
      <c r="U490" s="8">
        <f t="shared" si="25"/>
        <v>0.80542893467913235</v>
      </c>
      <c r="V490" s="9" t="s">
        <v>5270</v>
      </c>
      <c r="W490" s="9" t="str">
        <f t="shared" si="26"/>
        <v>Charlton Kings UD</v>
      </c>
      <c r="X490" s="9" t="str">
        <f>INDEX(Lookup!$A$2:$A$1349, MATCH(W490, Lookup!$B$2:$B$1349,0))</f>
        <v>J04000283</v>
      </c>
      <c r="Y490" s="9" t="str">
        <f>INDEX(Lookup!$F$2:$F$1349, MATCH(W490, Lookup!$B$2:$B$1349,0))</f>
        <v>e130347</v>
      </c>
      <c r="Z490" s="6" t="str">
        <f>INDEX(Lookup!$C$2:$C$1300, MATCH(X490, Lookup!$A$2:$A$1300,0))</f>
        <v>Gloucestershire</v>
      </c>
    </row>
    <row r="491" spans="1:26" ht="28.15" customHeight="1" x14ac:dyDescent="0.2">
      <c r="A491" s="6" t="s">
        <v>466</v>
      </c>
      <c r="B491" s="1" t="s">
        <v>466</v>
      </c>
      <c r="C491" s="2">
        <v>3437</v>
      </c>
      <c r="D491" s="2">
        <v>181801</v>
      </c>
      <c r="E491" s="2">
        <v>240</v>
      </c>
      <c r="F491" s="2">
        <v>31481</v>
      </c>
      <c r="G491" s="2">
        <v>41</v>
      </c>
      <c r="H491" s="2">
        <v>11959</v>
      </c>
      <c r="I491" s="2">
        <v>253</v>
      </c>
      <c r="J491" s="2">
        <v>78836</v>
      </c>
      <c r="K491" s="2">
        <v>48</v>
      </c>
      <c r="L491" s="2">
        <v>8656</v>
      </c>
      <c r="M491" s="2">
        <v>585</v>
      </c>
      <c r="N491" s="2">
        <v>34057</v>
      </c>
      <c r="O491" s="2">
        <v>32</v>
      </c>
      <c r="P491" s="2">
        <v>31306</v>
      </c>
      <c r="Q491" s="2">
        <v>3879</v>
      </c>
      <c r="R491" s="2">
        <v>51637</v>
      </c>
      <c r="S491" s="2">
        <v>433612</v>
      </c>
      <c r="T491" s="10">
        <f t="shared" si="24"/>
        <v>225241</v>
      </c>
      <c r="U491" s="8">
        <f t="shared" si="25"/>
        <v>0.51945287492043579</v>
      </c>
      <c r="V491" s="9" t="s">
        <v>5270</v>
      </c>
      <c r="W491" s="9" t="str">
        <f t="shared" si="26"/>
        <v>Cirencester UD</v>
      </c>
      <c r="X491" s="9" t="str">
        <f>INDEX(Lookup!$A$2:$A$1349, MATCH(W491, Lookup!$B$2:$B$1349,0))</f>
        <v>J04000320</v>
      </c>
      <c r="Y491" s="9" t="str">
        <f>INDEX(Lookup!$F$2:$F$1349, MATCH(W491, Lookup!$B$2:$B$1349,0))</f>
        <v>e130349</v>
      </c>
      <c r="Z491" s="6" t="str">
        <f>INDEX(Lookup!$C$2:$C$1300, MATCH(X491, Lookup!$A$2:$A$1300,0))</f>
        <v>Gloucestershire</v>
      </c>
    </row>
    <row r="492" spans="1:26" ht="28.15" customHeight="1" x14ac:dyDescent="0.2">
      <c r="A492" s="6" t="s">
        <v>467</v>
      </c>
      <c r="B492" s="1" t="s">
        <v>467</v>
      </c>
      <c r="C492" s="2">
        <v>8178</v>
      </c>
      <c r="D492" s="2">
        <v>512878</v>
      </c>
      <c r="E492" s="2">
        <v>233</v>
      </c>
      <c r="F492" s="2">
        <v>27973</v>
      </c>
      <c r="G492" s="2">
        <v>2</v>
      </c>
      <c r="H492" s="2">
        <v>448</v>
      </c>
      <c r="I492" s="2">
        <v>318</v>
      </c>
      <c r="J492" s="2">
        <v>75763</v>
      </c>
      <c r="K492" s="2">
        <v>20</v>
      </c>
      <c r="L492" s="2">
        <v>4594</v>
      </c>
      <c r="M492" s="2">
        <v>649</v>
      </c>
      <c r="N492" s="2">
        <v>42472</v>
      </c>
      <c r="O492" s="2">
        <v>56</v>
      </c>
      <c r="P492" s="2">
        <v>120126</v>
      </c>
      <c r="Q492" s="2">
        <v>1336</v>
      </c>
      <c r="R492" s="2">
        <v>63923</v>
      </c>
      <c r="S492" s="2">
        <v>849513</v>
      </c>
      <c r="T492" s="10">
        <f t="shared" si="24"/>
        <v>541299</v>
      </c>
      <c r="U492" s="8">
        <f t="shared" si="25"/>
        <v>0.6371874238534313</v>
      </c>
      <c r="V492" s="9" t="s">
        <v>5270</v>
      </c>
      <c r="W492" s="9" t="str">
        <f t="shared" si="26"/>
        <v>Kingswood UD</v>
      </c>
      <c r="X492" s="9" t="str">
        <f>INDEX(Lookup!$A$2:$A$1349, MATCH(W492, Lookup!$B$2:$B$1349,0))</f>
        <v>J04000701</v>
      </c>
      <c r="Y492" s="9" t="str">
        <f>INDEX(Lookup!$F$2:$F$1349, MATCH(W492, Lookup!$B$2:$B$1349,0))</f>
        <v>e130350</v>
      </c>
      <c r="Z492" s="6" t="str">
        <f>INDEX(Lookup!$C$2:$C$1300, MATCH(X492, Lookup!$A$2:$A$1300,0))</f>
        <v>Avon</v>
      </c>
    </row>
    <row r="493" spans="1:26" ht="28.15" customHeight="1" x14ac:dyDescent="0.2">
      <c r="A493" s="6" t="s">
        <v>468</v>
      </c>
      <c r="B493" s="1" t="s">
        <v>5322</v>
      </c>
      <c r="C493" s="2">
        <v>6084</v>
      </c>
      <c r="D493" s="2">
        <v>409089</v>
      </c>
      <c r="E493" s="2">
        <v>1408</v>
      </c>
      <c r="F493" s="2">
        <v>157073</v>
      </c>
      <c r="G493" s="2">
        <v>12</v>
      </c>
      <c r="H493" s="2">
        <v>2680</v>
      </c>
      <c r="I493" s="2">
        <v>298</v>
      </c>
      <c r="J493" s="2">
        <v>69209</v>
      </c>
      <c r="K493" s="2">
        <v>11</v>
      </c>
      <c r="L493" s="2">
        <v>1634</v>
      </c>
      <c r="M493" s="2">
        <v>504</v>
      </c>
      <c r="N493" s="2">
        <v>35651</v>
      </c>
      <c r="O493" s="2">
        <v>20</v>
      </c>
      <c r="P493" s="2">
        <v>20425</v>
      </c>
      <c r="Q493" s="2">
        <v>476</v>
      </c>
      <c r="R493" s="2">
        <v>75087</v>
      </c>
      <c r="S493" s="2">
        <v>771324</v>
      </c>
      <c r="T493" s="10">
        <f t="shared" si="24"/>
        <v>568842</v>
      </c>
      <c r="U493" s="8">
        <f t="shared" si="25"/>
        <v>0.73748774833921926</v>
      </c>
      <c r="V493" s="9" t="s">
        <v>5270</v>
      </c>
      <c r="W493" s="9" t="str">
        <f t="shared" si="26"/>
        <v>Mangotsfield UD</v>
      </c>
      <c r="X493" s="9" t="str">
        <f>INDEX(Lookup!$A$2:$A$1349, MATCH(W493, Lookup!$B$2:$B$1349,0))</f>
        <v>J04000822</v>
      </c>
      <c r="Y493" s="9" t="str">
        <f>INDEX(Lookup!$F$2:$F$1349, MATCH(W493, Lookup!$B$2:$B$1349,0))</f>
        <v>e130351</v>
      </c>
      <c r="Z493" s="6" t="str">
        <f>INDEX(Lookup!$C$2:$C$1300, MATCH(X493, Lookup!$A$2:$A$1300,0))</f>
        <v>Avon</v>
      </c>
    </row>
    <row r="494" spans="1:26" ht="28.15" customHeight="1" x14ac:dyDescent="0.2">
      <c r="A494" s="6" t="s">
        <v>469</v>
      </c>
      <c r="B494" s="1" t="s">
        <v>5323</v>
      </c>
      <c r="C494" s="2">
        <v>1093</v>
      </c>
      <c r="D494" s="2">
        <v>48182</v>
      </c>
      <c r="E494" s="2">
        <v>96</v>
      </c>
      <c r="F494" s="2">
        <v>12546</v>
      </c>
      <c r="G494" s="2">
        <v>8</v>
      </c>
      <c r="H494" s="2">
        <v>1858</v>
      </c>
      <c r="I494" s="2">
        <v>74</v>
      </c>
      <c r="J494" s="2">
        <v>8624</v>
      </c>
      <c r="K494" s="2">
        <v>8</v>
      </c>
      <c r="L494" s="2">
        <v>920</v>
      </c>
      <c r="M494" s="2">
        <v>165</v>
      </c>
      <c r="N494" s="2">
        <v>8325</v>
      </c>
      <c r="O494" s="2">
        <v>22</v>
      </c>
      <c r="P494" s="2">
        <v>24774</v>
      </c>
      <c r="Q494" s="2">
        <v>135</v>
      </c>
      <c r="R494" s="2">
        <v>9385</v>
      </c>
      <c r="S494" s="2">
        <v>114749</v>
      </c>
      <c r="T494" s="10">
        <f t="shared" si="24"/>
        <v>62586</v>
      </c>
      <c r="U494" s="8">
        <f t="shared" si="25"/>
        <v>0.54541651779100475</v>
      </c>
      <c r="V494" s="9" t="s">
        <v>5270</v>
      </c>
      <c r="W494" s="9" t="str">
        <f t="shared" si="26"/>
        <v>Nailsworth UD</v>
      </c>
      <c r="X494" s="9" t="str">
        <f>INDEX(Lookup!$A$2:$A$1349, MATCH(W494, Lookup!$B$2:$B$1349,0))</f>
        <v>J04000875</v>
      </c>
      <c r="Y494" s="9" t="str">
        <f>INDEX(Lookup!$F$2:$F$1349, MATCH(W494, Lookup!$B$2:$B$1349,0))</f>
        <v>e130352</v>
      </c>
      <c r="Z494" s="6" t="str">
        <f>INDEX(Lookup!$C$2:$C$1300, MATCH(X494, Lookup!$A$2:$A$1300,0))</f>
        <v>Gloucestershire</v>
      </c>
    </row>
    <row r="495" spans="1:26" ht="28.15" customHeight="1" x14ac:dyDescent="0.2">
      <c r="A495" s="6" t="s">
        <v>470</v>
      </c>
      <c r="B495" s="1" t="s">
        <v>470</v>
      </c>
      <c r="C495" s="2">
        <v>5635</v>
      </c>
      <c r="D495" s="2">
        <v>276347</v>
      </c>
      <c r="E495" s="2">
        <v>273</v>
      </c>
      <c r="F495" s="2">
        <v>33590</v>
      </c>
      <c r="G495" s="2">
        <v>11</v>
      </c>
      <c r="H495" s="2">
        <v>2825</v>
      </c>
      <c r="I495" s="2">
        <v>302</v>
      </c>
      <c r="J495" s="2">
        <v>87617</v>
      </c>
      <c r="K495" s="2">
        <v>71</v>
      </c>
      <c r="L495" s="2">
        <v>12641</v>
      </c>
      <c r="M495" s="2">
        <v>747</v>
      </c>
      <c r="N495" s="2">
        <v>45673</v>
      </c>
      <c r="O495" s="2">
        <v>48</v>
      </c>
      <c r="P495" s="2">
        <v>137867</v>
      </c>
      <c r="Q495" s="2">
        <v>4355</v>
      </c>
      <c r="R495" s="2">
        <v>81076</v>
      </c>
      <c r="S495" s="2">
        <v>681991</v>
      </c>
      <c r="T495" s="10">
        <f t="shared" si="24"/>
        <v>312762</v>
      </c>
      <c r="U495" s="8">
        <f t="shared" si="25"/>
        <v>0.45860135984199207</v>
      </c>
      <c r="V495" s="9" t="s">
        <v>5270</v>
      </c>
      <c r="W495" s="9" t="str">
        <f t="shared" si="26"/>
        <v>Stroud UD</v>
      </c>
      <c r="X495" s="9" t="str">
        <f>INDEX(Lookup!$A$2:$A$1349, MATCH(W495, Lookup!$B$2:$B$1349,0))</f>
        <v>J04001227</v>
      </c>
      <c r="Y495" s="9" t="str">
        <f>INDEX(Lookup!$F$2:$F$1349, MATCH(W495, Lookup!$B$2:$B$1349,0))</f>
        <v>e130353</v>
      </c>
      <c r="Z495" s="6" t="str">
        <f>INDEX(Lookup!$C$2:$C$1300, MATCH(X495, Lookup!$A$2:$A$1300,0))</f>
        <v>Gloucestershire</v>
      </c>
    </row>
    <row r="496" spans="1:26" ht="28.15" customHeight="1" x14ac:dyDescent="0.2">
      <c r="A496" s="6" t="s">
        <v>212</v>
      </c>
      <c r="B496" s="1" t="s">
        <v>212</v>
      </c>
      <c r="T496" s="10"/>
      <c r="W496" s="9" t="str">
        <f t="shared" si="26"/>
        <v xml:space="preserve">Rural Districts-- </v>
      </c>
      <c r="X496" s="9" t="e">
        <f>INDEX(Lookup!$A$2:$A$1349, MATCH(W496, Lookup!$B$2:$B$1349,0))</f>
        <v>#N/A</v>
      </c>
      <c r="Y496" s="9" t="e">
        <f>INDEX(Lookup!$F$2:$F$1349, MATCH(W496, Lookup!$B$2:$B$1349,0))</f>
        <v>#N/A</v>
      </c>
      <c r="Z496" s="6" t="e">
        <f>INDEX(Lookup!$C$2:$C$1300, MATCH(X496, Lookup!$A$2:$A$1300,0))</f>
        <v>#N/A</v>
      </c>
    </row>
    <row r="497" spans="1:26" ht="28.15" customHeight="1" x14ac:dyDescent="0.2">
      <c r="A497" s="6" t="s">
        <v>463</v>
      </c>
      <c r="B497" s="1" t="s">
        <v>463</v>
      </c>
      <c r="C497" s="2">
        <v>8065</v>
      </c>
      <c r="D497" s="2">
        <v>478154</v>
      </c>
      <c r="E497" s="2">
        <v>826</v>
      </c>
      <c r="F497" s="2">
        <v>105460</v>
      </c>
      <c r="G497" s="2">
        <v>109</v>
      </c>
      <c r="H497" s="2">
        <v>31468</v>
      </c>
      <c r="I497" s="2">
        <v>150</v>
      </c>
      <c r="J497" s="2">
        <v>18711</v>
      </c>
      <c r="K497" s="2">
        <v>10</v>
      </c>
      <c r="L497" s="2">
        <v>721</v>
      </c>
      <c r="M497" s="2">
        <v>893</v>
      </c>
      <c r="N497" s="2">
        <v>51373</v>
      </c>
      <c r="O497" s="2">
        <v>37</v>
      </c>
      <c r="P497" s="2">
        <v>169423</v>
      </c>
      <c r="Q497" s="2">
        <v>73056</v>
      </c>
      <c r="R497" s="2">
        <v>195340</v>
      </c>
      <c r="S497" s="2">
        <v>1123706</v>
      </c>
      <c r="T497" s="10">
        <f t="shared" si="24"/>
        <v>615082</v>
      </c>
      <c r="U497" s="8">
        <f t="shared" si="25"/>
        <v>0.54736915171762013</v>
      </c>
      <c r="V497" s="9" t="s">
        <v>5271</v>
      </c>
      <c r="W497" s="9" t="str">
        <f t="shared" si="26"/>
        <v>Cheltenham RD</v>
      </c>
      <c r="X497" s="9" t="str">
        <f>INDEX(Lookup!$A$2:$A$1349, MATCH(W497, Lookup!$B$2:$B$1349,0))</f>
        <v>J04000292</v>
      </c>
      <c r="Y497" s="9" t="str">
        <f>INDEX(Lookup!$F$2:$F$1349, MATCH(W497, Lookup!$B$2:$B$1349,0))</f>
        <v>e130355</v>
      </c>
      <c r="Z497" s="6" t="str">
        <f>INDEX(Lookup!$C$2:$C$1300, MATCH(X497, Lookup!$A$2:$A$1300,0))</f>
        <v>Gloucestershire</v>
      </c>
    </row>
    <row r="498" spans="1:26" ht="28.15" customHeight="1" x14ac:dyDescent="0.2">
      <c r="A498" s="6" t="s">
        <v>466</v>
      </c>
      <c r="B498" s="1" t="s">
        <v>466</v>
      </c>
      <c r="C498" s="2">
        <v>3054</v>
      </c>
      <c r="D498" s="2">
        <v>117634</v>
      </c>
      <c r="E498" s="2">
        <v>212</v>
      </c>
      <c r="F498" s="2">
        <v>28827</v>
      </c>
      <c r="G498" s="2">
        <v>102</v>
      </c>
      <c r="H498" s="2">
        <v>30748</v>
      </c>
      <c r="I498" s="2">
        <v>111</v>
      </c>
      <c r="J498" s="2">
        <v>11427</v>
      </c>
      <c r="K498" s="2">
        <v>6</v>
      </c>
      <c r="L498" s="2">
        <v>516</v>
      </c>
      <c r="M498" s="2">
        <v>275</v>
      </c>
      <c r="N498" s="2">
        <v>17923</v>
      </c>
      <c r="O498" s="2">
        <v>10</v>
      </c>
      <c r="P498" s="2">
        <v>7791</v>
      </c>
      <c r="Q498" s="2">
        <v>59088</v>
      </c>
      <c r="R498" s="2">
        <v>161412</v>
      </c>
      <c r="S498" s="2">
        <v>435366</v>
      </c>
      <c r="T498" s="10">
        <f t="shared" si="24"/>
        <v>177209</v>
      </c>
      <c r="U498" s="8">
        <f t="shared" si="25"/>
        <v>0.40703454105281534</v>
      </c>
      <c r="V498" s="9" t="s">
        <v>5271</v>
      </c>
      <c r="W498" s="9" t="str">
        <f t="shared" si="26"/>
        <v>Cirencester RD</v>
      </c>
      <c r="X498" s="9" t="str">
        <f>INDEX(Lookup!$A$2:$A$1349, MATCH(W498, Lookup!$B$2:$B$1349,0))</f>
        <v>J04000319</v>
      </c>
      <c r="Y498" s="9" t="str">
        <f>INDEX(Lookup!$F$2:$F$1349, MATCH(W498, Lookup!$B$2:$B$1349,0))</f>
        <v>e130356</v>
      </c>
      <c r="Z498" s="6" t="str">
        <f>INDEX(Lookup!$C$2:$C$1300, MATCH(X498, Lookup!$A$2:$A$1300,0))</f>
        <v>Gloucestershire</v>
      </c>
    </row>
    <row r="499" spans="1:26" ht="28.15" customHeight="1" x14ac:dyDescent="0.2">
      <c r="A499" s="6" t="s">
        <v>471</v>
      </c>
      <c r="B499" s="1" t="s">
        <v>471</v>
      </c>
      <c r="C499" s="2">
        <v>5292</v>
      </c>
      <c r="D499" s="2">
        <v>229463</v>
      </c>
      <c r="E499" s="2">
        <v>249</v>
      </c>
      <c r="F499" s="2">
        <v>30538</v>
      </c>
      <c r="G499" s="2">
        <v>16</v>
      </c>
      <c r="H499" s="2">
        <v>4339</v>
      </c>
      <c r="I499" s="2">
        <v>236</v>
      </c>
      <c r="J499" s="2">
        <v>31064</v>
      </c>
      <c r="K499" s="2">
        <v>25</v>
      </c>
      <c r="L499" s="2">
        <v>2022</v>
      </c>
      <c r="M499" s="2">
        <v>412</v>
      </c>
      <c r="N499" s="2">
        <v>20772</v>
      </c>
      <c r="O499" s="2">
        <v>28</v>
      </c>
      <c r="P499" s="2">
        <v>102315</v>
      </c>
      <c r="Q499" s="2">
        <v>1513</v>
      </c>
      <c r="R499" s="2">
        <v>67604</v>
      </c>
      <c r="S499" s="2">
        <v>489630</v>
      </c>
      <c r="T499" s="10">
        <f t="shared" si="24"/>
        <v>264340</v>
      </c>
      <c r="U499" s="8">
        <f t="shared" si="25"/>
        <v>0.53987705001736008</v>
      </c>
      <c r="V499" s="9" t="s">
        <v>5271</v>
      </c>
      <c r="W499" s="9" t="str">
        <f t="shared" si="26"/>
        <v>Dursley RD</v>
      </c>
      <c r="X499" s="9" t="str">
        <f>INDEX(Lookup!$A$2:$A$1349, MATCH(W499, Lookup!$B$2:$B$1349,0))</f>
        <v>J04000440</v>
      </c>
      <c r="Y499" s="9" t="str">
        <f>INDEX(Lookup!$F$2:$F$1349, MATCH(W499, Lookup!$B$2:$B$1349,0))</f>
        <v>e130357</v>
      </c>
      <c r="Z499" s="6" t="str">
        <f>INDEX(Lookup!$C$2:$C$1300, MATCH(X499, Lookup!$A$2:$A$1300,0))</f>
        <v>Gloucestershire</v>
      </c>
    </row>
    <row r="500" spans="1:26" ht="28.15" customHeight="1" x14ac:dyDescent="0.2">
      <c r="A500" s="6" t="s">
        <v>472</v>
      </c>
      <c r="B500" s="1" t="s">
        <v>472</v>
      </c>
      <c r="C500" s="2">
        <v>6075</v>
      </c>
      <c r="D500" s="2">
        <v>206872</v>
      </c>
      <c r="E500" s="2">
        <v>68</v>
      </c>
      <c r="F500" s="2">
        <v>7913</v>
      </c>
      <c r="G500" s="2">
        <v>6</v>
      </c>
      <c r="H500" s="2">
        <v>1750</v>
      </c>
      <c r="I500" s="2">
        <v>297</v>
      </c>
      <c r="J500" s="2">
        <v>24954</v>
      </c>
      <c r="K500" s="2">
        <v>20</v>
      </c>
      <c r="L500" s="2">
        <v>1569</v>
      </c>
      <c r="M500" s="2">
        <v>416</v>
      </c>
      <c r="N500" s="2">
        <v>24439</v>
      </c>
      <c r="O500" s="2">
        <v>45</v>
      </c>
      <c r="P500" s="2">
        <v>50724</v>
      </c>
      <c r="Q500" s="2">
        <v>1894</v>
      </c>
      <c r="R500" s="2">
        <v>83249</v>
      </c>
      <c r="S500" s="2">
        <v>403364</v>
      </c>
      <c r="T500" s="10">
        <f t="shared" si="24"/>
        <v>216535</v>
      </c>
      <c r="U500" s="8">
        <f t="shared" si="25"/>
        <v>0.53682282008310112</v>
      </c>
      <c r="V500" s="9" t="s">
        <v>5271</v>
      </c>
      <c r="W500" s="9" t="str">
        <f t="shared" si="26"/>
        <v>East Dean RD</v>
      </c>
      <c r="X500" s="9" t="str">
        <f>INDEX(Lookup!$A$2:$A$1349, MATCH(W500, Lookup!$B$2:$B$1349,0))</f>
        <v>J04000447</v>
      </c>
      <c r="Y500" s="9" t="str">
        <f>INDEX(Lookup!$F$2:$F$1349, MATCH(W500, Lookup!$B$2:$B$1349,0))</f>
        <v>e130358</v>
      </c>
      <c r="Z500" s="6" t="str">
        <f>INDEX(Lookup!$C$2:$C$1300, MATCH(X500, Lookup!$A$2:$A$1300,0))</f>
        <v>Gloucestershire</v>
      </c>
    </row>
    <row r="501" spans="1:26" ht="28.15" customHeight="1" x14ac:dyDescent="0.2">
      <c r="A501" s="6" t="s">
        <v>473</v>
      </c>
      <c r="B501" s="1" t="s">
        <v>473</v>
      </c>
      <c r="C501" s="2">
        <v>12291</v>
      </c>
      <c r="D501" s="2">
        <v>709159</v>
      </c>
      <c r="E501" s="2">
        <v>879</v>
      </c>
      <c r="F501" s="2">
        <v>103558</v>
      </c>
      <c r="G501" s="2">
        <v>27</v>
      </c>
      <c r="H501" s="2">
        <v>7883</v>
      </c>
      <c r="I501" s="2">
        <v>214</v>
      </c>
      <c r="J501" s="2">
        <v>27479</v>
      </c>
      <c r="K501" s="2">
        <v>25</v>
      </c>
      <c r="L501" s="2">
        <v>5019</v>
      </c>
      <c r="M501" s="2">
        <v>606</v>
      </c>
      <c r="N501" s="2">
        <v>54796</v>
      </c>
      <c r="O501" s="2">
        <v>32</v>
      </c>
      <c r="P501" s="2">
        <v>355495</v>
      </c>
      <c r="Q501" s="2">
        <v>79621</v>
      </c>
      <c r="R501" s="2">
        <v>231807</v>
      </c>
      <c r="S501" s="2">
        <v>1574817</v>
      </c>
      <c r="T501" s="10">
        <f t="shared" si="24"/>
        <v>820600</v>
      </c>
      <c r="U501" s="8">
        <f t="shared" si="25"/>
        <v>0.52107641713291131</v>
      </c>
      <c r="V501" s="9" t="s">
        <v>5271</v>
      </c>
      <c r="W501" s="9" t="str">
        <f t="shared" si="26"/>
        <v>Gloucester RD</v>
      </c>
      <c r="X501" s="9" t="str">
        <f>INDEX(Lookup!$A$2:$A$1349, MATCH(W501, Lookup!$B$2:$B$1349,0))</f>
        <v>J04000536</v>
      </c>
      <c r="Y501" s="9" t="str">
        <f>INDEX(Lookup!$F$2:$F$1349, MATCH(W501, Lookup!$B$2:$B$1349,0))</f>
        <v>e130346</v>
      </c>
      <c r="Z501" s="6" t="str">
        <f>INDEX(Lookup!$C$2:$C$1300, MATCH(X501, Lookup!$A$2:$A$1300,0))</f>
        <v>Gloucestershire</v>
      </c>
    </row>
    <row r="502" spans="1:26" ht="28.15" customHeight="1" x14ac:dyDescent="0.2">
      <c r="A502" s="6" t="s">
        <v>474</v>
      </c>
      <c r="B502" s="1" t="s">
        <v>474</v>
      </c>
      <c r="C502" s="2">
        <v>3392</v>
      </c>
      <c r="D502" s="2">
        <v>141631</v>
      </c>
      <c r="E502" s="2">
        <v>129</v>
      </c>
      <c r="F502" s="2">
        <v>16088</v>
      </c>
      <c r="G502" s="2">
        <v>8</v>
      </c>
      <c r="H502" s="2">
        <v>2354</v>
      </c>
      <c r="I502" s="2">
        <v>146</v>
      </c>
      <c r="J502" s="2">
        <v>22252</v>
      </c>
      <c r="K502" s="2">
        <v>26</v>
      </c>
      <c r="L502" s="2">
        <v>2278</v>
      </c>
      <c r="M502" s="2">
        <v>326</v>
      </c>
      <c r="N502" s="2">
        <v>24472</v>
      </c>
      <c r="O502" s="2">
        <v>23</v>
      </c>
      <c r="P502" s="2">
        <v>72086</v>
      </c>
      <c r="Q502" s="2">
        <v>12891</v>
      </c>
      <c r="R502" s="2">
        <v>69175</v>
      </c>
      <c r="S502" s="2">
        <v>363227</v>
      </c>
      <c r="T502" s="10">
        <f t="shared" si="24"/>
        <v>160073</v>
      </c>
      <c r="U502" s="8">
        <f t="shared" si="25"/>
        <v>0.44069686449520545</v>
      </c>
      <c r="V502" s="9" t="s">
        <v>5271</v>
      </c>
      <c r="W502" s="9" t="str">
        <f t="shared" si="26"/>
        <v>Lydney RD</v>
      </c>
      <c r="X502" s="9" t="str">
        <f>INDEX(Lookup!$A$2:$A$1349, MATCH(W502, Lookup!$B$2:$B$1349,0))</f>
        <v>J04000794</v>
      </c>
      <c r="Y502" s="9" t="str">
        <f>INDEX(Lookup!$F$2:$F$1349, MATCH(W502, Lookup!$B$2:$B$1349,0))</f>
        <v>e130360</v>
      </c>
      <c r="Z502" s="6" t="str">
        <f>INDEX(Lookup!$C$2:$C$1300, MATCH(X502, Lookup!$A$2:$A$1300,0))</f>
        <v>Gloucestershire</v>
      </c>
    </row>
    <row r="503" spans="1:26" ht="28.15" customHeight="1" x14ac:dyDescent="0.2">
      <c r="A503" s="6" t="s">
        <v>475</v>
      </c>
      <c r="B503" s="1" t="s">
        <v>475</v>
      </c>
      <c r="C503" s="2">
        <v>2091</v>
      </c>
      <c r="D503" s="2">
        <v>77738</v>
      </c>
      <c r="E503" s="2">
        <v>69</v>
      </c>
      <c r="F503" s="2">
        <v>8616</v>
      </c>
      <c r="G503" s="2">
        <v>5</v>
      </c>
      <c r="H503" s="2">
        <v>1341</v>
      </c>
      <c r="I503" s="2">
        <v>84</v>
      </c>
      <c r="J503" s="2">
        <v>6566</v>
      </c>
      <c r="K503" s="2">
        <v>9</v>
      </c>
      <c r="L503" s="2">
        <v>386</v>
      </c>
      <c r="M503" s="2">
        <v>111</v>
      </c>
      <c r="N503" s="2">
        <v>6453</v>
      </c>
      <c r="O503" s="2">
        <v>6</v>
      </c>
      <c r="P503" s="2">
        <v>1555</v>
      </c>
      <c r="Q503" s="2">
        <v>1828</v>
      </c>
      <c r="R503" s="2">
        <v>43698</v>
      </c>
      <c r="S503" s="2">
        <v>148181</v>
      </c>
      <c r="T503" s="10">
        <f t="shared" si="24"/>
        <v>87695</v>
      </c>
      <c r="U503" s="8">
        <f t="shared" si="25"/>
        <v>0.59181001612892337</v>
      </c>
      <c r="V503" s="9" t="s">
        <v>5271</v>
      </c>
      <c r="W503" s="9" t="str">
        <f t="shared" si="26"/>
        <v>Newent RD</v>
      </c>
      <c r="X503" s="9" t="str">
        <f>INDEX(Lookup!$A$2:$A$1349, MATCH(W503, Lookup!$B$2:$B$1349,0))</f>
        <v>J04000903</v>
      </c>
      <c r="Y503" s="9" t="str">
        <f>INDEX(Lookup!$F$2:$F$1349, MATCH(W503, Lookup!$B$2:$B$1349,0))</f>
        <v>e130361</v>
      </c>
      <c r="Z503" s="6" t="str">
        <f>INDEX(Lookup!$C$2:$C$1300, MATCH(X503, Lookup!$A$2:$A$1300,0))</f>
        <v>Gloucestershire</v>
      </c>
    </row>
    <row r="504" spans="1:26" ht="28.15" customHeight="1" x14ac:dyDescent="0.2">
      <c r="A504" s="6" t="s">
        <v>476</v>
      </c>
      <c r="B504" s="1" t="s">
        <v>476</v>
      </c>
      <c r="C504" s="2">
        <v>4627</v>
      </c>
      <c r="D504" s="2">
        <v>211382</v>
      </c>
      <c r="E504" s="2">
        <v>497</v>
      </c>
      <c r="F504" s="2">
        <v>65909</v>
      </c>
      <c r="G504" s="2">
        <v>138</v>
      </c>
      <c r="H504" s="2">
        <v>47527</v>
      </c>
      <c r="I504" s="2">
        <v>281</v>
      </c>
      <c r="J504" s="2">
        <v>32387</v>
      </c>
      <c r="K504" s="2">
        <v>33</v>
      </c>
      <c r="L504" s="2">
        <v>2164</v>
      </c>
      <c r="M504" s="2">
        <v>431</v>
      </c>
      <c r="N504" s="2">
        <v>42901</v>
      </c>
      <c r="O504" s="2">
        <v>18</v>
      </c>
      <c r="P504" s="2">
        <v>7265</v>
      </c>
      <c r="Q504" s="2">
        <v>40204</v>
      </c>
      <c r="R504" s="2">
        <v>127395</v>
      </c>
      <c r="S504" s="2">
        <v>577134</v>
      </c>
      <c r="T504" s="10">
        <f t="shared" si="24"/>
        <v>324818</v>
      </c>
      <c r="U504" s="8">
        <f t="shared" si="25"/>
        <v>0.56281210256197001</v>
      </c>
      <c r="V504" s="9" t="s">
        <v>5271</v>
      </c>
      <c r="W504" s="9" t="str">
        <f t="shared" si="26"/>
        <v>North Cotswold RD</v>
      </c>
      <c r="X504" s="9" t="str">
        <f>INDEX(Lookup!$A$2:$A$1349, MATCH(W504, Lookup!$B$2:$B$1349,0))</f>
        <v>J04000923</v>
      </c>
      <c r="Y504" s="9" t="str">
        <f>INDEX(Lookup!$F$2:$F$1349, MATCH(W504, Lookup!$B$2:$B$1349,0))</f>
        <v>e130362</v>
      </c>
      <c r="Z504" s="6" t="str">
        <f>INDEX(Lookup!$C$2:$C$1300, MATCH(X504, Lookup!$A$2:$A$1300,0))</f>
        <v>Gloucestershire</v>
      </c>
    </row>
    <row r="505" spans="1:26" ht="28.15" customHeight="1" x14ac:dyDescent="0.2">
      <c r="A505" s="6" t="s">
        <v>477</v>
      </c>
      <c r="B505" s="1" t="s">
        <v>477</v>
      </c>
      <c r="C505" s="2">
        <v>1774</v>
      </c>
      <c r="D505" s="2">
        <v>70146</v>
      </c>
      <c r="E505" s="2">
        <v>118</v>
      </c>
      <c r="F505" s="2">
        <v>16768</v>
      </c>
      <c r="G505" s="2">
        <v>55</v>
      </c>
      <c r="H505" s="2">
        <v>17838</v>
      </c>
      <c r="I505" s="2">
        <v>61</v>
      </c>
      <c r="J505" s="2">
        <v>6219</v>
      </c>
      <c r="K505" s="2">
        <v>11</v>
      </c>
      <c r="L505" s="2">
        <v>1697</v>
      </c>
      <c r="M505" s="2">
        <v>160</v>
      </c>
      <c r="N505" s="2">
        <v>14746</v>
      </c>
      <c r="O505" s="2">
        <v>2</v>
      </c>
      <c r="P505" s="2">
        <v>217</v>
      </c>
      <c r="Q505" s="2">
        <v>1269</v>
      </c>
      <c r="R505" s="2">
        <v>58421</v>
      </c>
      <c r="S505" s="2">
        <v>187321</v>
      </c>
      <c r="T505" s="10">
        <f t="shared" si="24"/>
        <v>104752</v>
      </c>
      <c r="U505" s="8">
        <f t="shared" si="25"/>
        <v>0.55921119361950877</v>
      </c>
      <c r="V505" s="9" t="s">
        <v>5271</v>
      </c>
      <c r="W505" s="9" t="str">
        <f t="shared" si="26"/>
        <v>Northleach RD</v>
      </c>
      <c r="X505" s="9" t="str">
        <f>INDEX(Lookup!$A$2:$A$1349, MATCH(W505, Lookup!$B$2:$B$1349,0))</f>
        <v>J04000935</v>
      </c>
      <c r="Y505" s="9" t="str">
        <f>INDEX(Lookup!$F$2:$F$1349, MATCH(W505, Lookup!$B$2:$B$1349,0))</f>
        <v>e130363</v>
      </c>
      <c r="Z505" s="6" t="str">
        <f>INDEX(Lookup!$C$2:$C$1300, MATCH(X505, Lookup!$A$2:$A$1300,0))</f>
        <v>Gloucestershire</v>
      </c>
    </row>
    <row r="506" spans="1:26" ht="28.15" customHeight="1" x14ac:dyDescent="0.2">
      <c r="A506" s="6" t="s">
        <v>478</v>
      </c>
      <c r="B506" s="1" t="s">
        <v>478</v>
      </c>
      <c r="C506" s="2">
        <v>12726</v>
      </c>
      <c r="D506" s="2">
        <v>724913</v>
      </c>
      <c r="E506" s="2">
        <v>551</v>
      </c>
      <c r="F506" s="2">
        <v>67275</v>
      </c>
      <c r="G506" s="2">
        <v>22</v>
      </c>
      <c r="H506" s="2">
        <v>6482</v>
      </c>
      <c r="I506" s="2">
        <v>391</v>
      </c>
      <c r="J506" s="2">
        <v>66741</v>
      </c>
      <c r="K506" s="2">
        <v>37</v>
      </c>
      <c r="L506" s="2">
        <v>11998</v>
      </c>
      <c r="M506" s="2">
        <v>893</v>
      </c>
      <c r="N506" s="2">
        <v>78402</v>
      </c>
      <c r="O506" s="2">
        <v>52</v>
      </c>
      <c r="P506" s="2">
        <v>631499</v>
      </c>
      <c r="Q506" s="2">
        <v>19754</v>
      </c>
      <c r="R506" s="2">
        <v>221515</v>
      </c>
      <c r="S506" s="2">
        <v>1828479</v>
      </c>
      <c r="T506" s="10">
        <f t="shared" si="24"/>
        <v>798670</v>
      </c>
      <c r="U506" s="8">
        <f t="shared" si="25"/>
        <v>0.43679473485886355</v>
      </c>
      <c r="V506" s="9" t="s">
        <v>5271</v>
      </c>
      <c r="W506" s="9" t="str">
        <f t="shared" si="26"/>
        <v>Sodbury RD</v>
      </c>
      <c r="X506" s="9" t="str">
        <f>INDEX(Lookup!$A$2:$A$1349, MATCH(W506, Lookup!$B$2:$B$1349,0))</f>
        <v>J04001153</v>
      </c>
      <c r="Y506" s="9" t="str">
        <f>INDEX(Lookup!$F$2:$F$1349, MATCH(W506, Lookup!$B$2:$B$1349,0))</f>
        <v>e130364</v>
      </c>
      <c r="Z506" s="6" t="str">
        <f>INDEX(Lookup!$C$2:$C$1300, MATCH(X506, Lookup!$A$2:$A$1300,0))</f>
        <v>Avon</v>
      </c>
    </row>
    <row r="507" spans="1:26" ht="28.15" customHeight="1" x14ac:dyDescent="0.2">
      <c r="A507" s="6" t="s">
        <v>479</v>
      </c>
      <c r="B507" s="1" t="s">
        <v>470</v>
      </c>
      <c r="C507" s="2">
        <v>8093</v>
      </c>
      <c r="D507" s="2">
        <v>360097</v>
      </c>
      <c r="E507" s="2">
        <v>863</v>
      </c>
      <c r="F507" s="2">
        <v>116581</v>
      </c>
      <c r="G507" s="2">
        <v>184</v>
      </c>
      <c r="H507" s="2">
        <v>47603</v>
      </c>
      <c r="I507" s="2">
        <v>249</v>
      </c>
      <c r="J507" s="2">
        <v>28284</v>
      </c>
      <c r="K507" s="2">
        <v>28</v>
      </c>
      <c r="L507" s="2">
        <v>2982</v>
      </c>
      <c r="M507" s="2">
        <v>657</v>
      </c>
      <c r="N507" s="2">
        <v>37617</v>
      </c>
      <c r="O507" s="2">
        <v>68</v>
      </c>
      <c r="P507" s="2">
        <v>135648</v>
      </c>
      <c r="Q507" s="2">
        <v>2768</v>
      </c>
      <c r="R507" s="2">
        <v>95138</v>
      </c>
      <c r="S507" s="2">
        <v>826718</v>
      </c>
      <c r="T507" s="10">
        <f t="shared" si="24"/>
        <v>524281</v>
      </c>
      <c r="U507" s="8">
        <f t="shared" si="25"/>
        <v>0.63417150709189829</v>
      </c>
      <c r="V507" s="9" t="s">
        <v>5271</v>
      </c>
      <c r="W507" s="9" t="str">
        <f t="shared" si="26"/>
        <v>Stroud RD</v>
      </c>
      <c r="X507" s="9" t="str">
        <f>INDEX(Lookup!$A$2:$A$1349, MATCH(W507, Lookup!$B$2:$B$1349,0))</f>
        <v>J04001226</v>
      </c>
      <c r="Y507" s="9" t="str">
        <f>INDEX(Lookup!$F$2:$F$1349, MATCH(W507, Lookup!$B$2:$B$1349,0))</f>
        <v>e130365</v>
      </c>
      <c r="Z507" s="6" t="str">
        <f>INDEX(Lookup!$C$2:$C$1300, MATCH(X507, Lookup!$A$2:$A$1300,0))</f>
        <v>Gloucestershire</v>
      </c>
    </row>
    <row r="508" spans="1:26" ht="28.15" customHeight="1" x14ac:dyDescent="0.2">
      <c r="A508" s="6" t="s">
        <v>480</v>
      </c>
      <c r="B508" s="1" t="s">
        <v>480</v>
      </c>
      <c r="C508" s="2">
        <v>1585</v>
      </c>
      <c r="D508" s="2">
        <v>59927</v>
      </c>
      <c r="E508" s="2">
        <v>65</v>
      </c>
      <c r="F508" s="2">
        <v>8536</v>
      </c>
      <c r="G508" s="2">
        <v>46</v>
      </c>
      <c r="H508" s="2">
        <v>15212</v>
      </c>
      <c r="I508" s="2">
        <v>101</v>
      </c>
      <c r="J508" s="2">
        <v>13664</v>
      </c>
      <c r="K508" s="2">
        <v>12</v>
      </c>
      <c r="L508" s="2">
        <v>1011</v>
      </c>
      <c r="M508" s="2">
        <v>217</v>
      </c>
      <c r="N508" s="2">
        <v>12138</v>
      </c>
      <c r="O508" s="2">
        <v>11</v>
      </c>
      <c r="P508" s="2">
        <v>15215</v>
      </c>
      <c r="Q508" s="2">
        <v>1598</v>
      </c>
      <c r="R508" s="2">
        <v>41675</v>
      </c>
      <c r="S508" s="2">
        <v>168976</v>
      </c>
      <c r="T508" s="10">
        <f t="shared" si="24"/>
        <v>83675</v>
      </c>
      <c r="U508" s="8">
        <f t="shared" si="25"/>
        <v>0.49518866584603732</v>
      </c>
      <c r="V508" s="9" t="s">
        <v>5271</v>
      </c>
      <c r="W508" s="9" t="str">
        <f t="shared" si="26"/>
        <v>Tetbury RD</v>
      </c>
      <c r="X508" s="9" t="str">
        <f>INDEX(Lookup!$A$2:$A$1349, MATCH(W508, Lookup!$B$2:$B$1349,0))</f>
        <v>J04001262</v>
      </c>
      <c r="Y508" s="9" t="str">
        <f>INDEX(Lookup!$F$2:$F$1349, MATCH(W508, Lookup!$B$2:$B$1349,0))</f>
        <v>e130366</v>
      </c>
      <c r="Z508" s="6" t="str">
        <f>INDEX(Lookup!$C$2:$C$1300, MATCH(X508, Lookup!$A$2:$A$1300,0))</f>
        <v>Gloucestershire</v>
      </c>
    </row>
    <row r="509" spans="1:26" ht="28.15" customHeight="1" x14ac:dyDescent="0.2">
      <c r="A509" s="6" t="s">
        <v>481</v>
      </c>
      <c r="B509" s="1" t="s">
        <v>481</v>
      </c>
      <c r="C509" s="2">
        <v>8005</v>
      </c>
      <c r="D509" s="2">
        <v>362934</v>
      </c>
      <c r="E509" s="2">
        <v>384</v>
      </c>
      <c r="F509" s="2">
        <v>47985</v>
      </c>
      <c r="G509" s="2">
        <v>22</v>
      </c>
      <c r="H509" s="2">
        <v>6169</v>
      </c>
      <c r="I509" s="2">
        <v>274</v>
      </c>
      <c r="J509" s="2">
        <v>32352</v>
      </c>
      <c r="K509" s="2">
        <v>58</v>
      </c>
      <c r="L509" s="2">
        <v>8634</v>
      </c>
      <c r="M509" s="2">
        <v>677</v>
      </c>
      <c r="N509" s="2">
        <v>57868</v>
      </c>
      <c r="O509" s="2">
        <v>29</v>
      </c>
      <c r="P509" s="2">
        <v>222117</v>
      </c>
      <c r="Q509" s="2">
        <v>43983</v>
      </c>
      <c r="R509" s="2">
        <v>156620</v>
      </c>
      <c r="S509" s="2">
        <v>938662</v>
      </c>
      <c r="T509" s="10">
        <f t="shared" si="24"/>
        <v>417088</v>
      </c>
      <c r="U509" s="8">
        <f t="shared" si="25"/>
        <v>0.44434311818311595</v>
      </c>
      <c r="V509" s="9" t="s">
        <v>5271</v>
      </c>
      <c r="W509" s="9" t="str">
        <f t="shared" si="26"/>
        <v>Thornbury RD</v>
      </c>
      <c r="X509" s="9" t="str">
        <f>INDEX(Lookup!$A$2:$A$1349, MATCH(W509, Lookup!$B$2:$B$1349,0))</f>
        <v>J04001271</v>
      </c>
      <c r="Y509" s="9" t="str">
        <f>INDEX(Lookup!$F$2:$F$1349, MATCH(W509, Lookup!$B$2:$B$1349,0))</f>
        <v>e130367</v>
      </c>
      <c r="Z509" s="6" t="str">
        <f>INDEX(Lookup!$C$2:$C$1300, MATCH(X509, Lookup!$A$2:$A$1300,0))</f>
        <v>Avon</v>
      </c>
    </row>
    <row r="510" spans="1:26" ht="28.15" customHeight="1" x14ac:dyDescent="0.2">
      <c r="A510" s="6" t="s">
        <v>482</v>
      </c>
      <c r="B510" s="1" t="s">
        <v>482</v>
      </c>
      <c r="C510" s="2">
        <v>5902</v>
      </c>
      <c r="D510" s="2">
        <v>359175</v>
      </c>
      <c r="E510" s="2">
        <v>564</v>
      </c>
      <c r="F510" s="2">
        <v>64163</v>
      </c>
      <c r="G510" s="2">
        <v>9</v>
      </c>
      <c r="H510" s="2">
        <v>2040</v>
      </c>
      <c r="I510" s="2">
        <v>101</v>
      </c>
      <c r="J510" s="2">
        <v>14467</v>
      </c>
      <c r="K510" s="2">
        <v>7</v>
      </c>
      <c r="L510" s="2">
        <v>1496</v>
      </c>
      <c r="M510" s="2">
        <v>413</v>
      </c>
      <c r="N510" s="2">
        <v>30008</v>
      </c>
      <c r="O510" s="2">
        <v>31</v>
      </c>
      <c r="P510" s="2">
        <v>79105</v>
      </c>
      <c r="Q510" s="2">
        <v>437</v>
      </c>
      <c r="R510" s="2">
        <v>53606</v>
      </c>
      <c r="S510" s="2">
        <v>604497</v>
      </c>
      <c r="T510" s="10">
        <f t="shared" si="24"/>
        <v>425378</v>
      </c>
      <c r="U510" s="8">
        <f t="shared" si="25"/>
        <v>0.70368918290744209</v>
      </c>
      <c r="V510" s="9" t="s">
        <v>5271</v>
      </c>
      <c r="W510" s="9" t="str">
        <f t="shared" si="26"/>
        <v>Warmley RD</v>
      </c>
      <c r="X510" s="9" t="str">
        <f>INDEX(Lookup!$A$2:$A$1349, MATCH(W510, Lookup!$B$2:$B$1349,0))</f>
        <v>J04001345</v>
      </c>
      <c r="Y510" s="9" t="str">
        <f>INDEX(Lookup!$F$2:$F$1349, MATCH(W510, Lookup!$B$2:$B$1349,0))</f>
        <v>e130368</v>
      </c>
      <c r="Z510" s="6" t="str">
        <f>INDEX(Lookup!$C$2:$C$1300, MATCH(X510, Lookup!$A$2:$A$1300,0))</f>
        <v>Avon</v>
      </c>
    </row>
    <row r="511" spans="1:26" ht="28.15" customHeight="1" x14ac:dyDescent="0.2">
      <c r="A511" s="6" t="s">
        <v>483</v>
      </c>
      <c r="B511" s="1" t="s">
        <v>483</v>
      </c>
      <c r="C511" s="2">
        <v>5405</v>
      </c>
      <c r="D511" s="2">
        <v>175307</v>
      </c>
      <c r="E511" s="2">
        <v>38</v>
      </c>
      <c r="F511" s="2">
        <v>4396</v>
      </c>
      <c r="G511" s="2">
        <v>1</v>
      </c>
      <c r="H511" s="2">
        <v>210</v>
      </c>
      <c r="I511" s="2">
        <v>249</v>
      </c>
      <c r="J511" s="2">
        <v>16407</v>
      </c>
      <c r="K511" s="2">
        <v>13</v>
      </c>
      <c r="L511" s="2">
        <v>628</v>
      </c>
      <c r="M511" s="2">
        <v>365</v>
      </c>
      <c r="N511" s="2">
        <v>19054</v>
      </c>
      <c r="O511" s="2">
        <v>24</v>
      </c>
      <c r="P511" s="2">
        <v>72321</v>
      </c>
      <c r="Q511" s="2">
        <v>1597</v>
      </c>
      <c r="R511" s="2">
        <v>67246</v>
      </c>
      <c r="S511" s="2">
        <v>357166</v>
      </c>
      <c r="T511" s="10">
        <f t="shared" si="24"/>
        <v>179913</v>
      </c>
      <c r="U511" s="8">
        <f t="shared" si="25"/>
        <v>0.50372375870043617</v>
      </c>
      <c r="V511" s="9" t="s">
        <v>5271</v>
      </c>
      <c r="W511" s="9" t="str">
        <f t="shared" si="26"/>
        <v>West Dean RD</v>
      </c>
      <c r="X511" s="9" t="str">
        <f>INDEX(Lookup!$A$2:$A$1349, MATCH(W511, Lookup!$B$2:$B$1349,0))</f>
        <v>J04001382</v>
      </c>
      <c r="Y511" s="9" t="str">
        <f>INDEX(Lookup!$F$2:$F$1349, MATCH(W511, Lookup!$B$2:$B$1349,0))</f>
        <v>e130369</v>
      </c>
      <c r="Z511" s="6" t="str">
        <f>INDEX(Lookup!$C$2:$C$1300, MATCH(X511, Lookup!$A$2:$A$1300,0))</f>
        <v>Gloucestershire</v>
      </c>
    </row>
    <row r="512" spans="1:26" ht="28.15" customHeight="1" x14ac:dyDescent="0.2">
      <c r="A512" s="6" t="s">
        <v>484</v>
      </c>
      <c r="B512" s="1" t="s">
        <v>484</v>
      </c>
      <c r="T512" s="10"/>
      <c r="W512" s="9" t="str">
        <f t="shared" si="26"/>
        <v xml:space="preserve">HAMPSHIRE </v>
      </c>
      <c r="X512" s="9" t="e">
        <f>INDEX(Lookup!$A$2:$A$1349, MATCH(W512, Lookup!$B$2:$B$1349,0))</f>
        <v>#N/A</v>
      </c>
      <c r="Y512" s="9" t="e">
        <f>INDEX(Lookup!$F$2:$F$1349, MATCH(W512, Lookup!$B$2:$B$1349,0))</f>
        <v>#N/A</v>
      </c>
      <c r="Z512" s="6" t="e">
        <f>INDEX(Lookup!$C$2:$C$1300, MATCH(X512, Lookup!$A$2:$A$1300,0))</f>
        <v>#N/A</v>
      </c>
    </row>
    <row r="513" spans="1:26" ht="28.15" customHeight="1" x14ac:dyDescent="0.2">
      <c r="A513" s="6" t="s">
        <v>175</v>
      </c>
      <c r="B513" s="1" t="s">
        <v>175</v>
      </c>
      <c r="T513" s="10"/>
      <c r="W513" s="9" t="str">
        <f t="shared" si="26"/>
        <v xml:space="preserve">Non-County Boroughs-- </v>
      </c>
      <c r="X513" s="9" t="e">
        <f>INDEX(Lookup!$A$2:$A$1349, MATCH(W513, Lookup!$B$2:$B$1349,0))</f>
        <v>#N/A</v>
      </c>
      <c r="Y513" s="9" t="e">
        <f>INDEX(Lookup!$F$2:$F$1349, MATCH(W513, Lookup!$B$2:$B$1349,0))</f>
        <v>#N/A</v>
      </c>
      <c r="Z513" s="6" t="e">
        <f>INDEX(Lookup!$C$2:$C$1300, MATCH(X513, Lookup!$A$2:$A$1300,0))</f>
        <v>#N/A</v>
      </c>
    </row>
    <row r="514" spans="1:26" ht="28.15" customHeight="1" x14ac:dyDescent="0.2">
      <c r="A514" s="6" t="s">
        <v>485</v>
      </c>
      <c r="B514" s="1" t="s">
        <v>485</v>
      </c>
      <c r="C514" s="2">
        <v>6626</v>
      </c>
      <c r="D514" s="2">
        <v>410769</v>
      </c>
      <c r="E514" s="2">
        <v>851</v>
      </c>
      <c r="F514" s="2">
        <v>104644</v>
      </c>
      <c r="G514" s="2">
        <v>52</v>
      </c>
      <c r="H514" s="2">
        <v>11237</v>
      </c>
      <c r="I514" s="2">
        <v>556</v>
      </c>
      <c r="J514" s="2">
        <v>209556</v>
      </c>
      <c r="K514" s="2">
        <v>68</v>
      </c>
      <c r="L514" s="2">
        <v>11499</v>
      </c>
      <c r="M514" s="2">
        <v>318</v>
      </c>
      <c r="N514" s="2">
        <v>123555</v>
      </c>
      <c r="O514" s="2">
        <v>32</v>
      </c>
      <c r="P514" s="2">
        <v>82140</v>
      </c>
      <c r="Q514" s="2">
        <v>128704</v>
      </c>
      <c r="R514" s="2">
        <v>122052</v>
      </c>
      <c r="S514" s="2">
        <v>1204156</v>
      </c>
      <c r="T514" s="10">
        <f t="shared" si="24"/>
        <v>526650</v>
      </c>
      <c r="U514" s="8">
        <f t="shared" si="25"/>
        <v>0.43736027557891172</v>
      </c>
      <c r="V514" s="9" t="s">
        <v>5268</v>
      </c>
      <c r="W514" s="9" t="str">
        <f t="shared" si="26"/>
        <v>Aldershot MB</v>
      </c>
      <c r="X514" s="9" t="str">
        <f>INDEX(Lookup!$A$2:$A$1349, MATCH(W514, Lookup!$B$2:$B$1349,0))</f>
        <v>J04000023</v>
      </c>
      <c r="Y514" s="9" t="str">
        <f>INDEX(Lookup!$F$2:$F$1349, MATCH(W514, Lookup!$B$2:$B$1349,0))</f>
        <v>e150414</v>
      </c>
      <c r="Z514" s="6" t="str">
        <f>INDEX(Lookup!$C$2:$C$1300, MATCH(X514, Lookup!$A$2:$A$1300,0))</f>
        <v>Hampshire</v>
      </c>
    </row>
    <row r="515" spans="1:26" ht="28.15" customHeight="1" x14ac:dyDescent="0.2">
      <c r="A515" s="6" t="s">
        <v>486</v>
      </c>
      <c r="B515" s="1" t="s">
        <v>486</v>
      </c>
      <c r="C515" s="2">
        <v>4365</v>
      </c>
      <c r="D515" s="2">
        <v>284319</v>
      </c>
      <c r="E515" s="2">
        <v>876</v>
      </c>
      <c r="F515" s="2">
        <v>107642</v>
      </c>
      <c r="G515" s="2">
        <v>42</v>
      </c>
      <c r="H515" s="2">
        <v>10043</v>
      </c>
      <c r="I515" s="2">
        <v>242</v>
      </c>
      <c r="J515" s="2">
        <v>99516</v>
      </c>
      <c r="K515" s="2">
        <v>50</v>
      </c>
      <c r="L515" s="2">
        <v>7779</v>
      </c>
      <c r="M515" s="2">
        <v>474</v>
      </c>
      <c r="N515" s="2">
        <v>68379</v>
      </c>
      <c r="O515" s="2">
        <v>33</v>
      </c>
      <c r="P515" s="2">
        <v>89897</v>
      </c>
      <c r="Q515" s="2">
        <v>20716</v>
      </c>
      <c r="R515" s="2">
        <v>73372</v>
      </c>
      <c r="S515" s="2">
        <v>760663</v>
      </c>
      <c r="T515" s="10">
        <f t="shared" ref="T515:T578" si="27">SUM(D515+F515+H515)</f>
        <v>402004</v>
      </c>
      <c r="U515" s="8">
        <f t="shared" ref="U515:U578" si="28">T515/S515</f>
        <v>0.52849159220311759</v>
      </c>
      <c r="V515" s="9" t="s">
        <v>5268</v>
      </c>
      <c r="W515" s="9" t="str">
        <f t="shared" ref="W515:W578" si="29">_xlfn.CONCAT(B515," ",V515)</f>
        <v>Andover MB</v>
      </c>
      <c r="X515" s="9" t="str">
        <f>INDEX(Lookup!$A$2:$A$1349, MATCH(W515, Lookup!$B$2:$B$1349,0))</f>
        <v>J04000043</v>
      </c>
      <c r="Y515" s="9" t="str">
        <f>INDEX(Lookup!$F$2:$F$1349, MATCH(W515, Lookup!$B$2:$B$1349,0))</f>
        <v>e150416</v>
      </c>
      <c r="Z515" s="6" t="str">
        <f>INDEX(Lookup!$C$2:$C$1300, MATCH(X515, Lookup!$A$2:$A$1300,0))</f>
        <v>Hampshire</v>
      </c>
    </row>
    <row r="516" spans="1:26" ht="28.15" customHeight="1" x14ac:dyDescent="0.2">
      <c r="A516" s="6" t="s">
        <v>487</v>
      </c>
      <c r="B516" s="1" t="s">
        <v>501</v>
      </c>
      <c r="C516" s="2">
        <v>8065</v>
      </c>
      <c r="D516" s="2">
        <v>534701</v>
      </c>
      <c r="E516" s="2">
        <v>754</v>
      </c>
      <c r="F516" s="2">
        <v>88980</v>
      </c>
      <c r="G516" s="2">
        <v>32</v>
      </c>
      <c r="H516" s="2">
        <v>8375</v>
      </c>
      <c r="I516" s="2">
        <v>311</v>
      </c>
      <c r="J516" s="2">
        <v>156559</v>
      </c>
      <c r="K516" s="2">
        <v>85</v>
      </c>
      <c r="L516" s="2">
        <v>20793</v>
      </c>
      <c r="M516" s="2">
        <v>1207</v>
      </c>
      <c r="N516" s="2">
        <v>75253</v>
      </c>
      <c r="O516" s="2">
        <v>31</v>
      </c>
      <c r="P516" s="2">
        <v>294949</v>
      </c>
      <c r="Q516" s="2">
        <v>5527</v>
      </c>
      <c r="R516" s="2">
        <v>112121</v>
      </c>
      <c r="S516" s="2">
        <v>1297228</v>
      </c>
      <c r="T516" s="10">
        <f t="shared" si="27"/>
        <v>632056</v>
      </c>
      <c r="U516" s="8">
        <f t="shared" si="28"/>
        <v>0.48723585984884693</v>
      </c>
      <c r="V516" s="9" t="s">
        <v>5268</v>
      </c>
      <c r="W516" s="9" t="str">
        <f t="shared" si="29"/>
        <v>Basingstoke MB</v>
      </c>
      <c r="X516" s="9" t="str">
        <f>INDEX(Lookup!$A$2:$A$1349, MATCH(W516, Lookup!$B$2:$B$1349,0))</f>
        <v>J04000097</v>
      </c>
      <c r="Y516" s="9" t="str">
        <f>INDEX(Lookup!$F$2:$F$1349, MATCH(W516, Lookup!$B$2:$B$1349,0))</f>
        <v>e150417</v>
      </c>
      <c r="Z516" s="6" t="str">
        <f>INDEX(Lookup!$C$2:$C$1300, MATCH(X516, Lookup!$A$2:$A$1300,0))</f>
        <v>Hampshire</v>
      </c>
    </row>
    <row r="517" spans="1:26" ht="28.15" customHeight="1" x14ac:dyDescent="0.2">
      <c r="A517" s="6" t="s">
        <v>488</v>
      </c>
      <c r="B517" s="1" t="s">
        <v>488</v>
      </c>
      <c r="C517" s="2">
        <v>4686</v>
      </c>
      <c r="D517" s="2">
        <v>344406</v>
      </c>
      <c r="E517" s="2">
        <v>4175</v>
      </c>
      <c r="F517" s="2">
        <v>558594</v>
      </c>
      <c r="G517" s="2">
        <v>166</v>
      </c>
      <c r="H517" s="2">
        <v>39210</v>
      </c>
      <c r="I517" s="2">
        <v>412</v>
      </c>
      <c r="J517" s="2">
        <v>121882</v>
      </c>
      <c r="K517" s="2">
        <v>65</v>
      </c>
      <c r="L517" s="2">
        <v>9871</v>
      </c>
      <c r="M517" s="2">
        <v>663</v>
      </c>
      <c r="N517" s="2">
        <v>75081</v>
      </c>
      <c r="O517" s="2">
        <v>55</v>
      </c>
      <c r="P517" s="2">
        <v>103474</v>
      </c>
      <c r="Q517" s="2">
        <v>22884</v>
      </c>
      <c r="R517" s="2">
        <v>118211</v>
      </c>
      <c r="S517" s="2">
        <v>1393613</v>
      </c>
      <c r="T517" s="10">
        <f t="shared" si="27"/>
        <v>942210</v>
      </c>
      <c r="U517" s="8">
        <f t="shared" si="28"/>
        <v>0.67609156918025304</v>
      </c>
      <c r="V517" s="9" t="s">
        <v>5268</v>
      </c>
      <c r="W517" s="9" t="str">
        <f t="shared" si="29"/>
        <v>Christchurch MB</v>
      </c>
      <c r="X517" s="9" t="str">
        <f>INDEX(Lookup!$A$2:$A$1349, MATCH(W517, Lookup!$B$2:$B$1349,0))</f>
        <v>J04000316</v>
      </c>
      <c r="Y517" s="9" t="str">
        <f>INDEX(Lookup!$F$2:$F$1349, MATCH(W517, Lookup!$B$2:$B$1349,0))</f>
        <v>e150418</v>
      </c>
      <c r="Z517" s="6" t="str">
        <f>INDEX(Lookup!$C$2:$C$1300, MATCH(X517, Lookup!$A$2:$A$1300,0))</f>
        <v>Dorset</v>
      </c>
    </row>
    <row r="518" spans="1:26" ht="28.15" customHeight="1" x14ac:dyDescent="0.2">
      <c r="A518" s="6" t="s">
        <v>489</v>
      </c>
      <c r="B518" s="1" t="s">
        <v>489</v>
      </c>
      <c r="C518" s="2">
        <v>9972</v>
      </c>
      <c r="D518" s="2">
        <v>688186</v>
      </c>
      <c r="E518" s="2">
        <v>2021</v>
      </c>
      <c r="F518" s="2">
        <v>249474</v>
      </c>
      <c r="G518" s="2">
        <v>19</v>
      </c>
      <c r="H518" s="2">
        <v>4182</v>
      </c>
      <c r="I518" s="2">
        <v>452</v>
      </c>
      <c r="J518" s="2">
        <v>106723</v>
      </c>
      <c r="K518" s="2">
        <v>53</v>
      </c>
      <c r="L518" s="2">
        <v>7861</v>
      </c>
      <c r="M518" s="2">
        <v>549</v>
      </c>
      <c r="N518" s="2">
        <v>61069</v>
      </c>
      <c r="O518" s="2">
        <v>38</v>
      </c>
      <c r="P518" s="2">
        <v>247744</v>
      </c>
      <c r="Q518" s="2">
        <v>4904</v>
      </c>
      <c r="R518" s="2">
        <v>130197</v>
      </c>
      <c r="S518" s="2">
        <v>1500340</v>
      </c>
      <c r="T518" s="10">
        <f t="shared" si="27"/>
        <v>941842</v>
      </c>
      <c r="U518" s="8">
        <f t="shared" si="28"/>
        <v>0.62775237612807766</v>
      </c>
      <c r="V518" s="9" t="s">
        <v>5268</v>
      </c>
      <c r="W518" s="9" t="str">
        <f t="shared" si="29"/>
        <v>Eastleigh MB</v>
      </c>
      <c r="X518" s="9" t="str">
        <f>INDEX(Lookup!$A$2:$A$1349, MATCH(W518, Lookup!$B$2:$B$1349,0))</f>
        <v>J04000457</v>
      </c>
      <c r="Y518" s="9" t="str">
        <f>INDEX(Lookup!$F$2:$F$1349, MATCH(W518, Lookup!$B$2:$B$1349,0))</f>
        <v>e150419</v>
      </c>
      <c r="Z518" s="6" t="str">
        <f>INDEX(Lookup!$C$2:$C$1300, MATCH(X518, Lookup!$A$2:$A$1300,0))</f>
        <v>Hampshire</v>
      </c>
    </row>
    <row r="519" spans="1:26" ht="28.15" customHeight="1" x14ac:dyDescent="0.2">
      <c r="A519" s="6" t="s">
        <v>490</v>
      </c>
      <c r="B519" s="1" t="s">
        <v>490</v>
      </c>
      <c r="C519" s="2">
        <v>16044</v>
      </c>
      <c r="D519" s="2">
        <v>1030771</v>
      </c>
      <c r="E519" s="2">
        <v>2174</v>
      </c>
      <c r="F519" s="2">
        <v>267833</v>
      </c>
      <c r="G519" s="2">
        <v>69</v>
      </c>
      <c r="H519" s="2">
        <v>15946</v>
      </c>
      <c r="I519" s="2">
        <v>773</v>
      </c>
      <c r="J519" s="2">
        <v>189645</v>
      </c>
      <c r="K519" s="2">
        <v>81</v>
      </c>
      <c r="L519" s="2">
        <v>9998</v>
      </c>
      <c r="M519" s="2">
        <v>1330</v>
      </c>
      <c r="N519" s="2">
        <v>73242</v>
      </c>
      <c r="O519" s="2">
        <v>54</v>
      </c>
      <c r="P519" s="2">
        <v>187734</v>
      </c>
      <c r="Q519" s="2">
        <v>176156</v>
      </c>
      <c r="R519" s="2">
        <v>173727</v>
      </c>
      <c r="S519" s="2">
        <v>2125052</v>
      </c>
      <c r="T519" s="10">
        <f t="shared" si="27"/>
        <v>1314550</v>
      </c>
      <c r="U519" s="8">
        <f t="shared" si="28"/>
        <v>0.6185966272825324</v>
      </c>
      <c r="V519" s="9" t="s">
        <v>5268</v>
      </c>
      <c r="W519" s="9" t="str">
        <f t="shared" si="29"/>
        <v>Gosport MB</v>
      </c>
      <c r="X519" s="9" t="str">
        <f>INDEX(Lookup!$A$2:$A$1349, MATCH(W519, Lookup!$B$2:$B$1349,0))</f>
        <v>J04000545</v>
      </c>
      <c r="Y519" s="9" t="str">
        <f>INDEX(Lookup!$F$2:$F$1349, MATCH(W519, Lookup!$B$2:$B$1349,0))</f>
        <v>e150423</v>
      </c>
      <c r="Z519" s="6" t="str">
        <f>INDEX(Lookup!$C$2:$C$1300, MATCH(X519, Lookup!$A$2:$A$1300,0))</f>
        <v>Hampshire</v>
      </c>
    </row>
    <row r="520" spans="1:26" ht="28.15" customHeight="1" x14ac:dyDescent="0.2">
      <c r="A520" s="6" t="s">
        <v>491</v>
      </c>
      <c r="B520" s="1" t="s">
        <v>491</v>
      </c>
      <c r="C520" s="2">
        <v>7094</v>
      </c>
      <c r="D520" s="2">
        <v>463269</v>
      </c>
      <c r="E520" s="2">
        <v>3702</v>
      </c>
      <c r="F520" s="2">
        <v>470542</v>
      </c>
      <c r="G520" s="2">
        <v>142</v>
      </c>
      <c r="H520" s="2">
        <v>35285</v>
      </c>
      <c r="I520" s="2">
        <v>491</v>
      </c>
      <c r="J520" s="2">
        <v>146045</v>
      </c>
      <c r="K520" s="2">
        <v>83</v>
      </c>
      <c r="L520" s="2">
        <v>12088</v>
      </c>
      <c r="N520" s="2">
        <v>67939</v>
      </c>
      <c r="O520" s="2">
        <v>76</v>
      </c>
      <c r="P520" s="2">
        <v>80947</v>
      </c>
      <c r="Q520" s="2">
        <v>6371</v>
      </c>
      <c r="R520" s="2">
        <v>111219</v>
      </c>
      <c r="S520" s="2">
        <v>1393705</v>
      </c>
      <c r="T520" s="10">
        <f t="shared" si="27"/>
        <v>969096</v>
      </c>
      <c r="U520" s="8">
        <f t="shared" si="28"/>
        <v>0.69533796606885967</v>
      </c>
      <c r="V520" s="9" t="s">
        <v>5268</v>
      </c>
      <c r="W520" s="9" t="str">
        <f t="shared" si="29"/>
        <v>Lymington MB</v>
      </c>
      <c r="X520" s="9" t="str">
        <f>INDEX(Lookup!$A$2:$A$1349, MATCH(W520, Lookup!$B$2:$B$1349,0))</f>
        <v>J04000796</v>
      </c>
      <c r="Y520" s="9" t="str">
        <f>INDEX(Lookup!$F$2:$F$1349, MATCH(W520, Lookup!$B$2:$B$1349,0))</f>
        <v>e150425</v>
      </c>
      <c r="Z520" s="6" t="str">
        <f>INDEX(Lookup!$C$2:$C$1300, MATCH(X520, Lookup!$A$2:$A$1300,0))</f>
        <v>Hampshire</v>
      </c>
    </row>
    <row r="521" spans="1:26" ht="28.15" customHeight="1" x14ac:dyDescent="0.2">
      <c r="A521" s="6" t="s">
        <v>492</v>
      </c>
      <c r="B521" s="1" t="s">
        <v>492</v>
      </c>
      <c r="C521" s="2">
        <v>1677</v>
      </c>
      <c r="D521" s="2">
        <v>93521</v>
      </c>
      <c r="E521" s="2">
        <v>235</v>
      </c>
      <c r="F521" s="2">
        <v>30268</v>
      </c>
      <c r="G521" s="2">
        <v>17</v>
      </c>
      <c r="H521" s="2">
        <v>4033</v>
      </c>
      <c r="I521" s="2">
        <v>133</v>
      </c>
      <c r="J521" s="2">
        <v>35567</v>
      </c>
      <c r="K521" s="2">
        <v>25</v>
      </c>
      <c r="L521" s="2">
        <v>4724</v>
      </c>
      <c r="M521" s="2">
        <v>152</v>
      </c>
      <c r="N521" s="2">
        <v>19267</v>
      </c>
      <c r="O521" s="2">
        <v>15</v>
      </c>
      <c r="P521" s="2">
        <v>44235</v>
      </c>
      <c r="Q521" s="2">
        <v>1506</v>
      </c>
      <c r="R521" s="2">
        <v>30855</v>
      </c>
      <c r="S521" s="2">
        <v>263976</v>
      </c>
      <c r="T521" s="10">
        <f t="shared" si="27"/>
        <v>127822</v>
      </c>
      <c r="U521" s="8">
        <f t="shared" si="28"/>
        <v>0.48421826226626663</v>
      </c>
      <c r="V521" s="9" t="s">
        <v>5268</v>
      </c>
      <c r="W521" s="9" t="str">
        <f t="shared" si="29"/>
        <v>Romsey MB</v>
      </c>
      <c r="X521" s="9" t="str">
        <f>INDEX(Lookup!$A$2:$A$1349, MATCH(W521, Lookup!$B$2:$B$1349,0))</f>
        <v>J04001063</v>
      </c>
      <c r="Y521" s="9" t="str">
        <f>INDEX(Lookup!$F$2:$F$1349, MATCH(W521, Lookup!$B$2:$B$1349,0))</f>
        <v>e150427</v>
      </c>
      <c r="Z521" s="6" t="str">
        <f>INDEX(Lookup!$C$2:$C$1300, MATCH(X521, Lookup!$A$2:$A$1300,0))</f>
        <v>Hampshire</v>
      </c>
    </row>
    <row r="522" spans="1:26" ht="28.15" customHeight="1" x14ac:dyDescent="0.2">
      <c r="A522" s="6" t="s">
        <v>493</v>
      </c>
      <c r="B522" s="1" t="s">
        <v>5402</v>
      </c>
      <c r="C522" s="2">
        <v>6764</v>
      </c>
      <c r="D522" s="2">
        <v>424652</v>
      </c>
      <c r="E522" s="2">
        <v>1575</v>
      </c>
      <c r="F522" s="2">
        <v>206968</v>
      </c>
      <c r="G522" s="2">
        <v>319</v>
      </c>
      <c r="H522" s="2">
        <v>86196</v>
      </c>
      <c r="I522" s="2">
        <v>483</v>
      </c>
      <c r="J522" s="2">
        <v>231349</v>
      </c>
      <c r="K522" s="2">
        <v>119</v>
      </c>
      <c r="L522" s="2">
        <v>52648</v>
      </c>
      <c r="M522" s="2">
        <v>1077</v>
      </c>
      <c r="N522" s="2">
        <v>116716</v>
      </c>
      <c r="O522" s="2">
        <v>46</v>
      </c>
      <c r="P522" s="2">
        <v>67065</v>
      </c>
      <c r="Q522" s="2">
        <v>27028</v>
      </c>
      <c r="R522" s="2">
        <v>183050</v>
      </c>
      <c r="S522" s="2">
        <v>1395672</v>
      </c>
      <c r="T522" s="10">
        <f t="shared" si="27"/>
        <v>717816</v>
      </c>
      <c r="U522" s="8">
        <f t="shared" si="28"/>
        <v>0.51431568448747267</v>
      </c>
      <c r="V522" s="9" t="s">
        <v>5268</v>
      </c>
      <c r="W522" s="9" t="str">
        <f t="shared" si="29"/>
        <v>Winchester, city of MB</v>
      </c>
      <c r="X522" s="9" t="str">
        <f>INDEX(Lookup!$A$2:$A$1349, MATCH(W522, Lookup!$B$2:$B$1349,0))</f>
        <v>J04001423</v>
      </c>
      <c r="Y522" s="9" t="str">
        <f>INDEX(Lookup!$F$2:$F$1349, MATCH(W522, Lookup!$B$2:$B$1349,0))</f>
        <v>e150428</v>
      </c>
      <c r="Z522" s="6" t="str">
        <f>INDEX(Lookup!$C$2:$C$1300, MATCH(X522, Lookup!$A$2:$A$1300,0))</f>
        <v>Hampshire</v>
      </c>
    </row>
    <row r="523" spans="1:26" ht="28.15" customHeight="1" x14ac:dyDescent="0.2">
      <c r="A523" s="6" t="s">
        <v>179</v>
      </c>
      <c r="B523" s="1" t="s">
        <v>179</v>
      </c>
      <c r="T523" s="10"/>
      <c r="W523" s="9" t="str">
        <f t="shared" si="29"/>
        <v xml:space="preserve">Urban Districts-- </v>
      </c>
      <c r="X523" s="9" t="e">
        <f>INDEX(Lookup!$A$2:$A$1349, MATCH(W523, Lookup!$B$2:$B$1349,0))</f>
        <v>#N/A</v>
      </c>
      <c r="Y523" s="9" t="e">
        <f>INDEX(Lookup!$F$2:$F$1349, MATCH(W523, Lookup!$B$2:$B$1349,0))</f>
        <v>#N/A</v>
      </c>
      <c r="Z523" s="6" t="e">
        <f>INDEX(Lookup!$C$2:$C$1300, MATCH(X523, Lookup!$A$2:$A$1300,0))</f>
        <v>#N/A</v>
      </c>
    </row>
    <row r="524" spans="1:26" ht="28.15" customHeight="1" x14ac:dyDescent="0.2">
      <c r="A524" s="6" t="s">
        <v>494</v>
      </c>
      <c r="B524" s="1" t="s">
        <v>494</v>
      </c>
      <c r="C524" s="2">
        <v>2525</v>
      </c>
      <c r="D524" s="2">
        <v>134986</v>
      </c>
      <c r="E524" s="2">
        <v>210</v>
      </c>
      <c r="F524" s="2">
        <v>25676</v>
      </c>
      <c r="G524" s="2">
        <v>20</v>
      </c>
      <c r="H524" s="2">
        <v>5277</v>
      </c>
      <c r="I524" s="2">
        <v>159</v>
      </c>
      <c r="J524" s="2">
        <v>4853</v>
      </c>
      <c r="K524" s="2">
        <v>28</v>
      </c>
      <c r="L524" s="2">
        <v>5750</v>
      </c>
      <c r="M524" s="2">
        <v>189</v>
      </c>
      <c r="N524" s="2">
        <v>25310</v>
      </c>
      <c r="O524" s="2">
        <v>25</v>
      </c>
      <c r="P524" s="2">
        <v>62000</v>
      </c>
      <c r="Q524" s="2">
        <v>10385</v>
      </c>
      <c r="R524" s="2">
        <v>38870</v>
      </c>
      <c r="S524" s="2">
        <v>356807</v>
      </c>
      <c r="T524" s="10">
        <f t="shared" si="27"/>
        <v>165939</v>
      </c>
      <c r="U524" s="8">
        <f t="shared" si="28"/>
        <v>0.4650665485822868</v>
      </c>
      <c r="V524" s="9" t="s">
        <v>5270</v>
      </c>
      <c r="W524" s="9" t="str">
        <f t="shared" si="29"/>
        <v>Alton UD</v>
      </c>
      <c r="X524" s="9" t="str">
        <f>INDEX(Lookup!$A$2:$A$1349, MATCH(W524, Lookup!$B$2:$B$1349,0))</f>
        <v>J04000033</v>
      </c>
      <c r="Y524" s="9" t="str">
        <f>INDEX(Lookup!$F$2:$F$1349, MATCH(W524, Lookup!$B$2:$B$1349,0))</f>
        <v>e150415</v>
      </c>
      <c r="Z524" s="6" t="str">
        <f>INDEX(Lookup!$C$2:$C$1300, MATCH(X524, Lookup!$A$2:$A$1300,0))</f>
        <v>Hampshire</v>
      </c>
    </row>
    <row r="525" spans="1:26" ht="28.15" customHeight="1" x14ac:dyDescent="0.2">
      <c r="A525" s="6" t="s">
        <v>495</v>
      </c>
      <c r="B525" s="1" t="s">
        <v>495</v>
      </c>
      <c r="C525" s="2">
        <v>15910</v>
      </c>
      <c r="D525" s="2">
        <v>1139683</v>
      </c>
      <c r="E525" s="2">
        <v>3384</v>
      </c>
      <c r="F525" s="2">
        <v>400867</v>
      </c>
      <c r="G525" s="2">
        <v>80</v>
      </c>
      <c r="H525" s="2">
        <v>19738</v>
      </c>
      <c r="I525" s="2">
        <v>574</v>
      </c>
      <c r="J525" s="2">
        <v>265346</v>
      </c>
      <c r="K525" s="2">
        <v>96</v>
      </c>
      <c r="L525" s="2">
        <v>17033</v>
      </c>
      <c r="M525" s="2">
        <v>982</v>
      </c>
      <c r="N525" s="2">
        <v>100098</v>
      </c>
      <c r="O525" s="2">
        <v>87</v>
      </c>
      <c r="P525" s="2">
        <v>137920</v>
      </c>
      <c r="Q525" s="2">
        <v>41614</v>
      </c>
      <c r="R525" s="2">
        <v>212796</v>
      </c>
      <c r="S525" s="2">
        <v>2335095</v>
      </c>
      <c r="T525" s="10">
        <f t="shared" si="27"/>
        <v>1560288</v>
      </c>
      <c r="U525" s="8">
        <f t="shared" si="28"/>
        <v>0.6681903734109319</v>
      </c>
      <c r="V525" s="9" t="s">
        <v>5270</v>
      </c>
      <c r="W525" s="9" t="str">
        <f t="shared" si="29"/>
        <v>Fareham UD</v>
      </c>
      <c r="X525" s="9" t="str">
        <f>INDEX(Lookup!$A$2:$A$1349, MATCH(W525, Lookup!$B$2:$B$1349,0))</f>
        <v>J04000491</v>
      </c>
      <c r="Y525" s="9" t="str">
        <f>INDEX(Lookup!$F$2:$F$1349, MATCH(W525, Lookup!$B$2:$B$1349,0))</f>
        <v>e150420</v>
      </c>
      <c r="Z525" s="6" t="str">
        <f>INDEX(Lookup!$C$2:$C$1300, MATCH(X525, Lookup!$A$2:$A$1300,0))</f>
        <v>Hampshire</v>
      </c>
    </row>
    <row r="526" spans="1:26" ht="28.15" customHeight="1" x14ac:dyDescent="0.2">
      <c r="A526" s="6" t="s">
        <v>496</v>
      </c>
      <c r="B526" s="1" t="s">
        <v>496</v>
      </c>
      <c r="C526" s="2">
        <v>7051</v>
      </c>
      <c r="D526" s="2">
        <v>476938</v>
      </c>
      <c r="E526" s="2">
        <v>1369</v>
      </c>
      <c r="F526" s="2">
        <v>175842</v>
      </c>
      <c r="G526" s="2">
        <v>68</v>
      </c>
      <c r="H526" s="2">
        <v>16077</v>
      </c>
      <c r="I526" s="2">
        <v>409</v>
      </c>
      <c r="J526" s="2">
        <v>117593</v>
      </c>
      <c r="K526" s="2">
        <v>25</v>
      </c>
      <c r="L526" s="2">
        <v>4708</v>
      </c>
      <c r="M526" s="2">
        <v>827</v>
      </c>
      <c r="N526" s="2">
        <v>45260</v>
      </c>
      <c r="O526" s="2">
        <v>23</v>
      </c>
      <c r="P526" s="2">
        <v>84571</v>
      </c>
      <c r="Q526" s="2">
        <v>151434</v>
      </c>
      <c r="R526" s="2">
        <v>111513</v>
      </c>
      <c r="S526" s="2">
        <v>1183936</v>
      </c>
      <c r="T526" s="10">
        <f t="shared" si="27"/>
        <v>668857</v>
      </c>
      <c r="U526" s="8">
        <f t="shared" si="28"/>
        <v>0.56494354424563487</v>
      </c>
      <c r="V526" s="9" t="s">
        <v>5270</v>
      </c>
      <c r="W526" s="9" t="str">
        <f t="shared" si="29"/>
        <v>Farnborough UD</v>
      </c>
      <c r="X526" s="9" t="str">
        <f>INDEX(Lookup!$A$2:$A$1349, MATCH(W526, Lookup!$B$2:$B$1349,0))</f>
        <v>J04000493</v>
      </c>
      <c r="Y526" s="9" t="str">
        <f>INDEX(Lookup!$F$2:$F$1349, MATCH(W526, Lookup!$B$2:$B$1349,0))</f>
        <v>e150421</v>
      </c>
      <c r="Z526" s="6" t="str">
        <f>INDEX(Lookup!$C$2:$C$1300, MATCH(X526, Lookup!$A$2:$A$1300,0))</f>
        <v>Hampshire</v>
      </c>
    </row>
    <row r="527" spans="1:26" ht="28.15" customHeight="1" x14ac:dyDescent="0.2">
      <c r="A527" s="6" t="s">
        <v>497</v>
      </c>
      <c r="B527" s="1" t="s">
        <v>497</v>
      </c>
      <c r="C527" s="2">
        <v>3457</v>
      </c>
      <c r="D527" s="2">
        <v>236700</v>
      </c>
      <c r="E527" s="2">
        <v>849</v>
      </c>
      <c r="F527" s="2">
        <v>110713</v>
      </c>
      <c r="G527" s="2">
        <v>216</v>
      </c>
      <c r="H527" s="2">
        <v>55846</v>
      </c>
      <c r="I527" s="2">
        <v>182</v>
      </c>
      <c r="J527" s="2">
        <v>63781</v>
      </c>
      <c r="K527" s="2">
        <v>28</v>
      </c>
      <c r="L527" s="2">
        <v>5190</v>
      </c>
      <c r="M527" s="2">
        <v>131</v>
      </c>
      <c r="N527" s="2">
        <v>23049</v>
      </c>
      <c r="O527" s="2">
        <v>10</v>
      </c>
      <c r="P527" s="2">
        <v>19595</v>
      </c>
      <c r="Q527" s="2">
        <v>5883</v>
      </c>
      <c r="R527" s="2">
        <v>33495</v>
      </c>
      <c r="S527" s="2">
        <v>554252</v>
      </c>
      <c r="T527" s="10">
        <f t="shared" si="27"/>
        <v>403259</v>
      </c>
      <c r="U527" s="8">
        <f t="shared" si="28"/>
        <v>0.72757337817454881</v>
      </c>
      <c r="V527" s="9" t="s">
        <v>5270</v>
      </c>
      <c r="W527" s="9" t="str">
        <f t="shared" si="29"/>
        <v>Fleet UD</v>
      </c>
      <c r="X527" s="9" t="str">
        <f>INDEX(Lookup!$A$2:$A$1349, MATCH(W527, Lookup!$B$2:$B$1349,0))</f>
        <v>J04000507</v>
      </c>
      <c r="Y527" s="9" t="str">
        <f>INDEX(Lookup!$F$2:$F$1349, MATCH(W527, Lookup!$B$2:$B$1349,0))</f>
        <v>e150422</v>
      </c>
      <c r="Z527" s="6" t="str">
        <f>INDEX(Lookup!$C$2:$C$1300, MATCH(X527, Lookup!$A$2:$A$1300,0))</f>
        <v>Hampshire</v>
      </c>
    </row>
    <row r="528" spans="1:26" ht="28.15" customHeight="1" x14ac:dyDescent="0.2">
      <c r="A528" s="6" t="s">
        <v>498</v>
      </c>
      <c r="B528" s="1" t="s">
        <v>5371</v>
      </c>
      <c r="C528" s="2">
        <v>21225</v>
      </c>
      <c r="D528" s="2">
        <v>1473117</v>
      </c>
      <c r="E528" s="2">
        <v>3896</v>
      </c>
      <c r="F528" s="2">
        <v>483889</v>
      </c>
      <c r="G528" s="2">
        <v>125</v>
      </c>
      <c r="H528" s="2">
        <v>29432</v>
      </c>
      <c r="I528" s="2">
        <v>853</v>
      </c>
      <c r="J528" s="2">
        <v>265575</v>
      </c>
      <c r="K528" s="2">
        <v>112</v>
      </c>
      <c r="L528" s="2">
        <v>23262</v>
      </c>
      <c r="M528" s="2">
        <v>1301</v>
      </c>
      <c r="N528" s="2">
        <v>103909</v>
      </c>
      <c r="O528" s="2">
        <v>70</v>
      </c>
      <c r="P528" s="2">
        <v>164959</v>
      </c>
      <c r="Q528" s="2">
        <v>6661</v>
      </c>
      <c r="R528" s="2">
        <v>230393</v>
      </c>
      <c r="S528" s="2">
        <v>2781197</v>
      </c>
      <c r="T528" s="10">
        <f t="shared" si="27"/>
        <v>1986438</v>
      </c>
      <c r="U528" s="8">
        <f t="shared" si="28"/>
        <v>0.7142385095338446</v>
      </c>
      <c r="V528" s="9" t="s">
        <v>5270</v>
      </c>
      <c r="W528" s="9" t="str">
        <f t="shared" si="29"/>
        <v>Havant and Waterloo UD</v>
      </c>
      <c r="X528" s="9" t="str">
        <f>INDEX(Lookup!$A$2:$A$1349, MATCH(W528, Lookup!$B$2:$B$1349,0))</f>
        <v>J04000586</v>
      </c>
      <c r="Y528" s="9" t="str">
        <f>INDEX(Lookup!$F$2:$F$1349, MATCH(W528, Lookup!$B$2:$B$1349,0))</f>
        <v>e150424</v>
      </c>
      <c r="Z528" s="6" t="str">
        <f>INDEX(Lookup!$C$2:$C$1300, MATCH(X528, Lookup!$A$2:$A$1300,0))</f>
        <v>Hampshire</v>
      </c>
    </row>
    <row r="529" spans="1:26" ht="28.15" customHeight="1" x14ac:dyDescent="0.2">
      <c r="A529" s="6" t="s">
        <v>499</v>
      </c>
      <c r="B529" s="1" t="s">
        <v>499</v>
      </c>
      <c r="C529" s="2">
        <v>1811</v>
      </c>
      <c r="D529" s="2">
        <v>109670</v>
      </c>
      <c r="E529" s="2">
        <v>576</v>
      </c>
      <c r="F529" s="2">
        <v>73408</v>
      </c>
      <c r="G529" s="2">
        <v>35</v>
      </c>
      <c r="H529" s="2">
        <v>8262</v>
      </c>
      <c r="I529" s="2">
        <v>158</v>
      </c>
      <c r="J529" s="2">
        <v>52112</v>
      </c>
      <c r="K529" s="2">
        <v>52</v>
      </c>
      <c r="L529" s="2">
        <v>12726</v>
      </c>
      <c r="M529" s="2">
        <v>323</v>
      </c>
      <c r="N529" s="2">
        <v>25436</v>
      </c>
      <c r="O529" s="2">
        <v>14</v>
      </c>
      <c r="P529" s="2">
        <v>23145</v>
      </c>
      <c r="Q529" s="2">
        <v>2249</v>
      </c>
      <c r="R529" s="2">
        <v>42117</v>
      </c>
      <c r="S529" s="2">
        <v>349125</v>
      </c>
      <c r="T529" s="10">
        <f t="shared" si="27"/>
        <v>191340</v>
      </c>
      <c r="U529" s="8">
        <f t="shared" si="28"/>
        <v>0.54805585392051559</v>
      </c>
      <c r="V529" s="9" t="s">
        <v>5270</v>
      </c>
      <c r="W529" s="9" t="str">
        <f t="shared" si="29"/>
        <v>Petersfield UD</v>
      </c>
      <c r="X529" s="9" t="str">
        <f>INDEX(Lookup!$A$2:$A$1349, MATCH(W529, Lookup!$B$2:$B$1349,0))</f>
        <v>J04000990</v>
      </c>
      <c r="Y529" s="9" t="str">
        <f>INDEX(Lookup!$F$2:$F$1349, MATCH(W529, Lookup!$B$2:$B$1349,0))</f>
        <v>e150426</v>
      </c>
      <c r="Z529" s="6" t="str">
        <f>INDEX(Lookup!$C$2:$C$1300, MATCH(X529, Lookup!$A$2:$A$1300,0))</f>
        <v>Hampshire</v>
      </c>
    </row>
    <row r="530" spans="1:26" ht="28.15" customHeight="1" x14ac:dyDescent="0.2">
      <c r="A530" s="6" t="s">
        <v>500</v>
      </c>
      <c r="B530" s="1" t="s">
        <v>500</v>
      </c>
      <c r="T530" s="10"/>
      <c r="W530" s="9" t="str">
        <f t="shared" si="29"/>
        <v xml:space="preserve">HAMPSHIRE-contd. </v>
      </c>
      <c r="X530" s="9" t="e">
        <f>INDEX(Lookup!$A$2:$A$1349, MATCH(W530, Lookup!$B$2:$B$1349,0))</f>
        <v>#N/A</v>
      </c>
      <c r="Y530" s="9" t="e">
        <f>INDEX(Lookup!$F$2:$F$1349, MATCH(W530, Lookup!$B$2:$B$1349,0))</f>
        <v>#N/A</v>
      </c>
      <c r="Z530" s="6" t="e">
        <f>INDEX(Lookup!$C$2:$C$1300, MATCH(X530, Lookup!$A$2:$A$1300,0))</f>
        <v>#N/A</v>
      </c>
    </row>
    <row r="531" spans="1:26" ht="28.15" customHeight="1" x14ac:dyDescent="0.2">
      <c r="A531" s="6" t="s">
        <v>212</v>
      </c>
      <c r="B531" s="1" t="s">
        <v>212</v>
      </c>
      <c r="T531" s="10"/>
      <c r="W531" s="9" t="str">
        <f t="shared" si="29"/>
        <v xml:space="preserve">Rural Districts-- </v>
      </c>
      <c r="X531" s="9" t="e">
        <f>INDEX(Lookup!$A$2:$A$1349, MATCH(W531, Lookup!$B$2:$B$1349,0))</f>
        <v>#N/A</v>
      </c>
      <c r="Y531" s="9" t="e">
        <f>INDEX(Lookup!$F$2:$F$1349, MATCH(W531, Lookup!$B$2:$B$1349,0))</f>
        <v>#N/A</v>
      </c>
      <c r="Z531" s="6" t="e">
        <f>INDEX(Lookup!$C$2:$C$1300, MATCH(X531, Lookup!$A$2:$A$1300,0))</f>
        <v>#N/A</v>
      </c>
    </row>
    <row r="532" spans="1:26" ht="28.15" customHeight="1" x14ac:dyDescent="0.2">
      <c r="A532" s="6" t="s">
        <v>494</v>
      </c>
      <c r="B532" s="1" t="s">
        <v>494</v>
      </c>
      <c r="C532" s="2">
        <v>5321</v>
      </c>
      <c r="D532" s="2">
        <v>278604</v>
      </c>
      <c r="E532" s="2">
        <v>562</v>
      </c>
      <c r="F532" s="2">
        <v>74541</v>
      </c>
      <c r="G532" s="2">
        <v>156</v>
      </c>
      <c r="H532" s="2">
        <v>46594</v>
      </c>
      <c r="I532" s="2">
        <v>188</v>
      </c>
      <c r="J532" s="2">
        <v>28989</v>
      </c>
      <c r="K532" s="2">
        <v>9</v>
      </c>
      <c r="L532" s="2">
        <v>639</v>
      </c>
      <c r="M532" s="2">
        <v>229</v>
      </c>
      <c r="N532" s="2">
        <v>28073</v>
      </c>
      <c r="O532" s="2">
        <v>16</v>
      </c>
      <c r="P532" s="2">
        <v>15535</v>
      </c>
      <c r="Q532" s="2">
        <v>82636</v>
      </c>
      <c r="R532" s="2">
        <v>108825</v>
      </c>
      <c r="S532" s="2">
        <v>664436</v>
      </c>
      <c r="T532" s="10">
        <f t="shared" si="27"/>
        <v>399739</v>
      </c>
      <c r="U532" s="8">
        <f t="shared" si="28"/>
        <v>0.60162152562474036</v>
      </c>
      <c r="V532" s="9" t="s">
        <v>5271</v>
      </c>
      <c r="W532" s="9" t="str">
        <f t="shared" si="29"/>
        <v>Alton RD</v>
      </c>
      <c r="X532" s="9" t="str">
        <f>INDEX(Lookup!$A$2:$A$1349, MATCH(W532, Lookup!$B$2:$B$1349,0))</f>
        <v>J04000032</v>
      </c>
      <c r="Y532" s="9" t="str">
        <f>INDEX(Lookup!$F$2:$F$1349, MATCH(W532, Lookup!$B$2:$B$1349,0))</f>
        <v>e150429</v>
      </c>
      <c r="Z532" s="6" t="str">
        <f>INDEX(Lookup!$C$2:$C$1300, MATCH(X532, Lookup!$A$2:$A$1300,0))</f>
        <v>Hampshire</v>
      </c>
    </row>
    <row r="533" spans="1:26" ht="28.15" customHeight="1" x14ac:dyDescent="0.2">
      <c r="A533" s="6" t="s">
        <v>486</v>
      </c>
      <c r="B533" s="1" t="s">
        <v>486</v>
      </c>
      <c r="C533" s="2">
        <v>2881</v>
      </c>
      <c r="D533" s="2">
        <v>141803</v>
      </c>
      <c r="E533" s="2">
        <v>322</v>
      </c>
      <c r="F533" s="2">
        <v>40677</v>
      </c>
      <c r="G533" s="2">
        <v>68</v>
      </c>
      <c r="H533" s="2">
        <v>21869</v>
      </c>
      <c r="I533" s="2">
        <v>70</v>
      </c>
      <c r="J533" s="2">
        <v>11317</v>
      </c>
      <c r="K533" s="2">
        <v>3</v>
      </c>
      <c r="L533" s="2">
        <v>57</v>
      </c>
      <c r="M533" s="2">
        <v>281</v>
      </c>
      <c r="N533" s="2">
        <v>21505</v>
      </c>
      <c r="O533" s="2">
        <v>14</v>
      </c>
      <c r="P533" s="2">
        <v>32126</v>
      </c>
      <c r="Q533" s="2">
        <v>78262</v>
      </c>
      <c r="R533" s="2">
        <v>74190</v>
      </c>
      <c r="S533" s="2">
        <v>421806</v>
      </c>
      <c r="T533" s="10">
        <f t="shared" si="27"/>
        <v>204349</v>
      </c>
      <c r="U533" s="8">
        <f t="shared" si="28"/>
        <v>0.48446205127475667</v>
      </c>
      <c r="V533" s="9" t="s">
        <v>5271</v>
      </c>
      <c r="W533" s="9" t="str">
        <f t="shared" si="29"/>
        <v>Andover RD</v>
      </c>
      <c r="X533" s="9" t="str">
        <f>INDEX(Lookup!$A$2:$A$1349, MATCH(W533, Lookup!$B$2:$B$1349,0))</f>
        <v>J04000044</v>
      </c>
      <c r="Y533" s="9" t="str">
        <f>INDEX(Lookup!$F$2:$F$1349, MATCH(W533, Lookup!$B$2:$B$1349,0))</f>
        <v>e150430</v>
      </c>
      <c r="Z533" s="6" t="str">
        <f>INDEX(Lookup!$C$2:$C$1300, MATCH(X533, Lookup!$A$2:$A$1300,0))</f>
        <v>Hampshire</v>
      </c>
    </row>
    <row r="534" spans="1:26" ht="28.15" customHeight="1" x14ac:dyDescent="0.2">
      <c r="A534" s="6" t="s">
        <v>501</v>
      </c>
      <c r="B534" s="1" t="s">
        <v>501</v>
      </c>
      <c r="C534" s="2">
        <v>3844</v>
      </c>
      <c r="D534" s="2">
        <v>219519</v>
      </c>
      <c r="E534" s="2">
        <v>422</v>
      </c>
      <c r="F534" s="2">
        <v>53616</v>
      </c>
      <c r="G534" s="2">
        <v>106</v>
      </c>
      <c r="H534" s="2">
        <v>40408</v>
      </c>
      <c r="I534" s="2">
        <v>63</v>
      </c>
      <c r="J534" s="2">
        <v>8233</v>
      </c>
      <c r="K534" s="2">
        <v>5</v>
      </c>
      <c r="L534" s="2">
        <v>385</v>
      </c>
      <c r="M534" s="2">
        <v>243</v>
      </c>
      <c r="N534" s="2">
        <v>23743</v>
      </c>
      <c r="O534" s="2">
        <v>11</v>
      </c>
      <c r="P534" s="2">
        <v>21086</v>
      </c>
      <c r="Q534" s="2">
        <v>47460</v>
      </c>
      <c r="R534" s="2">
        <v>78731</v>
      </c>
      <c r="S534" s="2">
        <v>493181</v>
      </c>
      <c r="T534" s="10">
        <f t="shared" si="27"/>
        <v>313543</v>
      </c>
      <c r="U534" s="8">
        <f t="shared" si="28"/>
        <v>0.63575644641622442</v>
      </c>
      <c r="V534" s="9" t="s">
        <v>5271</v>
      </c>
      <c r="W534" s="9" t="str">
        <f t="shared" si="29"/>
        <v>Basingstoke RD</v>
      </c>
      <c r="X534" s="9" t="str">
        <f>INDEX(Lookup!$A$2:$A$1349, MATCH(W534, Lookup!$B$2:$B$1349,0))</f>
        <v>J04000098</v>
      </c>
      <c r="Y534" s="9" t="str">
        <f>INDEX(Lookup!$F$2:$F$1349, MATCH(W534, Lookup!$B$2:$B$1349,0))</f>
        <v>e150431</v>
      </c>
      <c r="Z534" s="6" t="str">
        <f>INDEX(Lookup!$C$2:$C$1300, MATCH(X534, Lookup!$A$2:$A$1300,0))</f>
        <v>Hampshire</v>
      </c>
    </row>
    <row r="535" spans="1:26" ht="28.15" customHeight="1" x14ac:dyDescent="0.2">
      <c r="A535" s="6" t="s">
        <v>502</v>
      </c>
      <c r="B535" s="1" t="s">
        <v>502</v>
      </c>
      <c r="C535" s="2">
        <v>5161</v>
      </c>
      <c r="D535" s="2">
        <v>275116</v>
      </c>
      <c r="E535" s="2">
        <v>621</v>
      </c>
      <c r="F535" s="2">
        <v>81099</v>
      </c>
      <c r="G535" s="2">
        <v>124</v>
      </c>
      <c r="H535" s="2">
        <v>35058</v>
      </c>
      <c r="I535" s="2">
        <v>183</v>
      </c>
      <c r="J535" s="2">
        <v>28268</v>
      </c>
      <c r="K535" s="2">
        <v>24</v>
      </c>
      <c r="L535" s="2">
        <v>2987</v>
      </c>
      <c r="M535" s="2">
        <v>348</v>
      </c>
      <c r="N535" s="2">
        <v>35720</v>
      </c>
      <c r="O535" s="2">
        <v>20</v>
      </c>
      <c r="P535" s="2">
        <v>16775</v>
      </c>
      <c r="Q535" s="2">
        <v>35351</v>
      </c>
      <c r="R535" s="2">
        <v>101234</v>
      </c>
      <c r="S535" s="2">
        <v>611608</v>
      </c>
      <c r="T535" s="10">
        <f t="shared" si="27"/>
        <v>391273</v>
      </c>
      <c r="U535" s="8">
        <f t="shared" si="28"/>
        <v>0.63974473845992863</v>
      </c>
      <c r="V535" s="9" t="s">
        <v>5271</v>
      </c>
      <c r="W535" s="9" t="str">
        <f t="shared" si="29"/>
        <v>Droxford RD</v>
      </c>
      <c r="X535" s="9" t="str">
        <f>INDEX(Lookup!$A$2:$A$1349, MATCH(W535, Lookup!$B$2:$B$1349,0))</f>
        <v>J04000431</v>
      </c>
      <c r="Y535" s="9" t="str">
        <f>INDEX(Lookup!$F$2:$F$1349, MATCH(W535, Lookup!$B$2:$B$1349,0))</f>
        <v>e150432</v>
      </c>
      <c r="Z535" s="6" t="str">
        <f>INDEX(Lookup!$C$2:$C$1300, MATCH(X535, Lookup!$A$2:$A$1300,0))</f>
        <v>Hampshire</v>
      </c>
    </row>
    <row r="536" spans="1:26" ht="28.15" customHeight="1" x14ac:dyDescent="0.2">
      <c r="A536" s="6" t="s">
        <v>503</v>
      </c>
      <c r="B536" s="1" t="s">
        <v>503</v>
      </c>
      <c r="C536" s="2">
        <v>5582</v>
      </c>
      <c r="D536" s="2">
        <v>314899</v>
      </c>
      <c r="E536" s="2">
        <v>849</v>
      </c>
      <c r="F536" s="2">
        <v>111613</v>
      </c>
      <c r="G536" s="2">
        <v>231</v>
      </c>
      <c r="H536" s="2">
        <v>66115</v>
      </c>
      <c r="I536" s="2">
        <v>184</v>
      </c>
      <c r="J536" s="2">
        <v>29220</v>
      </c>
      <c r="K536" s="2">
        <v>8</v>
      </c>
      <c r="L536" s="2">
        <v>997</v>
      </c>
      <c r="M536" s="2">
        <v>492</v>
      </c>
      <c r="N536" s="2">
        <v>39668</v>
      </c>
      <c r="O536" s="2">
        <v>20</v>
      </c>
      <c r="P536" s="2">
        <v>33380</v>
      </c>
      <c r="Q536" s="2">
        <v>73990</v>
      </c>
      <c r="R536" s="2">
        <v>117536</v>
      </c>
      <c r="S536" s="2">
        <v>787418</v>
      </c>
      <c r="T536" s="10">
        <f t="shared" si="27"/>
        <v>492627</v>
      </c>
      <c r="U536" s="8">
        <f t="shared" si="28"/>
        <v>0.62562323949922405</v>
      </c>
      <c r="V536" s="9" t="s">
        <v>5271</v>
      </c>
      <c r="W536" s="9" t="str">
        <f t="shared" si="29"/>
        <v>Hartley Wintney RD</v>
      </c>
      <c r="X536" s="9" t="str">
        <f>INDEX(Lookup!$A$2:$A$1349, MATCH(W536, Lookup!$B$2:$B$1349,0))</f>
        <v>J04000580</v>
      </c>
      <c r="Y536" s="9" t="str">
        <f>INDEX(Lookup!$F$2:$F$1349, MATCH(W536, Lookup!$B$2:$B$1349,0))</f>
        <v>e150433</v>
      </c>
      <c r="Z536" s="6" t="str">
        <f>INDEX(Lookup!$C$2:$C$1300, MATCH(X536, Lookup!$A$2:$A$1300,0))</f>
        <v>Hampshire</v>
      </c>
    </row>
    <row r="537" spans="1:26" ht="28.15" customHeight="1" x14ac:dyDescent="0.2">
      <c r="A537" s="6" t="s">
        <v>504</v>
      </c>
      <c r="B537" s="1" t="s">
        <v>5372</v>
      </c>
      <c r="C537" s="2">
        <v>6022</v>
      </c>
      <c r="D537" s="2">
        <v>336366</v>
      </c>
      <c r="E537" s="2">
        <v>431</v>
      </c>
      <c r="F537" s="2">
        <v>57323</v>
      </c>
      <c r="G537" s="2">
        <v>145</v>
      </c>
      <c r="H537" s="2">
        <v>47240</v>
      </c>
      <c r="I537" s="2">
        <v>179</v>
      </c>
      <c r="J537" s="2">
        <v>29391</v>
      </c>
      <c r="K537" s="2">
        <v>10</v>
      </c>
      <c r="L537" s="2">
        <v>734</v>
      </c>
      <c r="M537" s="2">
        <v>938</v>
      </c>
      <c r="N537" s="2">
        <v>31400</v>
      </c>
      <c r="O537" s="2">
        <v>9</v>
      </c>
      <c r="P537" s="2">
        <v>81158</v>
      </c>
      <c r="Q537" s="2">
        <v>7462</v>
      </c>
      <c r="R537" s="2">
        <v>108679</v>
      </c>
      <c r="S537" s="2">
        <v>699753</v>
      </c>
      <c r="T537" s="10">
        <f t="shared" si="27"/>
        <v>440929</v>
      </c>
      <c r="U537" s="8">
        <f t="shared" si="28"/>
        <v>0.63012091409397319</v>
      </c>
      <c r="V537" s="9" t="s">
        <v>5271</v>
      </c>
      <c r="W537" s="9" t="str">
        <f t="shared" si="29"/>
        <v>Kingsclere and Whitchurch RD</v>
      </c>
      <c r="X537" s="9" t="str">
        <f>INDEX(Lookup!$A$2:$A$1349, MATCH(W537, Lookup!$B$2:$B$1349,0))</f>
        <v>J04000698</v>
      </c>
      <c r="Y537" s="9" t="str">
        <f>INDEX(Lookup!$F$2:$F$1349, MATCH(W537, Lookup!$B$2:$B$1349,0))</f>
        <v>e150435</v>
      </c>
      <c r="Z537" s="6" t="str">
        <f>INDEX(Lookup!$C$2:$C$1300, MATCH(X537, Lookup!$A$2:$A$1300,0))</f>
        <v>Hampshire</v>
      </c>
    </row>
    <row r="538" spans="1:26" ht="28.15" customHeight="1" x14ac:dyDescent="0.2">
      <c r="A538" s="6" t="s">
        <v>505</v>
      </c>
      <c r="B538" s="1" t="s">
        <v>505</v>
      </c>
      <c r="C538" s="2">
        <v>15571</v>
      </c>
      <c r="D538" s="2">
        <v>979796</v>
      </c>
      <c r="E538" s="2">
        <v>1705</v>
      </c>
      <c r="F538" s="2">
        <v>216043</v>
      </c>
      <c r="G538" s="2">
        <v>244</v>
      </c>
      <c r="H538" s="2">
        <v>66980</v>
      </c>
      <c r="I538" s="2">
        <v>535</v>
      </c>
      <c r="J538" s="2">
        <v>87054</v>
      </c>
      <c r="K538" s="2">
        <v>85</v>
      </c>
      <c r="L538" s="2">
        <v>9634</v>
      </c>
      <c r="M538" s="2">
        <v>1273</v>
      </c>
      <c r="N538" s="2">
        <v>103589</v>
      </c>
      <c r="O538" s="2">
        <v>76</v>
      </c>
      <c r="P538" s="2">
        <v>1906207</v>
      </c>
      <c r="Q538" s="2">
        <v>34206</v>
      </c>
      <c r="R538" s="2">
        <v>494309</v>
      </c>
      <c r="S538" s="2">
        <v>3897818</v>
      </c>
      <c r="T538" s="10">
        <f t="shared" si="27"/>
        <v>1262819</v>
      </c>
      <c r="U538" s="8">
        <f t="shared" si="28"/>
        <v>0.3239810068094508</v>
      </c>
      <c r="V538" s="9" t="s">
        <v>5271</v>
      </c>
      <c r="W538" s="9" t="str">
        <f t="shared" si="29"/>
        <v>New Forest RD</v>
      </c>
      <c r="X538" s="9" t="str">
        <f>INDEX(Lookup!$A$2:$A$1349, MATCH(W538, Lookup!$B$2:$B$1349,0))</f>
        <v>J04000886</v>
      </c>
      <c r="Y538" s="9" t="str">
        <f>INDEX(Lookup!$F$2:$F$1349, MATCH(W538, Lookup!$B$2:$B$1349,0))</f>
        <v>e150436</v>
      </c>
      <c r="Z538" s="6" t="str">
        <f>INDEX(Lookup!$C$2:$C$1300, MATCH(X538, Lookup!$A$2:$A$1300,0))</f>
        <v>Hampshire</v>
      </c>
    </row>
    <row r="539" spans="1:26" ht="28.15" customHeight="1" x14ac:dyDescent="0.2">
      <c r="A539" s="6" t="s">
        <v>499</v>
      </c>
      <c r="B539" s="1" t="s">
        <v>499</v>
      </c>
      <c r="C539" s="2">
        <v>5568</v>
      </c>
      <c r="D539" s="2">
        <v>335838</v>
      </c>
      <c r="E539" s="2">
        <v>1012</v>
      </c>
      <c r="F539" s="2">
        <v>130406</v>
      </c>
      <c r="G539" s="2">
        <v>133</v>
      </c>
      <c r="H539" s="2">
        <v>38719</v>
      </c>
      <c r="I539" s="2">
        <v>186</v>
      </c>
      <c r="J539" s="2">
        <v>23699</v>
      </c>
      <c r="K539" s="2">
        <v>14</v>
      </c>
      <c r="L539" s="2">
        <v>964</v>
      </c>
      <c r="M539" s="2">
        <v>306</v>
      </c>
      <c r="N539" s="2">
        <v>33448</v>
      </c>
      <c r="O539" s="2">
        <v>17</v>
      </c>
      <c r="P539" s="2">
        <v>15716</v>
      </c>
      <c r="Q539" s="2">
        <v>20748</v>
      </c>
      <c r="R539" s="2">
        <v>88866</v>
      </c>
      <c r="S539" s="2">
        <v>688404</v>
      </c>
      <c r="T539" s="10">
        <f t="shared" si="27"/>
        <v>504963</v>
      </c>
      <c r="U539" s="8">
        <f t="shared" si="28"/>
        <v>0.73352711489183675</v>
      </c>
      <c r="V539" s="9" t="s">
        <v>5271</v>
      </c>
      <c r="W539" s="9" t="str">
        <f t="shared" si="29"/>
        <v>Petersfield RD</v>
      </c>
      <c r="X539" s="9" t="str">
        <f>INDEX(Lookup!$A$2:$A$1349, MATCH(W539, Lookup!$B$2:$B$1349,0))</f>
        <v>J04000989</v>
      </c>
      <c r="Y539" s="9" t="str">
        <f>INDEX(Lookup!$F$2:$F$1349, MATCH(W539, Lookup!$B$2:$B$1349,0))</f>
        <v>e150437</v>
      </c>
      <c r="Z539" s="6" t="str">
        <f>INDEX(Lookup!$C$2:$C$1300, MATCH(X539, Lookup!$A$2:$A$1300,0))</f>
        <v>Hampshire</v>
      </c>
    </row>
    <row r="540" spans="1:26" ht="28.15" customHeight="1" x14ac:dyDescent="0.2">
      <c r="A540" s="6" t="s">
        <v>506</v>
      </c>
      <c r="B540" s="1" t="s">
        <v>506</v>
      </c>
      <c r="C540" s="2">
        <v>6784</v>
      </c>
      <c r="D540" s="2">
        <v>401951</v>
      </c>
      <c r="E540" s="2">
        <v>1294</v>
      </c>
      <c r="F540" s="2">
        <v>166533</v>
      </c>
      <c r="G540" s="2">
        <v>154</v>
      </c>
      <c r="H540" s="2">
        <v>41307</v>
      </c>
      <c r="I540" s="2">
        <v>325</v>
      </c>
      <c r="J540" s="2">
        <v>50928</v>
      </c>
      <c r="K540" s="2">
        <v>70</v>
      </c>
      <c r="L540" s="2">
        <v>16357</v>
      </c>
      <c r="M540" s="2">
        <v>606</v>
      </c>
      <c r="N540" s="2">
        <v>54331</v>
      </c>
      <c r="O540" s="2">
        <v>42</v>
      </c>
      <c r="P540" s="2">
        <v>132655</v>
      </c>
      <c r="Q540" s="2">
        <v>20409</v>
      </c>
      <c r="R540" s="2">
        <v>174956</v>
      </c>
      <c r="S540" s="2">
        <v>1059447</v>
      </c>
      <c r="T540" s="10">
        <f t="shared" si="27"/>
        <v>609791</v>
      </c>
      <c r="U540" s="8">
        <f t="shared" si="28"/>
        <v>0.57557480459145194</v>
      </c>
      <c r="V540" s="9" t="s">
        <v>5271</v>
      </c>
      <c r="W540" s="9" t="str">
        <f t="shared" si="29"/>
        <v>Ringwood and Fordingbridge RD</v>
      </c>
      <c r="X540" s="9" t="str">
        <f>INDEX(Lookup!$A$2:$A$1349, MATCH(W540, Lookup!$B$2:$B$1349,0))</f>
        <v>J04001050</v>
      </c>
      <c r="Y540" s="9" t="str">
        <f>INDEX(Lookup!$F$2:$F$1349, MATCH(W540, Lookup!$B$2:$B$1349,0))</f>
        <v>e150438</v>
      </c>
      <c r="Z540" s="6" t="str">
        <f>INDEX(Lookup!$C$2:$C$1300, MATCH(X540, Lookup!$A$2:$A$1300,0))</f>
        <v>Hampshire</v>
      </c>
    </row>
    <row r="541" spans="1:26" ht="28.15" customHeight="1" x14ac:dyDescent="0.2">
      <c r="A541" s="6" t="s">
        <v>507</v>
      </c>
      <c r="B541" s="1" t="s">
        <v>507</v>
      </c>
      <c r="C541" s="2">
        <v>4607</v>
      </c>
      <c r="D541" s="2">
        <v>237111</v>
      </c>
      <c r="E541" s="2">
        <v>702</v>
      </c>
      <c r="F541" s="2">
        <v>95186</v>
      </c>
      <c r="G541" s="2">
        <v>224</v>
      </c>
      <c r="H541" s="2">
        <v>68500</v>
      </c>
      <c r="I541" s="2">
        <v>116</v>
      </c>
      <c r="J541" s="2">
        <v>17136</v>
      </c>
      <c r="K541" s="2">
        <v>4</v>
      </c>
      <c r="L541" s="2">
        <v>420</v>
      </c>
      <c r="M541" s="2">
        <v>220</v>
      </c>
      <c r="N541" s="2">
        <v>35568</v>
      </c>
      <c r="O541" s="2">
        <v>24</v>
      </c>
      <c r="P541" s="2">
        <v>35985</v>
      </c>
      <c r="Q541" s="2">
        <v>29731</v>
      </c>
      <c r="R541" s="2">
        <v>161064</v>
      </c>
      <c r="S541" s="2">
        <v>680701</v>
      </c>
      <c r="T541" s="10">
        <f t="shared" si="27"/>
        <v>400797</v>
      </c>
      <c r="U541" s="8">
        <f t="shared" si="28"/>
        <v>0.58880036903133681</v>
      </c>
      <c r="V541" s="9" t="s">
        <v>5271</v>
      </c>
      <c r="W541" s="9" t="str">
        <f t="shared" si="29"/>
        <v>Romsey and Stockbridge RD</v>
      </c>
      <c r="X541" s="9" t="str">
        <f>INDEX(Lookup!$A$2:$A$1349, MATCH(W541, Lookup!$B$2:$B$1349,0))</f>
        <v>J04001062</v>
      </c>
      <c r="Y541" s="9" t="str">
        <f>INDEX(Lookup!$F$2:$F$1349, MATCH(W541, Lookup!$B$2:$B$1349,0))</f>
        <v>e150440</v>
      </c>
      <c r="Z541" s="6" t="str">
        <f>INDEX(Lookup!$C$2:$C$1300, MATCH(X541, Lookup!$A$2:$A$1300,0))</f>
        <v>Hampshire</v>
      </c>
    </row>
    <row r="542" spans="1:26" ht="28.15" customHeight="1" x14ac:dyDescent="0.2">
      <c r="A542" s="6" t="s">
        <v>493</v>
      </c>
      <c r="B542" s="1" t="s">
        <v>493</v>
      </c>
      <c r="C542" s="2">
        <v>10871</v>
      </c>
      <c r="D542" s="2">
        <v>649973</v>
      </c>
      <c r="E542" s="2">
        <v>1868</v>
      </c>
      <c r="F542" s="2">
        <v>239061</v>
      </c>
      <c r="G542" s="2">
        <v>362</v>
      </c>
      <c r="H542" s="2">
        <v>101511</v>
      </c>
      <c r="I542" s="2">
        <v>291</v>
      </c>
      <c r="J542" s="2">
        <v>44840</v>
      </c>
      <c r="K542" s="2">
        <v>33</v>
      </c>
      <c r="L542" s="2">
        <v>6761</v>
      </c>
      <c r="M542" s="2">
        <v>1049</v>
      </c>
      <c r="N542" s="2">
        <v>89052</v>
      </c>
      <c r="O542" s="2">
        <v>55</v>
      </c>
      <c r="P542" s="2">
        <v>273675</v>
      </c>
      <c r="Q542" s="2">
        <v>36293</v>
      </c>
      <c r="R542" s="2">
        <v>248856</v>
      </c>
      <c r="S542" s="2">
        <v>1690022</v>
      </c>
      <c r="T542" s="10">
        <f t="shared" si="27"/>
        <v>990545</v>
      </c>
      <c r="U542" s="8">
        <f t="shared" si="28"/>
        <v>0.58611367189302865</v>
      </c>
      <c r="V542" s="9" t="s">
        <v>5271</v>
      </c>
      <c r="W542" s="9" t="str">
        <f t="shared" si="29"/>
        <v>Winchester RD</v>
      </c>
      <c r="X542" s="9" t="str">
        <f>INDEX(Lookup!$A$2:$A$1349, MATCH(W542, Lookup!$B$2:$B$1349,0))</f>
        <v>J04001422</v>
      </c>
      <c r="Y542" s="9" t="str">
        <f>INDEX(Lookup!$F$2:$F$1349, MATCH(W542, Lookup!$B$2:$B$1349,0))</f>
        <v>e150441</v>
      </c>
      <c r="Z542" s="6" t="str">
        <f>INDEX(Lookup!$C$2:$C$1300, MATCH(X542, Lookup!$A$2:$A$1300,0))</f>
        <v>Hampshire</v>
      </c>
    </row>
    <row r="543" spans="1:26" ht="28.15" customHeight="1" x14ac:dyDescent="0.2">
      <c r="A543" s="6" t="s">
        <v>508</v>
      </c>
      <c r="B543" s="1" t="s">
        <v>508</v>
      </c>
      <c r="T543" s="10"/>
      <c r="W543" s="9" t="str">
        <f t="shared" si="29"/>
        <v xml:space="preserve">HEREFORDSHIRE:- </v>
      </c>
      <c r="X543" s="9" t="e">
        <f>INDEX(Lookup!$A$2:$A$1349, MATCH(W543, Lookup!$B$2:$B$1349,0))</f>
        <v>#N/A</v>
      </c>
      <c r="Y543" s="9" t="e">
        <f>INDEX(Lookup!$F$2:$F$1349, MATCH(W543, Lookup!$B$2:$B$1349,0))</f>
        <v>#N/A</v>
      </c>
      <c r="Z543" s="6" t="e">
        <f>INDEX(Lookup!$C$2:$C$1300, MATCH(X543, Lookup!$A$2:$A$1300,0))</f>
        <v>#N/A</v>
      </c>
    </row>
    <row r="544" spans="1:26" ht="28.15" customHeight="1" x14ac:dyDescent="0.2">
      <c r="A544" s="6" t="s">
        <v>175</v>
      </c>
      <c r="B544" s="1" t="s">
        <v>175</v>
      </c>
      <c r="T544" s="10"/>
      <c r="W544" s="9" t="str">
        <f t="shared" si="29"/>
        <v xml:space="preserve">Non-County Boroughs-- </v>
      </c>
      <c r="X544" s="9" t="e">
        <f>INDEX(Lookup!$A$2:$A$1349, MATCH(W544, Lookup!$B$2:$B$1349,0))</f>
        <v>#N/A</v>
      </c>
      <c r="Y544" s="9" t="e">
        <f>INDEX(Lookup!$F$2:$F$1349, MATCH(W544, Lookup!$B$2:$B$1349,0))</f>
        <v>#N/A</v>
      </c>
      <c r="Z544" s="6" t="e">
        <f>INDEX(Lookup!$C$2:$C$1300, MATCH(X544, Lookup!$A$2:$A$1300,0))</f>
        <v>#N/A</v>
      </c>
    </row>
    <row r="545" spans="1:26" ht="28.15" customHeight="1" x14ac:dyDescent="0.2">
      <c r="A545" s="6" t="s">
        <v>509</v>
      </c>
      <c r="B545" s="1" t="s">
        <v>5403</v>
      </c>
      <c r="C545" s="2">
        <v>11664</v>
      </c>
      <c r="D545" s="2">
        <v>642449</v>
      </c>
      <c r="E545" s="2">
        <v>851</v>
      </c>
      <c r="F545" s="2">
        <v>104658</v>
      </c>
      <c r="G545" s="2">
        <v>19</v>
      </c>
      <c r="H545" s="2">
        <v>4552</v>
      </c>
      <c r="I545" s="2">
        <v>752</v>
      </c>
      <c r="J545" s="2">
        <v>327354</v>
      </c>
      <c r="K545" s="2">
        <v>214</v>
      </c>
      <c r="L545" s="2">
        <v>30049</v>
      </c>
      <c r="M545" s="2">
        <v>1601</v>
      </c>
      <c r="N545" s="2">
        <v>182789</v>
      </c>
      <c r="O545" s="2">
        <v>54</v>
      </c>
      <c r="P545" s="2">
        <v>405283</v>
      </c>
      <c r="Q545" s="2">
        <v>26925</v>
      </c>
      <c r="R545" s="2">
        <v>215523</v>
      </c>
      <c r="S545" s="2">
        <v>1939582</v>
      </c>
      <c r="T545" s="10">
        <f t="shared" si="27"/>
        <v>751659</v>
      </c>
      <c r="U545" s="8">
        <f t="shared" si="28"/>
        <v>0.38753659293600373</v>
      </c>
      <c r="V545" s="9" t="s">
        <v>5268</v>
      </c>
      <c r="W545" s="9" t="str">
        <f t="shared" si="29"/>
        <v>Hereford, city of MB</v>
      </c>
      <c r="X545" s="9" t="str">
        <f>INDEX(Lookup!$A$2:$A$1349, MATCH(W545, Lookup!$B$2:$B$1349,0))</f>
        <v>J04000612</v>
      </c>
      <c r="Y545" s="9" t="str">
        <f>INDEX(Lookup!$F$2:$F$1349, MATCH(W545, Lookup!$B$2:$B$1349,0))</f>
        <v>e160442</v>
      </c>
      <c r="Z545" s="6" t="str">
        <f>INDEX(Lookup!$C$2:$C$1300, MATCH(X545, Lookup!$A$2:$A$1300,0))</f>
        <v>Hereford And Worcs</v>
      </c>
    </row>
    <row r="546" spans="1:26" ht="28.15" customHeight="1" x14ac:dyDescent="0.2">
      <c r="A546" s="6" t="s">
        <v>510</v>
      </c>
      <c r="B546" s="1" t="s">
        <v>510</v>
      </c>
      <c r="C546" s="2">
        <v>1799</v>
      </c>
      <c r="D546" s="2">
        <v>84319</v>
      </c>
      <c r="E546" s="2">
        <v>110</v>
      </c>
      <c r="F546" s="2">
        <v>13495</v>
      </c>
      <c r="G546" s="2">
        <v>3</v>
      </c>
      <c r="H546" s="2">
        <v>730</v>
      </c>
      <c r="I546" s="2">
        <v>181</v>
      </c>
      <c r="J546" s="2">
        <v>33588</v>
      </c>
      <c r="K546" s="2">
        <v>24</v>
      </c>
      <c r="L546" s="2">
        <v>3139</v>
      </c>
      <c r="M546" s="2">
        <v>226</v>
      </c>
      <c r="N546" s="2">
        <v>20436</v>
      </c>
      <c r="O546" s="2">
        <v>13</v>
      </c>
      <c r="P546" s="2">
        <v>13400</v>
      </c>
      <c r="Q546" s="2">
        <v>1076</v>
      </c>
      <c r="R546" s="2">
        <v>32378</v>
      </c>
      <c r="S546" s="2">
        <v>202561</v>
      </c>
      <c r="T546" s="10">
        <f t="shared" si="27"/>
        <v>98544</v>
      </c>
      <c r="U546" s="8">
        <f t="shared" si="28"/>
        <v>0.48649048928470928</v>
      </c>
      <c r="V546" s="9" t="s">
        <v>5268</v>
      </c>
      <c r="W546" s="9" t="str">
        <f t="shared" si="29"/>
        <v>Leominster MB</v>
      </c>
      <c r="X546" s="9" t="str">
        <f>INDEX(Lookup!$A$2:$A$1349, MATCH(W546, Lookup!$B$2:$B$1349,0))</f>
        <v>J04000736</v>
      </c>
      <c r="Y546" s="9" t="str">
        <f>INDEX(Lookup!$F$2:$F$1349, MATCH(W546, Lookup!$B$2:$B$1349,0))</f>
        <v>e160444</v>
      </c>
      <c r="Z546" s="6" t="str">
        <f>INDEX(Lookup!$C$2:$C$1300, MATCH(X546, Lookup!$A$2:$A$1300,0))</f>
        <v>Hereford And Worcs</v>
      </c>
    </row>
    <row r="547" spans="1:26" ht="28.15" customHeight="1" x14ac:dyDescent="0.2">
      <c r="A547" s="6" t="s">
        <v>179</v>
      </c>
      <c r="B547" s="1" t="s">
        <v>179</v>
      </c>
      <c r="T547" s="10"/>
      <c r="W547" s="9" t="str">
        <f t="shared" si="29"/>
        <v xml:space="preserve">Urban Districts-- </v>
      </c>
      <c r="X547" s="9" t="e">
        <f>INDEX(Lookup!$A$2:$A$1349, MATCH(W547, Lookup!$B$2:$B$1349,0))</f>
        <v>#N/A</v>
      </c>
      <c r="Y547" s="9" t="e">
        <f>INDEX(Lookup!$F$2:$F$1349, MATCH(W547, Lookup!$B$2:$B$1349,0))</f>
        <v>#N/A</v>
      </c>
      <c r="Z547" s="6" t="e">
        <f>INDEX(Lookup!$C$2:$C$1300, MATCH(X547, Lookup!$A$2:$A$1300,0))</f>
        <v>#N/A</v>
      </c>
    </row>
    <row r="548" spans="1:26" ht="28.15" customHeight="1" x14ac:dyDescent="0.2">
      <c r="A548" s="6" t="s">
        <v>511</v>
      </c>
      <c r="B548" s="1" t="s">
        <v>511</v>
      </c>
      <c r="C548" s="2">
        <v>495</v>
      </c>
      <c r="D548" s="2">
        <v>21812</v>
      </c>
      <c r="E548" s="2">
        <v>36</v>
      </c>
      <c r="F548" s="2">
        <v>4522</v>
      </c>
      <c r="I548" s="2">
        <v>76</v>
      </c>
      <c r="J548" s="2">
        <v>9919</v>
      </c>
      <c r="K548" s="2">
        <v>10</v>
      </c>
      <c r="L548" s="2">
        <v>763</v>
      </c>
      <c r="M548" s="2">
        <v>74</v>
      </c>
      <c r="N548" s="2">
        <v>6345</v>
      </c>
      <c r="O548" s="2">
        <v>5</v>
      </c>
      <c r="P548" s="2">
        <v>1288</v>
      </c>
      <c r="Q548" s="2">
        <v>606</v>
      </c>
      <c r="R548" s="2">
        <v>4523</v>
      </c>
      <c r="S548" s="2">
        <v>49778</v>
      </c>
      <c r="T548" s="10">
        <f>SUM(D548+F548)</f>
        <v>26334</v>
      </c>
      <c r="U548" s="8">
        <f t="shared" si="28"/>
        <v>0.52902888826389172</v>
      </c>
      <c r="V548" s="9" t="s">
        <v>5270</v>
      </c>
      <c r="W548" s="9" t="str">
        <f t="shared" si="29"/>
        <v>Bromyard UD</v>
      </c>
      <c r="X548" s="9" t="str">
        <f>INDEX(Lookup!$A$2:$A$1349, MATCH(W548, Lookup!$B$2:$B$1349,0))</f>
        <v>J04000222</v>
      </c>
      <c r="Y548" s="9" t="str">
        <f>INDEX(Lookup!$F$2:$F$1349, MATCH(W548, Lookup!$B$2:$B$1349,0))</f>
        <v>e160446</v>
      </c>
      <c r="Z548" s="6" t="str">
        <f>INDEX(Lookup!$C$2:$C$1300, MATCH(X548, Lookup!$A$2:$A$1300,0))</f>
        <v>Hereford And Worcs</v>
      </c>
    </row>
    <row r="549" spans="1:26" ht="28.15" customHeight="1" x14ac:dyDescent="0.2">
      <c r="A549" s="6" t="s">
        <v>512</v>
      </c>
      <c r="B549" s="1" t="s">
        <v>512</v>
      </c>
      <c r="C549" s="2">
        <v>584</v>
      </c>
      <c r="D549" s="2">
        <v>22658</v>
      </c>
      <c r="E549" s="2">
        <v>22</v>
      </c>
      <c r="F549" s="2">
        <v>2964</v>
      </c>
      <c r="I549" s="2">
        <v>77</v>
      </c>
      <c r="J549" s="2">
        <v>9580</v>
      </c>
      <c r="K549" s="2">
        <v>12</v>
      </c>
      <c r="L549" s="2">
        <v>1515</v>
      </c>
      <c r="M549" s="2">
        <v>104</v>
      </c>
      <c r="N549" s="2">
        <v>6115</v>
      </c>
      <c r="O549" s="2">
        <v>5</v>
      </c>
      <c r="P549" s="2">
        <v>2990</v>
      </c>
      <c r="Q549" s="2">
        <v>330</v>
      </c>
      <c r="R549" s="2">
        <v>12228</v>
      </c>
      <c r="S549" s="2">
        <v>58380</v>
      </c>
      <c r="T549" s="10">
        <f>SUM(D549+F549)</f>
        <v>25622</v>
      </c>
      <c r="U549" s="8">
        <f t="shared" si="28"/>
        <v>0.43888317917094893</v>
      </c>
      <c r="V549" s="9" t="s">
        <v>5270</v>
      </c>
      <c r="W549" s="9" t="str">
        <f t="shared" si="29"/>
        <v>Kington UD</v>
      </c>
      <c r="X549" s="9" t="str">
        <f>INDEX(Lookup!$A$2:$A$1349, MATCH(W549, Lookup!$B$2:$B$1349,0))</f>
        <v>J04000703</v>
      </c>
      <c r="Y549" s="9" t="str">
        <f>INDEX(Lookup!$F$2:$F$1349, MATCH(W549, Lookup!$B$2:$B$1349,0))</f>
        <v>e160443</v>
      </c>
      <c r="Z549" s="6" t="str">
        <f>INDEX(Lookup!$C$2:$C$1300, MATCH(X549, Lookup!$A$2:$A$1300,0))</f>
        <v>Hereford And Worcs</v>
      </c>
    </row>
    <row r="550" spans="1:26" ht="28.15" customHeight="1" x14ac:dyDescent="0.2">
      <c r="A550" s="6" t="s">
        <v>513</v>
      </c>
      <c r="B550" s="1" t="s">
        <v>513</v>
      </c>
      <c r="C550" s="2">
        <v>1048</v>
      </c>
      <c r="D550" s="2">
        <v>47293</v>
      </c>
      <c r="E550" s="2">
        <v>108</v>
      </c>
      <c r="F550" s="2">
        <v>13337</v>
      </c>
      <c r="G550" s="2">
        <v>1</v>
      </c>
      <c r="H550" s="2">
        <v>226</v>
      </c>
      <c r="I550" s="2">
        <v>105</v>
      </c>
      <c r="J550" s="2">
        <v>16834</v>
      </c>
      <c r="K550" s="2">
        <v>22</v>
      </c>
      <c r="L550" s="2">
        <v>2367</v>
      </c>
      <c r="M550" s="2">
        <v>132</v>
      </c>
      <c r="N550" s="2">
        <v>13548</v>
      </c>
      <c r="O550" s="2">
        <v>6</v>
      </c>
      <c r="P550" s="2">
        <v>4343</v>
      </c>
      <c r="Q550" s="2">
        <v>541</v>
      </c>
      <c r="R550" s="2">
        <v>14871</v>
      </c>
      <c r="S550" s="2">
        <v>113360</v>
      </c>
      <c r="T550" s="10">
        <f t="shared" si="27"/>
        <v>60856</v>
      </c>
      <c r="U550" s="8">
        <f t="shared" si="28"/>
        <v>0.53683839096683128</v>
      </c>
      <c r="V550" s="9" t="s">
        <v>5270</v>
      </c>
      <c r="W550" s="9" t="str">
        <f t="shared" si="29"/>
        <v>Ledbury UD</v>
      </c>
      <c r="X550" s="9" t="str">
        <f>INDEX(Lookup!$A$2:$A$1349, MATCH(W550, Lookup!$B$2:$B$1349,0))</f>
        <v>J04000726</v>
      </c>
      <c r="Y550" s="9" t="str">
        <f>INDEX(Lookup!$F$2:$F$1349, MATCH(W550, Lookup!$B$2:$B$1349,0))</f>
        <v>e160450</v>
      </c>
      <c r="Z550" s="6" t="str">
        <f>INDEX(Lookup!$C$2:$C$1300, MATCH(X550, Lookup!$A$2:$A$1300,0))</f>
        <v>Hereford And Worcs</v>
      </c>
    </row>
    <row r="551" spans="1:26" ht="28.15" customHeight="1" x14ac:dyDescent="0.2">
      <c r="A551" s="6" t="s">
        <v>514</v>
      </c>
      <c r="B551" s="1" t="s">
        <v>5404</v>
      </c>
      <c r="C551" s="2">
        <v>1494</v>
      </c>
      <c r="D551" s="2">
        <v>79042</v>
      </c>
      <c r="E551" s="2">
        <v>175</v>
      </c>
      <c r="F551" s="2">
        <v>21293</v>
      </c>
      <c r="G551" s="2">
        <v>4</v>
      </c>
      <c r="H551" s="2">
        <v>1064</v>
      </c>
      <c r="I551" s="2">
        <v>164</v>
      </c>
      <c r="J551" s="2">
        <v>37769</v>
      </c>
      <c r="K551" s="2">
        <v>37</v>
      </c>
      <c r="L551" s="2">
        <v>3383</v>
      </c>
      <c r="M551" s="2">
        <v>189</v>
      </c>
      <c r="N551" s="2">
        <v>24529</v>
      </c>
      <c r="O551" s="2">
        <v>13</v>
      </c>
      <c r="P551" s="2">
        <v>8000</v>
      </c>
      <c r="Q551" s="2">
        <v>1421</v>
      </c>
      <c r="R551" s="2">
        <v>24879</v>
      </c>
      <c r="S551" s="2">
        <v>201380</v>
      </c>
      <c r="T551" s="10">
        <f t="shared" si="27"/>
        <v>101399</v>
      </c>
      <c r="U551" s="8">
        <f t="shared" si="28"/>
        <v>0.50352070712086605</v>
      </c>
      <c r="V551" s="9" t="s">
        <v>5270</v>
      </c>
      <c r="W551" s="9" t="str">
        <f t="shared" si="29"/>
        <v>Ross on Wye UD</v>
      </c>
      <c r="X551" s="9" t="str">
        <f>INDEX(Lookup!$A$2:$A$1349, MATCH(W551, Lookup!$B$2:$B$1349,0))</f>
        <v>J04001065</v>
      </c>
      <c r="Y551" s="9" t="str">
        <f>INDEX(Lookup!$F$2:$F$1349, MATCH(W551, Lookup!$B$2:$B$1349,0))</f>
        <v>e160445</v>
      </c>
      <c r="Z551" s="6" t="str">
        <f>INDEX(Lookup!$C$2:$C$1300, MATCH(X551, Lookup!$A$2:$A$1300,0))</f>
        <v>Hereford And Worcs</v>
      </c>
    </row>
    <row r="552" spans="1:26" ht="28.15" customHeight="1" x14ac:dyDescent="0.2">
      <c r="A552" s="6" t="s">
        <v>212</v>
      </c>
      <c r="B552" s="1" t="s">
        <v>212</v>
      </c>
      <c r="T552" s="10"/>
      <c r="W552" s="9" t="str">
        <f t="shared" si="29"/>
        <v xml:space="preserve">Rural Districts-- </v>
      </c>
      <c r="X552" s="9" t="e">
        <f>INDEX(Lookup!$A$2:$A$1349, MATCH(W552, Lookup!$B$2:$B$1349,0))</f>
        <v>#N/A</v>
      </c>
      <c r="Y552" s="9" t="e">
        <f>INDEX(Lookup!$F$2:$F$1349, MATCH(W552, Lookup!$B$2:$B$1349,0))</f>
        <v>#N/A</v>
      </c>
      <c r="Z552" s="6" t="e">
        <f>INDEX(Lookup!$C$2:$C$1300, MATCH(X552, Lookup!$A$2:$A$1300,0))</f>
        <v>#N/A</v>
      </c>
    </row>
    <row r="553" spans="1:26" ht="28.15" customHeight="1" x14ac:dyDescent="0.2">
      <c r="A553" s="6" t="s">
        <v>511</v>
      </c>
      <c r="B553" s="1" t="s">
        <v>511</v>
      </c>
      <c r="C553" s="2">
        <v>1231</v>
      </c>
      <c r="D553" s="2">
        <v>44827</v>
      </c>
      <c r="E553" s="2">
        <v>46</v>
      </c>
      <c r="F553" s="2">
        <v>5980</v>
      </c>
      <c r="G553" s="2">
        <v>10</v>
      </c>
      <c r="H553" s="2">
        <v>2785</v>
      </c>
      <c r="I553" s="2">
        <v>26</v>
      </c>
      <c r="J553" s="2">
        <v>1341</v>
      </c>
      <c r="K553" s="2">
        <v>1</v>
      </c>
      <c r="L553" s="2">
        <v>46</v>
      </c>
      <c r="M553" s="2">
        <v>124</v>
      </c>
      <c r="N553" s="2">
        <v>5386</v>
      </c>
      <c r="O553" s="2">
        <v>4</v>
      </c>
      <c r="P553" s="2">
        <v>2616</v>
      </c>
      <c r="Q553" s="2">
        <v>951</v>
      </c>
      <c r="R553" s="2">
        <v>49851</v>
      </c>
      <c r="S553" s="2">
        <v>113783</v>
      </c>
      <c r="T553" s="10">
        <f t="shared" si="27"/>
        <v>53592</v>
      </c>
      <c r="U553" s="8">
        <f t="shared" si="28"/>
        <v>0.47100181925243667</v>
      </c>
      <c r="V553" s="9" t="s">
        <v>5271</v>
      </c>
      <c r="W553" s="9" t="str">
        <f t="shared" si="29"/>
        <v>Bromyard RD</v>
      </c>
      <c r="X553" s="9" t="str">
        <f>INDEX(Lookup!$A$2:$A$1349, MATCH(W553, Lookup!$B$2:$B$1349,0))</f>
        <v>J04000221</v>
      </c>
      <c r="Y553" s="9" t="str">
        <f>INDEX(Lookup!$F$2:$F$1349, MATCH(W553, Lookup!$B$2:$B$1349,0))</f>
        <v>e160446</v>
      </c>
      <c r="Z553" s="6" t="str">
        <f>INDEX(Lookup!$C$2:$C$1300, MATCH(X553, Lookup!$A$2:$A$1300,0))</f>
        <v>Hereford And Worcs</v>
      </c>
    </row>
    <row r="554" spans="1:26" ht="28.15" customHeight="1" x14ac:dyDescent="0.2">
      <c r="A554" s="6" t="s">
        <v>515</v>
      </c>
      <c r="B554" s="1" t="s">
        <v>515</v>
      </c>
      <c r="C554" s="2">
        <v>1522</v>
      </c>
      <c r="D554" s="2">
        <v>54663</v>
      </c>
      <c r="E554" s="2">
        <v>63</v>
      </c>
      <c r="F554" s="2">
        <v>7746</v>
      </c>
      <c r="G554" s="2">
        <v>7</v>
      </c>
      <c r="H554" s="2">
        <v>1859</v>
      </c>
      <c r="I554" s="2">
        <v>42</v>
      </c>
      <c r="J554" s="2">
        <v>3107</v>
      </c>
      <c r="K554" s="2">
        <v>3</v>
      </c>
      <c r="L554" s="2">
        <v>96</v>
      </c>
      <c r="M554" s="2">
        <v>146</v>
      </c>
      <c r="N554" s="2">
        <v>6496</v>
      </c>
      <c r="O554" s="2">
        <v>6</v>
      </c>
      <c r="P554" s="2">
        <v>3620</v>
      </c>
      <c r="Q554" s="2">
        <v>8027</v>
      </c>
      <c r="R554" s="2">
        <v>53841</v>
      </c>
      <c r="S554" s="2">
        <v>139455</v>
      </c>
      <c r="T554" s="10">
        <f t="shared" si="27"/>
        <v>64268</v>
      </c>
      <c r="U554" s="8">
        <f t="shared" si="28"/>
        <v>0.46085117062851816</v>
      </c>
      <c r="V554" s="9" t="s">
        <v>5271</v>
      </c>
      <c r="W554" s="9" t="str">
        <f t="shared" si="29"/>
        <v>Dore and Bredwardine RD</v>
      </c>
      <c r="X554" s="9" t="str">
        <f>INDEX(Lookup!$A$2:$A$1349, MATCH(W554, Lookup!$B$2:$B$1349,0))</f>
        <v>J04000418</v>
      </c>
      <c r="Y554" s="9" t="str">
        <f>INDEX(Lookup!$F$2:$F$1349, MATCH(W554, Lookup!$B$2:$B$1349,0))</f>
        <v>e160447</v>
      </c>
      <c r="Z554" s="6" t="str">
        <f>INDEX(Lookup!$C$2:$C$1300, MATCH(X554, Lookup!$A$2:$A$1300,0))</f>
        <v>Hereford And Worcs</v>
      </c>
    </row>
    <row r="555" spans="1:26" ht="28.15" customHeight="1" x14ac:dyDescent="0.2">
      <c r="A555" s="6" t="s">
        <v>509</v>
      </c>
      <c r="B555" s="1" t="s">
        <v>509</v>
      </c>
      <c r="C555" s="2">
        <v>3063</v>
      </c>
      <c r="D555" s="2">
        <v>138464</v>
      </c>
      <c r="E555" s="2">
        <v>354</v>
      </c>
      <c r="F555" s="2">
        <v>43938</v>
      </c>
      <c r="G555" s="2">
        <v>39</v>
      </c>
      <c r="H555" s="2">
        <v>9528</v>
      </c>
      <c r="I555" s="2">
        <v>43</v>
      </c>
      <c r="J555" s="2">
        <v>3357</v>
      </c>
      <c r="K555" s="2">
        <v>2</v>
      </c>
      <c r="L555" s="2">
        <v>23</v>
      </c>
      <c r="M555" s="2">
        <v>182</v>
      </c>
      <c r="N555" s="2">
        <v>23037</v>
      </c>
      <c r="O555" s="2">
        <v>11</v>
      </c>
      <c r="P555" s="2">
        <v>39515</v>
      </c>
      <c r="Q555" s="2">
        <v>60916</v>
      </c>
      <c r="R555" s="2">
        <v>83656</v>
      </c>
      <c r="S555" s="2">
        <v>402434</v>
      </c>
      <c r="T555" s="10">
        <f t="shared" si="27"/>
        <v>191930</v>
      </c>
      <c r="U555" s="8">
        <f t="shared" si="28"/>
        <v>0.47692292400741487</v>
      </c>
      <c r="V555" s="9" t="s">
        <v>5271</v>
      </c>
      <c r="W555" s="9" t="str">
        <f t="shared" si="29"/>
        <v>Hereford RD</v>
      </c>
      <c r="X555" s="9" t="str">
        <f>INDEX(Lookup!$A$2:$A$1349, MATCH(W555, Lookup!$B$2:$B$1349,0))</f>
        <v>J04000611</v>
      </c>
      <c r="Y555" s="9" t="str">
        <f>INDEX(Lookup!$F$2:$F$1349, MATCH(W555, Lookup!$B$2:$B$1349,0))</f>
        <v>e160448</v>
      </c>
      <c r="Z555" s="6" t="str">
        <f>INDEX(Lookup!$C$2:$C$1300, MATCH(X555, Lookup!$A$2:$A$1300,0))</f>
        <v>Hereford And Worcs</v>
      </c>
    </row>
    <row r="556" spans="1:26" ht="28.15" customHeight="1" x14ac:dyDescent="0.2">
      <c r="A556" s="6" t="s">
        <v>512</v>
      </c>
      <c r="B556" s="1" t="s">
        <v>512</v>
      </c>
      <c r="C556" s="2">
        <v>934</v>
      </c>
      <c r="D556" s="2">
        <v>28710</v>
      </c>
      <c r="E556" s="2">
        <v>42</v>
      </c>
      <c r="F556" s="2">
        <v>5567</v>
      </c>
      <c r="G556" s="2">
        <v>12</v>
      </c>
      <c r="H556" s="2">
        <v>3196</v>
      </c>
      <c r="I556" s="2">
        <v>26</v>
      </c>
      <c r="J556" s="2">
        <v>1960</v>
      </c>
      <c r="M556" s="2">
        <v>49</v>
      </c>
      <c r="N556" s="2">
        <v>5409</v>
      </c>
      <c r="O556" s="2">
        <v>4</v>
      </c>
      <c r="P556" s="2">
        <v>7800</v>
      </c>
      <c r="Q556" s="2">
        <v>22</v>
      </c>
      <c r="R556" s="2">
        <v>28101</v>
      </c>
      <c r="S556" s="2">
        <v>80765</v>
      </c>
      <c r="T556" s="10">
        <f t="shared" si="27"/>
        <v>37473</v>
      </c>
      <c r="U556" s="8">
        <f t="shared" si="28"/>
        <v>0.46397573206215564</v>
      </c>
      <c r="V556" s="9" t="s">
        <v>5271</v>
      </c>
      <c r="W556" s="9" t="str">
        <f t="shared" si="29"/>
        <v>Kington RD</v>
      </c>
      <c r="X556" s="9" t="str">
        <f>INDEX(Lookup!$A$2:$A$1349, MATCH(W556, Lookup!$B$2:$B$1349,0))</f>
        <v>J04000702</v>
      </c>
      <c r="Y556" s="9" t="str">
        <f>INDEX(Lookup!$F$2:$F$1349, MATCH(W556, Lookup!$B$2:$B$1349,0))</f>
        <v>e160449</v>
      </c>
      <c r="Z556" s="6" t="str">
        <f>INDEX(Lookup!$C$2:$C$1300, MATCH(X556, Lookup!$A$2:$A$1300,0))</f>
        <v>Hereford And Worcs</v>
      </c>
    </row>
    <row r="557" spans="1:26" ht="28.15" customHeight="1" x14ac:dyDescent="0.2">
      <c r="A557" s="6" t="s">
        <v>513</v>
      </c>
      <c r="B557" s="1" t="s">
        <v>513</v>
      </c>
      <c r="C557" s="2">
        <v>1563</v>
      </c>
      <c r="D557" s="2">
        <v>65317</v>
      </c>
      <c r="E557" s="2">
        <v>131</v>
      </c>
      <c r="F557" s="2">
        <v>17755</v>
      </c>
      <c r="G557" s="2">
        <v>22</v>
      </c>
      <c r="H557" s="2">
        <v>6304</v>
      </c>
      <c r="I557" s="2">
        <v>57</v>
      </c>
      <c r="J557" s="2">
        <v>5447</v>
      </c>
      <c r="M557" s="2">
        <v>78</v>
      </c>
      <c r="N557" s="2">
        <v>8431</v>
      </c>
      <c r="O557" s="2">
        <v>7</v>
      </c>
      <c r="P557" s="2">
        <v>15145</v>
      </c>
      <c r="Q557" s="2">
        <v>687</v>
      </c>
      <c r="R557" s="2">
        <v>56591</v>
      </c>
      <c r="S557" s="2">
        <v>175677</v>
      </c>
      <c r="T557" s="10">
        <f t="shared" si="27"/>
        <v>89376</v>
      </c>
      <c r="U557" s="8">
        <f t="shared" si="28"/>
        <v>0.50875185710138493</v>
      </c>
      <c r="V557" s="9" t="s">
        <v>5271</v>
      </c>
      <c r="W557" s="9" t="str">
        <f t="shared" si="29"/>
        <v>Ledbury RD</v>
      </c>
      <c r="X557" s="9" t="str">
        <f>INDEX(Lookup!$A$2:$A$1349, MATCH(W557, Lookup!$B$2:$B$1349,0))</f>
        <v>J04000725</v>
      </c>
      <c r="Y557" s="9" t="str">
        <f>INDEX(Lookup!$F$2:$F$1349, MATCH(W557, Lookup!$B$2:$B$1349,0))</f>
        <v>e160450</v>
      </c>
      <c r="Z557" s="6" t="str">
        <f>INDEX(Lookup!$C$2:$C$1300, MATCH(X557, Lookup!$A$2:$A$1300,0))</f>
        <v>Hereford And Worcs</v>
      </c>
    </row>
    <row r="558" spans="1:26" ht="28.15" customHeight="1" x14ac:dyDescent="0.2">
      <c r="A558" s="6" t="s">
        <v>516</v>
      </c>
      <c r="B558" s="1" t="s">
        <v>516</v>
      </c>
      <c r="C558" s="2">
        <v>1944</v>
      </c>
      <c r="D558" s="2">
        <v>59663</v>
      </c>
      <c r="E558" s="2">
        <v>76</v>
      </c>
      <c r="F558" s="2">
        <v>10374</v>
      </c>
      <c r="G558" s="2">
        <v>17</v>
      </c>
      <c r="H558" s="2">
        <v>4397</v>
      </c>
      <c r="I558" s="2">
        <v>54</v>
      </c>
      <c r="J558" s="2">
        <v>3550</v>
      </c>
      <c r="K558" s="2">
        <v>1</v>
      </c>
      <c r="L558" s="2">
        <v>66</v>
      </c>
      <c r="M558" s="2">
        <v>98</v>
      </c>
      <c r="N558" s="2">
        <v>7055</v>
      </c>
      <c r="O558" s="2">
        <v>3</v>
      </c>
      <c r="P558" s="2">
        <v>3750</v>
      </c>
      <c r="Q558" s="2">
        <v>1412</v>
      </c>
      <c r="R558" s="2">
        <v>94979</v>
      </c>
      <c r="S558" s="2">
        <v>185246</v>
      </c>
      <c r="T558" s="10">
        <f t="shared" si="27"/>
        <v>74434</v>
      </c>
      <c r="U558" s="8">
        <f t="shared" si="28"/>
        <v>0.40181164505576367</v>
      </c>
      <c r="V558" s="9" t="s">
        <v>5271</v>
      </c>
      <c r="W558" s="9" t="str">
        <f t="shared" si="29"/>
        <v>Leominster and Wigmore RD</v>
      </c>
      <c r="X558" s="9" t="str">
        <f>INDEX(Lookup!$A$2:$A$1349, MATCH(W558, Lookup!$B$2:$B$1349,0))</f>
        <v>J04000735</v>
      </c>
      <c r="Y558" s="9" t="str">
        <f>INDEX(Lookup!$F$2:$F$1349, MATCH(W558, Lookup!$B$2:$B$1349,0))</f>
        <v>e160451</v>
      </c>
      <c r="Z558" s="6" t="str">
        <f>INDEX(Lookup!$C$2:$C$1300, MATCH(X558, Lookup!$A$2:$A$1300,0))</f>
        <v>Hereford And Worcs</v>
      </c>
    </row>
    <row r="559" spans="1:26" ht="28.15" customHeight="1" x14ac:dyDescent="0.2">
      <c r="A559" s="6" t="s">
        <v>517</v>
      </c>
      <c r="B559" s="1" t="s">
        <v>517</v>
      </c>
      <c r="C559" s="2">
        <v>2628</v>
      </c>
      <c r="D559" s="2">
        <v>103291</v>
      </c>
      <c r="E559" s="2">
        <v>190</v>
      </c>
      <c r="F559" s="2">
        <v>24707</v>
      </c>
      <c r="G559" s="2">
        <v>24</v>
      </c>
      <c r="H559" s="2">
        <v>6180</v>
      </c>
      <c r="I559" s="2">
        <v>63</v>
      </c>
      <c r="J559" s="2">
        <v>5437</v>
      </c>
      <c r="K559" s="2">
        <v>5</v>
      </c>
      <c r="L559" s="2">
        <v>1100</v>
      </c>
      <c r="M559" s="2">
        <v>267</v>
      </c>
      <c r="N559" s="2">
        <v>19359</v>
      </c>
      <c r="O559" s="2">
        <v>9</v>
      </c>
      <c r="P559" s="2">
        <v>1872</v>
      </c>
      <c r="Q559" s="2">
        <v>221</v>
      </c>
      <c r="R559" s="2">
        <v>63486</v>
      </c>
      <c r="S559" s="2">
        <v>225653</v>
      </c>
      <c r="T559" s="10">
        <f t="shared" si="27"/>
        <v>134178</v>
      </c>
      <c r="U559" s="8">
        <f t="shared" si="28"/>
        <v>0.59462094454760184</v>
      </c>
      <c r="V559" s="9" t="s">
        <v>5271</v>
      </c>
      <c r="W559" s="9" t="str">
        <f t="shared" si="29"/>
        <v>Ross and Whitchurch RD</v>
      </c>
      <c r="X559" s="9" t="str">
        <f>INDEX(Lookup!$A$2:$A$1349, MATCH(W559, Lookup!$B$2:$B$1349,0))</f>
        <v>J04001064</v>
      </c>
      <c r="Y559" s="9" t="str">
        <f>INDEX(Lookup!$F$2:$F$1349, MATCH(W559, Lookup!$B$2:$B$1349,0))</f>
        <v>e160452</v>
      </c>
      <c r="Z559" s="6" t="str">
        <f>INDEX(Lookup!$C$2:$C$1300, MATCH(X559, Lookup!$A$2:$A$1300,0))</f>
        <v>Hereford And Worcs</v>
      </c>
    </row>
    <row r="560" spans="1:26" ht="28.15" customHeight="1" x14ac:dyDescent="0.2">
      <c r="A560" s="6" t="s">
        <v>518</v>
      </c>
      <c r="B560" s="1" t="s">
        <v>518</v>
      </c>
      <c r="C560" s="2">
        <v>1109</v>
      </c>
      <c r="D560" s="2">
        <v>34830</v>
      </c>
      <c r="E560" s="2">
        <v>37</v>
      </c>
      <c r="F560" s="2">
        <v>5002</v>
      </c>
      <c r="G560" s="2">
        <v>8</v>
      </c>
      <c r="H560" s="2">
        <v>1852</v>
      </c>
      <c r="I560" s="2">
        <v>39</v>
      </c>
      <c r="J560" s="2">
        <v>3051</v>
      </c>
      <c r="K560" s="2">
        <v>4</v>
      </c>
      <c r="L560" s="2">
        <v>201</v>
      </c>
      <c r="M560" s="2">
        <v>74</v>
      </c>
      <c r="N560" s="2">
        <v>4797</v>
      </c>
      <c r="O560" s="2">
        <v>3</v>
      </c>
      <c r="P560" s="2">
        <v>2526</v>
      </c>
      <c r="Q560" s="2">
        <v>149</v>
      </c>
      <c r="R560" s="2">
        <v>35203</v>
      </c>
      <c r="S560" s="2">
        <v>87611</v>
      </c>
      <c r="T560" s="10">
        <f t="shared" si="27"/>
        <v>41684</v>
      </c>
      <c r="U560" s="8">
        <f t="shared" si="28"/>
        <v>0.4757850041661435</v>
      </c>
      <c r="V560" s="9" t="s">
        <v>5271</v>
      </c>
      <c r="W560" s="9" t="str">
        <f t="shared" si="29"/>
        <v>Weobley RD</v>
      </c>
      <c r="X560" s="9" t="str">
        <f>INDEX(Lookup!$A$2:$A$1349, MATCH(W560, Lookup!$B$2:$B$1349,0))</f>
        <v>J04001378</v>
      </c>
      <c r="Y560" s="9" t="str">
        <f>INDEX(Lookup!$F$2:$F$1349, MATCH(W560, Lookup!$B$2:$B$1349,0))</f>
        <v>e160453</v>
      </c>
      <c r="Z560" s="6" t="str">
        <f>INDEX(Lookup!$C$2:$C$1300, MATCH(X560, Lookup!$A$2:$A$1300,0))</f>
        <v>Hereford And Worcs</v>
      </c>
    </row>
    <row r="561" spans="1:26" ht="28.15" customHeight="1" x14ac:dyDescent="0.2">
      <c r="A561" s="6" t="s">
        <v>519</v>
      </c>
      <c r="B561" s="1" t="s">
        <v>519</v>
      </c>
      <c r="T561" s="10"/>
      <c r="W561" s="9" t="str">
        <f t="shared" si="29"/>
        <v xml:space="preserve">HERTFORDSHIRE: </v>
      </c>
      <c r="X561" s="9" t="e">
        <f>INDEX(Lookup!$A$2:$A$1349, MATCH(W561, Lookup!$B$2:$B$1349,0))</f>
        <v>#N/A</v>
      </c>
      <c r="Y561" s="9" t="e">
        <f>INDEX(Lookup!$F$2:$F$1349, MATCH(W561, Lookup!$B$2:$B$1349,0))</f>
        <v>#N/A</v>
      </c>
      <c r="Z561" s="6" t="e">
        <f>INDEX(Lookup!$C$2:$C$1300, MATCH(X561, Lookup!$A$2:$A$1300,0))</f>
        <v>#N/A</v>
      </c>
    </row>
    <row r="562" spans="1:26" ht="28.15" customHeight="1" x14ac:dyDescent="0.2">
      <c r="A562" s="6" t="s">
        <v>175</v>
      </c>
      <c r="B562" s="1" t="s">
        <v>175</v>
      </c>
      <c r="T562" s="10"/>
      <c r="W562" s="9" t="str">
        <f t="shared" si="29"/>
        <v xml:space="preserve">Non-County Boroughs-- </v>
      </c>
      <c r="X562" s="9" t="e">
        <f>INDEX(Lookup!$A$2:$A$1349, MATCH(W562, Lookup!$B$2:$B$1349,0))</f>
        <v>#N/A</v>
      </c>
      <c r="Y562" s="9" t="e">
        <f>INDEX(Lookup!$F$2:$F$1349, MATCH(W562, Lookup!$B$2:$B$1349,0))</f>
        <v>#N/A</v>
      </c>
      <c r="Z562" s="6" t="e">
        <f>INDEX(Lookup!$C$2:$C$1300, MATCH(X562, Lookup!$A$2:$A$1300,0))</f>
        <v>#N/A</v>
      </c>
    </row>
    <row r="563" spans="1:26" ht="28.15" customHeight="1" x14ac:dyDescent="0.2">
      <c r="A563" s="6" t="s">
        <v>520</v>
      </c>
      <c r="B563" s="1" t="s">
        <v>5324</v>
      </c>
      <c r="C563" s="2">
        <v>13451</v>
      </c>
      <c r="D563" s="2">
        <v>1003179</v>
      </c>
      <c r="E563" s="2">
        <v>4563</v>
      </c>
      <c r="F563" s="2">
        <v>540702</v>
      </c>
      <c r="G563" s="2">
        <v>134</v>
      </c>
      <c r="H563" s="2">
        <v>35920</v>
      </c>
      <c r="I563" s="2">
        <v>526</v>
      </c>
      <c r="J563" s="2">
        <v>267104</v>
      </c>
      <c r="K563" s="2">
        <v>77</v>
      </c>
      <c r="L563" s="2">
        <v>53513</v>
      </c>
      <c r="M563" s="2">
        <v>4617</v>
      </c>
      <c r="N563" s="2">
        <v>138513</v>
      </c>
      <c r="O563" s="2">
        <v>117</v>
      </c>
      <c r="P563" s="2">
        <v>837913</v>
      </c>
      <c r="Q563" s="2">
        <v>28378</v>
      </c>
      <c r="R563" s="2">
        <v>309165</v>
      </c>
      <c r="S563" s="2">
        <v>3214387</v>
      </c>
      <c r="T563" s="10">
        <f t="shared" si="27"/>
        <v>1579801</v>
      </c>
      <c r="U563" s="8">
        <f t="shared" si="28"/>
        <v>0.49147815742161727</v>
      </c>
      <c r="V563" s="9" t="s">
        <v>5268</v>
      </c>
      <c r="W563" s="9" t="str">
        <f t="shared" si="29"/>
        <v>Hemel Hempstead MB</v>
      </c>
      <c r="X563" s="9" t="str">
        <f>INDEX(Lookup!$A$2:$A$1349, MATCH(W563, Lookup!$B$2:$B$1349,0))</f>
        <v>J04000603</v>
      </c>
      <c r="Y563" s="9" t="str">
        <f>INDEX(Lookup!$F$2:$F$1349, MATCH(W563, Lookup!$B$2:$B$1349,0))</f>
        <v>e170461</v>
      </c>
      <c r="Z563" s="6" t="str">
        <f>INDEX(Lookup!$C$2:$C$1300, MATCH(X563, Lookup!$A$2:$A$1300,0))</f>
        <v>Hertfordshire</v>
      </c>
    </row>
    <row r="564" spans="1:26" ht="28.15" customHeight="1" x14ac:dyDescent="0.2">
      <c r="A564" s="6" t="s">
        <v>521</v>
      </c>
      <c r="B564" s="1" t="s">
        <v>521</v>
      </c>
      <c r="C564" s="2">
        <v>4086</v>
      </c>
      <c r="D564" s="2">
        <v>255707</v>
      </c>
      <c r="E564" s="2">
        <v>1262</v>
      </c>
      <c r="F564" s="2">
        <v>161544</v>
      </c>
      <c r="G564" s="2">
        <v>57</v>
      </c>
      <c r="H564" s="2">
        <v>13342</v>
      </c>
      <c r="I564" s="2">
        <v>267</v>
      </c>
      <c r="J564" s="2">
        <v>103439</v>
      </c>
      <c r="K564" s="2">
        <v>85</v>
      </c>
      <c r="L564" s="2">
        <v>23795</v>
      </c>
      <c r="M564" s="2">
        <v>629</v>
      </c>
      <c r="N564" s="2">
        <v>59780</v>
      </c>
      <c r="O564" s="2">
        <v>69</v>
      </c>
      <c r="P564" s="2">
        <v>190400</v>
      </c>
      <c r="Q564" s="2">
        <v>8147</v>
      </c>
      <c r="R564" s="2">
        <v>150362</v>
      </c>
      <c r="S564" s="2">
        <v>966516</v>
      </c>
      <c r="T564" s="10">
        <f t="shared" si="27"/>
        <v>430593</v>
      </c>
      <c r="U564" s="8">
        <f t="shared" si="28"/>
        <v>0.44551047266677429</v>
      </c>
      <c r="V564" s="9" t="s">
        <v>5268</v>
      </c>
      <c r="W564" s="9" t="str">
        <f t="shared" si="29"/>
        <v>Hertford MB</v>
      </c>
      <c r="X564" s="9" t="str">
        <f>INDEX(Lookup!$A$2:$A$1349, MATCH(W564, Lookup!$B$2:$B$1349,0))</f>
        <v>J04000614</v>
      </c>
      <c r="Y564" s="9" t="str">
        <f>INDEX(Lookup!$F$2:$F$1349, MATCH(W564, Lookup!$B$2:$B$1349,0))</f>
        <v>e170463</v>
      </c>
      <c r="Z564" s="6" t="str">
        <f>INDEX(Lookup!$C$2:$C$1300, MATCH(X564, Lookup!$A$2:$A$1300,0))</f>
        <v>Hertfordshire</v>
      </c>
    </row>
    <row r="565" spans="1:26" ht="28.15" customHeight="1" x14ac:dyDescent="0.2">
      <c r="A565" s="6" t="s">
        <v>522</v>
      </c>
      <c r="B565" s="1" t="s">
        <v>2893</v>
      </c>
      <c r="C565" s="2">
        <v>9489</v>
      </c>
      <c r="D565" s="2">
        <v>663615</v>
      </c>
      <c r="E565" s="2">
        <v>5507</v>
      </c>
      <c r="F565" s="2">
        <v>714058</v>
      </c>
      <c r="G565" s="2">
        <v>506</v>
      </c>
      <c r="H565" s="2">
        <v>121836</v>
      </c>
      <c r="I565" s="2">
        <v>724</v>
      </c>
      <c r="J565" s="2">
        <v>454287</v>
      </c>
      <c r="K565" s="2">
        <v>162</v>
      </c>
      <c r="L565" s="2">
        <v>64401</v>
      </c>
      <c r="M565" s="2">
        <v>1817</v>
      </c>
      <c r="N565" s="2">
        <v>159292</v>
      </c>
      <c r="O565" s="2">
        <v>91</v>
      </c>
      <c r="P565" s="2">
        <v>432522</v>
      </c>
      <c r="Q565" s="2">
        <v>17004</v>
      </c>
      <c r="R565" s="2">
        <v>276765</v>
      </c>
      <c r="S565" s="2">
        <v>2903780</v>
      </c>
      <c r="T565" s="10">
        <f t="shared" si="27"/>
        <v>1499509</v>
      </c>
      <c r="U565" s="8">
        <f t="shared" si="28"/>
        <v>0.51639896961891052</v>
      </c>
      <c r="V565" s="9" t="s">
        <v>5268</v>
      </c>
      <c r="W565" s="9" t="str">
        <f t="shared" si="29"/>
        <v>St. Albans MB</v>
      </c>
      <c r="X565" s="9" t="str">
        <f>INDEX(Lookup!$A$2:$A$1349, MATCH(W565, Lookup!$B$2:$B$1349,0))</f>
        <v>J04001179</v>
      </c>
      <c r="Y565" s="9" t="str">
        <f>INDEX(Lookup!$F$2:$F$1349, MATCH(W565, Lookup!$B$2:$B$1349,0))</f>
        <v>e170470</v>
      </c>
      <c r="Z565" s="6" t="str">
        <f>INDEX(Lookup!$C$2:$C$1300, MATCH(X565, Lookup!$A$2:$A$1300,0))</f>
        <v>Hertfordshire</v>
      </c>
    </row>
    <row r="566" spans="1:26" ht="28.15" customHeight="1" x14ac:dyDescent="0.2">
      <c r="A566" s="6" t="s">
        <v>523</v>
      </c>
      <c r="B566" s="1" t="s">
        <v>523</v>
      </c>
      <c r="C566" s="2">
        <v>13346</v>
      </c>
      <c r="D566" s="2">
        <v>993215</v>
      </c>
      <c r="E566" s="2">
        <v>9607</v>
      </c>
      <c r="F566" s="2">
        <v>1188619</v>
      </c>
      <c r="G566" s="2">
        <v>986</v>
      </c>
      <c r="H566" s="2">
        <v>237187</v>
      </c>
      <c r="I566" s="2">
        <v>1193</v>
      </c>
      <c r="J566" s="2">
        <v>1068331</v>
      </c>
      <c r="K566" s="2">
        <v>325</v>
      </c>
      <c r="L566" s="2">
        <v>182690</v>
      </c>
      <c r="M566" s="2">
        <v>2140</v>
      </c>
      <c r="N566" s="2">
        <v>317615</v>
      </c>
      <c r="O566" s="2">
        <v>234</v>
      </c>
      <c r="P566" s="2">
        <v>1066320</v>
      </c>
      <c r="Q566" s="2">
        <v>34083</v>
      </c>
      <c r="R566" s="2">
        <v>403269</v>
      </c>
      <c r="S566" s="2">
        <v>5491329</v>
      </c>
      <c r="T566" s="10">
        <f t="shared" si="27"/>
        <v>2419021</v>
      </c>
      <c r="U566" s="8">
        <f t="shared" si="28"/>
        <v>0.44051649427670425</v>
      </c>
      <c r="V566" s="9" t="s">
        <v>5268</v>
      </c>
      <c r="W566" s="9" t="str">
        <f t="shared" si="29"/>
        <v>Watford MB</v>
      </c>
      <c r="X566" s="9" t="str">
        <f>INDEX(Lookup!$A$2:$A$1349, MATCH(W566, Lookup!$B$2:$B$1349,0))</f>
        <v>J04001353</v>
      </c>
      <c r="Y566" s="9" t="str">
        <f>INDEX(Lookup!$F$2:$F$1349, MATCH(W566, Lookup!$B$2:$B$1349,0))</f>
        <v>e170476</v>
      </c>
      <c r="Z566" s="6" t="str">
        <f>INDEX(Lookup!$C$2:$C$1300, MATCH(X566, Lookup!$A$2:$A$1300,0))</f>
        <v>Hertfordshire</v>
      </c>
    </row>
    <row r="567" spans="1:26" ht="28.15" customHeight="1" x14ac:dyDescent="0.2">
      <c r="A567" s="6" t="s">
        <v>179</v>
      </c>
      <c r="B567" s="1" t="s">
        <v>179</v>
      </c>
      <c r="T567" s="10"/>
      <c r="W567" s="9" t="str">
        <f t="shared" si="29"/>
        <v xml:space="preserve">Urban Districts-- </v>
      </c>
      <c r="X567" s="9" t="e">
        <f>INDEX(Lookup!$A$2:$A$1349, MATCH(W567, Lookup!$B$2:$B$1349,0))</f>
        <v>#N/A</v>
      </c>
      <c r="Y567" s="9" t="e">
        <f>INDEX(Lookup!$F$2:$F$1349, MATCH(W567, Lookup!$B$2:$B$1349,0))</f>
        <v>#N/A</v>
      </c>
      <c r="Z567" s="6" t="e">
        <f>INDEX(Lookup!$C$2:$C$1300, MATCH(X567, Lookup!$A$2:$A$1300,0))</f>
        <v>#N/A</v>
      </c>
    </row>
    <row r="568" spans="1:26" ht="28.15" customHeight="1" x14ac:dyDescent="0.2">
      <c r="A568" s="6" t="s">
        <v>524</v>
      </c>
      <c r="B568" s="1" t="s">
        <v>524</v>
      </c>
      <c r="C568" s="2">
        <v>1619</v>
      </c>
      <c r="D568" s="2">
        <v>104474</v>
      </c>
      <c r="E568" s="2">
        <v>275</v>
      </c>
      <c r="F568" s="2">
        <v>31534</v>
      </c>
      <c r="G568" s="2">
        <v>7</v>
      </c>
      <c r="H568" s="2">
        <v>1682</v>
      </c>
      <c r="I568" s="2">
        <v>86</v>
      </c>
      <c r="J568" s="2">
        <v>26325</v>
      </c>
      <c r="K568" s="2">
        <v>16</v>
      </c>
      <c r="L568" s="2">
        <v>2509</v>
      </c>
      <c r="M568" s="2">
        <v>434</v>
      </c>
      <c r="N568" s="2">
        <v>25836</v>
      </c>
      <c r="O568" s="2">
        <v>22</v>
      </c>
      <c r="P568" s="2">
        <v>97380</v>
      </c>
      <c r="Q568" s="2">
        <v>4581</v>
      </c>
      <c r="R568" s="2">
        <v>26102</v>
      </c>
      <c r="S568" s="2">
        <v>320423</v>
      </c>
      <c r="T568" s="10">
        <f t="shared" si="27"/>
        <v>137690</v>
      </c>
      <c r="U568" s="8">
        <f t="shared" si="28"/>
        <v>0.42971322283356689</v>
      </c>
      <c r="V568" s="9" t="s">
        <v>5270</v>
      </c>
      <c r="W568" s="9" t="str">
        <f t="shared" si="29"/>
        <v>Baldock UD</v>
      </c>
      <c r="X568" s="9" t="str">
        <f>INDEX(Lookup!$A$2:$A$1349, MATCH(W568, Lookup!$B$2:$B$1349,0))</f>
        <v>J04000074</v>
      </c>
      <c r="Y568" s="9" t="str">
        <f>INDEX(Lookup!$F$2:$F$1349, MATCH(W568, Lookup!$B$2:$B$1349,0))</f>
        <v>e170454</v>
      </c>
      <c r="Z568" s="6" t="str">
        <f>INDEX(Lookup!$C$2:$C$1300, MATCH(X568, Lookup!$A$2:$A$1300,0))</f>
        <v>Hertfordshire</v>
      </c>
    </row>
    <row r="569" spans="1:26" ht="28.15" customHeight="1" x14ac:dyDescent="0.2">
      <c r="A569" s="6" t="s">
        <v>525</v>
      </c>
      <c r="B569" s="1" t="s">
        <v>525</v>
      </c>
      <c r="C569" s="2">
        <v>2854</v>
      </c>
      <c r="D569" s="2">
        <v>221820</v>
      </c>
      <c r="E569" s="2">
        <v>4844</v>
      </c>
      <c r="F569" s="2">
        <v>676334</v>
      </c>
      <c r="G569" s="2">
        <v>746</v>
      </c>
      <c r="H569" s="2">
        <v>183372</v>
      </c>
      <c r="I569" s="2">
        <v>267</v>
      </c>
      <c r="J569" s="2">
        <v>125937</v>
      </c>
      <c r="K569" s="2">
        <v>54</v>
      </c>
      <c r="L569" s="2">
        <v>12826</v>
      </c>
      <c r="M569" s="2">
        <v>562</v>
      </c>
      <c r="N569" s="2">
        <v>50655</v>
      </c>
      <c r="O569" s="2">
        <v>53</v>
      </c>
      <c r="P569" s="2">
        <v>118490</v>
      </c>
      <c r="Q569" s="2">
        <v>9803</v>
      </c>
      <c r="R569" s="2">
        <v>120797</v>
      </c>
      <c r="S569" s="2">
        <v>1520034</v>
      </c>
      <c r="T569" s="10">
        <f t="shared" si="27"/>
        <v>1081526</v>
      </c>
      <c r="U569" s="8">
        <f t="shared" si="28"/>
        <v>0.71151434770538025</v>
      </c>
      <c r="V569" s="9" t="s">
        <v>5270</v>
      </c>
      <c r="W569" s="9" t="str">
        <f t="shared" si="29"/>
        <v>Barnet UD</v>
      </c>
      <c r="X569" s="9" t="str">
        <f>INDEX(Lookup!$A$2:$A$1349, MATCH(W569, Lookup!$B$2:$B$1349,0))</f>
        <v>J04000085</v>
      </c>
      <c r="Y569" s="9" t="str">
        <f>INDEX(Lookup!$F$2:$F$1349, MATCH(W569, Lookup!$B$2:$B$1349,0))</f>
        <v>e140372</v>
      </c>
      <c r="Z569" s="6" t="str">
        <f>INDEX(Lookup!$C$2:$C$1300, MATCH(X569, Lookup!$A$2:$A$1300,0))</f>
        <v>Outer London</v>
      </c>
    </row>
    <row r="570" spans="1:26" ht="28.15" customHeight="1" x14ac:dyDescent="0.2">
      <c r="A570" s="6" t="s">
        <v>526</v>
      </c>
      <c r="B570" s="1" t="s">
        <v>526</v>
      </c>
      <c r="C570" s="2">
        <v>2943</v>
      </c>
      <c r="D570" s="2">
        <v>182681</v>
      </c>
      <c r="E570" s="2">
        <v>1149</v>
      </c>
      <c r="F570" s="2">
        <v>158193</v>
      </c>
      <c r="G570" s="2">
        <v>291</v>
      </c>
      <c r="H570" s="2">
        <v>75737</v>
      </c>
      <c r="I570" s="2">
        <v>232</v>
      </c>
      <c r="J570" s="2">
        <v>80462</v>
      </c>
      <c r="K570" s="2">
        <v>47</v>
      </c>
      <c r="L570" s="2">
        <v>21508</v>
      </c>
      <c r="M570" s="2">
        <v>518</v>
      </c>
      <c r="N570" s="2">
        <v>25381</v>
      </c>
      <c r="O570" s="2">
        <v>18</v>
      </c>
      <c r="P570" s="2">
        <v>56970</v>
      </c>
      <c r="Q570" s="2">
        <v>2291</v>
      </c>
      <c r="R570" s="2">
        <v>80777</v>
      </c>
      <c r="S570" s="2">
        <v>684000</v>
      </c>
      <c r="T570" s="10">
        <f t="shared" si="27"/>
        <v>416611</v>
      </c>
      <c r="U570" s="8">
        <f t="shared" si="28"/>
        <v>0.60908040935672514</v>
      </c>
      <c r="V570" s="9" t="s">
        <v>5270</v>
      </c>
      <c r="W570" s="9" t="str">
        <f t="shared" si="29"/>
        <v>Berkhamsted UD</v>
      </c>
      <c r="X570" s="9" t="str">
        <f>INDEX(Lookup!$A$2:$A$1349, MATCH(W570, Lookup!$B$2:$B$1349,0))</f>
        <v>J04000126</v>
      </c>
      <c r="Y570" s="9" t="str">
        <f>INDEX(Lookup!$F$2:$F$1349, MATCH(W570, Lookup!$B$2:$B$1349,0))</f>
        <v>e170455</v>
      </c>
      <c r="Z570" s="6" t="str">
        <f>INDEX(Lookup!$C$2:$C$1300, MATCH(X570, Lookup!$A$2:$A$1300,0))</f>
        <v>Hertfordshire</v>
      </c>
    </row>
    <row r="571" spans="1:26" ht="28.15" customHeight="1" x14ac:dyDescent="0.2">
      <c r="A571" s="6" t="s">
        <v>527</v>
      </c>
      <c r="B571" s="1" t="s">
        <v>5405</v>
      </c>
      <c r="C571" s="2">
        <v>3755</v>
      </c>
      <c r="D571" s="2">
        <v>245202</v>
      </c>
      <c r="E571" s="2">
        <v>2202</v>
      </c>
      <c r="F571" s="2">
        <v>270838</v>
      </c>
      <c r="G571" s="2">
        <v>75</v>
      </c>
      <c r="H571" s="2">
        <v>17701</v>
      </c>
      <c r="I571" s="2">
        <v>292</v>
      </c>
      <c r="J571" s="2">
        <v>137932</v>
      </c>
      <c r="K571" s="2">
        <v>43</v>
      </c>
      <c r="L571" s="2">
        <v>12485</v>
      </c>
      <c r="M571" s="2">
        <v>380</v>
      </c>
      <c r="N571" s="2">
        <v>61945</v>
      </c>
      <c r="O571" s="2">
        <v>42</v>
      </c>
      <c r="P571" s="2">
        <v>89925</v>
      </c>
      <c r="Q571" s="2">
        <v>9517</v>
      </c>
      <c r="R571" s="2">
        <v>87009</v>
      </c>
      <c r="S571" s="2">
        <v>932554</v>
      </c>
      <c r="T571" s="10">
        <f t="shared" si="27"/>
        <v>533741</v>
      </c>
      <c r="U571" s="8">
        <f t="shared" si="28"/>
        <v>0.57234326376810352</v>
      </c>
      <c r="V571" s="9" t="s">
        <v>5270</v>
      </c>
      <c r="W571" s="9" t="str">
        <f t="shared" si="29"/>
        <v>Bishops Stortford UD</v>
      </c>
      <c r="X571" s="9" t="str">
        <f>INDEX(Lookup!$A$2:$A$1349, MATCH(W571, Lookup!$B$2:$B$1349,0))</f>
        <v>J04000153</v>
      </c>
      <c r="Y571" s="9" t="str">
        <f>INDEX(Lookup!$F$2:$F$1349, MATCH(W571, Lookup!$B$2:$B$1349,0))</f>
        <v>e170456</v>
      </c>
      <c r="Z571" s="6" t="str">
        <f>INDEX(Lookup!$C$2:$C$1300, MATCH(X571, Lookup!$A$2:$A$1300,0))</f>
        <v>Hertfordshire</v>
      </c>
    </row>
    <row r="572" spans="1:26" ht="28.15" customHeight="1" x14ac:dyDescent="0.2">
      <c r="A572" s="6" t="s">
        <v>528</v>
      </c>
      <c r="B572" s="1" t="s">
        <v>528</v>
      </c>
      <c r="C572" s="2">
        <v>3422</v>
      </c>
      <c r="D572" s="2">
        <v>257042</v>
      </c>
      <c r="E572" s="2">
        <v>2651</v>
      </c>
      <c r="F572" s="2">
        <v>332930</v>
      </c>
      <c r="G572" s="2">
        <v>179</v>
      </c>
      <c r="H572" s="2">
        <v>45852</v>
      </c>
      <c r="I572" s="2">
        <v>158</v>
      </c>
      <c r="J572" s="2">
        <v>32106</v>
      </c>
      <c r="K572" s="2">
        <v>20</v>
      </c>
      <c r="L572" s="2">
        <v>12698</v>
      </c>
      <c r="M572" s="2">
        <v>709</v>
      </c>
      <c r="N572" s="2">
        <v>54246</v>
      </c>
      <c r="O572" s="2">
        <v>27</v>
      </c>
      <c r="P572" s="2">
        <v>221070</v>
      </c>
      <c r="Q572" s="2">
        <v>26698</v>
      </c>
      <c r="R572" s="2">
        <v>213562</v>
      </c>
      <c r="S572" s="2">
        <v>1196204</v>
      </c>
      <c r="T572" s="10">
        <f t="shared" si="27"/>
        <v>635824</v>
      </c>
      <c r="U572" s="8">
        <f t="shared" si="28"/>
        <v>0.53153475494146485</v>
      </c>
      <c r="V572" s="9" t="s">
        <v>5270</v>
      </c>
      <c r="W572" s="9" t="str">
        <f t="shared" si="29"/>
        <v>Bushey UD</v>
      </c>
      <c r="X572" s="9" t="str">
        <f>INDEX(Lookup!$A$2:$A$1349, MATCH(W572, Lookup!$B$2:$B$1349,0))</f>
        <v>J04000246</v>
      </c>
      <c r="Y572" s="9" t="str">
        <f>INDEX(Lookup!$F$2:$F$1349, MATCH(W572, Lookup!$B$2:$B$1349,0))</f>
        <v>e170457</v>
      </c>
      <c r="Z572" s="6" t="str">
        <f>INDEX(Lookup!$C$2:$C$1300, MATCH(X572, Lookup!$A$2:$A$1300,0))</f>
        <v>Hertfordshire</v>
      </c>
    </row>
    <row r="573" spans="1:26" ht="28.15" customHeight="1" x14ac:dyDescent="0.2">
      <c r="A573" s="6" t="s">
        <v>529</v>
      </c>
      <c r="B573" s="1" t="s">
        <v>529</v>
      </c>
      <c r="C573" s="2">
        <v>7943</v>
      </c>
      <c r="D573" s="2">
        <v>629822</v>
      </c>
      <c r="E573" s="2">
        <v>2913</v>
      </c>
      <c r="F573" s="2">
        <v>326834</v>
      </c>
      <c r="G573" s="2">
        <v>28</v>
      </c>
      <c r="H573" s="2">
        <v>7041</v>
      </c>
      <c r="I573" s="2">
        <v>404</v>
      </c>
      <c r="J573" s="2">
        <v>164235</v>
      </c>
      <c r="K573" s="2">
        <v>68</v>
      </c>
      <c r="L573" s="2">
        <v>39162</v>
      </c>
      <c r="M573" s="2">
        <v>1152</v>
      </c>
      <c r="N573" s="2">
        <v>156059</v>
      </c>
      <c r="O573" s="2">
        <v>66</v>
      </c>
      <c r="P573" s="2">
        <v>161465</v>
      </c>
      <c r="Q573" s="2">
        <v>2496</v>
      </c>
      <c r="R573" s="2">
        <v>184392</v>
      </c>
      <c r="S573" s="2">
        <v>1671506</v>
      </c>
      <c r="T573" s="10">
        <f t="shared" si="27"/>
        <v>963697</v>
      </c>
      <c r="U573" s="8">
        <f t="shared" si="28"/>
        <v>0.57654414641646512</v>
      </c>
      <c r="V573" s="9" t="s">
        <v>5270</v>
      </c>
      <c r="W573" s="9" t="str">
        <f t="shared" si="29"/>
        <v>Cheshunt UD</v>
      </c>
      <c r="X573" s="9" t="str">
        <f>INDEX(Lookup!$A$2:$A$1349, MATCH(W573, Lookup!$B$2:$B$1349,0))</f>
        <v>J04000297</v>
      </c>
      <c r="Y573" s="9" t="str">
        <f>INDEX(Lookup!$F$2:$F$1349, MATCH(W573, Lookup!$B$2:$B$1349,0))</f>
        <v>e170458</v>
      </c>
      <c r="Z573" s="6" t="str">
        <f>INDEX(Lookup!$C$2:$C$1300, MATCH(X573, Lookup!$A$2:$A$1300,0))</f>
        <v>Hertfordshire</v>
      </c>
    </row>
    <row r="574" spans="1:26" ht="28.15" customHeight="1" x14ac:dyDescent="0.2">
      <c r="A574" s="6" t="s">
        <v>530</v>
      </c>
      <c r="B574" s="1" t="s">
        <v>530</v>
      </c>
      <c r="C574" s="2">
        <v>636</v>
      </c>
      <c r="D574" s="2">
        <v>47220</v>
      </c>
      <c r="E574" s="2">
        <v>902</v>
      </c>
      <c r="F574" s="2">
        <v>141384</v>
      </c>
      <c r="G574" s="2">
        <v>716</v>
      </c>
      <c r="H574" s="2">
        <v>193834</v>
      </c>
      <c r="I574" s="2">
        <v>40</v>
      </c>
      <c r="J574" s="2">
        <v>10771</v>
      </c>
      <c r="K574" s="2">
        <v>8</v>
      </c>
      <c r="L574" s="2">
        <v>5022</v>
      </c>
      <c r="M574" s="2">
        <v>103</v>
      </c>
      <c r="N574" s="2">
        <v>8167</v>
      </c>
      <c r="O574" s="2">
        <v>7</v>
      </c>
      <c r="P574" s="2">
        <v>3950</v>
      </c>
      <c r="Q574" s="2">
        <v>132</v>
      </c>
      <c r="R574" s="2">
        <v>18187</v>
      </c>
      <c r="S574" s="2">
        <v>428667</v>
      </c>
      <c r="T574" s="10">
        <f t="shared" si="27"/>
        <v>382438</v>
      </c>
      <c r="U574" s="8">
        <f t="shared" si="28"/>
        <v>0.89215638246004469</v>
      </c>
      <c r="V574" s="9" t="s">
        <v>5270</v>
      </c>
      <c r="W574" s="9" t="str">
        <f t="shared" si="29"/>
        <v>Chorleywood UD</v>
      </c>
      <c r="X574" s="9" t="str">
        <f>INDEX(Lookup!$A$2:$A$1349, MATCH(W574, Lookup!$B$2:$B$1349,0))</f>
        <v>J04000315</v>
      </c>
      <c r="Y574" s="9" t="str">
        <f>INDEX(Lookup!$F$2:$F$1349, MATCH(W574, Lookup!$B$2:$B$1349,0))</f>
        <v>e170459</v>
      </c>
      <c r="Z574" s="6" t="str">
        <f>INDEX(Lookup!$C$2:$C$1300, MATCH(X574, Lookup!$A$2:$A$1300,0))</f>
        <v>Hertfordshire</v>
      </c>
    </row>
    <row r="575" spans="1:26" ht="28.15" customHeight="1" x14ac:dyDescent="0.2">
      <c r="A575" s="6" t="s">
        <v>531</v>
      </c>
      <c r="B575" s="1" t="s">
        <v>531</v>
      </c>
      <c r="C575" s="2">
        <v>2768</v>
      </c>
      <c r="D575" s="2">
        <v>222691</v>
      </c>
      <c r="E575" s="2">
        <v>9817</v>
      </c>
      <c r="F575" s="2">
        <v>1298780</v>
      </c>
      <c r="G575" s="2">
        <v>374</v>
      </c>
      <c r="H575" s="2">
        <v>85068</v>
      </c>
      <c r="I575" s="2">
        <v>408</v>
      </c>
      <c r="J575" s="2">
        <v>79319</v>
      </c>
      <c r="K575" s="2">
        <v>34</v>
      </c>
      <c r="L575" s="2">
        <v>14368</v>
      </c>
      <c r="M575" s="2">
        <v>764</v>
      </c>
      <c r="N575" s="2">
        <v>45586</v>
      </c>
      <c r="O575" s="2">
        <v>33</v>
      </c>
      <c r="P575" s="2">
        <v>189520</v>
      </c>
      <c r="Q575" s="2">
        <v>5306</v>
      </c>
      <c r="R575" s="2">
        <v>140131</v>
      </c>
      <c r="S575" s="2">
        <v>2080769</v>
      </c>
      <c r="T575" s="10">
        <f t="shared" si="27"/>
        <v>1606539</v>
      </c>
      <c r="U575" s="8">
        <f t="shared" si="28"/>
        <v>0.77208906899324237</v>
      </c>
      <c r="V575" s="9" t="s">
        <v>5270</v>
      </c>
      <c r="W575" s="9" t="str">
        <f t="shared" si="29"/>
        <v>East Barnet UD</v>
      </c>
      <c r="X575" s="9" t="str">
        <f>INDEX(Lookup!$A$2:$A$1349, MATCH(W575, Lookup!$B$2:$B$1349,0))</f>
        <v>J04000446</v>
      </c>
      <c r="Y575" s="9" t="str">
        <f>INDEX(Lookup!$F$2:$F$1349, MATCH(W575, Lookup!$B$2:$B$1349,0))</f>
        <v>e140372</v>
      </c>
      <c r="Z575" s="6" t="str">
        <f>INDEX(Lookup!$C$2:$C$1300, MATCH(X575, Lookup!$A$2:$A$1300,0))</f>
        <v>Outer London</v>
      </c>
    </row>
    <row r="576" spans="1:26" ht="28.15" customHeight="1" x14ac:dyDescent="0.2">
      <c r="A576" s="6" t="s">
        <v>532</v>
      </c>
      <c r="B576" s="1" t="s">
        <v>532</v>
      </c>
      <c r="C576" s="2">
        <v>3014</v>
      </c>
      <c r="D576" s="2">
        <v>212463</v>
      </c>
      <c r="E576" s="2">
        <v>2768</v>
      </c>
      <c r="F576" s="2">
        <v>377651</v>
      </c>
      <c r="G576" s="2">
        <v>527</v>
      </c>
      <c r="H576" s="2">
        <v>136680</v>
      </c>
      <c r="I576" s="2">
        <v>230</v>
      </c>
      <c r="J576" s="2">
        <v>90368</v>
      </c>
      <c r="K576" s="2">
        <v>38</v>
      </c>
      <c r="L576" s="2">
        <v>24294</v>
      </c>
      <c r="M576" s="2">
        <v>402</v>
      </c>
      <c r="N576" s="2">
        <v>31560</v>
      </c>
      <c r="O576" s="2">
        <v>29</v>
      </c>
      <c r="P576" s="2">
        <v>72587</v>
      </c>
      <c r="Q576" s="2">
        <v>3922</v>
      </c>
      <c r="R576" s="2">
        <v>84086</v>
      </c>
      <c r="S576" s="2">
        <v>1033611</v>
      </c>
      <c r="T576" s="10">
        <f t="shared" si="27"/>
        <v>726794</v>
      </c>
      <c r="U576" s="8">
        <f t="shared" si="28"/>
        <v>0.70316008633809046</v>
      </c>
      <c r="V576" s="9" t="s">
        <v>5270</v>
      </c>
      <c r="W576" s="9" t="str">
        <f t="shared" si="29"/>
        <v>Harpenden UD</v>
      </c>
      <c r="X576" s="9" t="str">
        <f>INDEX(Lookup!$A$2:$A$1349, MATCH(W576, Lookup!$B$2:$B$1349,0))</f>
        <v>J04000575</v>
      </c>
      <c r="Y576" s="9" t="str">
        <f>INDEX(Lookup!$F$2:$F$1349, MATCH(W576, Lookup!$B$2:$B$1349,0))</f>
        <v>e170460</v>
      </c>
      <c r="Z576" s="6" t="str">
        <f>INDEX(Lookup!$C$2:$C$1300, MATCH(X576, Lookup!$A$2:$A$1300,0))</f>
        <v>Hertfordshire</v>
      </c>
    </row>
    <row r="577" spans="1:26" ht="28.15" customHeight="1" x14ac:dyDescent="0.2">
      <c r="A577" s="6" t="s">
        <v>533</v>
      </c>
      <c r="B577" s="1" t="s">
        <v>533</v>
      </c>
      <c r="C577" s="2">
        <v>5508</v>
      </c>
      <c r="D577" s="2">
        <v>361228</v>
      </c>
      <c r="E577" s="2">
        <v>2130</v>
      </c>
      <c r="F577" s="2">
        <v>260154</v>
      </c>
      <c r="G577" s="2">
        <v>117</v>
      </c>
      <c r="H577" s="2">
        <v>28005</v>
      </c>
      <c r="I577" s="2">
        <v>410</v>
      </c>
      <c r="J577" s="2">
        <v>184374</v>
      </c>
      <c r="K577" s="2">
        <v>83</v>
      </c>
      <c r="L577" s="2">
        <v>29287</v>
      </c>
      <c r="M577" s="2">
        <v>858</v>
      </c>
      <c r="N577" s="2">
        <v>86392</v>
      </c>
      <c r="O577" s="2">
        <v>66</v>
      </c>
      <c r="P577" s="2">
        <v>216972</v>
      </c>
      <c r="Q577" s="2">
        <v>9931</v>
      </c>
      <c r="R577" s="2">
        <v>116646</v>
      </c>
      <c r="S577" s="2">
        <v>1292989</v>
      </c>
      <c r="T577" s="10">
        <f t="shared" si="27"/>
        <v>649387</v>
      </c>
      <c r="U577" s="8">
        <f t="shared" si="28"/>
        <v>0.50223706466180296</v>
      </c>
      <c r="V577" s="9" t="s">
        <v>5270</v>
      </c>
      <c r="W577" s="9" t="str">
        <f t="shared" si="29"/>
        <v>Hitchin UD</v>
      </c>
      <c r="X577" s="9" t="str">
        <f>INDEX(Lookup!$A$2:$A$1349, MATCH(W577, Lookup!$B$2:$B$1349,0))</f>
        <v>J04000628</v>
      </c>
      <c r="Y577" s="9" t="str">
        <f>INDEX(Lookup!$F$2:$F$1349, MATCH(W577, Lookup!$B$2:$B$1349,0))</f>
        <v>e170464</v>
      </c>
      <c r="Z577" s="6" t="str">
        <f>INDEX(Lookup!$C$2:$C$1300, MATCH(X577, Lookup!$A$2:$A$1300,0))</f>
        <v>Hertfordshire</v>
      </c>
    </row>
    <row r="578" spans="1:26" ht="28.15" customHeight="1" x14ac:dyDescent="0.2">
      <c r="A578" s="6" t="s">
        <v>534</v>
      </c>
      <c r="B578" s="1" t="s">
        <v>534</v>
      </c>
      <c r="C578" s="2">
        <v>4070</v>
      </c>
      <c r="D578" s="2">
        <v>275606</v>
      </c>
      <c r="E578" s="2">
        <v>1437</v>
      </c>
      <c r="F578" s="2">
        <v>185758</v>
      </c>
      <c r="G578" s="2">
        <v>118</v>
      </c>
      <c r="H578" s="2">
        <v>30723</v>
      </c>
      <c r="I578" s="2">
        <v>256</v>
      </c>
      <c r="J578" s="2">
        <v>82747</v>
      </c>
      <c r="K578" s="2">
        <v>39</v>
      </c>
      <c r="L578" s="2">
        <v>7351</v>
      </c>
      <c r="M578" s="2">
        <v>451</v>
      </c>
      <c r="N578" s="2">
        <v>48403</v>
      </c>
      <c r="O578" s="2">
        <v>62</v>
      </c>
      <c r="P578" s="2">
        <v>194005</v>
      </c>
      <c r="Q578" s="2">
        <v>2358</v>
      </c>
      <c r="R578" s="2">
        <v>151347</v>
      </c>
      <c r="S578" s="2">
        <v>978298</v>
      </c>
      <c r="T578" s="10">
        <f t="shared" si="27"/>
        <v>492087</v>
      </c>
      <c r="U578" s="8">
        <f t="shared" si="28"/>
        <v>0.50300317490171709</v>
      </c>
      <c r="V578" s="9" t="s">
        <v>5270</v>
      </c>
      <c r="W578" s="9" t="str">
        <f t="shared" si="29"/>
        <v>Hoddesdon UD</v>
      </c>
      <c r="X578" s="9" t="str">
        <f>INDEX(Lookup!$A$2:$A$1349, MATCH(W578, Lookup!$B$2:$B$1349,0))</f>
        <v>J04000629</v>
      </c>
      <c r="Y578" s="9" t="str">
        <f>INDEX(Lookup!$F$2:$F$1349, MATCH(W578, Lookup!$B$2:$B$1349,0))</f>
        <v>e170465</v>
      </c>
      <c r="Z578" s="6" t="str">
        <f>INDEX(Lookup!$C$2:$C$1300, MATCH(X578, Lookup!$A$2:$A$1300,0))</f>
        <v>Hertfordshire</v>
      </c>
    </row>
    <row r="579" spans="1:26" ht="28.15" customHeight="1" x14ac:dyDescent="0.2">
      <c r="A579" s="6" t="s">
        <v>535</v>
      </c>
      <c r="B579" s="1" t="s">
        <v>535</v>
      </c>
      <c r="C579" s="2">
        <v>6033</v>
      </c>
      <c r="D579" s="2">
        <v>397477</v>
      </c>
      <c r="E579" s="2">
        <v>1932</v>
      </c>
      <c r="F579" s="2">
        <v>249930</v>
      </c>
      <c r="G579" s="2">
        <v>124</v>
      </c>
      <c r="H579" s="2">
        <v>30035</v>
      </c>
      <c r="I579" s="2">
        <v>230</v>
      </c>
      <c r="J579" s="2">
        <v>131475</v>
      </c>
      <c r="K579" s="2">
        <v>56</v>
      </c>
      <c r="L579" s="2">
        <v>37164</v>
      </c>
      <c r="M579" s="2">
        <v>1025</v>
      </c>
      <c r="N579" s="2">
        <v>95768</v>
      </c>
      <c r="O579" s="2">
        <v>91</v>
      </c>
      <c r="P579" s="2">
        <v>1016802</v>
      </c>
      <c r="Q579" s="2">
        <v>8624</v>
      </c>
      <c r="R579" s="2">
        <v>141987</v>
      </c>
      <c r="S579" s="2">
        <v>2109262</v>
      </c>
      <c r="T579" s="10">
        <f t="shared" ref="T579:T642" si="30">SUM(D579+F579+H579)</f>
        <v>677442</v>
      </c>
      <c r="U579" s="8">
        <f t="shared" ref="U579:U642" si="31">T579/S579</f>
        <v>0.32117489434693269</v>
      </c>
      <c r="V579" s="9" t="s">
        <v>5270</v>
      </c>
      <c r="W579" s="9" t="str">
        <f t="shared" ref="W579:W642" si="32">_xlfn.CONCAT(B579," ",V579)</f>
        <v>Letchworth UD</v>
      </c>
      <c r="X579" s="9" t="str">
        <f>INDEX(Lookup!$A$2:$A$1349, MATCH(W579, Lookup!$B$2:$B$1349,0))</f>
        <v>J04000737</v>
      </c>
      <c r="Y579" s="9" t="str">
        <f>INDEX(Lookup!$F$2:$F$1349, MATCH(W579, Lookup!$B$2:$B$1349,0))</f>
        <v>e170466</v>
      </c>
      <c r="Z579" s="6" t="str">
        <f>INDEX(Lookup!$C$2:$C$1300, MATCH(X579, Lookup!$A$2:$A$1300,0))</f>
        <v>Hertfordshire</v>
      </c>
    </row>
    <row r="580" spans="1:26" ht="28.15" customHeight="1" x14ac:dyDescent="0.2">
      <c r="A580" s="6" t="s">
        <v>536</v>
      </c>
      <c r="B580" s="1" t="s">
        <v>536</v>
      </c>
      <c r="C580" s="2">
        <v>2962</v>
      </c>
      <c r="D580" s="2">
        <v>218391</v>
      </c>
      <c r="E580" s="2">
        <v>4492</v>
      </c>
      <c r="F580" s="2">
        <v>583922</v>
      </c>
      <c r="G580" s="2">
        <v>1388</v>
      </c>
      <c r="H580" s="2">
        <v>339907</v>
      </c>
      <c r="I580" s="2">
        <v>305</v>
      </c>
      <c r="J580" s="2">
        <v>139002</v>
      </c>
      <c r="K580" s="2">
        <v>61</v>
      </c>
      <c r="L580" s="2">
        <v>27118</v>
      </c>
      <c r="M580" s="2">
        <v>625</v>
      </c>
      <c r="N580" s="2">
        <v>105367</v>
      </c>
      <c r="O580" s="2">
        <v>75</v>
      </c>
      <c r="P580" s="2">
        <v>306791</v>
      </c>
      <c r="Q580" s="2">
        <v>11669</v>
      </c>
      <c r="R580" s="2">
        <v>247903</v>
      </c>
      <c r="S580" s="2">
        <v>2040070</v>
      </c>
      <c r="T580" s="10">
        <f t="shared" si="30"/>
        <v>1142220</v>
      </c>
      <c r="U580" s="8">
        <f t="shared" si="31"/>
        <v>0.55989255270652483</v>
      </c>
      <c r="V580" s="9" t="s">
        <v>5270</v>
      </c>
      <c r="W580" s="9" t="str">
        <f t="shared" si="32"/>
        <v>Rickmansworth UD</v>
      </c>
      <c r="X580" s="9" t="str">
        <f>INDEX(Lookup!$A$2:$A$1349, MATCH(W580, Lookup!$B$2:$B$1349,0))</f>
        <v>J04001049</v>
      </c>
      <c r="Y580" s="9" t="str">
        <f>INDEX(Lookup!$F$2:$F$1349, MATCH(W580, Lookup!$B$2:$B$1349,0))</f>
        <v>e170468</v>
      </c>
      <c r="Z580" s="6" t="str">
        <f>INDEX(Lookup!$C$2:$C$1300, MATCH(X580, Lookup!$A$2:$A$1300,0))</f>
        <v>Hertfordshire</v>
      </c>
    </row>
    <row r="581" spans="1:26" ht="28.15" customHeight="1" x14ac:dyDescent="0.2">
      <c r="A581" s="6" t="s">
        <v>537</v>
      </c>
      <c r="B581" s="1" t="s">
        <v>537</v>
      </c>
      <c r="C581" s="2">
        <v>1594</v>
      </c>
      <c r="D581" s="2">
        <v>101381</v>
      </c>
      <c r="E581" s="2">
        <v>368</v>
      </c>
      <c r="F581" s="2">
        <v>49160</v>
      </c>
      <c r="G581" s="2">
        <v>28</v>
      </c>
      <c r="H581" s="2">
        <v>7683</v>
      </c>
      <c r="I581" s="2">
        <v>104</v>
      </c>
      <c r="J581" s="2">
        <v>40306</v>
      </c>
      <c r="K581" s="2">
        <v>24</v>
      </c>
      <c r="L581" s="2">
        <v>4017</v>
      </c>
      <c r="M581" s="2">
        <v>284</v>
      </c>
      <c r="N581" s="2">
        <v>22368</v>
      </c>
      <c r="O581" s="2">
        <v>21</v>
      </c>
      <c r="P581" s="2">
        <v>96830</v>
      </c>
      <c r="Q581" s="2">
        <v>2559</v>
      </c>
      <c r="R581" s="2">
        <v>26473</v>
      </c>
      <c r="S581" s="2">
        <v>350777</v>
      </c>
      <c r="T581" s="10">
        <f t="shared" si="30"/>
        <v>158224</v>
      </c>
      <c r="U581" s="8">
        <f t="shared" si="31"/>
        <v>0.45106720223959951</v>
      </c>
      <c r="V581" s="9" t="s">
        <v>5270</v>
      </c>
      <c r="W581" s="9" t="str">
        <f t="shared" si="32"/>
        <v>Royston UD</v>
      </c>
      <c r="X581" s="9" t="str">
        <f>INDEX(Lookup!$A$2:$A$1349, MATCH(W581, Lookup!$B$2:$B$1349,0))</f>
        <v>J04001074</v>
      </c>
      <c r="Y581" s="9" t="str">
        <f>INDEX(Lookup!$F$2:$F$1349, MATCH(W581, Lookup!$B$2:$B$1349,0))</f>
        <v>e170469</v>
      </c>
      <c r="Z581" s="6" t="str">
        <f>INDEX(Lookup!$C$2:$C$1300, MATCH(X581, Lookup!$A$2:$A$1300,0))</f>
        <v>Hertfordshire</v>
      </c>
    </row>
    <row r="582" spans="1:26" ht="28.15" customHeight="1" x14ac:dyDescent="0.2">
      <c r="A582" s="6" t="s">
        <v>538</v>
      </c>
      <c r="B582" s="1" t="s">
        <v>538</v>
      </c>
      <c r="C582" s="2">
        <v>944</v>
      </c>
      <c r="D582" s="2">
        <v>60324</v>
      </c>
      <c r="E582" s="2">
        <v>547</v>
      </c>
      <c r="F582" s="2">
        <v>71886</v>
      </c>
      <c r="G582" s="2">
        <v>32</v>
      </c>
      <c r="H582" s="2">
        <v>7432</v>
      </c>
      <c r="I582" s="2">
        <v>66</v>
      </c>
      <c r="J582" s="2">
        <v>17990</v>
      </c>
      <c r="K582" s="2">
        <v>3</v>
      </c>
      <c r="L582" s="2">
        <v>282</v>
      </c>
      <c r="M582" s="2">
        <v>94</v>
      </c>
      <c r="N582" s="2">
        <v>9494</v>
      </c>
      <c r="O582" s="2">
        <v>9</v>
      </c>
      <c r="P582" s="2">
        <v>17666</v>
      </c>
      <c r="Q582" s="2">
        <v>1176</v>
      </c>
      <c r="R582" s="2">
        <v>20917</v>
      </c>
      <c r="S582" s="2">
        <v>207167</v>
      </c>
      <c r="T582" s="10">
        <f t="shared" si="30"/>
        <v>139642</v>
      </c>
      <c r="U582" s="8">
        <f t="shared" si="31"/>
        <v>0.67405523080413388</v>
      </c>
      <c r="V582" s="9" t="s">
        <v>5270</v>
      </c>
      <c r="W582" s="9" t="str">
        <f t="shared" si="32"/>
        <v>Sawbridgeworth UD</v>
      </c>
      <c r="X582" s="9" t="str">
        <f>INDEX(Lookup!$A$2:$A$1349, MATCH(W582, Lookup!$B$2:$B$1349,0))</f>
        <v>J04001104</v>
      </c>
      <c r="Y582" s="9" t="str">
        <f>INDEX(Lookup!$F$2:$F$1349, MATCH(W582, Lookup!$B$2:$B$1349,0))</f>
        <v>e170471</v>
      </c>
      <c r="Z582" s="6" t="str">
        <f>INDEX(Lookup!$C$2:$C$1300, MATCH(X582, Lookup!$A$2:$A$1300,0))</f>
        <v>Hertfordshire</v>
      </c>
    </row>
    <row r="583" spans="1:26" ht="28.15" customHeight="1" x14ac:dyDescent="0.2">
      <c r="A583" s="6" t="s">
        <v>539</v>
      </c>
      <c r="B583" s="1" t="s">
        <v>539</v>
      </c>
      <c r="C583" s="2">
        <v>12208</v>
      </c>
      <c r="D583" s="2">
        <v>975522</v>
      </c>
      <c r="E583" s="2">
        <v>1884</v>
      </c>
      <c r="F583" s="2">
        <v>223698</v>
      </c>
      <c r="G583" s="2">
        <v>30</v>
      </c>
      <c r="H583" s="2">
        <v>7166</v>
      </c>
      <c r="I583" s="2">
        <v>351</v>
      </c>
      <c r="J583" s="2">
        <v>203913</v>
      </c>
      <c r="K583" s="2">
        <v>88</v>
      </c>
      <c r="L583" s="2">
        <v>27825</v>
      </c>
      <c r="M583" s="2">
        <v>4703</v>
      </c>
      <c r="N583" s="2">
        <v>148699</v>
      </c>
      <c r="O583" s="2">
        <v>43</v>
      </c>
      <c r="P583" s="2">
        <v>1087875</v>
      </c>
      <c r="Q583" s="2">
        <v>28013</v>
      </c>
      <c r="R583" s="2">
        <v>262169</v>
      </c>
      <c r="S583" s="2">
        <v>2974880</v>
      </c>
      <c r="T583" s="10">
        <f t="shared" si="30"/>
        <v>1206386</v>
      </c>
      <c r="U583" s="8">
        <f t="shared" si="31"/>
        <v>0.40552425644059592</v>
      </c>
      <c r="V583" s="9" t="s">
        <v>5270</v>
      </c>
      <c r="W583" s="9" t="str">
        <f t="shared" si="32"/>
        <v>Stevenage UD</v>
      </c>
      <c r="X583" s="9" t="str">
        <f>INDEX(Lookup!$A$2:$A$1349, MATCH(W583, Lookup!$B$2:$B$1349,0))</f>
        <v>J04001207</v>
      </c>
      <c r="Y583" s="9" t="str">
        <f>INDEX(Lookup!$F$2:$F$1349, MATCH(W583, Lookup!$B$2:$B$1349,0))</f>
        <v>e170472</v>
      </c>
      <c r="Z583" s="6" t="str">
        <f>INDEX(Lookup!$C$2:$C$1300, MATCH(X583, Lookup!$A$2:$A$1300,0))</f>
        <v>Hertfordshire</v>
      </c>
    </row>
    <row r="584" spans="1:26" ht="28.15" customHeight="1" x14ac:dyDescent="0.2">
      <c r="A584" s="6" t="s">
        <v>540</v>
      </c>
      <c r="B584" s="1" t="s">
        <v>540</v>
      </c>
      <c r="C584" s="2">
        <v>1752</v>
      </c>
      <c r="D584" s="2">
        <v>107363</v>
      </c>
      <c r="E584" s="2">
        <v>419</v>
      </c>
      <c r="F584" s="2">
        <v>53091</v>
      </c>
      <c r="G584" s="2">
        <v>36</v>
      </c>
      <c r="H584" s="2">
        <v>8828</v>
      </c>
      <c r="I584" s="2">
        <v>104</v>
      </c>
      <c r="J584" s="2">
        <v>21475</v>
      </c>
      <c r="K584" s="2">
        <v>14</v>
      </c>
      <c r="L584" s="2">
        <v>2015</v>
      </c>
      <c r="M584" s="2">
        <v>151</v>
      </c>
      <c r="N584" s="2">
        <v>14032</v>
      </c>
      <c r="O584" s="2">
        <v>13</v>
      </c>
      <c r="P584" s="2">
        <v>16375</v>
      </c>
      <c r="Q584" s="2">
        <v>1438</v>
      </c>
      <c r="R584" s="2">
        <v>22639</v>
      </c>
      <c r="S584" s="2">
        <v>247256</v>
      </c>
      <c r="T584" s="10">
        <f t="shared" si="30"/>
        <v>169282</v>
      </c>
      <c r="U584" s="8">
        <f t="shared" si="31"/>
        <v>0.68464263759018995</v>
      </c>
      <c r="V584" s="9" t="s">
        <v>5270</v>
      </c>
      <c r="W584" s="9" t="str">
        <f t="shared" si="32"/>
        <v>Tring UD</v>
      </c>
      <c r="X584" s="9" t="str">
        <f>INDEX(Lookup!$A$2:$A$1349, MATCH(W584, Lookup!$B$2:$B$1349,0))</f>
        <v>J04001297</v>
      </c>
      <c r="Y584" s="9" t="str">
        <f>INDEX(Lookup!$F$2:$F$1349, MATCH(W584, Lookup!$B$2:$B$1349,0))</f>
        <v>e170474</v>
      </c>
      <c r="Z584" s="6" t="str">
        <f>INDEX(Lookup!$C$2:$C$1300, MATCH(X584, Lookup!$A$2:$A$1300,0))</f>
        <v>Hertfordshire</v>
      </c>
    </row>
    <row r="585" spans="1:26" ht="28.15" customHeight="1" x14ac:dyDescent="0.2">
      <c r="A585" s="6" t="s">
        <v>541</v>
      </c>
      <c r="B585" s="1" t="s">
        <v>541</v>
      </c>
      <c r="C585" s="2">
        <v>3007</v>
      </c>
      <c r="D585" s="2">
        <v>202182</v>
      </c>
      <c r="E585" s="2">
        <v>670</v>
      </c>
      <c r="F585" s="2">
        <v>76614</v>
      </c>
      <c r="G585" s="2">
        <v>6</v>
      </c>
      <c r="H585" s="2">
        <v>1588</v>
      </c>
      <c r="I585" s="2">
        <v>154</v>
      </c>
      <c r="J585" s="2">
        <v>50544</v>
      </c>
      <c r="K585" s="2">
        <v>21</v>
      </c>
      <c r="L585" s="2">
        <v>4208</v>
      </c>
      <c r="M585" s="2">
        <v>422</v>
      </c>
      <c r="N585" s="2">
        <v>38382</v>
      </c>
      <c r="O585" s="2">
        <v>50</v>
      </c>
      <c r="P585" s="2">
        <v>190640</v>
      </c>
      <c r="Q585" s="2">
        <v>984</v>
      </c>
      <c r="R585" s="2">
        <v>59793</v>
      </c>
      <c r="S585" s="2">
        <v>624935</v>
      </c>
      <c r="T585" s="10">
        <f t="shared" si="30"/>
        <v>280384</v>
      </c>
      <c r="U585" s="8">
        <f t="shared" si="31"/>
        <v>0.44866106075031803</v>
      </c>
      <c r="V585" s="9" t="s">
        <v>5270</v>
      </c>
      <c r="W585" s="9" t="str">
        <f t="shared" si="32"/>
        <v>Ware UD</v>
      </c>
      <c r="X585" s="9" t="str">
        <f>INDEX(Lookup!$A$2:$A$1349, MATCH(W585, Lookup!$B$2:$B$1349,0))</f>
        <v>J04001340</v>
      </c>
      <c r="Y585" s="9" t="str">
        <f>INDEX(Lookup!$F$2:$F$1349, MATCH(W585, Lookup!$B$2:$B$1349,0))</f>
        <v>e170475</v>
      </c>
      <c r="Z585" s="6" t="str">
        <f>INDEX(Lookup!$C$2:$C$1300, MATCH(X585, Lookup!$A$2:$A$1300,0))</f>
        <v>Hertfordshire</v>
      </c>
    </row>
    <row r="586" spans="1:26" ht="28.15" customHeight="1" x14ac:dyDescent="0.2">
      <c r="A586" s="6" t="s">
        <v>542</v>
      </c>
      <c r="B586" s="1" t="s">
        <v>542</v>
      </c>
      <c r="C586" s="2">
        <v>7596</v>
      </c>
      <c r="D586" s="2">
        <v>623009</v>
      </c>
      <c r="E586" s="2">
        <v>3484</v>
      </c>
      <c r="F586" s="2">
        <v>454026</v>
      </c>
      <c r="G586" s="2">
        <v>147</v>
      </c>
      <c r="H586" s="2">
        <v>33360</v>
      </c>
      <c r="I586" s="2">
        <v>154</v>
      </c>
      <c r="J586" s="2">
        <v>214781</v>
      </c>
      <c r="K586" s="2">
        <v>81</v>
      </c>
      <c r="L586" s="2">
        <v>290471</v>
      </c>
      <c r="M586" s="2">
        <v>2823</v>
      </c>
      <c r="N586" s="2">
        <v>177416</v>
      </c>
      <c r="O586" s="2">
        <v>91</v>
      </c>
      <c r="P586" s="2">
        <v>950195</v>
      </c>
      <c r="Q586" s="2">
        <v>13196</v>
      </c>
      <c r="R586" s="2">
        <v>231003</v>
      </c>
      <c r="S586" s="2">
        <v>2987457</v>
      </c>
      <c r="T586" s="10">
        <f t="shared" si="30"/>
        <v>1110395</v>
      </c>
      <c r="U586" s="8">
        <f t="shared" si="31"/>
        <v>0.37168568451361811</v>
      </c>
      <c r="V586" s="9" t="s">
        <v>5270</v>
      </c>
      <c r="W586" s="9" t="str">
        <f t="shared" si="32"/>
        <v>Welwyn Garden City UD</v>
      </c>
      <c r="X586" s="9" t="str">
        <f>INDEX(Lookup!$A$2:$A$1349, MATCH(W586, Lookup!$B$2:$B$1349,0))</f>
        <v>J04001372</v>
      </c>
      <c r="Y586" s="9" t="str">
        <f>INDEX(Lookup!$F$2:$F$1349, MATCH(W586, Lookup!$B$2:$B$1349,0))</f>
        <v>e170477</v>
      </c>
      <c r="Z586" s="6" t="str">
        <f>INDEX(Lookup!$C$2:$C$1300, MATCH(X586, Lookup!$A$2:$A$1300,0))</f>
        <v>Hertfordshire</v>
      </c>
    </row>
    <row r="587" spans="1:26" ht="28.15" customHeight="1" x14ac:dyDescent="0.2">
      <c r="A587" s="6" t="s">
        <v>543</v>
      </c>
      <c r="B587" s="1" t="s">
        <v>543</v>
      </c>
      <c r="T587" s="10"/>
      <c r="W587" s="9" t="str">
        <f t="shared" si="32"/>
        <v xml:space="preserve">HERTFORDSHIRE-contd. </v>
      </c>
      <c r="X587" s="9" t="e">
        <f>INDEX(Lookup!$A$2:$A$1349, MATCH(W587, Lookup!$B$2:$B$1349,0))</f>
        <v>#N/A</v>
      </c>
      <c r="Y587" s="9" t="e">
        <f>INDEX(Lookup!$F$2:$F$1349, MATCH(W587, Lookup!$B$2:$B$1349,0))</f>
        <v>#N/A</v>
      </c>
      <c r="Z587" s="6" t="e">
        <f>INDEX(Lookup!$C$2:$C$1300, MATCH(X587, Lookup!$A$2:$A$1300,0))</f>
        <v>#N/A</v>
      </c>
    </row>
    <row r="588" spans="1:26" ht="28.15" customHeight="1" x14ac:dyDescent="0.2">
      <c r="A588" s="6" t="s">
        <v>212</v>
      </c>
      <c r="B588" s="1" t="s">
        <v>212</v>
      </c>
      <c r="T588" s="10"/>
      <c r="W588" s="9" t="str">
        <f t="shared" si="32"/>
        <v xml:space="preserve">Rural Districts-- </v>
      </c>
      <c r="X588" s="9" t="e">
        <f>INDEX(Lookup!$A$2:$A$1349, MATCH(W588, Lookup!$B$2:$B$1349,0))</f>
        <v>#N/A</v>
      </c>
      <c r="Y588" s="9" t="e">
        <f>INDEX(Lookup!$F$2:$F$1349, MATCH(W588, Lookup!$B$2:$B$1349,0))</f>
        <v>#N/A</v>
      </c>
      <c r="Z588" s="6" t="e">
        <f>INDEX(Lookup!$C$2:$C$1300, MATCH(X588, Lookup!$A$2:$A$1300,0))</f>
        <v>#N/A</v>
      </c>
    </row>
    <row r="589" spans="1:26" ht="28.15" customHeight="1" x14ac:dyDescent="0.2">
      <c r="A589" s="6" t="s">
        <v>526</v>
      </c>
      <c r="B589" s="1" t="s">
        <v>526</v>
      </c>
      <c r="C589" s="2">
        <v>1212</v>
      </c>
      <c r="D589" s="2">
        <v>65804</v>
      </c>
      <c r="E589" s="2">
        <v>423</v>
      </c>
      <c r="F589" s="2">
        <v>57026</v>
      </c>
      <c r="G589" s="2">
        <v>190</v>
      </c>
      <c r="H589" s="2">
        <v>58429</v>
      </c>
      <c r="I589" s="2">
        <v>21</v>
      </c>
      <c r="J589" s="2">
        <v>2793</v>
      </c>
      <c r="K589" s="2">
        <v>1</v>
      </c>
      <c r="L589" s="2">
        <v>555</v>
      </c>
      <c r="M589" s="2">
        <v>86</v>
      </c>
      <c r="N589" s="2">
        <v>6810</v>
      </c>
      <c r="O589" s="2">
        <v>2</v>
      </c>
      <c r="P589" s="2">
        <v>1750</v>
      </c>
      <c r="Q589" s="2">
        <v>3108</v>
      </c>
      <c r="R589" s="2">
        <v>37652</v>
      </c>
      <c r="S589" s="2">
        <v>233927</v>
      </c>
      <c r="T589" s="10">
        <f t="shared" si="30"/>
        <v>181259</v>
      </c>
      <c r="U589" s="8">
        <f t="shared" si="31"/>
        <v>0.77485283870609212</v>
      </c>
      <c r="V589" s="9" t="s">
        <v>5271</v>
      </c>
      <c r="W589" s="9" t="str">
        <f t="shared" si="32"/>
        <v>Berkhamsted RD</v>
      </c>
      <c r="X589" s="9" t="str">
        <f>INDEX(Lookup!$A$2:$A$1349, MATCH(W589, Lookup!$B$2:$B$1349,0))</f>
        <v>J04000125</v>
      </c>
      <c r="Y589" s="9" t="str">
        <f>INDEX(Lookup!$F$2:$F$1349, MATCH(W589, Lookup!$B$2:$B$1349,0))</f>
        <v>e170478</v>
      </c>
      <c r="Z589" s="6" t="str">
        <f>INDEX(Lookup!$C$2:$C$1300, MATCH(X589, Lookup!$A$2:$A$1300,0))</f>
        <v>Hertfordshire</v>
      </c>
    </row>
    <row r="590" spans="1:26" ht="28.15" customHeight="1" x14ac:dyDescent="0.2">
      <c r="A590" s="6" t="s">
        <v>544</v>
      </c>
      <c r="B590" s="1" t="s">
        <v>544</v>
      </c>
      <c r="C590" s="2">
        <v>2454</v>
      </c>
      <c r="D590" s="2">
        <v>129297</v>
      </c>
      <c r="E590" s="2">
        <v>369</v>
      </c>
      <c r="F590" s="2">
        <v>49744</v>
      </c>
      <c r="G590" s="2">
        <v>97</v>
      </c>
      <c r="H590" s="2">
        <v>27989</v>
      </c>
      <c r="I590" s="2">
        <v>91</v>
      </c>
      <c r="J590" s="2">
        <v>13686</v>
      </c>
      <c r="K590" s="2">
        <v>8</v>
      </c>
      <c r="L590" s="2">
        <v>1135</v>
      </c>
      <c r="M590" s="2">
        <v>261</v>
      </c>
      <c r="N590" s="2">
        <v>33850</v>
      </c>
      <c r="O590" s="2">
        <v>8</v>
      </c>
      <c r="P590" s="2">
        <v>7500</v>
      </c>
      <c r="Q590" s="2">
        <v>602</v>
      </c>
      <c r="R590" s="2">
        <v>76951</v>
      </c>
      <c r="S590" s="2">
        <v>340754</v>
      </c>
      <c r="T590" s="10">
        <f t="shared" si="30"/>
        <v>207030</v>
      </c>
      <c r="U590" s="8">
        <f t="shared" si="31"/>
        <v>0.60756440129829725</v>
      </c>
      <c r="V590" s="9" t="s">
        <v>5271</v>
      </c>
      <c r="W590" s="9" t="str">
        <f t="shared" si="32"/>
        <v>Braughing RD</v>
      </c>
      <c r="X590" s="9" t="str">
        <f>INDEX(Lookup!$A$2:$A$1349, MATCH(W590, Lookup!$B$2:$B$1349,0))</f>
        <v>J04000191</v>
      </c>
      <c r="Y590" s="9" t="str">
        <f>INDEX(Lookup!$F$2:$F$1349, MATCH(W590, Lookup!$B$2:$B$1349,0))</f>
        <v>e170479</v>
      </c>
      <c r="Z590" s="6" t="str">
        <f>INDEX(Lookup!$C$2:$C$1300, MATCH(X590, Lookup!$A$2:$A$1300,0))</f>
        <v>Hertfordshire</v>
      </c>
    </row>
    <row r="591" spans="1:26" ht="28.15" customHeight="1" x14ac:dyDescent="0.2">
      <c r="A591" s="6" t="s">
        <v>545</v>
      </c>
      <c r="B591" s="1" t="s">
        <v>545</v>
      </c>
      <c r="C591" s="2">
        <v>4383</v>
      </c>
      <c r="D591" s="2">
        <v>358439</v>
      </c>
      <c r="E591" s="2">
        <v>2885</v>
      </c>
      <c r="F591" s="2">
        <v>341963</v>
      </c>
      <c r="G591" s="2">
        <v>125</v>
      </c>
      <c r="H591" s="2">
        <v>30977</v>
      </c>
      <c r="I591" s="2">
        <v>221</v>
      </c>
      <c r="J591" s="2">
        <v>94976</v>
      </c>
      <c r="K591" s="2">
        <v>18</v>
      </c>
      <c r="L591" s="2">
        <v>2743</v>
      </c>
      <c r="M591" s="2">
        <v>951</v>
      </c>
      <c r="N591" s="2">
        <v>103135</v>
      </c>
      <c r="O591" s="2">
        <v>72</v>
      </c>
      <c r="P591" s="2">
        <v>593855</v>
      </c>
      <c r="Q591" s="2">
        <v>37280</v>
      </c>
      <c r="R591" s="2">
        <v>202704</v>
      </c>
      <c r="S591" s="2">
        <v>1766072</v>
      </c>
      <c r="T591" s="10">
        <f t="shared" si="30"/>
        <v>731379</v>
      </c>
      <c r="U591" s="8">
        <f t="shared" si="31"/>
        <v>0.41412751009018883</v>
      </c>
      <c r="V591" s="9" t="s">
        <v>5271</v>
      </c>
      <c r="W591" s="9" t="str">
        <f t="shared" si="32"/>
        <v>Elstree RD</v>
      </c>
      <c r="X591" s="9" t="str">
        <f>INDEX(Lookup!$A$2:$A$1349, MATCH(W591, Lookup!$B$2:$B$1349,0))</f>
        <v>J04000470</v>
      </c>
      <c r="Y591" s="9" t="str">
        <f>INDEX(Lookup!$F$2:$F$1349, MATCH(W591, Lookup!$B$2:$B$1349,0))</f>
        <v>e170480</v>
      </c>
      <c r="Z591" s="6" t="str">
        <f>INDEX(Lookup!$C$2:$C$1300, MATCH(X591, Lookup!$A$2:$A$1300,0))</f>
        <v>Hertfordshire</v>
      </c>
    </row>
    <row r="592" spans="1:26" ht="28.15" customHeight="1" x14ac:dyDescent="0.2">
      <c r="A592" s="6" t="s">
        <v>546</v>
      </c>
      <c r="B592" s="1" t="s">
        <v>546</v>
      </c>
      <c r="C592" s="2">
        <v>7313</v>
      </c>
      <c r="D592" s="2">
        <v>559978</v>
      </c>
      <c r="E592" s="2">
        <v>4473</v>
      </c>
      <c r="F592" s="2">
        <v>583598</v>
      </c>
      <c r="G592" s="2">
        <v>349</v>
      </c>
      <c r="H592" s="2">
        <v>85688</v>
      </c>
      <c r="I592" s="2">
        <v>317</v>
      </c>
      <c r="J592" s="2">
        <v>146788</v>
      </c>
      <c r="K592" s="2">
        <v>48</v>
      </c>
      <c r="L592" s="2">
        <v>14472</v>
      </c>
      <c r="M592" s="2">
        <v>2189</v>
      </c>
      <c r="N592" s="2">
        <v>135398</v>
      </c>
      <c r="O592" s="2">
        <v>65</v>
      </c>
      <c r="P592" s="2">
        <v>743700</v>
      </c>
      <c r="Q592" s="2">
        <v>10710</v>
      </c>
      <c r="R592" s="2">
        <v>255798</v>
      </c>
      <c r="S592" s="2">
        <v>2536130</v>
      </c>
      <c r="T592" s="10">
        <f t="shared" si="30"/>
        <v>1229264</v>
      </c>
      <c r="U592" s="8">
        <f t="shared" si="31"/>
        <v>0.48470070540547999</v>
      </c>
      <c r="V592" s="9" t="s">
        <v>5271</v>
      </c>
      <c r="W592" s="9" t="str">
        <f t="shared" si="32"/>
        <v>Hatfield RD</v>
      </c>
      <c r="X592" s="9" t="str">
        <f>INDEX(Lookup!$A$2:$A$1349, MATCH(W592, Lookup!$B$2:$B$1349,0))</f>
        <v>J04000585</v>
      </c>
      <c r="Y592" s="9" t="str">
        <f>INDEX(Lookup!$F$2:$F$1349, MATCH(W592, Lookup!$B$2:$B$1349,0))</f>
        <v>e170481</v>
      </c>
      <c r="Z592" s="6" t="str">
        <f>INDEX(Lookup!$C$2:$C$1300, MATCH(X592, Lookup!$A$2:$A$1300,0))</f>
        <v>Hertfordshire</v>
      </c>
    </row>
    <row r="593" spans="1:26" ht="28.15" customHeight="1" x14ac:dyDescent="0.2">
      <c r="A593" s="6" t="s">
        <v>520</v>
      </c>
      <c r="B593" s="1" t="s">
        <v>5324</v>
      </c>
      <c r="C593" s="2">
        <v>3051</v>
      </c>
      <c r="D593" s="2">
        <v>181890</v>
      </c>
      <c r="E593" s="2">
        <v>901</v>
      </c>
      <c r="F593" s="2">
        <v>119929</v>
      </c>
      <c r="G593" s="2">
        <v>154</v>
      </c>
      <c r="H593" s="2">
        <v>47149</v>
      </c>
      <c r="I593" s="2">
        <v>123</v>
      </c>
      <c r="J593" s="2">
        <v>21343</v>
      </c>
      <c r="K593" s="2">
        <v>12</v>
      </c>
      <c r="L593" s="2">
        <v>2802</v>
      </c>
      <c r="M593" s="2">
        <v>429</v>
      </c>
      <c r="N593" s="2">
        <v>34015</v>
      </c>
      <c r="O593" s="2">
        <v>14</v>
      </c>
      <c r="P593" s="2">
        <v>16803</v>
      </c>
      <c r="Q593" s="2">
        <v>9651</v>
      </c>
      <c r="R593" s="2">
        <v>53032</v>
      </c>
      <c r="S593" s="2">
        <v>486614</v>
      </c>
      <c r="T593" s="10">
        <f t="shared" si="30"/>
        <v>348968</v>
      </c>
      <c r="U593" s="8">
        <f t="shared" si="31"/>
        <v>0.71713514202221884</v>
      </c>
      <c r="V593" s="9" t="s">
        <v>5271</v>
      </c>
      <c r="W593" s="9" t="str">
        <f t="shared" si="32"/>
        <v>Hemel Hempstead RD</v>
      </c>
      <c r="X593" s="9" t="str">
        <f>INDEX(Lookup!$A$2:$A$1349, MATCH(W593, Lookup!$B$2:$B$1349,0))</f>
        <v>J04000604</v>
      </c>
      <c r="Y593" s="9" t="str">
        <f>INDEX(Lookup!$F$2:$F$1349, MATCH(W593, Lookup!$B$2:$B$1349,0))</f>
        <v>e170483</v>
      </c>
      <c r="Z593" s="6" t="str">
        <f>INDEX(Lookup!$C$2:$C$1300, MATCH(X593, Lookup!$A$2:$A$1300,0))</f>
        <v>Hertfordshire</v>
      </c>
    </row>
    <row r="594" spans="1:26" ht="28.15" customHeight="1" x14ac:dyDescent="0.2">
      <c r="A594" s="6" t="s">
        <v>521</v>
      </c>
      <c r="B594" s="1" t="s">
        <v>521</v>
      </c>
      <c r="C594" s="2">
        <v>2153</v>
      </c>
      <c r="D594" s="2">
        <v>127243</v>
      </c>
      <c r="E594" s="2">
        <v>631</v>
      </c>
      <c r="F594" s="2">
        <v>82000</v>
      </c>
      <c r="G594" s="2">
        <v>63</v>
      </c>
      <c r="H594" s="2">
        <v>17531</v>
      </c>
      <c r="I594" s="2">
        <v>47</v>
      </c>
      <c r="J594" s="2">
        <v>4816</v>
      </c>
      <c r="K594" s="2">
        <v>9</v>
      </c>
      <c r="L594" s="2">
        <v>3458</v>
      </c>
      <c r="M594" s="2">
        <v>265</v>
      </c>
      <c r="N594" s="2">
        <v>24717</v>
      </c>
      <c r="O594" s="2">
        <v>7</v>
      </c>
      <c r="P594" s="2">
        <v>6080</v>
      </c>
      <c r="Q594" s="2">
        <v>842</v>
      </c>
      <c r="R594" s="2">
        <v>76631</v>
      </c>
      <c r="S594" s="2">
        <v>343318</v>
      </c>
      <c r="T594" s="10">
        <f t="shared" si="30"/>
        <v>226774</v>
      </c>
      <c r="U594" s="8">
        <f t="shared" si="31"/>
        <v>0.66053629579573458</v>
      </c>
      <c r="V594" s="9" t="s">
        <v>5271</v>
      </c>
      <c r="W594" s="9" t="str">
        <f t="shared" si="32"/>
        <v>Hertford RD</v>
      </c>
      <c r="X594" s="9" t="str">
        <f>INDEX(Lookup!$A$2:$A$1349, MATCH(W594, Lookup!$B$2:$B$1349,0))</f>
        <v>J04000615</v>
      </c>
      <c r="Y594" s="9" t="str">
        <f>INDEX(Lookup!$F$2:$F$1349, MATCH(W594, Lookup!$B$2:$B$1349,0))</f>
        <v>e170485</v>
      </c>
      <c r="Z594" s="6" t="str">
        <f>INDEX(Lookup!$C$2:$C$1300, MATCH(X594, Lookup!$A$2:$A$1300,0))</f>
        <v>Hertfordshire</v>
      </c>
    </row>
    <row r="595" spans="1:26" ht="28.15" customHeight="1" x14ac:dyDescent="0.2">
      <c r="A595" s="6" t="s">
        <v>533</v>
      </c>
      <c r="B595" s="1" t="s">
        <v>533</v>
      </c>
      <c r="C595" s="2">
        <v>5075</v>
      </c>
      <c r="D595" s="2">
        <v>277787</v>
      </c>
      <c r="E595" s="2">
        <v>1183</v>
      </c>
      <c r="F595" s="2">
        <v>156318</v>
      </c>
      <c r="G595" s="2">
        <v>238</v>
      </c>
      <c r="H595" s="2">
        <v>74428</v>
      </c>
      <c r="I595" s="2">
        <v>166</v>
      </c>
      <c r="J595" s="2">
        <v>26557</v>
      </c>
      <c r="K595" s="2">
        <v>9</v>
      </c>
      <c r="L595" s="2">
        <v>5198</v>
      </c>
      <c r="M595" s="2">
        <v>563</v>
      </c>
      <c r="N595" s="2">
        <v>40029</v>
      </c>
      <c r="O595" s="2">
        <v>29</v>
      </c>
      <c r="P595" s="2">
        <v>28055</v>
      </c>
      <c r="Q595" s="2">
        <v>1697</v>
      </c>
      <c r="R595" s="2">
        <v>144059</v>
      </c>
      <c r="S595" s="2">
        <v>754128</v>
      </c>
      <c r="T595" s="10">
        <f t="shared" si="30"/>
        <v>508533</v>
      </c>
      <c r="U595" s="8">
        <f t="shared" si="31"/>
        <v>0.67433247406275854</v>
      </c>
      <c r="V595" s="9" t="s">
        <v>5271</v>
      </c>
      <c r="W595" s="9" t="str">
        <f t="shared" si="32"/>
        <v>Hitchin RD</v>
      </c>
      <c r="X595" s="9" t="str">
        <f>INDEX(Lookup!$A$2:$A$1349, MATCH(W595, Lookup!$B$2:$B$1349,0))</f>
        <v>J04000627</v>
      </c>
      <c r="Y595" s="9" t="str">
        <f>INDEX(Lookup!$F$2:$F$1349, MATCH(W595, Lookup!$B$2:$B$1349,0))</f>
        <v>e170487</v>
      </c>
      <c r="Z595" s="6" t="str">
        <f>INDEX(Lookup!$C$2:$C$1300, MATCH(X595, Lookup!$A$2:$A$1300,0))</f>
        <v>Hertfordshire</v>
      </c>
    </row>
    <row r="596" spans="1:26" ht="28.15" customHeight="1" x14ac:dyDescent="0.2">
      <c r="A596" s="6" t="s">
        <v>522</v>
      </c>
      <c r="B596" s="1" t="s">
        <v>2893</v>
      </c>
      <c r="C596" s="2">
        <v>6148</v>
      </c>
      <c r="D596" s="2">
        <v>450301</v>
      </c>
      <c r="E596" s="2">
        <v>3730</v>
      </c>
      <c r="F596" s="2">
        <v>443939</v>
      </c>
      <c r="G596" s="2">
        <v>143</v>
      </c>
      <c r="H596" s="2">
        <v>40116</v>
      </c>
      <c r="I596" s="2">
        <v>204</v>
      </c>
      <c r="J596" s="2">
        <v>43064</v>
      </c>
      <c r="K596" s="2">
        <v>19</v>
      </c>
      <c r="L596" s="2">
        <v>9031</v>
      </c>
      <c r="M596" s="2">
        <v>1266</v>
      </c>
      <c r="N596" s="2">
        <v>75177</v>
      </c>
      <c r="O596" s="2">
        <v>42</v>
      </c>
      <c r="P596" s="2">
        <v>233920</v>
      </c>
      <c r="Q596" s="2">
        <v>66382</v>
      </c>
      <c r="R596" s="2">
        <v>181560</v>
      </c>
      <c r="S596" s="2">
        <v>1543490</v>
      </c>
      <c r="T596" s="10">
        <f t="shared" si="30"/>
        <v>934356</v>
      </c>
      <c r="U596" s="8">
        <f t="shared" si="31"/>
        <v>0.60535280435895278</v>
      </c>
      <c r="V596" s="9" t="s">
        <v>5271</v>
      </c>
      <c r="W596" s="9" t="str">
        <f t="shared" si="32"/>
        <v>St. Albans RD</v>
      </c>
      <c r="X596" s="9" t="str">
        <f>INDEX(Lookup!$A$2:$A$1349, MATCH(W596, Lookup!$B$2:$B$1349,0))</f>
        <v>J04001180</v>
      </c>
      <c r="Y596" s="9" t="str">
        <f>INDEX(Lookup!$F$2:$F$1349, MATCH(W596, Lookup!$B$2:$B$1349,0))</f>
        <v>e170488</v>
      </c>
      <c r="Z596" s="6" t="str">
        <f>INDEX(Lookup!$C$2:$C$1300, MATCH(X596, Lookup!$A$2:$A$1300,0))</f>
        <v>Hertfordshire</v>
      </c>
    </row>
    <row r="597" spans="1:26" ht="28.15" customHeight="1" x14ac:dyDescent="0.2">
      <c r="A597" s="6" t="s">
        <v>541</v>
      </c>
      <c r="B597" s="1" t="s">
        <v>541</v>
      </c>
      <c r="C597" s="2">
        <v>2697</v>
      </c>
      <c r="D597" s="2">
        <v>157248</v>
      </c>
      <c r="E597" s="2">
        <v>441</v>
      </c>
      <c r="F597" s="2">
        <v>56750</v>
      </c>
      <c r="G597" s="2">
        <v>43</v>
      </c>
      <c r="H597" s="2">
        <v>11526</v>
      </c>
      <c r="I597" s="2">
        <v>90</v>
      </c>
      <c r="J597" s="2">
        <v>9444</v>
      </c>
      <c r="K597" s="2">
        <v>9</v>
      </c>
      <c r="L597" s="2">
        <v>7239</v>
      </c>
      <c r="M597" s="2">
        <v>245</v>
      </c>
      <c r="N597" s="2">
        <v>20749</v>
      </c>
      <c r="O597" s="2">
        <v>20</v>
      </c>
      <c r="P597" s="2">
        <v>48875</v>
      </c>
      <c r="Q597" s="2">
        <v>1158</v>
      </c>
      <c r="R597" s="2">
        <v>156902</v>
      </c>
      <c r="S597" s="2">
        <v>469891</v>
      </c>
      <c r="T597" s="10">
        <f t="shared" si="30"/>
        <v>225524</v>
      </c>
      <c r="U597" s="8">
        <f t="shared" si="31"/>
        <v>0.47994960533400299</v>
      </c>
      <c r="V597" s="9" t="s">
        <v>5271</v>
      </c>
      <c r="W597" s="9" t="str">
        <f t="shared" si="32"/>
        <v>Ware RD</v>
      </c>
      <c r="X597" s="9" t="str">
        <f>INDEX(Lookup!$A$2:$A$1349, MATCH(W597, Lookup!$B$2:$B$1349,0))</f>
        <v>J04001339</v>
      </c>
      <c r="Y597" s="9" t="str">
        <f>INDEX(Lookup!$F$2:$F$1349, MATCH(W597, Lookup!$B$2:$B$1349,0))</f>
        <v>e170490</v>
      </c>
      <c r="Z597" s="6" t="str">
        <f>INDEX(Lookup!$C$2:$C$1300, MATCH(X597, Lookup!$A$2:$A$1300,0))</f>
        <v>Hertfordshire</v>
      </c>
    </row>
    <row r="598" spans="1:26" ht="28.15" customHeight="1" x14ac:dyDescent="0.2">
      <c r="A598" s="6" t="s">
        <v>523</v>
      </c>
      <c r="B598" s="1" t="s">
        <v>523</v>
      </c>
      <c r="C598" s="2">
        <v>8610</v>
      </c>
      <c r="D598" s="2">
        <v>700726</v>
      </c>
      <c r="E598" s="2">
        <v>5923</v>
      </c>
      <c r="F598" s="2">
        <v>743721</v>
      </c>
      <c r="G598" s="2">
        <v>842</v>
      </c>
      <c r="H598" s="2">
        <v>228774</v>
      </c>
      <c r="I598" s="2">
        <v>321</v>
      </c>
      <c r="J598" s="2">
        <v>104660</v>
      </c>
      <c r="K598" s="2">
        <v>26</v>
      </c>
      <c r="L598" s="2">
        <v>5897</v>
      </c>
      <c r="M598" s="2">
        <v>1338</v>
      </c>
      <c r="N598" s="2">
        <v>100979</v>
      </c>
      <c r="O598" s="2">
        <v>33</v>
      </c>
      <c r="P598" s="2">
        <v>383381</v>
      </c>
      <c r="Q598" s="2">
        <v>32962</v>
      </c>
      <c r="R598" s="2">
        <v>273316</v>
      </c>
      <c r="S598" s="2">
        <v>2574416</v>
      </c>
      <c r="T598" s="10">
        <f t="shared" si="30"/>
        <v>1673221</v>
      </c>
      <c r="U598" s="8">
        <f t="shared" si="31"/>
        <v>0.64994196742096066</v>
      </c>
      <c r="V598" s="9" t="s">
        <v>5271</v>
      </c>
      <c r="W598" s="9" t="str">
        <f t="shared" si="32"/>
        <v>Watford RD</v>
      </c>
      <c r="X598" s="9" t="str">
        <f>INDEX(Lookup!$A$2:$A$1349, MATCH(W598, Lookup!$B$2:$B$1349,0))</f>
        <v>J04001354</v>
      </c>
      <c r="Y598" s="9" t="str">
        <f>INDEX(Lookup!$F$2:$F$1349, MATCH(W598, Lookup!$B$2:$B$1349,0))</f>
        <v>e170492</v>
      </c>
      <c r="Z598" s="6" t="str">
        <f>INDEX(Lookup!$C$2:$C$1300, MATCH(X598, Lookup!$A$2:$A$1300,0))</f>
        <v>Hertfordshire</v>
      </c>
    </row>
    <row r="599" spans="1:26" ht="28.15" customHeight="1" x14ac:dyDescent="0.2">
      <c r="A599" s="6" t="s">
        <v>547</v>
      </c>
      <c r="B599" s="1" t="s">
        <v>547</v>
      </c>
      <c r="C599" s="2">
        <v>1261</v>
      </c>
      <c r="D599" s="2">
        <v>80384</v>
      </c>
      <c r="E599" s="2">
        <v>855</v>
      </c>
      <c r="F599" s="2">
        <v>110108</v>
      </c>
      <c r="G599" s="2">
        <v>80</v>
      </c>
      <c r="H599" s="2">
        <v>20460</v>
      </c>
      <c r="I599" s="2">
        <v>70</v>
      </c>
      <c r="J599" s="2">
        <v>12292</v>
      </c>
      <c r="K599" s="2">
        <v>10</v>
      </c>
      <c r="L599" s="2">
        <v>1774</v>
      </c>
      <c r="M599" s="2">
        <v>260</v>
      </c>
      <c r="N599" s="2">
        <v>29461</v>
      </c>
      <c r="O599" s="2">
        <v>8</v>
      </c>
      <c r="P599" s="2">
        <v>11485</v>
      </c>
      <c r="Q599" s="2">
        <v>1654</v>
      </c>
      <c r="R599" s="2">
        <v>42614</v>
      </c>
      <c r="S599" s="2">
        <v>310232</v>
      </c>
      <c r="T599" s="10">
        <f t="shared" si="30"/>
        <v>210952</v>
      </c>
      <c r="U599" s="8">
        <f t="shared" si="31"/>
        <v>0.67998143324995486</v>
      </c>
      <c r="V599" s="9" t="s">
        <v>5271</v>
      </c>
      <c r="W599" s="9" t="str">
        <f t="shared" si="32"/>
        <v>Welwyn RD</v>
      </c>
      <c r="X599" s="9" t="str">
        <f>INDEX(Lookup!$A$2:$A$1349, MATCH(W599, Lookup!$B$2:$B$1349,0))</f>
        <v>J04001373</v>
      </c>
      <c r="Y599" s="9" t="str">
        <f>INDEX(Lookup!$F$2:$F$1349, MATCH(W599, Lookup!$B$2:$B$1349,0))</f>
        <v>e170494</v>
      </c>
      <c r="Z599" s="6" t="str">
        <f>INDEX(Lookup!$C$2:$C$1300, MATCH(X599, Lookup!$A$2:$A$1300,0))</f>
        <v>Hertfordshire</v>
      </c>
    </row>
    <row r="600" spans="1:26" ht="28.15" customHeight="1" x14ac:dyDescent="0.2">
      <c r="A600" s="6" t="s">
        <v>548</v>
      </c>
      <c r="B600" s="1" t="s">
        <v>548</v>
      </c>
      <c r="T600" s="10"/>
      <c r="W600" s="9" t="str">
        <f t="shared" si="32"/>
        <v xml:space="preserve">HUNTINGDONSHIRE: </v>
      </c>
      <c r="X600" s="9" t="e">
        <f>INDEX(Lookup!$A$2:$A$1349, MATCH(W600, Lookup!$B$2:$B$1349,0))</f>
        <v>#N/A</v>
      </c>
      <c r="Y600" s="9" t="e">
        <f>INDEX(Lookup!$F$2:$F$1349, MATCH(W600, Lookup!$B$2:$B$1349,0))</f>
        <v>#N/A</v>
      </c>
      <c r="Z600" s="6" t="e">
        <f>INDEX(Lookup!$C$2:$C$1300, MATCH(X600, Lookup!$A$2:$A$1300,0))</f>
        <v>#N/A</v>
      </c>
    </row>
    <row r="601" spans="1:26" ht="28.15" customHeight="1" x14ac:dyDescent="0.2">
      <c r="A601" s="6" t="s">
        <v>175</v>
      </c>
      <c r="B601" s="1" t="s">
        <v>175</v>
      </c>
      <c r="T601" s="10"/>
      <c r="W601" s="9" t="str">
        <f t="shared" si="32"/>
        <v xml:space="preserve">Non-County Boroughs-- </v>
      </c>
      <c r="X601" s="9" t="e">
        <f>INDEX(Lookup!$A$2:$A$1349, MATCH(W601, Lookup!$B$2:$B$1349,0))</f>
        <v>#N/A</v>
      </c>
      <c r="Y601" s="9" t="e">
        <f>INDEX(Lookup!$F$2:$F$1349, MATCH(W601, Lookup!$B$2:$B$1349,0))</f>
        <v>#N/A</v>
      </c>
      <c r="Z601" s="6" t="e">
        <f>INDEX(Lookup!$C$2:$C$1300, MATCH(X601, Lookup!$A$2:$A$1300,0))</f>
        <v>#N/A</v>
      </c>
    </row>
    <row r="602" spans="1:26" ht="28.15" customHeight="1" x14ac:dyDescent="0.2">
      <c r="A602" s="6" t="s">
        <v>549</v>
      </c>
      <c r="B602" s="1" t="s">
        <v>5373</v>
      </c>
      <c r="C602" s="2">
        <v>2626</v>
      </c>
      <c r="D602" s="2">
        <v>136088</v>
      </c>
      <c r="E602" s="2">
        <v>364</v>
      </c>
      <c r="F602" s="2">
        <v>39948</v>
      </c>
      <c r="G602" s="2">
        <v>5</v>
      </c>
      <c r="H602" s="2">
        <v>1190</v>
      </c>
      <c r="I602" s="2">
        <v>161</v>
      </c>
      <c r="J602" s="2">
        <v>43689</v>
      </c>
      <c r="K602" s="2">
        <v>61</v>
      </c>
      <c r="L602" s="2">
        <v>14750</v>
      </c>
      <c r="M602" s="2">
        <v>272</v>
      </c>
      <c r="N602" s="2">
        <v>21749</v>
      </c>
      <c r="O602" s="2">
        <v>18</v>
      </c>
      <c r="P602" s="2">
        <v>88945</v>
      </c>
      <c r="Q602" s="2">
        <v>5214</v>
      </c>
      <c r="R602" s="2">
        <v>46158</v>
      </c>
      <c r="S602" s="2">
        <v>397731</v>
      </c>
      <c r="T602" s="10">
        <f t="shared" si="30"/>
        <v>177226</v>
      </c>
      <c r="U602" s="8">
        <f t="shared" si="31"/>
        <v>0.44559262416055073</v>
      </c>
      <c r="V602" s="9" t="s">
        <v>5268</v>
      </c>
      <c r="W602" s="9" t="str">
        <f t="shared" si="32"/>
        <v>Huntingdon and Godmanchester MB</v>
      </c>
      <c r="X602" s="9" t="str">
        <f>INDEX(Lookup!$A$2:$A$1349, MATCH(W602, Lookup!$B$2:$B$1349,0))</f>
        <v>J04000660</v>
      </c>
      <c r="Y602" s="9" t="str">
        <f>INDEX(Lookup!$F$2:$F$1349, MATCH(W602, Lookup!$B$2:$B$1349,0))</f>
        <v>e180495</v>
      </c>
      <c r="Z602" s="6" t="str">
        <f>INDEX(Lookup!$C$2:$C$1300, MATCH(X602, Lookup!$A$2:$A$1300,0))</f>
        <v>Cambridgeshire</v>
      </c>
    </row>
    <row r="603" spans="1:26" ht="28.15" customHeight="1" x14ac:dyDescent="0.2">
      <c r="A603" s="6" t="s">
        <v>550</v>
      </c>
      <c r="B603" s="1" t="s">
        <v>550</v>
      </c>
      <c r="C603" s="2">
        <v>1181</v>
      </c>
      <c r="D603" s="2">
        <v>67711</v>
      </c>
      <c r="E603" s="2">
        <v>268</v>
      </c>
      <c r="F603" s="2">
        <v>32300</v>
      </c>
      <c r="G603" s="2">
        <v>3</v>
      </c>
      <c r="H603" s="2">
        <v>642</v>
      </c>
      <c r="I603" s="2">
        <v>109</v>
      </c>
      <c r="J603" s="2">
        <v>25134</v>
      </c>
      <c r="K603" s="2">
        <v>21</v>
      </c>
      <c r="L603" s="2">
        <v>3214</v>
      </c>
      <c r="M603" s="2">
        <v>162</v>
      </c>
      <c r="N603" s="2">
        <v>10867</v>
      </c>
      <c r="O603" s="2">
        <v>16</v>
      </c>
      <c r="P603" s="2">
        <v>29210</v>
      </c>
      <c r="Q603" s="2">
        <v>408</v>
      </c>
      <c r="R603" s="2">
        <v>25156</v>
      </c>
      <c r="S603" s="2">
        <v>194642</v>
      </c>
      <c r="T603" s="10">
        <f t="shared" si="30"/>
        <v>100653</v>
      </c>
      <c r="U603" s="8">
        <f t="shared" si="31"/>
        <v>0.51711860749478533</v>
      </c>
      <c r="V603" s="9" t="s">
        <v>5268</v>
      </c>
      <c r="W603" s="9" t="str">
        <f t="shared" si="32"/>
        <v>St. Ives MB</v>
      </c>
      <c r="X603" s="9" t="str">
        <f>INDEX(Lookup!$A$2:$A$1349, MATCH(W603, Lookup!$B$2:$B$1349,0))</f>
        <v>J04001188</v>
      </c>
      <c r="Y603" s="9" t="str">
        <f>INDEX(Lookup!$F$2:$F$1349, MATCH(W603, Lookup!$B$2:$B$1349,0))</f>
        <v>e180501</v>
      </c>
      <c r="Z603" s="6" t="str">
        <f>INDEX(Lookup!$C$2:$C$1300, MATCH(X603, Lookup!$A$2:$A$1300,0))</f>
        <v>Cambridgeshire</v>
      </c>
    </row>
    <row r="604" spans="1:26" ht="28.15" customHeight="1" x14ac:dyDescent="0.2">
      <c r="A604" s="6" t="s">
        <v>179</v>
      </c>
      <c r="B604" s="1" t="s">
        <v>179</v>
      </c>
      <c r="T604" s="10"/>
      <c r="W604" s="9" t="str">
        <f t="shared" si="32"/>
        <v xml:space="preserve">Urban Districts-- </v>
      </c>
      <c r="X604" s="9" t="e">
        <f>INDEX(Lookup!$A$2:$A$1349, MATCH(W604, Lookup!$B$2:$B$1349,0))</f>
        <v>#N/A</v>
      </c>
      <c r="Y604" s="9" t="e">
        <f>INDEX(Lookup!$F$2:$F$1349, MATCH(W604, Lookup!$B$2:$B$1349,0))</f>
        <v>#N/A</v>
      </c>
      <c r="Z604" s="6" t="e">
        <f>INDEX(Lookup!$C$2:$C$1300, MATCH(X604, Lookup!$A$2:$A$1300,0))</f>
        <v>#N/A</v>
      </c>
    </row>
    <row r="605" spans="1:26" ht="28.15" customHeight="1" x14ac:dyDescent="0.2">
      <c r="A605" s="6" t="s">
        <v>551</v>
      </c>
      <c r="B605" s="1" t="s">
        <v>551</v>
      </c>
      <c r="C605" s="2">
        <v>3583</v>
      </c>
      <c r="D605" s="2">
        <v>220925</v>
      </c>
      <c r="E605" s="2">
        <v>27</v>
      </c>
      <c r="F605" s="2">
        <v>3056</v>
      </c>
      <c r="I605" s="2">
        <v>77</v>
      </c>
      <c r="J605" s="2">
        <v>10623</v>
      </c>
      <c r="K605" s="2">
        <v>8</v>
      </c>
      <c r="L605" s="2">
        <v>5799</v>
      </c>
      <c r="M605" s="2">
        <v>306</v>
      </c>
      <c r="N605" s="2">
        <v>16126</v>
      </c>
      <c r="O605" s="2">
        <v>21</v>
      </c>
      <c r="P605" s="2">
        <v>243280</v>
      </c>
      <c r="Q605" s="2">
        <v>2492</v>
      </c>
      <c r="R605" s="2">
        <v>70502</v>
      </c>
      <c r="S605" s="2">
        <v>572803</v>
      </c>
      <c r="T605" s="10">
        <f>SUM(D605+F605)</f>
        <v>223981</v>
      </c>
      <c r="U605" s="8">
        <f t="shared" si="31"/>
        <v>0.39102623415030996</v>
      </c>
      <c r="V605" s="9" t="s">
        <v>5270</v>
      </c>
      <c r="W605" s="9" t="str">
        <f t="shared" si="32"/>
        <v>Old Fletton UD</v>
      </c>
      <c r="X605" s="9" t="str">
        <f>INDEX(Lookup!$A$2:$A$1349, MATCH(W605, Lookup!$B$2:$B$1349,0))</f>
        <v>J04000952</v>
      </c>
      <c r="Y605" s="9" t="str">
        <f>INDEX(Lookup!$F$2:$F$1349, MATCH(W605, Lookup!$B$2:$B$1349,0))</f>
        <v>e180496</v>
      </c>
      <c r="Z605" s="6" t="str">
        <f>INDEX(Lookup!$C$2:$C$1300, MATCH(X605, Lookup!$A$2:$A$1300,0))</f>
        <v>Cambridgeshire</v>
      </c>
    </row>
    <row r="606" spans="1:26" ht="28.15" customHeight="1" x14ac:dyDescent="0.2">
      <c r="A606" s="6" t="s">
        <v>552</v>
      </c>
      <c r="B606" s="1" t="s">
        <v>552</v>
      </c>
      <c r="C606" s="2">
        <v>1336</v>
      </c>
      <c r="D606" s="2">
        <v>62626</v>
      </c>
      <c r="E606" s="2">
        <v>134</v>
      </c>
      <c r="F606" s="2">
        <v>16908</v>
      </c>
      <c r="G606" s="2">
        <v>1</v>
      </c>
      <c r="H606" s="2">
        <v>206</v>
      </c>
      <c r="I606" s="2">
        <v>103</v>
      </c>
      <c r="J606" s="2">
        <v>14969</v>
      </c>
      <c r="K606" s="2">
        <v>17</v>
      </c>
      <c r="L606" s="2">
        <v>2010</v>
      </c>
      <c r="M606" s="2">
        <v>98</v>
      </c>
      <c r="N606" s="2">
        <v>9978</v>
      </c>
      <c r="O606" s="2">
        <v>9</v>
      </c>
      <c r="P606" s="2">
        <v>6335</v>
      </c>
      <c r="Q606" s="2">
        <v>2430</v>
      </c>
      <c r="R606" s="2">
        <v>32929</v>
      </c>
      <c r="S606" s="2">
        <v>148391</v>
      </c>
      <c r="T606" s="10">
        <f t="shared" si="30"/>
        <v>79740</v>
      </c>
      <c r="U606" s="8">
        <f t="shared" si="31"/>
        <v>0.53736412585668947</v>
      </c>
      <c r="V606" s="9" t="s">
        <v>5270</v>
      </c>
      <c r="W606" s="9" t="str">
        <f t="shared" si="32"/>
        <v>Ramsey UD</v>
      </c>
      <c r="X606" s="9" t="str">
        <f>INDEX(Lookup!$A$2:$A$1349, MATCH(W606, Lookup!$B$2:$B$1349,0))</f>
        <v>J04001030</v>
      </c>
      <c r="Y606" s="9" t="str">
        <f>INDEX(Lookup!$F$2:$F$1349, MATCH(W606, Lookup!$B$2:$B$1349,0))</f>
        <v>e180500</v>
      </c>
      <c r="Z606" s="6" t="str">
        <f>INDEX(Lookup!$C$2:$C$1300, MATCH(X606, Lookup!$A$2:$A$1300,0))</f>
        <v>Cambridgeshire</v>
      </c>
    </row>
    <row r="607" spans="1:26" ht="28.15" customHeight="1" x14ac:dyDescent="0.2">
      <c r="A607" s="6" t="s">
        <v>553</v>
      </c>
      <c r="B607" s="1" t="s">
        <v>5353</v>
      </c>
      <c r="C607" s="2">
        <v>1897</v>
      </c>
      <c r="D607" s="2">
        <v>103136</v>
      </c>
      <c r="E607" s="2">
        <v>73</v>
      </c>
      <c r="F607" s="2">
        <v>8678</v>
      </c>
      <c r="G607" s="2">
        <v>3</v>
      </c>
      <c r="H607" s="2">
        <v>783</v>
      </c>
      <c r="I607" s="2">
        <v>134</v>
      </c>
      <c r="J607" s="2">
        <v>42799</v>
      </c>
      <c r="K607" s="2">
        <v>17</v>
      </c>
      <c r="L607" s="2">
        <v>2377</v>
      </c>
      <c r="M607" s="2">
        <v>262</v>
      </c>
      <c r="N607" s="2">
        <v>22510</v>
      </c>
      <c r="O607" s="2">
        <v>23</v>
      </c>
      <c r="P607" s="2">
        <v>70020</v>
      </c>
      <c r="Q607" s="2">
        <v>372</v>
      </c>
      <c r="R607" s="2">
        <v>35428</v>
      </c>
      <c r="S607" s="2">
        <v>256103</v>
      </c>
      <c r="T607" s="10">
        <f t="shared" si="30"/>
        <v>112597</v>
      </c>
      <c r="U607" s="8">
        <f t="shared" si="31"/>
        <v>0.43965513875276746</v>
      </c>
      <c r="V607" s="9" t="s">
        <v>5270</v>
      </c>
      <c r="W607" s="9" t="str">
        <f t="shared" si="32"/>
        <v>St. Neots UD</v>
      </c>
      <c r="X607" s="9" t="str">
        <f>INDEX(Lookup!$A$2:$A$1349, MATCH(W607, Lookup!$B$2:$B$1349,0))</f>
        <v>J04001193</v>
      </c>
      <c r="Y607" s="9" t="str">
        <f>INDEX(Lookup!$F$2:$F$1349, MATCH(W607, Lookup!$B$2:$B$1349,0))</f>
        <v>e180502</v>
      </c>
      <c r="Z607" s="6" t="str">
        <f>INDEX(Lookup!$C$2:$C$1300, MATCH(X607, Lookup!$A$2:$A$1300,0))</f>
        <v>Cambridgeshire</v>
      </c>
    </row>
    <row r="608" spans="1:26" ht="28.15" customHeight="1" x14ac:dyDescent="0.2">
      <c r="A608" s="6" t="s">
        <v>212</v>
      </c>
      <c r="B608" s="1" t="s">
        <v>212</v>
      </c>
      <c r="T608" s="10"/>
      <c r="W608" s="9" t="str">
        <f t="shared" si="32"/>
        <v xml:space="preserve">Rural Districts-- </v>
      </c>
      <c r="X608" s="9" t="e">
        <f>INDEX(Lookup!$A$2:$A$1349, MATCH(W608, Lookup!$B$2:$B$1349,0))</f>
        <v>#N/A</v>
      </c>
      <c r="Y608" s="9" t="e">
        <f>INDEX(Lookup!$F$2:$F$1349, MATCH(W608, Lookup!$B$2:$B$1349,0))</f>
        <v>#N/A</v>
      </c>
      <c r="Z608" s="6" t="e">
        <f>INDEX(Lookup!$C$2:$C$1300, MATCH(X608, Lookup!$A$2:$A$1300,0))</f>
        <v>#N/A</v>
      </c>
    </row>
    <row r="609" spans="1:26" ht="28.15" customHeight="1" x14ac:dyDescent="0.2">
      <c r="A609" s="6" t="s">
        <v>554</v>
      </c>
      <c r="B609" s="1" t="s">
        <v>554</v>
      </c>
      <c r="C609" s="2">
        <v>1905</v>
      </c>
      <c r="D609" s="2">
        <v>77075</v>
      </c>
      <c r="E609" s="2">
        <v>52</v>
      </c>
      <c r="F609" s="2">
        <v>6548</v>
      </c>
      <c r="G609" s="2">
        <v>1</v>
      </c>
      <c r="H609" s="2">
        <v>286</v>
      </c>
      <c r="I609" s="2">
        <v>59</v>
      </c>
      <c r="J609" s="2">
        <v>6845</v>
      </c>
      <c r="K609" s="2">
        <v>5</v>
      </c>
      <c r="L609" s="2">
        <v>242</v>
      </c>
      <c r="M609" s="2">
        <v>17</v>
      </c>
      <c r="N609" s="2">
        <v>16577</v>
      </c>
      <c r="O609" s="2">
        <v>21</v>
      </c>
      <c r="P609" s="2">
        <v>700</v>
      </c>
      <c r="Q609" s="2">
        <v>89393</v>
      </c>
      <c r="R609" s="2">
        <v>43460</v>
      </c>
      <c r="S609" s="2">
        <v>241306</v>
      </c>
      <c r="T609" s="10">
        <f t="shared" si="30"/>
        <v>83909</v>
      </c>
      <c r="U609" s="8">
        <f t="shared" si="31"/>
        <v>0.34772861014645307</v>
      </c>
      <c r="V609" s="9" t="s">
        <v>5271</v>
      </c>
      <c r="W609" s="9" t="str">
        <f t="shared" si="32"/>
        <v>Huntingdon RD</v>
      </c>
      <c r="X609" s="9" t="str">
        <f>INDEX(Lookup!$A$2:$A$1349, MATCH(W609, Lookup!$B$2:$B$1349,0))</f>
        <v>J04000661</v>
      </c>
      <c r="Y609" s="9" t="str">
        <f>INDEX(Lookup!$F$2:$F$1349, MATCH(W609, Lookup!$B$2:$B$1349,0))</f>
        <v>e180504</v>
      </c>
      <c r="Z609" s="6" t="str">
        <f>INDEX(Lookup!$C$2:$C$1300, MATCH(X609, Lookup!$A$2:$A$1300,0))</f>
        <v>Cambridgeshire</v>
      </c>
    </row>
    <row r="610" spans="1:26" ht="28.15" customHeight="1" x14ac:dyDescent="0.2">
      <c r="A610" s="6" t="s">
        <v>555</v>
      </c>
      <c r="B610" s="1" t="s">
        <v>555</v>
      </c>
      <c r="C610" s="2">
        <v>2203</v>
      </c>
      <c r="D610" s="2">
        <v>109779</v>
      </c>
      <c r="E610" s="2">
        <v>168</v>
      </c>
      <c r="F610" s="2">
        <v>19680</v>
      </c>
      <c r="G610" s="2">
        <v>4</v>
      </c>
      <c r="H610" s="2">
        <v>924</v>
      </c>
      <c r="I610" s="2">
        <v>67</v>
      </c>
      <c r="J610" s="2">
        <v>5457</v>
      </c>
      <c r="K610" s="2">
        <v>6</v>
      </c>
      <c r="L610" s="2">
        <v>785</v>
      </c>
      <c r="M610" s="2">
        <v>130</v>
      </c>
      <c r="N610" s="2">
        <v>18660</v>
      </c>
      <c r="O610" s="2">
        <v>19</v>
      </c>
      <c r="P610" s="2">
        <v>92577</v>
      </c>
      <c r="Q610" s="2">
        <v>469</v>
      </c>
      <c r="R610" s="2">
        <v>71350</v>
      </c>
      <c r="S610" s="2">
        <v>319681</v>
      </c>
      <c r="T610" s="10">
        <f t="shared" si="30"/>
        <v>130383</v>
      </c>
      <c r="U610" s="8">
        <f t="shared" si="31"/>
        <v>0.40785345391186839</v>
      </c>
      <c r="V610" s="9" t="s">
        <v>5271</v>
      </c>
      <c r="W610" s="9" t="str">
        <f t="shared" si="32"/>
        <v>Norman Cross RD</v>
      </c>
      <c r="X610" s="9" t="str">
        <f>INDEX(Lookup!$A$2:$A$1349, MATCH(W610, Lookup!$B$2:$B$1349,0))</f>
        <v>J04000921</v>
      </c>
      <c r="Y610" s="9" t="str">
        <f>INDEX(Lookup!$F$2:$F$1349, MATCH(W610, Lookup!$B$2:$B$1349,0))</f>
        <v>e180505</v>
      </c>
      <c r="Z610" s="6" t="str">
        <f>INDEX(Lookup!$C$2:$C$1300, MATCH(X610, Lookup!$A$2:$A$1300,0))</f>
        <v>Cambridgeshire</v>
      </c>
    </row>
    <row r="611" spans="1:26" ht="28.15" customHeight="1" x14ac:dyDescent="0.2">
      <c r="A611" s="6" t="s">
        <v>272</v>
      </c>
      <c r="B611" s="1" t="s">
        <v>550</v>
      </c>
      <c r="C611" s="2">
        <v>3111</v>
      </c>
      <c r="D611" s="2">
        <v>136516</v>
      </c>
      <c r="E611" s="2">
        <v>201</v>
      </c>
      <c r="F611" s="2">
        <v>24086</v>
      </c>
      <c r="G611" s="2">
        <v>8</v>
      </c>
      <c r="H611" s="2">
        <v>2063</v>
      </c>
      <c r="I611" s="2">
        <v>109</v>
      </c>
      <c r="J611" s="2">
        <v>10373</v>
      </c>
      <c r="K611" s="2">
        <v>6</v>
      </c>
      <c r="L611" s="2">
        <v>279</v>
      </c>
      <c r="M611" s="2">
        <v>290</v>
      </c>
      <c r="N611" s="2">
        <v>20934</v>
      </c>
      <c r="O611" s="2">
        <v>15</v>
      </c>
      <c r="P611" s="2">
        <v>30920</v>
      </c>
      <c r="Q611" s="2">
        <v>71194</v>
      </c>
      <c r="R611" s="2">
        <v>103300</v>
      </c>
      <c r="S611" s="2">
        <v>399665</v>
      </c>
      <c r="T611" s="10">
        <f t="shared" si="30"/>
        <v>162665</v>
      </c>
      <c r="U611" s="8">
        <f t="shared" si="31"/>
        <v>0.40700336531845421</v>
      </c>
      <c r="V611" s="9" t="s">
        <v>5271</v>
      </c>
      <c r="W611" s="9" t="str">
        <f t="shared" si="32"/>
        <v>St. Ives RD</v>
      </c>
      <c r="X611" s="9" t="str">
        <f>INDEX(Lookup!$A$2:$A$1349, MATCH(W611, Lookup!$B$2:$B$1349,0))</f>
        <v>J04001189</v>
      </c>
      <c r="Y611" s="9" t="str">
        <f>INDEX(Lookup!$F$2:$F$1349, MATCH(W611, Lookup!$B$2:$B$1349,0))</f>
        <v>e180509</v>
      </c>
      <c r="Z611" s="6" t="str">
        <f>INDEX(Lookup!$C$2:$C$1300, MATCH(X611, Lookup!$A$2:$A$1300,0))</f>
        <v>Cambridgeshire</v>
      </c>
    </row>
    <row r="612" spans="1:26" ht="28.15" customHeight="1" x14ac:dyDescent="0.2">
      <c r="A612" s="6" t="s">
        <v>553</v>
      </c>
      <c r="B612" s="1" t="s">
        <v>5353</v>
      </c>
      <c r="C612" s="2">
        <v>1799</v>
      </c>
      <c r="D612" s="2">
        <v>65923</v>
      </c>
      <c r="E612" s="2">
        <v>74</v>
      </c>
      <c r="F612" s="2">
        <v>9569</v>
      </c>
      <c r="G612" s="2">
        <v>3</v>
      </c>
      <c r="H612" s="2">
        <v>1153</v>
      </c>
      <c r="I612" s="2">
        <v>58</v>
      </c>
      <c r="J612" s="2">
        <v>4776</v>
      </c>
      <c r="K612" s="2">
        <v>4</v>
      </c>
      <c r="L612" s="2">
        <v>115</v>
      </c>
      <c r="M612" s="2">
        <v>186</v>
      </c>
      <c r="N612" s="2">
        <v>12132</v>
      </c>
      <c r="O612" s="2">
        <v>15</v>
      </c>
      <c r="P612" s="2">
        <v>23971</v>
      </c>
      <c r="Q612" s="2">
        <v>2792</v>
      </c>
      <c r="R612" s="2">
        <v>53392</v>
      </c>
      <c r="S612" s="2">
        <v>173723</v>
      </c>
      <c r="T612" s="10">
        <f t="shared" si="30"/>
        <v>76645</v>
      </c>
      <c r="U612" s="8">
        <f t="shared" si="31"/>
        <v>0.44119086131370056</v>
      </c>
      <c r="V612" s="9" t="s">
        <v>5271</v>
      </c>
      <c r="W612" s="9" t="str">
        <f t="shared" si="32"/>
        <v>St. Neots RD</v>
      </c>
      <c r="X612" s="9" t="str">
        <f>INDEX(Lookup!$A$2:$A$1349, MATCH(W612, Lookup!$B$2:$B$1349,0))</f>
        <v>J04001192</v>
      </c>
      <c r="Y612" s="9" t="str">
        <f>INDEX(Lookup!$F$2:$F$1349, MATCH(W612, Lookup!$B$2:$B$1349,0))</f>
        <v>e180510</v>
      </c>
      <c r="Z612" s="6" t="str">
        <f>INDEX(Lookup!$C$2:$C$1300, MATCH(X612, Lookup!$A$2:$A$1300,0))</f>
        <v>Cambridgeshire</v>
      </c>
    </row>
    <row r="613" spans="1:26" ht="28.15" customHeight="1" x14ac:dyDescent="0.2">
      <c r="A613" s="6" t="s">
        <v>556</v>
      </c>
      <c r="B613" s="1" t="s">
        <v>556</v>
      </c>
      <c r="T613" s="10"/>
      <c r="W613" s="9" t="str">
        <f t="shared" si="32"/>
        <v xml:space="preserve">ISLE OF ELY: </v>
      </c>
      <c r="X613" s="9" t="e">
        <f>INDEX(Lookup!$A$2:$A$1349, MATCH(W613, Lookup!$B$2:$B$1349,0))</f>
        <v>#N/A</v>
      </c>
      <c r="Y613" s="9" t="e">
        <f>INDEX(Lookup!$F$2:$F$1349, MATCH(W613, Lookup!$B$2:$B$1349,0))</f>
        <v>#N/A</v>
      </c>
      <c r="Z613" s="6" t="e">
        <f>INDEX(Lookup!$C$2:$C$1300, MATCH(X613, Lookup!$A$2:$A$1300,0))</f>
        <v>#N/A</v>
      </c>
    </row>
    <row r="614" spans="1:26" ht="28.15" customHeight="1" x14ac:dyDescent="0.2">
      <c r="A614" s="6" t="s">
        <v>557</v>
      </c>
      <c r="B614" s="1" t="s">
        <v>557</v>
      </c>
      <c r="T614" s="10"/>
      <c r="W614" s="9" t="str">
        <f t="shared" si="32"/>
        <v xml:space="preserve">Non-County Borough-- </v>
      </c>
      <c r="X614" s="9" t="e">
        <f>INDEX(Lookup!$A$2:$A$1349, MATCH(W614, Lookup!$B$2:$B$1349,0))</f>
        <v>#N/A</v>
      </c>
      <c r="Y614" s="9" t="e">
        <f>INDEX(Lookup!$F$2:$F$1349, MATCH(W614, Lookup!$B$2:$B$1349,0))</f>
        <v>#N/A</v>
      </c>
      <c r="Z614" s="6" t="e">
        <f>INDEX(Lookup!$C$2:$C$1300, MATCH(X614, Lookup!$A$2:$A$1300,0))</f>
        <v>#N/A</v>
      </c>
    </row>
    <row r="615" spans="1:26" ht="28.15" customHeight="1" x14ac:dyDescent="0.2">
      <c r="A615" s="6" t="s">
        <v>558</v>
      </c>
      <c r="B615" s="1" t="s">
        <v>558</v>
      </c>
      <c r="C615" s="2">
        <v>4928</v>
      </c>
      <c r="D615" s="2">
        <v>257143</v>
      </c>
      <c r="E615" s="2">
        <v>610</v>
      </c>
      <c r="F615" s="2">
        <v>79476</v>
      </c>
      <c r="G615" s="2">
        <v>33</v>
      </c>
      <c r="H615" s="2">
        <v>8019</v>
      </c>
      <c r="I615" s="2">
        <v>402</v>
      </c>
      <c r="J615" s="2">
        <v>119825</v>
      </c>
      <c r="K615" s="2">
        <v>105</v>
      </c>
      <c r="L615" s="2">
        <v>18694</v>
      </c>
      <c r="M615" s="2">
        <v>682</v>
      </c>
      <c r="N615" s="2">
        <v>73007</v>
      </c>
      <c r="O615" s="2">
        <v>44</v>
      </c>
      <c r="P615" s="2">
        <v>194182</v>
      </c>
      <c r="Q615" s="2">
        <v>3960</v>
      </c>
      <c r="R615" s="2">
        <v>79315</v>
      </c>
      <c r="S615" s="2">
        <v>833621</v>
      </c>
      <c r="T615" s="10">
        <f t="shared" si="30"/>
        <v>344638</v>
      </c>
      <c r="U615" s="8">
        <f t="shared" si="31"/>
        <v>0.41342288641960795</v>
      </c>
      <c r="V615" s="9" t="s">
        <v>5268</v>
      </c>
      <c r="W615" s="9" t="str">
        <f t="shared" si="32"/>
        <v>Wisbech MB</v>
      </c>
      <c r="X615" s="9" t="str">
        <f>INDEX(Lookup!$A$2:$A$1349, MATCH(W615, Lookup!$B$2:$B$1349,0))</f>
        <v>J04001431</v>
      </c>
      <c r="Y615" s="9" t="str">
        <f>INDEX(Lookup!$F$2:$F$1349, MATCH(W615, Lookup!$B$2:$B$1349,0))</f>
        <v>e040061</v>
      </c>
      <c r="Z615" s="6" t="str">
        <f>INDEX(Lookup!$C$2:$C$1300, MATCH(X615, Lookup!$A$2:$A$1300,0))</f>
        <v>Cambridgeshire</v>
      </c>
    </row>
    <row r="616" spans="1:26" ht="28.15" customHeight="1" x14ac:dyDescent="0.2">
      <c r="A616" s="6" t="s">
        <v>179</v>
      </c>
      <c r="B616" s="1" t="s">
        <v>179</v>
      </c>
      <c r="T616" s="10"/>
      <c r="W616" s="9" t="str">
        <f t="shared" si="32"/>
        <v xml:space="preserve">Urban Districts-- </v>
      </c>
      <c r="X616" s="9" t="e">
        <f>INDEX(Lookup!$A$2:$A$1349, MATCH(W616, Lookup!$B$2:$B$1349,0))</f>
        <v>#N/A</v>
      </c>
      <c r="Y616" s="9" t="e">
        <f>INDEX(Lookup!$F$2:$F$1349, MATCH(W616, Lookup!$B$2:$B$1349,0))</f>
        <v>#N/A</v>
      </c>
      <c r="Z616" s="6" t="e">
        <f>INDEX(Lookup!$C$2:$C$1300, MATCH(X616, Lookup!$A$2:$A$1300,0))</f>
        <v>#N/A</v>
      </c>
    </row>
    <row r="617" spans="1:26" ht="28.15" customHeight="1" x14ac:dyDescent="0.2">
      <c r="A617" s="6" t="s">
        <v>559</v>
      </c>
      <c r="B617" s="1" t="s">
        <v>559</v>
      </c>
      <c r="C617" s="2">
        <v>1495</v>
      </c>
      <c r="D617" s="2">
        <v>70837</v>
      </c>
      <c r="E617" s="2">
        <v>182</v>
      </c>
      <c r="F617" s="2">
        <v>23152</v>
      </c>
      <c r="G617" s="2">
        <v>9</v>
      </c>
      <c r="H617" s="2">
        <v>2050</v>
      </c>
      <c r="I617" s="2">
        <v>108</v>
      </c>
      <c r="J617" s="2">
        <v>15033</v>
      </c>
      <c r="K617" s="2">
        <v>19</v>
      </c>
      <c r="L617" s="2">
        <v>1906</v>
      </c>
      <c r="M617" s="2">
        <v>101</v>
      </c>
      <c r="N617" s="2">
        <v>8001</v>
      </c>
      <c r="O617" s="2">
        <v>8</v>
      </c>
      <c r="P617" s="2">
        <v>12025</v>
      </c>
      <c r="Q617" s="2">
        <v>235</v>
      </c>
      <c r="R617" s="2">
        <v>21686</v>
      </c>
      <c r="S617" s="2">
        <v>154925</v>
      </c>
      <c r="T617" s="10">
        <f t="shared" si="30"/>
        <v>96039</v>
      </c>
      <c r="U617" s="8">
        <f t="shared" si="31"/>
        <v>0.61990640632564142</v>
      </c>
      <c r="V617" s="9" t="s">
        <v>5270</v>
      </c>
      <c r="W617" s="9" t="str">
        <f t="shared" si="32"/>
        <v>Chatteris UD</v>
      </c>
      <c r="X617" s="9" t="str">
        <f>INDEX(Lookup!$A$2:$A$1349, MATCH(W617, Lookup!$B$2:$B$1349,0))</f>
        <v>J04000285</v>
      </c>
      <c r="Y617" s="9" t="str">
        <f>INDEX(Lookup!$F$2:$F$1349, MATCH(W617, Lookup!$B$2:$B$1349,0))</f>
        <v>e040057</v>
      </c>
      <c r="Z617" s="6" t="str">
        <f>INDEX(Lookup!$C$2:$C$1300, MATCH(X617, Lookup!$A$2:$A$1300,0))</f>
        <v>Cambridgeshire</v>
      </c>
    </row>
    <row r="618" spans="1:26" ht="28.15" customHeight="1" x14ac:dyDescent="0.2">
      <c r="A618" s="6" t="s">
        <v>560</v>
      </c>
      <c r="B618" s="1" t="s">
        <v>560</v>
      </c>
      <c r="C618" s="2">
        <v>2502</v>
      </c>
      <c r="D618" s="2">
        <v>121113</v>
      </c>
      <c r="E618" s="2">
        <v>240</v>
      </c>
      <c r="F618" s="2">
        <v>30966</v>
      </c>
      <c r="G618" s="2">
        <v>3</v>
      </c>
      <c r="H618" s="2">
        <v>690</v>
      </c>
      <c r="I618" s="2">
        <v>209</v>
      </c>
      <c r="J618" s="2">
        <v>59669</v>
      </c>
      <c r="K618" s="2">
        <v>37</v>
      </c>
      <c r="L618" s="2">
        <v>4100</v>
      </c>
      <c r="M618" s="2">
        <v>275</v>
      </c>
      <c r="N618" s="2">
        <v>34777</v>
      </c>
      <c r="O618" s="2">
        <v>6</v>
      </c>
      <c r="P618" s="2">
        <v>94452</v>
      </c>
      <c r="Q618" s="2">
        <v>15892</v>
      </c>
      <c r="R618" s="2">
        <v>44576</v>
      </c>
      <c r="S618" s="2">
        <v>406235</v>
      </c>
      <c r="T618" s="10">
        <f t="shared" si="30"/>
        <v>152769</v>
      </c>
      <c r="U618" s="8">
        <f t="shared" si="31"/>
        <v>0.3760606545472448</v>
      </c>
      <c r="V618" s="9" t="s">
        <v>5270</v>
      </c>
      <c r="W618" s="9" t="str">
        <f t="shared" si="32"/>
        <v>Ely UD</v>
      </c>
      <c r="X618" s="9" t="str">
        <f>INDEX(Lookup!$A$2:$A$1349, MATCH(W618, Lookup!$B$2:$B$1349,0))</f>
        <v>J04000472</v>
      </c>
      <c r="Y618" s="9" t="str">
        <f>INDEX(Lookup!$F$2:$F$1349, MATCH(W618, Lookup!$B$2:$B$1349,0))</f>
        <v>e040058</v>
      </c>
      <c r="Z618" s="6" t="str">
        <f>INDEX(Lookup!$C$2:$C$1300, MATCH(X618, Lookup!$A$2:$A$1300,0))</f>
        <v>Cambridgeshire</v>
      </c>
    </row>
    <row r="619" spans="1:26" ht="28.15" customHeight="1" x14ac:dyDescent="0.2">
      <c r="A619" s="6" t="s">
        <v>561</v>
      </c>
      <c r="B619" s="1" t="s">
        <v>561</v>
      </c>
      <c r="C619" s="2">
        <v>3814</v>
      </c>
      <c r="D619" s="2">
        <v>201113</v>
      </c>
      <c r="E619" s="2">
        <v>384</v>
      </c>
      <c r="F619" s="2">
        <v>47692</v>
      </c>
      <c r="G619" s="2">
        <v>10</v>
      </c>
      <c r="H619" s="2">
        <v>2356</v>
      </c>
      <c r="I619" s="2">
        <v>209</v>
      </c>
      <c r="J619" s="2">
        <v>47346</v>
      </c>
      <c r="K619" s="2">
        <v>41</v>
      </c>
      <c r="L619" s="2">
        <v>8216</v>
      </c>
      <c r="M619" s="2">
        <v>250</v>
      </c>
      <c r="N619" s="2">
        <v>22842</v>
      </c>
      <c r="O619" s="2">
        <v>17</v>
      </c>
      <c r="P619" s="2">
        <v>12670</v>
      </c>
      <c r="Q619" s="2">
        <v>1646</v>
      </c>
      <c r="R619" s="2">
        <v>54433</v>
      </c>
      <c r="S619" s="2">
        <v>398314</v>
      </c>
      <c r="T619" s="10">
        <f t="shared" si="30"/>
        <v>251161</v>
      </c>
      <c r="U619" s="8">
        <f t="shared" si="31"/>
        <v>0.63056031171387394</v>
      </c>
      <c r="V619" s="9" t="s">
        <v>5270</v>
      </c>
      <c r="W619" s="9" t="str">
        <f t="shared" si="32"/>
        <v>March UD</v>
      </c>
      <c r="X619" s="9" t="str">
        <f>INDEX(Lookup!$A$2:$A$1349, MATCH(W619, Lookup!$B$2:$B$1349,0))</f>
        <v>J04000825</v>
      </c>
      <c r="Y619" s="9" t="str">
        <f>INDEX(Lookup!$F$2:$F$1349, MATCH(W619, Lookup!$B$2:$B$1349,0))</f>
        <v>e040059</v>
      </c>
      <c r="Z619" s="6" t="str">
        <f>INDEX(Lookup!$C$2:$C$1300, MATCH(X619, Lookup!$A$2:$A$1300,0))</f>
        <v>Cambridgeshire</v>
      </c>
    </row>
    <row r="620" spans="1:26" ht="28.15" customHeight="1" x14ac:dyDescent="0.2">
      <c r="A620" s="6" t="s">
        <v>562</v>
      </c>
      <c r="B620" s="1" t="s">
        <v>562</v>
      </c>
      <c r="C620" s="2">
        <v>2484</v>
      </c>
      <c r="D620" s="2">
        <v>123890</v>
      </c>
      <c r="E620" s="2">
        <v>135</v>
      </c>
      <c r="F620" s="2">
        <v>16262</v>
      </c>
      <c r="G620" s="2">
        <v>5</v>
      </c>
      <c r="H620" s="2">
        <v>1066</v>
      </c>
      <c r="I620" s="2">
        <v>121</v>
      </c>
      <c r="J620" s="2">
        <v>18313</v>
      </c>
      <c r="K620" s="2">
        <v>13</v>
      </c>
      <c r="L620" s="2">
        <v>1646</v>
      </c>
      <c r="M620" s="2">
        <v>268</v>
      </c>
      <c r="N620" s="2">
        <v>15525</v>
      </c>
      <c r="O620" s="2">
        <v>9</v>
      </c>
      <c r="P620" s="2">
        <v>7905</v>
      </c>
      <c r="Q620" s="2">
        <v>288</v>
      </c>
      <c r="R620" s="2">
        <v>119201</v>
      </c>
      <c r="S620" s="2">
        <v>304096</v>
      </c>
      <c r="T620" s="10">
        <f t="shared" si="30"/>
        <v>141218</v>
      </c>
      <c r="U620" s="8">
        <f t="shared" si="31"/>
        <v>0.46438624644848997</v>
      </c>
      <c r="V620" s="9" t="s">
        <v>5270</v>
      </c>
      <c r="W620" s="9" t="str">
        <f t="shared" si="32"/>
        <v>Whittlesey UD</v>
      </c>
      <c r="X620" s="9" t="str">
        <f>INDEX(Lookup!$A$2:$A$1349, MATCH(W620, Lookup!$B$2:$B$1349,0))</f>
        <v>J04001406</v>
      </c>
      <c r="Y620" s="9" t="str">
        <f>INDEX(Lookup!$F$2:$F$1349, MATCH(W620, Lookup!$B$2:$B$1349,0))</f>
        <v>e040060</v>
      </c>
      <c r="Z620" s="6" t="str">
        <f>INDEX(Lookup!$C$2:$C$1300, MATCH(X620, Lookup!$A$2:$A$1300,0))</f>
        <v>Cambridgeshire</v>
      </c>
    </row>
    <row r="621" spans="1:26" ht="28.15" customHeight="1" x14ac:dyDescent="0.2">
      <c r="A621" s="6" t="s">
        <v>212</v>
      </c>
      <c r="B621" s="1" t="s">
        <v>212</v>
      </c>
      <c r="T621" s="10"/>
      <c r="W621" s="9" t="str">
        <f t="shared" si="32"/>
        <v xml:space="preserve">Rural Districts-- </v>
      </c>
      <c r="X621" s="9" t="e">
        <f>INDEX(Lookup!$A$2:$A$1349, MATCH(W621, Lookup!$B$2:$B$1349,0))</f>
        <v>#N/A</v>
      </c>
      <c r="Y621" s="9" t="e">
        <f>INDEX(Lookup!$F$2:$F$1349, MATCH(W621, Lookup!$B$2:$B$1349,0))</f>
        <v>#N/A</v>
      </c>
      <c r="Z621" s="6" t="e">
        <f>INDEX(Lookup!$C$2:$C$1300, MATCH(X621, Lookup!$A$2:$A$1300,0))</f>
        <v>#N/A</v>
      </c>
    </row>
    <row r="622" spans="1:26" ht="28.15" customHeight="1" x14ac:dyDescent="0.2">
      <c r="A622" s="6" t="s">
        <v>560</v>
      </c>
      <c r="B622" s="1" t="s">
        <v>560</v>
      </c>
      <c r="C622" s="2">
        <v>3730</v>
      </c>
      <c r="D622" s="2">
        <v>160386</v>
      </c>
      <c r="E622" s="2">
        <v>103</v>
      </c>
      <c r="F622" s="2">
        <v>12923</v>
      </c>
      <c r="G622" s="2">
        <v>3</v>
      </c>
      <c r="H622" s="2">
        <v>646</v>
      </c>
      <c r="I622" s="2">
        <v>167</v>
      </c>
      <c r="J622" s="2">
        <v>21365</v>
      </c>
      <c r="K622" s="2">
        <v>18</v>
      </c>
      <c r="L622" s="2">
        <v>2445</v>
      </c>
      <c r="M622" s="2">
        <v>101</v>
      </c>
      <c r="N622" s="2">
        <v>8001</v>
      </c>
      <c r="O622" s="2">
        <v>14</v>
      </c>
      <c r="P622" s="2">
        <v>16973</v>
      </c>
      <c r="Q622" s="2">
        <v>2186</v>
      </c>
      <c r="R622" s="2">
        <v>61480</v>
      </c>
      <c r="S622" s="2">
        <v>295692</v>
      </c>
      <c r="T622" s="10">
        <f t="shared" si="30"/>
        <v>173955</v>
      </c>
      <c r="U622" s="8">
        <f t="shared" si="31"/>
        <v>0.58829795868674162</v>
      </c>
      <c r="V622" s="9" t="s">
        <v>5271</v>
      </c>
      <c r="W622" s="9" t="str">
        <f t="shared" si="32"/>
        <v>Ely RD</v>
      </c>
      <c r="X622" s="9" t="str">
        <f>INDEX(Lookup!$A$2:$A$1349, MATCH(W622, Lookup!$B$2:$B$1349,0))</f>
        <v>J04000471</v>
      </c>
      <c r="Y622" s="9" t="str">
        <f>INDEX(Lookup!$F$2:$F$1349, MATCH(W622, Lookup!$B$2:$B$1349,0))</f>
        <v>e040063</v>
      </c>
      <c r="Z622" s="6" t="str">
        <f>INDEX(Lookup!$C$2:$C$1300, MATCH(X622, Lookup!$A$2:$A$1300,0))</f>
        <v>Cambridgeshire</v>
      </c>
    </row>
    <row r="623" spans="1:26" ht="28.15" customHeight="1" x14ac:dyDescent="0.2">
      <c r="A623" s="6" t="s">
        <v>563</v>
      </c>
      <c r="B623" s="1" t="s">
        <v>563</v>
      </c>
      <c r="C623" s="2">
        <v>1195</v>
      </c>
      <c r="D623" s="2">
        <v>50432</v>
      </c>
      <c r="E623" s="2">
        <v>45</v>
      </c>
      <c r="F623" s="2">
        <v>5698</v>
      </c>
      <c r="G623" s="2">
        <v>1</v>
      </c>
      <c r="H623" s="2">
        <v>226</v>
      </c>
      <c r="I623" s="2">
        <v>57</v>
      </c>
      <c r="J623" s="2">
        <v>4478</v>
      </c>
      <c r="K623" s="2">
        <v>4</v>
      </c>
      <c r="L623" s="2">
        <v>4100</v>
      </c>
      <c r="M623" s="2">
        <v>275</v>
      </c>
      <c r="N623" s="2">
        <v>34777</v>
      </c>
      <c r="O623" s="2">
        <v>4</v>
      </c>
      <c r="P623" s="2">
        <v>3975</v>
      </c>
      <c r="Q623" s="2">
        <v>979</v>
      </c>
      <c r="R623" s="2">
        <v>21717</v>
      </c>
      <c r="S623" s="2">
        <v>95487</v>
      </c>
      <c r="T623" s="10">
        <f t="shared" si="30"/>
        <v>56356</v>
      </c>
      <c r="U623" s="8">
        <f t="shared" si="31"/>
        <v>0.5901955239980311</v>
      </c>
      <c r="V623" s="9" t="s">
        <v>5271</v>
      </c>
      <c r="W623" s="9" t="str">
        <f t="shared" si="32"/>
        <v>North Witchford RD</v>
      </c>
      <c r="X623" s="9" t="str">
        <f>INDEX(Lookup!$A$2:$A$1349, MATCH(W623, Lookup!$B$2:$B$1349,0))</f>
        <v>J04000928</v>
      </c>
      <c r="Y623" s="9" t="str">
        <f>INDEX(Lookup!$F$2:$F$1349, MATCH(W623, Lookup!$B$2:$B$1349,0))</f>
        <v>e040065</v>
      </c>
      <c r="Z623" s="6" t="str">
        <f>INDEX(Lookup!$C$2:$C$1300, MATCH(X623, Lookup!$A$2:$A$1300,0))</f>
        <v>Cambridgeshire</v>
      </c>
    </row>
    <row r="624" spans="1:26" ht="28.15" customHeight="1" x14ac:dyDescent="0.2">
      <c r="A624" s="6" t="s">
        <v>564</v>
      </c>
      <c r="B624" s="1" t="s">
        <v>564</v>
      </c>
      <c r="C624" s="2">
        <v>313</v>
      </c>
      <c r="D624" s="2">
        <v>12699</v>
      </c>
      <c r="E624" s="2">
        <v>13</v>
      </c>
      <c r="F624" s="2">
        <v>1666</v>
      </c>
      <c r="G624" s="2">
        <v>1</v>
      </c>
      <c r="H624" s="2">
        <v>206</v>
      </c>
      <c r="I624" s="2">
        <v>15</v>
      </c>
      <c r="J624" s="2">
        <v>1622</v>
      </c>
      <c r="K624" s="2">
        <v>5</v>
      </c>
      <c r="L624" s="2">
        <v>8216</v>
      </c>
      <c r="M624" s="2">
        <v>250</v>
      </c>
      <c r="N624" s="2">
        <v>22842</v>
      </c>
      <c r="Q624" s="2">
        <v>67</v>
      </c>
      <c r="R624" s="2">
        <v>25098</v>
      </c>
      <c r="S624" s="2">
        <v>44876</v>
      </c>
      <c r="T624" s="10">
        <f t="shared" si="30"/>
        <v>14571</v>
      </c>
      <c r="U624" s="8">
        <f t="shared" si="31"/>
        <v>0.32469471432391478</v>
      </c>
      <c r="V624" s="9" t="s">
        <v>5271</v>
      </c>
      <c r="W624" s="9" t="str">
        <f t="shared" si="32"/>
        <v>Thorney RD</v>
      </c>
      <c r="X624" s="9" t="str">
        <f>INDEX(Lookup!$A$2:$A$1349, MATCH(W624, Lookup!$B$2:$B$1349,0))</f>
        <v>J04001273</v>
      </c>
      <c r="Y624" s="9" t="str">
        <f>INDEX(Lookup!$F$2:$F$1349, MATCH(W624, Lookup!$B$2:$B$1349,0))</f>
        <v>e180511</v>
      </c>
      <c r="Z624" s="6" t="str">
        <f>INDEX(Lookup!$C$2:$C$1300, MATCH(X624, Lookup!$A$2:$A$1300,0))</f>
        <v>Cambridgeshire</v>
      </c>
    </row>
    <row r="625" spans="1:26" ht="28.15" customHeight="1" x14ac:dyDescent="0.2">
      <c r="A625" s="6" t="s">
        <v>558</v>
      </c>
      <c r="B625" s="1" t="s">
        <v>558</v>
      </c>
      <c r="C625" s="2">
        <v>2985</v>
      </c>
      <c r="D625" s="2">
        <v>124603</v>
      </c>
      <c r="E625" s="2">
        <v>128</v>
      </c>
      <c r="F625" s="2">
        <v>16348</v>
      </c>
      <c r="G625" s="2">
        <v>10</v>
      </c>
      <c r="H625" s="2">
        <v>2683</v>
      </c>
      <c r="I625" s="2">
        <v>83</v>
      </c>
      <c r="J625" s="2">
        <v>9249</v>
      </c>
      <c r="K625" s="2">
        <v>7</v>
      </c>
      <c r="L625" s="2">
        <v>284</v>
      </c>
      <c r="M625" s="2">
        <v>153</v>
      </c>
      <c r="N625" s="2">
        <v>21407</v>
      </c>
      <c r="O625" s="2">
        <v>4</v>
      </c>
      <c r="P625" s="2">
        <v>4010</v>
      </c>
      <c r="Q625" s="2" t="s">
        <v>5467</v>
      </c>
      <c r="R625" s="2">
        <v>52904</v>
      </c>
      <c r="S625" s="2">
        <v>231488</v>
      </c>
      <c r="T625" s="10">
        <f t="shared" si="30"/>
        <v>143634</v>
      </c>
      <c r="U625" s="8">
        <f t="shared" si="31"/>
        <v>0.62048140724357204</v>
      </c>
      <c r="V625" s="9" t="s">
        <v>5271</v>
      </c>
      <c r="W625" s="9" t="str">
        <f t="shared" si="32"/>
        <v>Wisbech RD</v>
      </c>
      <c r="X625" s="9" t="str">
        <f>INDEX(Lookup!$A$2:$A$1349, MATCH(W625, Lookup!$B$2:$B$1349,0))</f>
        <v>J04001432</v>
      </c>
      <c r="Y625" s="9" t="str">
        <f>INDEX(Lookup!$F$2:$F$1349, MATCH(W625, Lookup!$B$2:$B$1349,0))</f>
        <v>e040067</v>
      </c>
      <c r="Z625" s="6" t="str">
        <f>INDEX(Lookup!$C$2:$C$1300, MATCH(X625, Lookup!$A$2:$A$1300,0))</f>
        <v>Cambridgeshire</v>
      </c>
    </row>
    <row r="626" spans="1:26" ht="28.15" customHeight="1" x14ac:dyDescent="0.2">
      <c r="A626" s="6" t="s">
        <v>565</v>
      </c>
      <c r="B626" s="1" t="s">
        <v>565</v>
      </c>
      <c r="T626" s="10"/>
      <c r="W626" s="9" t="str">
        <f t="shared" si="32"/>
        <v xml:space="preserve">ISLE OF WIGHT: </v>
      </c>
      <c r="X626" s="9" t="e">
        <f>INDEX(Lookup!$A$2:$A$1349, MATCH(W626, Lookup!$B$2:$B$1349,0))</f>
        <v>#N/A</v>
      </c>
      <c r="Y626" s="9" t="e">
        <f>INDEX(Lookup!$F$2:$F$1349, MATCH(W626, Lookup!$B$2:$B$1349,0))</f>
        <v>#N/A</v>
      </c>
      <c r="Z626" s="6" t="e">
        <f>INDEX(Lookup!$C$2:$C$1300, MATCH(X626, Lookup!$A$2:$A$1300,0))</f>
        <v>#N/A</v>
      </c>
    </row>
    <row r="627" spans="1:26" ht="28.15" customHeight="1" x14ac:dyDescent="0.2">
      <c r="A627" s="6" t="s">
        <v>175</v>
      </c>
      <c r="B627" s="1" t="s">
        <v>175</v>
      </c>
      <c r="T627" s="10"/>
      <c r="W627" s="9" t="str">
        <f t="shared" si="32"/>
        <v xml:space="preserve">Non-County Boroughs-- </v>
      </c>
      <c r="X627" s="9" t="e">
        <f>INDEX(Lookup!$A$2:$A$1349, MATCH(W627, Lookup!$B$2:$B$1349,0))</f>
        <v>#N/A</v>
      </c>
      <c r="Y627" s="9" t="e">
        <f>INDEX(Lookup!$F$2:$F$1349, MATCH(W627, Lookup!$B$2:$B$1349,0))</f>
        <v>#N/A</v>
      </c>
      <c r="Z627" s="6" t="e">
        <f>INDEX(Lookup!$C$2:$C$1300, MATCH(X627, Lookup!$A$2:$A$1300,0))</f>
        <v>#N/A</v>
      </c>
    </row>
    <row r="628" spans="1:26" ht="28.15" customHeight="1" x14ac:dyDescent="0.2">
      <c r="A628" s="6" t="s">
        <v>566</v>
      </c>
      <c r="B628" s="1" t="s">
        <v>566</v>
      </c>
      <c r="C628" s="2">
        <v>5028</v>
      </c>
      <c r="D628" s="2">
        <v>267412</v>
      </c>
      <c r="E628" s="2">
        <v>316</v>
      </c>
      <c r="F628" s="2">
        <v>37092</v>
      </c>
      <c r="G628" s="2">
        <v>5</v>
      </c>
      <c r="H628" s="2">
        <v>1350</v>
      </c>
      <c r="I628" s="2">
        <v>338</v>
      </c>
      <c r="J628" s="2">
        <v>87946</v>
      </c>
      <c r="K628" s="2">
        <v>85</v>
      </c>
      <c r="L628" s="2">
        <v>11248</v>
      </c>
      <c r="M628" s="2">
        <v>619</v>
      </c>
      <c r="N628" s="2">
        <v>64308</v>
      </c>
      <c r="O628" s="2">
        <v>51</v>
      </c>
      <c r="P628" s="2">
        <v>41328</v>
      </c>
      <c r="Q628" s="2">
        <v>35614</v>
      </c>
      <c r="R628" s="2">
        <v>111901</v>
      </c>
      <c r="S628" s="2">
        <v>658199</v>
      </c>
      <c r="T628" s="10">
        <f t="shared" si="30"/>
        <v>305854</v>
      </c>
      <c r="U628" s="8">
        <f t="shared" si="31"/>
        <v>0.46468317332600018</v>
      </c>
      <c r="V628" s="9" t="s">
        <v>5268</v>
      </c>
      <c r="W628" s="9" t="str">
        <f t="shared" si="32"/>
        <v>Newport MB</v>
      </c>
      <c r="X628" s="9" t="str">
        <f>INDEX(Lookup!$A$2:$A$1349, MATCH(W628, Lookup!$B$2:$B$1349,0))</f>
        <v>J04000908</v>
      </c>
      <c r="Y628" s="9" t="str">
        <f>INDEX(Lookup!$F$2:$F$1349, MATCH(W628, Lookup!$B$2:$B$1349,0))</f>
        <v>e411097</v>
      </c>
      <c r="Z628" s="6" t="str">
        <f>INDEX(Lookup!$C$2:$C$1300, MATCH(X628, Lookup!$A$2:$A$1300,0))</f>
        <v>Isle Of Wight</v>
      </c>
    </row>
    <row r="629" spans="1:26" ht="28.15" customHeight="1" x14ac:dyDescent="0.2">
      <c r="A629" s="6" t="s">
        <v>567</v>
      </c>
      <c r="B629" s="1" t="s">
        <v>567</v>
      </c>
      <c r="C629" s="2">
        <v>6129</v>
      </c>
      <c r="D629" s="2">
        <v>341283</v>
      </c>
      <c r="E629" s="2">
        <v>793</v>
      </c>
      <c r="F629" s="2">
        <v>96304</v>
      </c>
      <c r="G629" s="2">
        <v>42</v>
      </c>
      <c r="H629" s="2">
        <v>9747</v>
      </c>
      <c r="I629" s="2">
        <v>450</v>
      </c>
      <c r="J629" s="2">
        <v>82060</v>
      </c>
      <c r="K629" s="2">
        <v>50</v>
      </c>
      <c r="L629" s="2">
        <v>4986</v>
      </c>
      <c r="M629" s="2">
        <v>578</v>
      </c>
      <c r="N629" s="2">
        <v>73502</v>
      </c>
      <c r="O629" s="2">
        <v>32</v>
      </c>
      <c r="P629" s="2">
        <v>24230</v>
      </c>
      <c r="Q629" s="2">
        <v>7248</v>
      </c>
      <c r="R629" s="2">
        <v>60941</v>
      </c>
      <c r="S629" s="2">
        <v>700301</v>
      </c>
      <c r="T629" s="10">
        <f t="shared" si="30"/>
        <v>447334</v>
      </c>
      <c r="U629" s="8">
        <f t="shared" si="31"/>
        <v>0.63877389865215095</v>
      </c>
      <c r="V629" s="9" t="s">
        <v>5268</v>
      </c>
      <c r="W629" s="9" t="str">
        <f t="shared" si="32"/>
        <v>Ryde MB</v>
      </c>
      <c r="X629" s="9" t="str">
        <f>INDEX(Lookup!$A$2:$A$1349, MATCH(W629, Lookup!$B$2:$B$1349,0))</f>
        <v>J04001086</v>
      </c>
      <c r="Y629" s="9" t="str">
        <f>INDEX(Lookup!$F$2:$F$1349, MATCH(W629, Lookup!$B$2:$B$1349,0))</f>
        <v>e411098</v>
      </c>
      <c r="Z629" s="6" t="str">
        <f>INDEX(Lookup!$C$2:$C$1300, MATCH(X629, Lookup!$A$2:$A$1300,0))</f>
        <v>Isle Of Wight</v>
      </c>
    </row>
    <row r="630" spans="1:26" ht="28.15" customHeight="1" x14ac:dyDescent="0.2">
      <c r="A630" s="6" t="s">
        <v>179</v>
      </c>
      <c r="B630" s="1" t="s">
        <v>179</v>
      </c>
      <c r="T630" s="10"/>
      <c r="W630" s="9" t="str">
        <f t="shared" si="32"/>
        <v xml:space="preserve">Urban Districts-- </v>
      </c>
      <c r="X630" s="9" t="e">
        <f>INDEX(Lookup!$A$2:$A$1349, MATCH(W630, Lookup!$B$2:$B$1349,0))</f>
        <v>#N/A</v>
      </c>
      <c r="Y630" s="9" t="e">
        <f>INDEX(Lookup!$F$2:$F$1349, MATCH(W630, Lookup!$B$2:$B$1349,0))</f>
        <v>#N/A</v>
      </c>
      <c r="Z630" s="6" t="e">
        <f>INDEX(Lookup!$C$2:$C$1300, MATCH(X630, Lookup!$A$2:$A$1300,0))</f>
        <v>#N/A</v>
      </c>
    </row>
    <row r="631" spans="1:26" ht="28.15" customHeight="1" x14ac:dyDescent="0.2">
      <c r="A631" s="6" t="s">
        <v>568</v>
      </c>
      <c r="B631" s="1" t="s">
        <v>568</v>
      </c>
      <c r="C631" s="2">
        <v>5307</v>
      </c>
      <c r="D631" s="2">
        <v>282252</v>
      </c>
      <c r="E631" s="2">
        <v>322</v>
      </c>
      <c r="F631" s="2">
        <v>39503</v>
      </c>
      <c r="G631" s="2">
        <v>24</v>
      </c>
      <c r="H631" s="2">
        <v>5998</v>
      </c>
      <c r="I631" s="2">
        <v>319</v>
      </c>
      <c r="J631" s="2">
        <v>32629</v>
      </c>
      <c r="K631" s="2">
        <v>32</v>
      </c>
      <c r="L631" s="2">
        <v>5685</v>
      </c>
      <c r="M631" s="2">
        <v>575</v>
      </c>
      <c r="N631" s="2">
        <v>34023</v>
      </c>
      <c r="O631" s="2">
        <v>37</v>
      </c>
      <c r="P631" s="2">
        <v>93733</v>
      </c>
      <c r="Q631" s="2">
        <v>3506</v>
      </c>
      <c r="R631" s="2">
        <v>83079</v>
      </c>
      <c r="S631" s="2">
        <v>580408</v>
      </c>
      <c r="T631" s="10">
        <f t="shared" si="30"/>
        <v>327753</v>
      </c>
      <c r="U631" s="8">
        <f t="shared" si="31"/>
        <v>0.56469414618682034</v>
      </c>
      <c r="V631" s="9" t="s">
        <v>5270</v>
      </c>
      <c r="W631" s="9" t="str">
        <f t="shared" si="32"/>
        <v>Cowes UD</v>
      </c>
      <c r="X631" s="9" t="str">
        <f>INDEX(Lookup!$A$2:$A$1349, MATCH(W631, Lookup!$B$2:$B$1349,0))</f>
        <v>J04000355</v>
      </c>
      <c r="Y631" s="9" t="str">
        <f>INDEX(Lookup!$F$2:$F$1349, MATCH(W631, Lookup!$B$2:$B$1349,0))</f>
        <v>e411096</v>
      </c>
      <c r="Z631" s="6" t="str">
        <f>INDEX(Lookup!$C$2:$C$1300, MATCH(X631, Lookup!$A$2:$A$1300,0))</f>
        <v>Isle Of Wight</v>
      </c>
    </row>
    <row r="632" spans="1:26" ht="28.15" customHeight="1" x14ac:dyDescent="0.2">
      <c r="A632" s="6" t="s">
        <v>569</v>
      </c>
      <c r="B632" s="1" t="s">
        <v>5406</v>
      </c>
      <c r="C632" s="2">
        <v>3185</v>
      </c>
      <c r="D632" s="2">
        <v>220239</v>
      </c>
      <c r="E632" s="2">
        <v>1020</v>
      </c>
      <c r="F632" s="2">
        <v>117776</v>
      </c>
      <c r="G632" s="2">
        <v>6</v>
      </c>
      <c r="H632" s="2">
        <v>1496</v>
      </c>
      <c r="I632" s="2">
        <v>434</v>
      </c>
      <c r="J632" s="2">
        <v>76326</v>
      </c>
      <c r="K632" s="2">
        <v>58</v>
      </c>
      <c r="L632" s="2">
        <v>4294</v>
      </c>
      <c r="M632" s="2">
        <v>851</v>
      </c>
      <c r="N632" s="2">
        <v>162935</v>
      </c>
      <c r="O632" s="2">
        <v>21</v>
      </c>
      <c r="P632" s="2">
        <v>6595</v>
      </c>
      <c r="Q632" s="2">
        <v>3303</v>
      </c>
      <c r="R632" s="2">
        <v>81115</v>
      </c>
      <c r="S632" s="2">
        <v>674079</v>
      </c>
      <c r="T632" s="10">
        <f t="shared" si="30"/>
        <v>339511</v>
      </c>
      <c r="U632" s="8">
        <f t="shared" si="31"/>
        <v>0.50366648419547266</v>
      </c>
      <c r="V632" s="9" t="s">
        <v>5270</v>
      </c>
      <c r="W632" s="9" t="str">
        <f t="shared" si="32"/>
        <v>Sandown Shanklin UD</v>
      </c>
      <c r="X632" s="9" t="str">
        <f>INDEX(Lookup!$A$2:$A$1349, MATCH(W632, Lookup!$B$2:$B$1349,0))</f>
        <v>J04001101</v>
      </c>
      <c r="Y632" s="9" t="str">
        <f>INDEX(Lookup!$F$2:$F$1349, MATCH(W632, Lookup!$B$2:$B$1349,0))</f>
        <v>e411099</v>
      </c>
      <c r="Z632" s="6" t="str">
        <f>INDEX(Lookup!$C$2:$C$1300, MATCH(X632, Lookup!$A$2:$A$1300,0))</f>
        <v>Isle Of Wight</v>
      </c>
    </row>
    <row r="633" spans="1:26" ht="28.15" customHeight="1" x14ac:dyDescent="0.2">
      <c r="A633" s="6" t="s">
        <v>570</v>
      </c>
      <c r="B633" s="1" t="s">
        <v>570</v>
      </c>
      <c r="C633" s="2">
        <v>1879</v>
      </c>
      <c r="D633" s="2">
        <v>99917</v>
      </c>
      <c r="E633" s="2">
        <v>205</v>
      </c>
      <c r="F633" s="2">
        <v>24978</v>
      </c>
      <c r="G633" s="2">
        <v>5</v>
      </c>
      <c r="H633" s="2">
        <v>1274</v>
      </c>
      <c r="I633" s="2">
        <v>171</v>
      </c>
      <c r="J633" s="2">
        <v>23797</v>
      </c>
      <c r="K633" s="2">
        <v>23</v>
      </c>
      <c r="L633" s="2">
        <v>1423</v>
      </c>
      <c r="M633" s="2">
        <v>319</v>
      </c>
      <c r="N633" s="2">
        <v>48513</v>
      </c>
      <c r="O633" s="2">
        <v>6</v>
      </c>
      <c r="P633" s="2">
        <v>2185</v>
      </c>
      <c r="Q633" s="2">
        <v>3167</v>
      </c>
      <c r="R633" s="2">
        <v>25479</v>
      </c>
      <c r="S633" s="2">
        <v>230733</v>
      </c>
      <c r="T633" s="10">
        <f t="shared" si="30"/>
        <v>126169</v>
      </c>
      <c r="U633" s="8">
        <f t="shared" si="31"/>
        <v>0.54681818378818803</v>
      </c>
      <c r="V633" s="9" t="s">
        <v>5270</v>
      </c>
      <c r="W633" s="9" t="str">
        <f t="shared" si="32"/>
        <v>Ventnor UD</v>
      </c>
      <c r="X633" s="9" t="str">
        <f>INDEX(Lookup!$A$2:$A$1349, MATCH(W633, Lookup!$B$2:$B$1349,0))</f>
        <v>J04001319</v>
      </c>
      <c r="Y633" s="9" t="str">
        <f>INDEX(Lookup!$F$2:$F$1349, MATCH(W633, Lookup!$B$2:$B$1349,0))</f>
        <v>e411100</v>
      </c>
      <c r="Z633" s="6" t="str">
        <f>INDEX(Lookup!$C$2:$C$1300, MATCH(X633, Lookup!$A$2:$A$1300,0))</f>
        <v>Isle Of Wight</v>
      </c>
    </row>
    <row r="634" spans="1:26" ht="28.15" customHeight="1" x14ac:dyDescent="0.2">
      <c r="A634" s="6" t="s">
        <v>571</v>
      </c>
      <c r="B634" s="1" t="s">
        <v>571</v>
      </c>
      <c r="T634" s="10"/>
      <c r="W634" s="9" t="str">
        <f t="shared" si="32"/>
        <v xml:space="preserve">Rural District-- </v>
      </c>
      <c r="X634" s="9" t="e">
        <f>INDEX(Lookup!$A$2:$A$1349, MATCH(W634, Lookup!$B$2:$B$1349,0))</f>
        <v>#N/A</v>
      </c>
      <c r="Y634" s="9" t="e">
        <f>INDEX(Lookup!$F$2:$F$1349, MATCH(W634, Lookup!$B$2:$B$1349,0))</f>
        <v>#N/A</v>
      </c>
      <c r="Z634" s="6" t="e">
        <f>INDEX(Lookup!$C$2:$C$1300, MATCH(X634, Lookup!$A$2:$A$1300,0))</f>
        <v>#N/A</v>
      </c>
    </row>
    <row r="635" spans="1:26" ht="28.15" customHeight="1" x14ac:dyDescent="0.2">
      <c r="A635" s="6" t="s">
        <v>572</v>
      </c>
      <c r="B635" s="1" t="s">
        <v>34</v>
      </c>
      <c r="C635" s="2">
        <v>5304</v>
      </c>
      <c r="D635" s="2">
        <v>268618</v>
      </c>
      <c r="E635" s="2">
        <v>599</v>
      </c>
      <c r="F635" s="2">
        <v>77058</v>
      </c>
      <c r="G635" s="2">
        <v>88</v>
      </c>
      <c r="H635" s="2">
        <v>23423</v>
      </c>
      <c r="I635" s="2">
        <v>241</v>
      </c>
      <c r="J635" s="2">
        <v>23209</v>
      </c>
      <c r="K635" s="2">
        <v>32</v>
      </c>
      <c r="L635" s="2">
        <v>1820</v>
      </c>
      <c r="M635" s="2">
        <v>475</v>
      </c>
      <c r="N635" s="2">
        <v>80598</v>
      </c>
      <c r="O635" s="2">
        <v>21</v>
      </c>
      <c r="P635" s="2">
        <v>5763</v>
      </c>
      <c r="Q635" s="2">
        <v>1753</v>
      </c>
      <c r="R635" s="2">
        <v>120398</v>
      </c>
      <c r="S635" s="2">
        <v>602640</v>
      </c>
      <c r="T635" s="10">
        <f t="shared" si="30"/>
        <v>369099</v>
      </c>
      <c r="U635" s="8">
        <f t="shared" si="31"/>
        <v>0.61247013142174433</v>
      </c>
      <c r="V635" s="9" t="s">
        <v>5271</v>
      </c>
      <c r="W635" s="9" t="str">
        <f t="shared" si="32"/>
        <v>Isle of Wight RD</v>
      </c>
      <c r="X635" s="9" t="str">
        <f>INDEX(Lookup!$A$2:$A$1349, MATCH(W635, Lookup!$B$2:$B$1349,0))</f>
        <v>J04000675</v>
      </c>
      <c r="Y635" s="9" t="str">
        <f>INDEX(Lookup!$F$2:$F$1349, MATCH(W635, Lookup!$B$2:$B$1349,0))</f>
        <v>e411101</v>
      </c>
      <c r="Z635" s="6" t="str">
        <f>INDEX(Lookup!$C$2:$C$1300, MATCH(X635, Lookup!$A$2:$A$1300,0))</f>
        <v>Isle Of Wight</v>
      </c>
    </row>
    <row r="636" spans="1:26" ht="28.15" customHeight="1" x14ac:dyDescent="0.2">
      <c r="A636" s="6" t="s">
        <v>573</v>
      </c>
      <c r="B636" s="1" t="s">
        <v>573</v>
      </c>
      <c r="T636" s="10"/>
      <c r="W636" s="9" t="str">
        <f t="shared" si="32"/>
        <v xml:space="preserve">KENT: </v>
      </c>
      <c r="X636" s="9" t="e">
        <f>INDEX(Lookup!$A$2:$A$1349, MATCH(W636, Lookup!$B$2:$B$1349,0))</f>
        <v>#N/A</v>
      </c>
      <c r="Y636" s="9" t="e">
        <f>INDEX(Lookup!$F$2:$F$1349, MATCH(W636, Lookup!$B$2:$B$1349,0))</f>
        <v>#N/A</v>
      </c>
      <c r="Z636" s="6" t="e">
        <f>INDEX(Lookup!$C$2:$C$1300, MATCH(X636, Lookup!$A$2:$A$1300,0))</f>
        <v>#N/A</v>
      </c>
    </row>
    <row r="637" spans="1:26" ht="28.15" customHeight="1" x14ac:dyDescent="0.2">
      <c r="A637" s="6" t="s">
        <v>370</v>
      </c>
      <c r="B637" s="1" t="s">
        <v>370</v>
      </c>
      <c r="T637" s="10"/>
      <c r="W637" s="9" t="str">
        <f t="shared" si="32"/>
        <v xml:space="preserve">Non-County Boroughs </v>
      </c>
      <c r="X637" s="9" t="e">
        <f>INDEX(Lookup!$A$2:$A$1349, MATCH(W637, Lookup!$B$2:$B$1349,0))</f>
        <v>#N/A</v>
      </c>
      <c r="Y637" s="9" t="e">
        <f>INDEX(Lookup!$F$2:$F$1349, MATCH(W637, Lookup!$B$2:$B$1349,0))</f>
        <v>#N/A</v>
      </c>
      <c r="Z637" s="6" t="e">
        <f>INDEX(Lookup!$C$2:$C$1300, MATCH(X637, Lookup!$A$2:$A$1300,0))</f>
        <v>#N/A</v>
      </c>
    </row>
    <row r="638" spans="1:26" ht="28.15" customHeight="1" x14ac:dyDescent="0.2">
      <c r="A638" s="6" t="s">
        <v>574</v>
      </c>
      <c r="B638" s="1" t="s">
        <v>574</v>
      </c>
      <c r="C638" s="2">
        <v>6913</v>
      </c>
      <c r="D638" s="2">
        <v>530309</v>
      </c>
      <c r="E638" s="2">
        <v>16783</v>
      </c>
      <c r="F638" s="2">
        <v>2215037</v>
      </c>
      <c r="G638" s="2">
        <v>1166</v>
      </c>
      <c r="H638" s="2">
        <v>269701</v>
      </c>
      <c r="I638" s="2">
        <v>878</v>
      </c>
      <c r="J638" s="2">
        <v>358999</v>
      </c>
      <c r="K638" s="2">
        <v>126</v>
      </c>
      <c r="L638" s="2">
        <v>37708</v>
      </c>
      <c r="M638" s="2">
        <v>2052</v>
      </c>
      <c r="N638" s="2">
        <v>108202</v>
      </c>
      <c r="O638" s="2">
        <v>82</v>
      </c>
      <c r="P638" s="2">
        <v>446195</v>
      </c>
      <c r="Q638" s="2">
        <v>23412</v>
      </c>
      <c r="R638" s="2">
        <v>292410</v>
      </c>
      <c r="S638" s="2">
        <v>4281973</v>
      </c>
      <c r="T638" s="10">
        <f t="shared" si="30"/>
        <v>3015047</v>
      </c>
      <c r="U638" s="8">
        <f t="shared" si="31"/>
        <v>0.70412564488379537</v>
      </c>
      <c r="V638" s="9" t="s">
        <v>5268</v>
      </c>
      <c r="W638" s="9" t="str">
        <f t="shared" si="32"/>
        <v>Beckenham MB</v>
      </c>
      <c r="X638" s="9" t="str">
        <f>INDEX(Lookup!$A$2:$A$1349, MATCH(W638, Lookup!$B$2:$B$1349,0))</f>
        <v>J04000109</v>
      </c>
      <c r="Y638" s="9" t="str">
        <f>INDEX(Lookup!$F$2:$F$1349, MATCH(W638, Lookup!$B$2:$B$1349,0))</f>
        <v>e140375</v>
      </c>
      <c r="Z638" s="6" t="str">
        <f>INDEX(Lookup!$C$2:$C$1300, MATCH(X638, Lookup!$A$2:$A$1300,0))</f>
        <v>Outer London</v>
      </c>
    </row>
    <row r="639" spans="1:26" ht="28.15" customHeight="1" x14ac:dyDescent="0.2">
      <c r="A639" s="6" t="s">
        <v>575</v>
      </c>
      <c r="B639" s="1" t="s">
        <v>575</v>
      </c>
      <c r="C639" s="2">
        <v>18809</v>
      </c>
      <c r="D639" s="2">
        <v>1576701</v>
      </c>
      <c r="E639" s="2">
        <v>10104</v>
      </c>
      <c r="F639" s="2">
        <v>1131449</v>
      </c>
      <c r="G639" s="2">
        <v>73</v>
      </c>
      <c r="H639" s="2">
        <v>17730</v>
      </c>
      <c r="I639" s="2">
        <v>903</v>
      </c>
      <c r="J639" s="2">
        <v>433602</v>
      </c>
      <c r="K639" s="2">
        <v>139</v>
      </c>
      <c r="L639" s="2">
        <v>39072</v>
      </c>
      <c r="M639" s="2">
        <v>1166</v>
      </c>
      <c r="N639" s="2">
        <v>98583</v>
      </c>
      <c r="O639" s="2">
        <v>71</v>
      </c>
      <c r="P639" s="2">
        <v>70127</v>
      </c>
      <c r="Q639" s="2">
        <v>7716</v>
      </c>
      <c r="R639" s="2">
        <v>268684</v>
      </c>
      <c r="S639" s="2">
        <v>3643664</v>
      </c>
      <c r="T639" s="10">
        <f t="shared" si="30"/>
        <v>2725880</v>
      </c>
      <c r="U639" s="8">
        <f t="shared" si="31"/>
        <v>0.74811508415704631</v>
      </c>
      <c r="V639" s="9" t="s">
        <v>5268</v>
      </c>
      <c r="W639" s="9" t="str">
        <f t="shared" si="32"/>
        <v>Bexley MB</v>
      </c>
      <c r="X639" s="9" t="str">
        <f>INDEX(Lookup!$A$2:$A$1349, MATCH(W639, Lookup!$B$2:$B$1349,0))</f>
        <v>J04000136</v>
      </c>
      <c r="Y639" s="9" t="str">
        <f>INDEX(Lookup!$F$2:$F$1349, MATCH(W639, Lookup!$B$2:$B$1349,0))</f>
        <v>e140373</v>
      </c>
      <c r="Z639" s="6" t="str">
        <f>INDEX(Lookup!$C$2:$C$1300, MATCH(X639, Lookup!$A$2:$A$1300,0))</f>
        <v>Outer London</v>
      </c>
    </row>
    <row r="640" spans="1:26" ht="28.15" customHeight="1" x14ac:dyDescent="0.2">
      <c r="A640" s="6" t="s">
        <v>576</v>
      </c>
      <c r="B640" s="1" t="s">
        <v>576</v>
      </c>
      <c r="C640" s="2">
        <v>9568</v>
      </c>
      <c r="D640" s="2">
        <v>1576701</v>
      </c>
      <c r="E640" s="2">
        <v>11421</v>
      </c>
      <c r="F640" s="2">
        <v>1507919</v>
      </c>
      <c r="G640" s="2">
        <v>1183</v>
      </c>
      <c r="H640" s="2">
        <v>291222</v>
      </c>
      <c r="I640" s="2">
        <v>906</v>
      </c>
      <c r="J640" s="2">
        <v>774394</v>
      </c>
      <c r="K640" s="2">
        <v>226</v>
      </c>
      <c r="L640" s="2">
        <v>87757</v>
      </c>
      <c r="M640" s="2">
        <v>1739</v>
      </c>
      <c r="N640" s="2">
        <v>185054</v>
      </c>
      <c r="O640" s="2">
        <v>84</v>
      </c>
      <c r="P640" s="2">
        <v>94338</v>
      </c>
      <c r="Q640" s="2">
        <v>36198</v>
      </c>
      <c r="R640" s="2">
        <v>314144</v>
      </c>
      <c r="S640" s="2">
        <v>4012883</v>
      </c>
      <c r="T640" s="10">
        <f t="shared" si="30"/>
        <v>3375842</v>
      </c>
      <c r="U640" s="8">
        <f t="shared" si="31"/>
        <v>0.84125104071063128</v>
      </c>
      <c r="V640" s="9" t="s">
        <v>5268</v>
      </c>
      <c r="W640" s="9" t="str">
        <f t="shared" si="32"/>
        <v>Bromley MB</v>
      </c>
      <c r="X640" s="9" t="str">
        <f>INDEX(Lookup!$A$2:$A$1349, MATCH(W640, Lookup!$B$2:$B$1349,0))</f>
        <v>J04000218</v>
      </c>
      <c r="Y640" s="9" t="str">
        <f>INDEX(Lookup!$F$2:$F$1349, MATCH(W640, Lookup!$B$2:$B$1349,0))</f>
        <v>e140375</v>
      </c>
      <c r="Z640" s="6" t="str">
        <f>INDEX(Lookup!$C$2:$C$1300, MATCH(X640, Lookup!$A$2:$A$1300,0))</f>
        <v>Outer London</v>
      </c>
    </row>
    <row r="641" spans="1:26" ht="28.15" customHeight="1" x14ac:dyDescent="0.2">
      <c r="A641" s="6" t="s">
        <v>577</v>
      </c>
      <c r="B641" s="1" t="s">
        <v>577</v>
      </c>
      <c r="C641" s="2">
        <v>14274</v>
      </c>
      <c r="D641" s="2">
        <v>721857</v>
      </c>
      <c r="E641" s="2">
        <v>524</v>
      </c>
      <c r="F641" s="2">
        <v>66462</v>
      </c>
      <c r="G641" s="2">
        <v>5</v>
      </c>
      <c r="H641" s="2">
        <v>1090</v>
      </c>
      <c r="I641" s="2">
        <v>780</v>
      </c>
      <c r="J641" s="2">
        <v>317204</v>
      </c>
      <c r="K641" s="2">
        <v>139</v>
      </c>
      <c r="L641" s="2">
        <v>32381</v>
      </c>
      <c r="M641" s="2">
        <v>1396</v>
      </c>
      <c r="N641" s="2">
        <v>92226</v>
      </c>
      <c r="O641" s="2">
        <v>51</v>
      </c>
      <c r="P641" s="2">
        <v>70173</v>
      </c>
      <c r="Q641" s="2">
        <v>78891</v>
      </c>
      <c r="R641" s="2">
        <v>182463</v>
      </c>
      <c r="S641" s="2">
        <v>1577807</v>
      </c>
      <c r="T641" s="10">
        <f t="shared" si="30"/>
        <v>789409</v>
      </c>
      <c r="U641" s="8">
        <f t="shared" si="31"/>
        <v>0.50032038139011936</v>
      </c>
      <c r="V641" s="9" t="s">
        <v>5268</v>
      </c>
      <c r="W641" s="9" t="str">
        <f t="shared" si="32"/>
        <v>Chatham MB</v>
      </c>
      <c r="X641" s="9" t="str">
        <f>INDEX(Lookup!$A$2:$A$1349, MATCH(W641, Lookup!$B$2:$B$1349,0))</f>
        <v>J04000284</v>
      </c>
      <c r="Y641" s="9" t="str">
        <f>INDEX(Lookup!$F$2:$F$1349, MATCH(W641, Lookup!$B$2:$B$1349,0))</f>
        <v>e190516</v>
      </c>
      <c r="Z641" s="6" t="str">
        <f>INDEX(Lookup!$C$2:$C$1300, MATCH(X641, Lookup!$A$2:$A$1300,0))</f>
        <v>Kent</v>
      </c>
    </row>
    <row r="642" spans="1:26" ht="28.15" customHeight="1" x14ac:dyDescent="0.2">
      <c r="A642" s="6" t="s">
        <v>578</v>
      </c>
      <c r="B642" s="1" t="s">
        <v>578</v>
      </c>
      <c r="C642" s="2">
        <v>13257</v>
      </c>
      <c r="D642" s="2">
        <v>736917</v>
      </c>
      <c r="E642" s="2">
        <v>590</v>
      </c>
      <c r="F642" s="2">
        <v>70096</v>
      </c>
      <c r="G642" s="2">
        <v>10</v>
      </c>
      <c r="H642" s="2">
        <v>2477</v>
      </c>
      <c r="I642" s="2">
        <v>513</v>
      </c>
      <c r="J642" s="2">
        <v>210749</v>
      </c>
      <c r="K642" s="2">
        <v>101</v>
      </c>
      <c r="L642" s="2">
        <v>22521</v>
      </c>
      <c r="M642" s="2">
        <v>1053</v>
      </c>
      <c r="N642" s="2">
        <v>87310</v>
      </c>
      <c r="O642" s="2">
        <v>85</v>
      </c>
      <c r="P642" s="2">
        <v>334496</v>
      </c>
      <c r="Q642" s="2">
        <v>45799</v>
      </c>
      <c r="R642" s="2">
        <v>178046</v>
      </c>
      <c r="S642" s="2">
        <v>1811687</v>
      </c>
      <c r="T642" s="10">
        <f t="shared" si="30"/>
        <v>809490</v>
      </c>
      <c r="U642" s="8">
        <f t="shared" si="31"/>
        <v>0.44681559231809909</v>
      </c>
      <c r="V642" s="9" t="s">
        <v>5268</v>
      </c>
      <c r="W642" s="9" t="str">
        <f t="shared" si="32"/>
        <v>Dartford MB</v>
      </c>
      <c r="X642" s="9" t="str">
        <f>INDEX(Lookup!$A$2:$A$1349, MATCH(W642, Lookup!$B$2:$B$1349,0))</f>
        <v>J04000383</v>
      </c>
      <c r="Y642" s="9" t="str">
        <f>INDEX(Lookup!$F$2:$F$1349, MATCH(W642, Lookup!$B$2:$B$1349,0))</f>
        <v>e190517</v>
      </c>
      <c r="Z642" s="6" t="str">
        <f>INDEX(Lookup!$C$2:$C$1300, MATCH(X642, Lookup!$A$2:$A$1300,0))</f>
        <v>Kent</v>
      </c>
    </row>
    <row r="643" spans="1:26" ht="28.15" customHeight="1" x14ac:dyDescent="0.2">
      <c r="A643" s="6" t="s">
        <v>579</v>
      </c>
      <c r="B643" s="1" t="s">
        <v>579</v>
      </c>
      <c r="C643" s="2">
        <v>7204</v>
      </c>
      <c r="D643" s="2">
        <v>860193</v>
      </c>
      <c r="E643" s="2">
        <v>719</v>
      </c>
      <c r="F643" s="2">
        <v>88511</v>
      </c>
      <c r="G643" s="2">
        <v>47</v>
      </c>
      <c r="H643" s="2">
        <v>12033</v>
      </c>
      <c r="I643" s="2">
        <v>419</v>
      </c>
      <c r="J643" s="2">
        <v>71937</v>
      </c>
      <c r="K643" s="2">
        <v>53</v>
      </c>
      <c r="L643" s="2">
        <v>3849</v>
      </c>
      <c r="M643" s="2">
        <v>765</v>
      </c>
      <c r="N643" s="2">
        <v>40287</v>
      </c>
      <c r="O643" s="2">
        <v>30</v>
      </c>
      <c r="P643" s="2">
        <v>18593</v>
      </c>
      <c r="Q643" s="2">
        <v>20218</v>
      </c>
      <c r="R643" s="2">
        <v>66227</v>
      </c>
      <c r="S643" s="2">
        <v>717697</v>
      </c>
      <c r="T643" s="10">
        <f t="shared" ref="T643:T706" si="33">SUM(D643+F643+H643)</f>
        <v>960737</v>
      </c>
      <c r="U643" s="8">
        <f t="shared" ref="U643:U706" si="34">T643/S643</f>
        <v>1.3386387291572905</v>
      </c>
      <c r="V643" s="9" t="s">
        <v>5268</v>
      </c>
      <c r="W643" s="9" t="str">
        <f t="shared" ref="W643:W706" si="35">_xlfn.CONCAT(B643," ",V643)</f>
        <v>Deal MB</v>
      </c>
      <c r="X643" s="9" t="str">
        <f>INDEX(Lookup!$A$2:$A$1349, MATCH(W643, Lookup!$B$2:$B$1349,0))</f>
        <v>J04000392</v>
      </c>
      <c r="Y643" s="9" t="str">
        <f>INDEX(Lookup!$F$2:$F$1349, MATCH(W643, Lookup!$B$2:$B$1349,0))</f>
        <v>e190518</v>
      </c>
      <c r="Z643" s="6" t="str">
        <f>INDEX(Lookup!$C$2:$C$1300, MATCH(X643, Lookup!$A$2:$A$1300,0))</f>
        <v>Kent</v>
      </c>
    </row>
    <row r="644" spans="1:26" ht="28.15" customHeight="1" x14ac:dyDescent="0.2">
      <c r="A644" s="6" t="s">
        <v>580</v>
      </c>
      <c r="B644" s="1" t="s">
        <v>580</v>
      </c>
      <c r="C644" s="2">
        <v>10187</v>
      </c>
      <c r="D644" s="2">
        <v>394042</v>
      </c>
      <c r="E644" s="2">
        <v>894</v>
      </c>
      <c r="F644" s="2">
        <v>112152</v>
      </c>
      <c r="G644" s="2">
        <v>3</v>
      </c>
      <c r="H644" s="2">
        <v>698</v>
      </c>
      <c r="I644" s="2">
        <v>574</v>
      </c>
      <c r="J644" s="2">
        <v>146647</v>
      </c>
      <c r="K644" s="2">
        <v>101</v>
      </c>
      <c r="L644" s="2">
        <v>15188</v>
      </c>
      <c r="M644" s="2">
        <v>1145</v>
      </c>
      <c r="N644" s="2">
        <v>90805</v>
      </c>
      <c r="O644" s="2">
        <v>59</v>
      </c>
      <c r="P644" s="2">
        <v>99349</v>
      </c>
      <c r="Q644" s="2">
        <v>26725</v>
      </c>
      <c r="R644" s="2">
        <v>181692</v>
      </c>
      <c r="S644" s="2">
        <v>1219575</v>
      </c>
      <c r="T644" s="10">
        <f t="shared" si="33"/>
        <v>506892</v>
      </c>
      <c r="U644" s="8">
        <f t="shared" si="34"/>
        <v>0.41563003505319474</v>
      </c>
      <c r="V644" s="9" t="s">
        <v>5268</v>
      </c>
      <c r="W644" s="9" t="str">
        <f t="shared" si="35"/>
        <v>Dover MB</v>
      </c>
      <c r="X644" s="9" t="str">
        <f>INDEX(Lookup!$A$2:$A$1349, MATCH(W644, Lookup!$B$2:$B$1349,0))</f>
        <v>J04000421</v>
      </c>
      <c r="Y644" s="9" t="str">
        <f>INDEX(Lookup!$F$2:$F$1349, MATCH(W644, Lookup!$B$2:$B$1349,0))</f>
        <v>e190519</v>
      </c>
      <c r="Z644" s="6" t="str">
        <f>INDEX(Lookup!$C$2:$C$1300, MATCH(X644, Lookup!$A$2:$A$1300,0))</f>
        <v>Kent</v>
      </c>
    </row>
    <row r="645" spans="1:26" ht="28.15" customHeight="1" x14ac:dyDescent="0.2">
      <c r="A645" s="6" t="s">
        <v>581</v>
      </c>
      <c r="B645" s="1" t="s">
        <v>581</v>
      </c>
      <c r="C645" s="2">
        <v>11046</v>
      </c>
      <c r="D645" s="2">
        <v>546319</v>
      </c>
      <c r="E645" s="2">
        <v>2683</v>
      </c>
      <c r="F645" s="2">
        <v>291434</v>
      </c>
      <c r="G645" s="2">
        <v>12</v>
      </c>
      <c r="H645" s="2">
        <v>2620</v>
      </c>
      <c r="I645" s="2">
        <v>511</v>
      </c>
      <c r="J645" s="2">
        <v>113260</v>
      </c>
      <c r="K645" s="2">
        <v>23</v>
      </c>
      <c r="L645" s="2">
        <v>13943</v>
      </c>
      <c r="M645" s="2">
        <v>744</v>
      </c>
      <c r="N645" s="2">
        <v>67664</v>
      </c>
      <c r="O645" s="2">
        <v>78</v>
      </c>
      <c r="P645" s="2">
        <v>947275</v>
      </c>
      <c r="Q645" s="2">
        <v>4329</v>
      </c>
      <c r="R645" s="2">
        <v>429660</v>
      </c>
      <c r="S645" s="2">
        <v>2676137</v>
      </c>
      <c r="T645" s="10">
        <f t="shared" si="33"/>
        <v>840373</v>
      </c>
      <c r="U645" s="8">
        <f t="shared" si="34"/>
        <v>0.3140246556884046</v>
      </c>
      <c r="V645" s="9" t="s">
        <v>5268</v>
      </c>
      <c r="W645" s="9" t="str">
        <f t="shared" si="35"/>
        <v>Erith MB</v>
      </c>
      <c r="X645" s="9" t="str">
        <f>INDEX(Lookup!$A$2:$A$1349, MATCH(W645, Lookup!$B$2:$B$1349,0))</f>
        <v>J04000478</v>
      </c>
      <c r="Y645" s="9" t="str">
        <f>INDEX(Lookup!$F$2:$F$1349, MATCH(W645, Lookup!$B$2:$B$1349,0))</f>
        <v>e140373</v>
      </c>
      <c r="Z645" s="6" t="str">
        <f>INDEX(Lookup!$C$2:$C$1300, MATCH(X645, Lookup!$A$2:$A$1300,0))</f>
        <v>Outer London</v>
      </c>
    </row>
    <row r="646" spans="1:26" ht="28.15" customHeight="1" x14ac:dyDescent="0.2">
      <c r="A646" s="6" t="s">
        <v>582</v>
      </c>
      <c r="B646" s="1" t="s">
        <v>582</v>
      </c>
      <c r="C646" s="2">
        <v>4255</v>
      </c>
      <c r="D646" s="2">
        <v>805952</v>
      </c>
      <c r="E646" s="2">
        <v>152</v>
      </c>
      <c r="F646" s="2">
        <v>18722</v>
      </c>
      <c r="G646" s="2">
        <v>5</v>
      </c>
      <c r="H646" s="2">
        <v>1380</v>
      </c>
      <c r="I646" s="2">
        <v>239</v>
      </c>
      <c r="J646" s="2">
        <v>37730</v>
      </c>
      <c r="K646" s="2">
        <v>30</v>
      </c>
      <c r="L646" s="2">
        <v>2359</v>
      </c>
      <c r="M646" s="2">
        <v>512</v>
      </c>
      <c r="N646" s="2">
        <v>25432</v>
      </c>
      <c r="O646" s="2">
        <v>47</v>
      </c>
      <c r="P646" s="2">
        <v>124136</v>
      </c>
      <c r="Q646" s="2">
        <v>2034</v>
      </c>
      <c r="R646" s="2">
        <v>51199</v>
      </c>
      <c r="S646" s="2">
        <v>449620</v>
      </c>
      <c r="T646" s="10">
        <f t="shared" si="33"/>
        <v>826054</v>
      </c>
      <c r="U646" s="8">
        <f t="shared" si="34"/>
        <v>1.8372269916818647</v>
      </c>
      <c r="V646" s="9" t="s">
        <v>5268</v>
      </c>
      <c r="W646" s="9" t="str">
        <f t="shared" si="35"/>
        <v>Faversham MB</v>
      </c>
      <c r="X646" s="9" t="str">
        <f>INDEX(Lookup!$A$2:$A$1349, MATCH(W646, Lookup!$B$2:$B$1349,0))</f>
        <v>J04000496</v>
      </c>
      <c r="Y646" s="9" t="str">
        <f>INDEX(Lookup!$F$2:$F$1349, MATCH(W646, Lookup!$B$2:$B$1349,0))</f>
        <v>e190520</v>
      </c>
      <c r="Z646" s="6" t="str">
        <f>INDEX(Lookup!$C$2:$C$1300, MATCH(X646, Lookup!$A$2:$A$1300,0))</f>
        <v>Kent</v>
      </c>
    </row>
    <row r="647" spans="1:26" ht="28.15" customHeight="1" x14ac:dyDescent="0.2">
      <c r="A647" s="6" t="s">
        <v>583</v>
      </c>
      <c r="B647" s="1" t="s">
        <v>583</v>
      </c>
      <c r="C647" s="2">
        <v>11047</v>
      </c>
      <c r="D647" s="2">
        <v>186628</v>
      </c>
      <c r="E647" s="2">
        <v>2654</v>
      </c>
      <c r="F647" s="2">
        <v>351132</v>
      </c>
      <c r="G647" s="2">
        <v>326</v>
      </c>
      <c r="H647" s="2">
        <v>79344</v>
      </c>
      <c r="I647" s="2">
        <v>952</v>
      </c>
      <c r="J647" s="2">
        <v>281379</v>
      </c>
      <c r="K647" s="2">
        <v>169</v>
      </c>
      <c r="L647" s="2">
        <v>34461</v>
      </c>
      <c r="M647" s="2">
        <v>1644</v>
      </c>
      <c r="N647" s="2">
        <v>161761</v>
      </c>
      <c r="O647" s="2">
        <v>39</v>
      </c>
      <c r="P647" s="2">
        <v>70438</v>
      </c>
      <c r="Q647" s="2">
        <v>57529</v>
      </c>
      <c r="R647" s="2">
        <v>188366</v>
      </c>
      <c r="S647" s="2">
        <v>1915619</v>
      </c>
      <c r="T647" s="10">
        <f t="shared" si="33"/>
        <v>617104</v>
      </c>
      <c r="U647" s="8">
        <f t="shared" si="34"/>
        <v>0.32214339072644405</v>
      </c>
      <c r="V647" s="9" t="s">
        <v>5268</v>
      </c>
      <c r="W647" s="9" t="str">
        <f t="shared" si="35"/>
        <v>Folkestone MB</v>
      </c>
      <c r="X647" s="9" t="str">
        <f>INDEX(Lookup!$A$2:$A$1349, MATCH(W647, Lookup!$B$2:$B$1349,0))</f>
        <v>J04000510</v>
      </c>
      <c r="Y647" s="9" t="str">
        <f>INDEX(Lookup!$F$2:$F$1349, MATCH(W647, Lookup!$B$2:$B$1349,0))</f>
        <v>e190521</v>
      </c>
      <c r="Z647" s="6" t="str">
        <f>INDEX(Lookup!$C$2:$C$1300, MATCH(X647, Lookup!$A$2:$A$1300,0))</f>
        <v>Kent</v>
      </c>
    </row>
    <row r="648" spans="1:26" ht="28.15" customHeight="1" x14ac:dyDescent="0.2">
      <c r="A648" s="6" t="s">
        <v>584</v>
      </c>
      <c r="B648" s="1" t="s">
        <v>584</v>
      </c>
      <c r="C648" s="2">
        <v>22729</v>
      </c>
      <c r="D648" s="2">
        <v>690909</v>
      </c>
      <c r="E648" s="2">
        <v>782</v>
      </c>
      <c r="F648" s="2">
        <v>92840</v>
      </c>
      <c r="G648" s="2">
        <v>4</v>
      </c>
      <c r="H648" s="2">
        <v>864</v>
      </c>
      <c r="I648" s="2">
        <v>996</v>
      </c>
      <c r="J648" s="2">
        <v>197756</v>
      </c>
      <c r="K648" s="2">
        <v>74</v>
      </c>
      <c r="L648" s="2">
        <v>7970</v>
      </c>
      <c r="M648" s="2">
        <v>2131</v>
      </c>
      <c r="N648" s="2">
        <v>82394</v>
      </c>
      <c r="O648" s="2">
        <v>74</v>
      </c>
      <c r="P648" s="2">
        <v>152819</v>
      </c>
      <c r="Q648" s="2">
        <v>137591</v>
      </c>
      <c r="R648" s="2">
        <v>203988</v>
      </c>
      <c r="S648" s="2">
        <v>2162129</v>
      </c>
      <c r="T648" s="10">
        <f t="shared" si="33"/>
        <v>784613</v>
      </c>
      <c r="U648" s="8">
        <f t="shared" si="34"/>
        <v>0.36288907831123862</v>
      </c>
      <c r="V648" s="9" t="s">
        <v>5268</v>
      </c>
      <c r="W648" s="9" t="str">
        <f t="shared" si="35"/>
        <v>Gillingham MB</v>
      </c>
      <c r="X648" s="9" t="str">
        <f>INDEX(Lookup!$A$2:$A$1349, MATCH(W648, Lookup!$B$2:$B$1349,0))</f>
        <v>J04000530</v>
      </c>
      <c r="Y648" s="9" t="str">
        <f>INDEX(Lookup!$F$2:$F$1349, MATCH(W648, Lookup!$B$2:$B$1349,0))</f>
        <v>e190522</v>
      </c>
      <c r="Z648" s="6" t="str">
        <f>INDEX(Lookup!$C$2:$C$1300, MATCH(X648, Lookup!$A$2:$A$1300,0))</f>
        <v>Kent</v>
      </c>
    </row>
    <row r="649" spans="1:26" ht="28.15" customHeight="1" x14ac:dyDescent="0.2">
      <c r="A649" s="6" t="s">
        <v>585</v>
      </c>
      <c r="B649" s="1" t="s">
        <v>585</v>
      </c>
      <c r="C649" s="2">
        <v>13961</v>
      </c>
      <c r="D649" s="2">
        <v>1285907</v>
      </c>
      <c r="E649" s="2">
        <v>1708</v>
      </c>
      <c r="F649" s="2">
        <v>207693</v>
      </c>
      <c r="G649" s="2">
        <v>31</v>
      </c>
      <c r="H649" s="2">
        <v>7198</v>
      </c>
      <c r="I649" s="2">
        <v>780</v>
      </c>
      <c r="J649" s="2">
        <v>248383</v>
      </c>
      <c r="K649" s="2">
        <v>98</v>
      </c>
      <c r="L649" s="2">
        <v>14688</v>
      </c>
      <c r="M649" s="2">
        <v>1417</v>
      </c>
      <c r="N649" s="2">
        <v>87626</v>
      </c>
      <c r="O649" s="2">
        <v>55</v>
      </c>
      <c r="P649" s="2">
        <v>194010</v>
      </c>
      <c r="Q649" s="2">
        <v>12133</v>
      </c>
      <c r="R649" s="2">
        <v>166837</v>
      </c>
      <c r="S649" s="2">
        <v>1841058</v>
      </c>
      <c r="T649" s="10">
        <f t="shared" si="33"/>
        <v>1500798</v>
      </c>
      <c r="U649" s="8">
        <f t="shared" si="34"/>
        <v>0.81518235710118858</v>
      </c>
      <c r="V649" s="9" t="s">
        <v>5268</v>
      </c>
      <c r="W649" s="9" t="str">
        <f t="shared" si="35"/>
        <v>Gravesend MB</v>
      </c>
      <c r="X649" s="9" t="str">
        <f>INDEX(Lookup!$A$2:$A$1349, MATCH(W649, Lookup!$B$2:$B$1349,0))</f>
        <v>J04000549</v>
      </c>
      <c r="Y649" s="9" t="str">
        <f>INDEX(Lookup!$F$2:$F$1349, MATCH(W649, Lookup!$B$2:$B$1349,0))</f>
        <v>e190523</v>
      </c>
      <c r="Z649" s="6" t="str">
        <f>INDEX(Lookup!$C$2:$C$1300, MATCH(X649, Lookup!$A$2:$A$1300,0))</f>
        <v>Kent</v>
      </c>
    </row>
    <row r="650" spans="1:26" ht="28.15" customHeight="1" x14ac:dyDescent="0.2">
      <c r="A650" s="6" t="s">
        <v>586</v>
      </c>
      <c r="B650" s="1" t="s">
        <v>586</v>
      </c>
      <c r="C650" s="2">
        <v>2697</v>
      </c>
      <c r="D650" s="2">
        <v>902490</v>
      </c>
      <c r="E650" s="2">
        <v>1032</v>
      </c>
      <c r="F650" s="2">
        <v>136061</v>
      </c>
      <c r="G650" s="2">
        <v>30</v>
      </c>
      <c r="H650" s="2">
        <v>6762</v>
      </c>
      <c r="I650" s="2">
        <v>211</v>
      </c>
      <c r="J650" s="2">
        <v>38937</v>
      </c>
      <c r="K650" s="2">
        <v>22</v>
      </c>
      <c r="L650" s="2">
        <v>2519</v>
      </c>
      <c r="M650" s="2">
        <v>355</v>
      </c>
      <c r="N650" s="2">
        <v>21345</v>
      </c>
      <c r="O650" s="2">
        <v>11</v>
      </c>
      <c r="P650" s="2">
        <v>12650</v>
      </c>
      <c r="Q650" s="2">
        <v>9522</v>
      </c>
      <c r="R650" s="2">
        <v>36912</v>
      </c>
      <c r="S650" s="2">
        <v>435168</v>
      </c>
      <c r="T650" s="10">
        <f t="shared" si="33"/>
        <v>1045313</v>
      </c>
      <c r="U650" s="8">
        <f t="shared" si="34"/>
        <v>2.4020906868152072</v>
      </c>
      <c r="V650" s="9" t="s">
        <v>5268</v>
      </c>
      <c r="W650" s="9" t="str">
        <f t="shared" si="35"/>
        <v>Hythe MB</v>
      </c>
      <c r="X650" s="9" t="str">
        <f>INDEX(Lookup!$A$2:$A$1349, MATCH(W650, Lookup!$B$2:$B$1349,0))</f>
        <v>J04000664</v>
      </c>
      <c r="Y650" s="9" t="str">
        <f>INDEX(Lookup!$F$2:$F$1349, MATCH(W650, Lookup!$B$2:$B$1349,0))</f>
        <v>e190525</v>
      </c>
      <c r="Z650" s="6" t="str">
        <f>INDEX(Lookup!$C$2:$C$1300, MATCH(X650, Lookup!$A$2:$A$1300,0))</f>
        <v>Kent</v>
      </c>
    </row>
    <row r="651" spans="1:26" ht="28.15" customHeight="1" x14ac:dyDescent="0.2">
      <c r="A651" s="6" t="s">
        <v>587</v>
      </c>
      <c r="B651" s="1" t="s">
        <v>587</v>
      </c>
      <c r="C651" s="2">
        <v>971</v>
      </c>
      <c r="D651" s="2">
        <v>170460</v>
      </c>
      <c r="E651" s="2">
        <v>25</v>
      </c>
      <c r="F651" s="2">
        <v>3040</v>
      </c>
      <c r="G651" s="2">
        <v>1</v>
      </c>
      <c r="H651" s="2">
        <v>234</v>
      </c>
      <c r="I651" s="2">
        <v>50</v>
      </c>
      <c r="J651" s="2">
        <v>4884</v>
      </c>
      <c r="K651" s="2">
        <v>22</v>
      </c>
      <c r="L651" s="2">
        <v>2938</v>
      </c>
      <c r="M651" s="2">
        <v>131</v>
      </c>
      <c r="N651" s="2">
        <v>291198</v>
      </c>
      <c r="O651" s="2">
        <v>6</v>
      </c>
      <c r="P651" s="2">
        <v>5130</v>
      </c>
      <c r="Q651" s="2">
        <v>7443</v>
      </c>
      <c r="R651" s="2">
        <v>49449</v>
      </c>
      <c r="S651" s="2">
        <v>147631</v>
      </c>
      <c r="T651" s="10">
        <f t="shared" si="33"/>
        <v>173734</v>
      </c>
      <c r="U651" s="8">
        <f t="shared" si="34"/>
        <v>1.176812458088071</v>
      </c>
      <c r="V651" s="9" t="s">
        <v>5268</v>
      </c>
      <c r="W651" s="9" t="str">
        <f t="shared" si="35"/>
        <v>Lydd MB</v>
      </c>
      <c r="X651" s="9" t="str">
        <f>INDEX(Lookup!$A$2:$A$1349, MATCH(W651, Lookup!$B$2:$B$1349,0))</f>
        <v>J04000793</v>
      </c>
      <c r="Y651" s="9" t="str">
        <f>INDEX(Lookup!$F$2:$F$1349, MATCH(W651, Lookup!$B$2:$B$1349,0))</f>
        <v>e190526</v>
      </c>
      <c r="Z651" s="6" t="str">
        <f>INDEX(Lookup!$C$2:$C$1300, MATCH(X651, Lookup!$A$2:$A$1300,0))</f>
        <v>Kent</v>
      </c>
    </row>
    <row r="652" spans="1:26" ht="28.15" customHeight="1" x14ac:dyDescent="0.2">
      <c r="A652" s="6" t="s">
        <v>588</v>
      </c>
      <c r="B652" s="1" t="s">
        <v>588</v>
      </c>
      <c r="C652" s="2">
        <v>15276</v>
      </c>
      <c r="D652" s="2">
        <v>45315</v>
      </c>
      <c r="E652" s="2">
        <v>2949</v>
      </c>
      <c r="F652" s="2">
        <v>357207</v>
      </c>
      <c r="G652" s="2">
        <v>69</v>
      </c>
      <c r="H652" s="2">
        <v>16750</v>
      </c>
      <c r="I652" s="2">
        <v>862</v>
      </c>
      <c r="J652" s="2">
        <v>376717</v>
      </c>
      <c r="K652" s="2">
        <v>320</v>
      </c>
      <c r="L652" s="2">
        <v>95951</v>
      </c>
      <c r="M652" s="2">
        <v>1720</v>
      </c>
      <c r="N652" s="2">
        <v>141433</v>
      </c>
      <c r="O652" s="2">
        <v>108</v>
      </c>
      <c r="P652" s="2">
        <v>284091</v>
      </c>
      <c r="Q652" s="2">
        <v>47336</v>
      </c>
      <c r="R652" s="2">
        <v>291502</v>
      </c>
      <c r="S652" s="2">
        <v>2454086</v>
      </c>
      <c r="T652" s="10">
        <f t="shared" si="33"/>
        <v>419272</v>
      </c>
      <c r="U652" s="8">
        <f t="shared" si="34"/>
        <v>0.1708464984519695</v>
      </c>
      <c r="V652" s="9" t="s">
        <v>5268</v>
      </c>
      <c r="W652" s="9" t="str">
        <f t="shared" si="35"/>
        <v>Maidstone MB</v>
      </c>
      <c r="X652" s="9" t="str">
        <f>INDEX(Lookup!$A$2:$A$1349, MATCH(W652, Lookup!$B$2:$B$1349,0))</f>
        <v>J04000809</v>
      </c>
      <c r="Y652" s="9" t="str">
        <f>INDEX(Lookup!$F$2:$F$1349, MATCH(W652, Lookup!$B$2:$B$1349,0))</f>
        <v>e190527</v>
      </c>
      <c r="Z652" s="6" t="str">
        <f>INDEX(Lookup!$C$2:$C$1300, MATCH(X652, Lookup!$A$2:$A$1300,0))</f>
        <v>Kent</v>
      </c>
    </row>
    <row r="653" spans="1:26" ht="28.15" customHeight="1" x14ac:dyDescent="0.2">
      <c r="A653" s="6" t="s">
        <v>589</v>
      </c>
      <c r="B653" s="1" t="s">
        <v>589</v>
      </c>
      <c r="C653" s="2">
        <v>11439</v>
      </c>
      <c r="D653" s="2">
        <v>934099</v>
      </c>
      <c r="E653" s="2">
        <v>4040</v>
      </c>
      <c r="F653" s="2">
        <v>502081</v>
      </c>
      <c r="G653" s="2">
        <v>117</v>
      </c>
      <c r="H653" s="2">
        <v>28740</v>
      </c>
      <c r="I653" s="2">
        <v>1025</v>
      </c>
      <c r="J653" s="2">
        <v>241840</v>
      </c>
      <c r="K653" s="2">
        <v>130</v>
      </c>
      <c r="L653" s="2">
        <v>15900</v>
      </c>
      <c r="M653" s="2">
        <v>2106</v>
      </c>
      <c r="N653" s="2">
        <v>244702</v>
      </c>
      <c r="O653" s="2">
        <v>67</v>
      </c>
      <c r="P653" s="2">
        <v>94831</v>
      </c>
      <c r="Q653" s="2">
        <v>16357</v>
      </c>
      <c r="R653" s="2">
        <v>236682</v>
      </c>
      <c r="S653" s="2">
        <v>2146876</v>
      </c>
      <c r="T653" s="10">
        <f t="shared" si="33"/>
        <v>1464920</v>
      </c>
      <c r="U653" s="8">
        <f t="shared" si="34"/>
        <v>0.68234960938591704</v>
      </c>
      <c r="V653" s="9" t="s">
        <v>5268</v>
      </c>
      <c r="W653" s="9" t="str">
        <f t="shared" si="35"/>
        <v>Margate MB</v>
      </c>
      <c r="X653" s="9" t="str">
        <f>INDEX(Lookup!$A$2:$A$1349, MATCH(W653, Lookup!$B$2:$B$1349,0))</f>
        <v>J04000826</v>
      </c>
      <c r="Y653" s="9" t="str">
        <f>INDEX(Lookup!$F$2:$F$1349, MATCH(W653, Lookup!$B$2:$B$1349,0))</f>
        <v>e190528</v>
      </c>
      <c r="Z653" s="6" t="str">
        <f>INDEX(Lookup!$C$2:$C$1300, MATCH(X653, Lookup!$A$2:$A$1300,0))</f>
        <v>Kent</v>
      </c>
    </row>
    <row r="654" spans="1:26" ht="28.15" customHeight="1" x14ac:dyDescent="0.2">
      <c r="A654" s="6" t="s">
        <v>590</v>
      </c>
      <c r="B654" s="1" t="s">
        <v>590</v>
      </c>
      <c r="C654" s="2">
        <v>1078</v>
      </c>
      <c r="D654" s="2">
        <v>765743</v>
      </c>
      <c r="E654" s="2">
        <v>88</v>
      </c>
      <c r="F654" s="2">
        <v>11828</v>
      </c>
      <c r="G654" s="2">
        <v>15</v>
      </c>
      <c r="H654" s="2">
        <v>4056</v>
      </c>
      <c r="I654" s="2">
        <v>77</v>
      </c>
      <c r="J654" s="2">
        <v>12827</v>
      </c>
      <c r="K654" s="2">
        <v>12</v>
      </c>
      <c r="L654" s="2">
        <v>758</v>
      </c>
      <c r="M654" s="2">
        <v>96</v>
      </c>
      <c r="N654" s="2">
        <v>10338</v>
      </c>
      <c r="O654" s="2">
        <v>2</v>
      </c>
      <c r="P654" s="2">
        <v>440</v>
      </c>
      <c r="Q654" s="2">
        <v>301</v>
      </c>
      <c r="R654" s="2">
        <v>13938</v>
      </c>
      <c r="S654" s="2">
        <v>115456</v>
      </c>
      <c r="T654" s="10">
        <f t="shared" si="33"/>
        <v>781627</v>
      </c>
      <c r="U654" s="8">
        <f t="shared" si="34"/>
        <v>6.7699123475609753</v>
      </c>
      <c r="V654" s="9" t="s">
        <v>5268</v>
      </c>
      <c r="W654" s="9" t="str">
        <f t="shared" si="35"/>
        <v>New Romney MB</v>
      </c>
      <c r="X654" s="9" t="str">
        <f>INDEX(Lookup!$A$2:$A$1349, MATCH(W654, Lookup!$B$2:$B$1349,0))</f>
        <v>J04000890</v>
      </c>
      <c r="Y654" s="9" t="str">
        <f>INDEX(Lookup!$F$2:$F$1349, MATCH(W654, Lookup!$B$2:$B$1349,0))</f>
        <v>e190529</v>
      </c>
      <c r="Z654" s="6" t="str">
        <f>INDEX(Lookup!$C$2:$C$1300, MATCH(X654, Lookup!$A$2:$A$1300,0))</f>
        <v>Kent</v>
      </c>
    </row>
    <row r="655" spans="1:26" ht="28.15" customHeight="1" x14ac:dyDescent="0.2">
      <c r="A655" s="6" t="s">
        <v>591</v>
      </c>
      <c r="B655" s="1" t="s">
        <v>591</v>
      </c>
      <c r="C655" s="2">
        <v>968</v>
      </c>
      <c r="D655" s="2">
        <v>60970</v>
      </c>
      <c r="I655" s="2">
        <v>40</v>
      </c>
      <c r="J655" s="2">
        <v>2417</v>
      </c>
      <c r="K655" s="2">
        <v>1</v>
      </c>
      <c r="L655" s="2">
        <v>66</v>
      </c>
      <c r="M655" s="2">
        <v>93</v>
      </c>
      <c r="N655" s="2">
        <v>3060</v>
      </c>
      <c r="O655" s="2">
        <v>11</v>
      </c>
      <c r="P655" s="2">
        <v>146650</v>
      </c>
      <c r="Q655" s="2">
        <v>7</v>
      </c>
      <c r="R655" s="2">
        <v>13470</v>
      </c>
      <c r="S655" s="2">
        <v>204937</v>
      </c>
      <c r="T655" s="10">
        <f>SUM(D655)</f>
        <v>60970</v>
      </c>
      <c r="U655" s="8">
        <f t="shared" si="34"/>
        <v>0.29750606283882364</v>
      </c>
      <c r="V655" s="9" t="s">
        <v>5268</v>
      </c>
      <c r="W655" s="9" t="str">
        <f t="shared" si="35"/>
        <v>Queenborough MB</v>
      </c>
      <c r="X655" s="9" t="str">
        <f>INDEX(Lookup!$A$2:$A$1349, MATCH(W655, Lookup!$B$2:$B$1349,0))</f>
        <v>J04001025</v>
      </c>
      <c r="Y655" s="9" t="str">
        <f>INDEX(Lookup!$F$2:$F$1349, MATCH(W655, Lookup!$B$2:$B$1349,0))</f>
        <v>e190531</v>
      </c>
      <c r="Z655" s="6" t="str">
        <f>INDEX(Lookup!$C$2:$C$1300, MATCH(X655, Lookup!$A$2:$A$1300,0))</f>
        <v>Kent</v>
      </c>
    </row>
    <row r="656" spans="1:26" ht="28.15" customHeight="1" x14ac:dyDescent="0.2">
      <c r="A656" s="6" t="s">
        <v>592</v>
      </c>
      <c r="B656" s="1" t="s">
        <v>592</v>
      </c>
      <c r="C656" s="2">
        <v>11475</v>
      </c>
      <c r="D656" s="2">
        <v>693392</v>
      </c>
      <c r="E656" s="2">
        <v>794</v>
      </c>
      <c r="F656" s="2">
        <v>96538</v>
      </c>
      <c r="G656" s="2">
        <v>23</v>
      </c>
      <c r="H656" s="2">
        <v>5603</v>
      </c>
      <c r="I656" s="2">
        <v>774</v>
      </c>
      <c r="J656" s="2">
        <v>180339</v>
      </c>
      <c r="K656" s="2">
        <v>86</v>
      </c>
      <c r="L656" s="2">
        <v>12241</v>
      </c>
      <c r="M656" s="2">
        <v>1144</v>
      </c>
      <c r="N656" s="2">
        <v>104706</v>
      </c>
      <c r="O656" s="2">
        <v>59</v>
      </c>
      <c r="P656" s="2">
        <v>42055</v>
      </c>
      <c r="Q656" s="2">
        <v>5521</v>
      </c>
      <c r="R656" s="2">
        <v>152294</v>
      </c>
      <c r="S656" s="2">
        <v>1292689</v>
      </c>
      <c r="T656" s="10">
        <f t="shared" si="33"/>
        <v>795533</v>
      </c>
      <c r="U656" s="8">
        <f t="shared" si="34"/>
        <v>0.6154094294915482</v>
      </c>
      <c r="V656" s="9" t="s">
        <v>5268</v>
      </c>
      <c r="W656" s="9" t="str">
        <f t="shared" si="35"/>
        <v>Ramsgate MB</v>
      </c>
      <c r="X656" s="9" t="str">
        <f>INDEX(Lookup!$A$2:$A$1349, MATCH(W656, Lookup!$B$2:$B$1349,0))</f>
        <v>J04001031</v>
      </c>
      <c r="Y656" s="9" t="str">
        <f>INDEX(Lookup!$F$2:$F$1349, MATCH(W656, Lookup!$B$2:$B$1349,0))</f>
        <v>e190532</v>
      </c>
      <c r="Z656" s="6" t="str">
        <f>INDEX(Lookup!$C$2:$C$1300, MATCH(X656, Lookup!$A$2:$A$1300,0))</f>
        <v>Kent</v>
      </c>
    </row>
    <row r="657" spans="1:26" ht="28.15" customHeight="1" x14ac:dyDescent="0.2">
      <c r="A657" s="6" t="s">
        <v>593</v>
      </c>
      <c r="B657" s="1" t="s">
        <v>5407</v>
      </c>
      <c r="C657" s="2">
        <v>15055</v>
      </c>
      <c r="D657" s="2">
        <v>867955</v>
      </c>
      <c r="E657" s="2">
        <v>910</v>
      </c>
      <c r="F657" s="2">
        <v>107359</v>
      </c>
      <c r="G657" s="2">
        <v>17</v>
      </c>
      <c r="H657" s="2">
        <v>4111</v>
      </c>
      <c r="I657" s="2">
        <v>623</v>
      </c>
      <c r="J657" s="2">
        <v>140893</v>
      </c>
      <c r="K657" s="2">
        <v>98</v>
      </c>
      <c r="L657" s="2">
        <v>28203</v>
      </c>
      <c r="M657" s="2">
        <v>1819</v>
      </c>
      <c r="N657" s="2">
        <v>93041</v>
      </c>
      <c r="O657" s="2">
        <v>89</v>
      </c>
      <c r="P657" s="2">
        <v>490713</v>
      </c>
      <c r="Q657" s="2">
        <v>15690</v>
      </c>
      <c r="R657" s="2">
        <v>178889</v>
      </c>
      <c r="S657" s="2">
        <v>1926854</v>
      </c>
      <c r="T657" s="10">
        <f t="shared" si="33"/>
        <v>979425</v>
      </c>
      <c r="U657" s="8">
        <f t="shared" si="34"/>
        <v>0.50830265292544219</v>
      </c>
      <c r="V657" s="9" t="s">
        <v>5268</v>
      </c>
      <c r="W657" s="9" t="str">
        <f t="shared" si="35"/>
        <v>Rochester, city of MB</v>
      </c>
      <c r="X657" s="9" t="str">
        <f>INDEX(Lookup!$A$2:$A$1349, MATCH(W657, Lookup!$B$2:$B$1349,0))</f>
        <v>J04001058</v>
      </c>
      <c r="Y657" s="9" t="str">
        <f>INDEX(Lookup!$F$2:$F$1349, MATCH(W657, Lookup!$B$2:$B$1349,0))</f>
        <v>e190533</v>
      </c>
      <c r="Z657" s="6" t="str">
        <f>INDEX(Lookup!$C$2:$C$1300, MATCH(X657, Lookup!$A$2:$A$1300,0))</f>
        <v>Kent</v>
      </c>
    </row>
    <row r="658" spans="1:26" ht="28.15" customHeight="1" x14ac:dyDescent="0.2">
      <c r="A658" s="6" t="s">
        <v>594</v>
      </c>
      <c r="B658" s="1" t="s">
        <v>594</v>
      </c>
      <c r="C658" s="2">
        <v>1320</v>
      </c>
      <c r="D658" s="2">
        <v>66754</v>
      </c>
      <c r="E658" s="2">
        <v>105</v>
      </c>
      <c r="F658" s="2">
        <v>13032</v>
      </c>
      <c r="G658" s="2">
        <v>7</v>
      </c>
      <c r="H658" s="2">
        <v>2055</v>
      </c>
      <c r="I658" s="2">
        <v>128</v>
      </c>
      <c r="J658" s="2">
        <v>16247</v>
      </c>
      <c r="K658" s="2">
        <v>18</v>
      </c>
      <c r="L658" s="2">
        <v>2025</v>
      </c>
      <c r="M658" s="2">
        <v>153</v>
      </c>
      <c r="N658" s="2">
        <v>11358</v>
      </c>
      <c r="O658" s="2">
        <v>26</v>
      </c>
      <c r="P658" s="2">
        <v>117707</v>
      </c>
      <c r="Q658" s="2">
        <v>1666</v>
      </c>
      <c r="R658" s="2">
        <v>30042</v>
      </c>
      <c r="S658" s="2">
        <v>260886</v>
      </c>
      <c r="T658" s="10">
        <f t="shared" si="33"/>
        <v>81841</v>
      </c>
      <c r="U658" s="8">
        <f t="shared" si="34"/>
        <v>0.31370406997692479</v>
      </c>
      <c r="V658" s="9" t="s">
        <v>5268</v>
      </c>
      <c r="W658" s="9" t="str">
        <f t="shared" si="35"/>
        <v>Sandwich MB</v>
      </c>
      <c r="X658" s="9" t="str">
        <f>INDEX(Lookup!$A$2:$A$1349, MATCH(W658, Lookup!$B$2:$B$1349,0))</f>
        <v>J04001102</v>
      </c>
      <c r="Y658" s="9" t="str">
        <f>INDEX(Lookup!$F$2:$F$1349, MATCH(W658, Lookup!$B$2:$B$1349,0))</f>
        <v>e190535</v>
      </c>
      <c r="Z658" s="6" t="str">
        <f>INDEX(Lookup!$C$2:$C$1300, MATCH(X658, Lookup!$A$2:$A$1300,0))</f>
        <v>Kent</v>
      </c>
    </row>
    <row r="659" spans="1:26" ht="28.15" customHeight="1" x14ac:dyDescent="0.2">
      <c r="A659" s="6" t="s">
        <v>595</v>
      </c>
      <c r="B659" s="1" t="s">
        <v>595</v>
      </c>
      <c r="C659" s="2">
        <v>1464</v>
      </c>
      <c r="D659" s="2">
        <v>80942</v>
      </c>
      <c r="E659" s="2">
        <v>149</v>
      </c>
      <c r="F659" s="2">
        <v>19537</v>
      </c>
      <c r="G659" s="2">
        <v>10</v>
      </c>
      <c r="H659" s="2">
        <v>2681</v>
      </c>
      <c r="I659" s="2">
        <v>116</v>
      </c>
      <c r="J659" s="2">
        <v>19351</v>
      </c>
      <c r="K659" s="2">
        <v>27</v>
      </c>
      <c r="L659" s="2">
        <v>1860</v>
      </c>
      <c r="M659" s="2">
        <v>242</v>
      </c>
      <c r="N659" s="2">
        <v>8609</v>
      </c>
      <c r="O659" s="2">
        <v>5</v>
      </c>
      <c r="P659" s="2">
        <v>2005</v>
      </c>
      <c r="Q659" s="2">
        <v>2339</v>
      </c>
      <c r="R659" s="2">
        <v>23048</v>
      </c>
      <c r="S659" s="2">
        <v>160372</v>
      </c>
      <c r="T659" s="10">
        <f t="shared" si="33"/>
        <v>103160</v>
      </c>
      <c r="U659" s="8">
        <f t="shared" si="34"/>
        <v>0.64325443344224675</v>
      </c>
      <c r="V659" s="9" t="s">
        <v>5268</v>
      </c>
      <c r="W659" s="9" t="str">
        <f t="shared" si="35"/>
        <v>Tenterden MB</v>
      </c>
      <c r="X659" s="9" t="str">
        <f>INDEX(Lookup!$A$2:$A$1349, MATCH(W659, Lookup!$B$2:$B$1349,0))</f>
        <v>J04001260</v>
      </c>
      <c r="Y659" s="9" t="str">
        <f>INDEX(Lookup!$F$2:$F$1349, MATCH(W659, Lookup!$B$2:$B$1349,0))</f>
        <v>e190540</v>
      </c>
      <c r="Z659" s="6" t="str">
        <f>INDEX(Lookup!$C$2:$C$1300, MATCH(X659, Lookup!$A$2:$A$1300,0))</f>
        <v>Kent</v>
      </c>
    </row>
    <row r="660" spans="1:26" ht="28.15" customHeight="1" x14ac:dyDescent="0.2">
      <c r="A660" s="6" t="s">
        <v>596</v>
      </c>
      <c r="B660" s="1" t="s">
        <v>5487</v>
      </c>
      <c r="C660" s="2">
        <v>9155</v>
      </c>
      <c r="D660" s="2">
        <v>543503</v>
      </c>
      <c r="E660" s="2">
        <v>3325</v>
      </c>
      <c r="F660" s="2">
        <v>440477</v>
      </c>
      <c r="G660" s="2">
        <v>454</v>
      </c>
      <c r="H660" s="2">
        <v>110288</v>
      </c>
      <c r="I660" s="2">
        <v>870</v>
      </c>
      <c r="J660" s="2">
        <v>254535</v>
      </c>
      <c r="K660" s="2">
        <v>196</v>
      </c>
      <c r="L660" s="2">
        <v>45251</v>
      </c>
      <c r="M660" s="2">
        <v>1364</v>
      </c>
      <c r="N660" s="2">
        <v>120144</v>
      </c>
      <c r="O660" s="2">
        <v>40</v>
      </c>
      <c r="P660" s="2">
        <v>58890</v>
      </c>
      <c r="Q660" s="2">
        <v>20127</v>
      </c>
      <c r="R660" s="2">
        <v>177489</v>
      </c>
      <c r="S660" s="2">
        <v>1770704</v>
      </c>
      <c r="T660" s="10">
        <f t="shared" si="33"/>
        <v>1094268</v>
      </c>
      <c r="U660" s="8">
        <f t="shared" si="34"/>
        <v>0.6179847111657284</v>
      </c>
      <c r="V660" s="9" t="s">
        <v>5268</v>
      </c>
      <c r="W660" s="9" t="str">
        <f t="shared" si="35"/>
        <v>Royal Tunbridge Wells MB</v>
      </c>
      <c r="X660" s="9" t="str">
        <f>INDEX(Lookup!$A$2:$A$1349, MATCH(W660, Lookup!$B$2:$B$1349,0))</f>
        <v>J04001073</v>
      </c>
      <c r="Y660" s="9" t="str">
        <f>INDEX(Lookup!$F$2:$F$1349, MATCH(W660, Lookup!$B$2:$B$1349,0))</f>
        <v>e190534</v>
      </c>
      <c r="Z660" s="6" t="str">
        <f>INDEX(Lookup!$C$2:$C$1300, MATCH(X660, Lookup!$A$2:$A$1300,0))</f>
        <v>Kent</v>
      </c>
    </row>
    <row r="661" spans="1:26" ht="28.15" customHeight="1" x14ac:dyDescent="0.2">
      <c r="A661" s="6" t="s">
        <v>179</v>
      </c>
      <c r="B661" s="1" t="s">
        <v>179</v>
      </c>
      <c r="T661" s="10"/>
      <c r="W661" s="9" t="str">
        <f t="shared" si="35"/>
        <v xml:space="preserve">Urban Districts-- </v>
      </c>
      <c r="X661" s="9" t="e">
        <f>INDEX(Lookup!$A$2:$A$1349, MATCH(W661, Lookup!$B$2:$B$1349,0))</f>
        <v>#N/A</v>
      </c>
      <c r="Y661" s="9" t="e">
        <f>INDEX(Lookup!$F$2:$F$1349, MATCH(W661, Lookup!$B$2:$B$1349,0))</f>
        <v>#N/A</v>
      </c>
      <c r="Z661" s="6" t="e">
        <f>INDEX(Lookup!$C$2:$C$1300, MATCH(X661, Lookup!$A$2:$A$1300,0))</f>
        <v>#N/A</v>
      </c>
    </row>
    <row r="662" spans="1:26" ht="28.15" customHeight="1" x14ac:dyDescent="0.2">
      <c r="A662" s="6" t="s">
        <v>597</v>
      </c>
      <c r="B662" s="1" t="s">
        <v>597</v>
      </c>
      <c r="C662" s="2">
        <v>8896</v>
      </c>
      <c r="D662" s="2">
        <v>488623</v>
      </c>
      <c r="E662" s="2">
        <v>363</v>
      </c>
      <c r="F662" s="2">
        <v>44059</v>
      </c>
      <c r="G662" s="2">
        <v>17</v>
      </c>
      <c r="H662" s="2">
        <v>4363</v>
      </c>
      <c r="I662" s="2">
        <v>455</v>
      </c>
      <c r="J662" s="2">
        <v>153685</v>
      </c>
      <c r="K662" s="2">
        <v>91</v>
      </c>
      <c r="L662" s="2">
        <v>17728</v>
      </c>
      <c r="M662" s="2">
        <v>993</v>
      </c>
      <c r="N662" s="2">
        <v>88032</v>
      </c>
      <c r="O662" s="2">
        <v>62</v>
      </c>
      <c r="P662" s="2">
        <v>137035</v>
      </c>
      <c r="Q662" s="2">
        <v>25579</v>
      </c>
      <c r="R662" s="2">
        <v>103936</v>
      </c>
      <c r="S662" s="2">
        <v>1063040</v>
      </c>
      <c r="T662" s="10">
        <f t="shared" si="33"/>
        <v>537045</v>
      </c>
      <c r="U662" s="8">
        <f t="shared" si="34"/>
        <v>0.50519735851896452</v>
      </c>
      <c r="V662" s="9" t="s">
        <v>5270</v>
      </c>
      <c r="W662" s="9" t="str">
        <f t="shared" si="35"/>
        <v>Ashford UD</v>
      </c>
      <c r="X662" s="9" t="str">
        <f>INDEX(Lookup!$A$2:$A$1349, MATCH(W662, Lookup!$B$2:$B$1349,0))</f>
        <v>J04000054</v>
      </c>
      <c r="Y662" s="9" t="str">
        <f>INDEX(Lookup!$F$2:$F$1349, MATCH(W662, Lookup!$B$2:$B$1349,0))</f>
        <v>e190514</v>
      </c>
      <c r="Z662" s="6" t="str">
        <f>INDEX(Lookup!$C$2:$C$1300, MATCH(X662, Lookup!$A$2:$A$1300,0))</f>
        <v>Kent</v>
      </c>
    </row>
    <row r="663" spans="1:26" ht="28.15" customHeight="1" x14ac:dyDescent="0.2">
      <c r="A663" s="6" t="s">
        <v>598</v>
      </c>
      <c r="B663" s="1" t="s">
        <v>5408</v>
      </c>
      <c r="C663" s="2">
        <v>4914</v>
      </c>
      <c r="D663" s="2">
        <v>338465</v>
      </c>
      <c r="E663" s="2">
        <v>1292</v>
      </c>
      <c r="F663" s="2">
        <v>158744</v>
      </c>
      <c r="G663" s="2">
        <v>69</v>
      </c>
      <c r="H663" s="2">
        <v>18018</v>
      </c>
      <c r="I663" s="2">
        <v>327</v>
      </c>
      <c r="J663" s="2">
        <v>49101</v>
      </c>
      <c r="K663" s="2">
        <v>30</v>
      </c>
      <c r="L663" s="2">
        <v>2389</v>
      </c>
      <c r="M663" s="2">
        <v>585</v>
      </c>
      <c r="N663" s="2">
        <v>43050</v>
      </c>
      <c r="O663" s="2">
        <v>29</v>
      </c>
      <c r="P663" s="2">
        <v>51490</v>
      </c>
      <c r="Q663" s="2">
        <v>2162</v>
      </c>
      <c r="R663" s="2">
        <v>97589</v>
      </c>
      <c r="S663" s="2">
        <v>761008</v>
      </c>
      <c r="T663" s="10">
        <f t="shared" si="33"/>
        <v>515227</v>
      </c>
      <c r="U663" s="8">
        <f t="shared" si="34"/>
        <v>0.67703230452242291</v>
      </c>
      <c r="V663" s="9" t="s">
        <v>5270</v>
      </c>
      <c r="W663" s="9" t="str">
        <f t="shared" si="35"/>
        <v>Broadstairs and St. Peters UD</v>
      </c>
      <c r="X663" s="9" t="str">
        <f>INDEX(Lookup!$A$2:$A$1349, MATCH(W663, Lookup!$B$2:$B$1349,0))</f>
        <v>J04000216</v>
      </c>
      <c r="Y663" s="9" t="str">
        <f>INDEX(Lookup!$F$2:$F$1349, MATCH(W663, Lookup!$B$2:$B$1349,0))</f>
        <v>e190515</v>
      </c>
      <c r="Z663" s="6" t="str">
        <f>INDEX(Lookup!$C$2:$C$1300, MATCH(X663, Lookup!$A$2:$A$1300,0))</f>
        <v>Kent</v>
      </c>
    </row>
    <row r="664" spans="1:26" ht="28.15" customHeight="1" x14ac:dyDescent="0.2">
      <c r="A664" s="6" t="s">
        <v>599</v>
      </c>
      <c r="B664" s="1" t="s">
        <v>5374</v>
      </c>
      <c r="C664" s="2">
        <v>17477</v>
      </c>
      <c r="D664" s="2">
        <v>1344029</v>
      </c>
      <c r="E664" s="2">
        <v>9252</v>
      </c>
      <c r="F664" s="2">
        <v>1139635</v>
      </c>
      <c r="G664" s="2">
        <v>537</v>
      </c>
      <c r="H664" s="2">
        <v>136962</v>
      </c>
      <c r="I664" s="2">
        <v>870</v>
      </c>
      <c r="J664" s="2">
        <v>316056</v>
      </c>
      <c r="K664" s="2">
        <v>94</v>
      </c>
      <c r="L664" s="2">
        <v>25585</v>
      </c>
      <c r="M664" s="2">
        <v>1408</v>
      </c>
      <c r="N664" s="2">
        <v>138855</v>
      </c>
      <c r="O664" s="2">
        <v>77</v>
      </c>
      <c r="P664" s="2">
        <v>433387</v>
      </c>
      <c r="Q664" s="2">
        <v>17651</v>
      </c>
      <c r="R664" s="2">
        <v>404208</v>
      </c>
      <c r="S664" s="2">
        <v>3956368</v>
      </c>
      <c r="T664" s="10">
        <f t="shared" si="33"/>
        <v>2620626</v>
      </c>
      <c r="U664" s="8">
        <f t="shared" si="34"/>
        <v>0.66238176024070561</v>
      </c>
      <c r="V664" s="9" t="s">
        <v>5270</v>
      </c>
      <c r="W664" s="9" t="str">
        <f t="shared" si="35"/>
        <v>Chislehurst and Sidcup UD</v>
      </c>
      <c r="X664" s="9" t="str">
        <f>INDEX(Lookup!$A$2:$A$1349, MATCH(W664, Lookup!$B$2:$B$1349,0))</f>
        <v>J04000312</v>
      </c>
      <c r="Y664" s="9" t="str">
        <f>INDEX(Lookup!$F$2:$F$1349, MATCH(W664, Lookup!$B$2:$B$1349,0))</f>
        <v>e140375</v>
      </c>
      <c r="Z664" s="6" t="str">
        <f>INDEX(Lookup!$C$2:$C$1300, MATCH(X664, Lookup!$A$2:$A$1300,0))</f>
        <v>Outer London</v>
      </c>
    </row>
    <row r="665" spans="1:26" ht="28.15" customHeight="1" x14ac:dyDescent="0.2">
      <c r="A665" s="6" t="s">
        <v>600</v>
      </c>
      <c r="B665" s="1" t="s">
        <v>600</v>
      </c>
      <c r="C665" s="2">
        <v>8983</v>
      </c>
      <c r="D665" s="2">
        <v>671414</v>
      </c>
      <c r="E665" s="2">
        <v>1217</v>
      </c>
      <c r="F665" s="2">
        <v>131110</v>
      </c>
      <c r="G665" s="2">
        <v>2</v>
      </c>
      <c r="H665" s="2">
        <v>440</v>
      </c>
      <c r="I665" s="2">
        <v>252</v>
      </c>
      <c r="J665" s="2">
        <v>59223</v>
      </c>
      <c r="K665" s="2">
        <v>17</v>
      </c>
      <c r="L665" s="2">
        <v>2386</v>
      </c>
      <c r="M665" s="2">
        <v>851</v>
      </c>
      <c r="N665" s="2">
        <v>55863</v>
      </c>
      <c r="O665" s="2">
        <v>61</v>
      </c>
      <c r="P665" s="2">
        <v>427337</v>
      </c>
      <c r="Q665" s="2">
        <v>1070</v>
      </c>
      <c r="R665" s="2">
        <v>116096</v>
      </c>
      <c r="S665" s="2">
        <v>1464939</v>
      </c>
      <c r="T665" s="10">
        <f t="shared" si="33"/>
        <v>802964</v>
      </c>
      <c r="U665" s="8">
        <f t="shared" si="34"/>
        <v>0.54812111630586668</v>
      </c>
      <c r="V665" s="9" t="s">
        <v>5270</v>
      </c>
      <c r="W665" s="9" t="str">
        <f t="shared" si="35"/>
        <v>Crayford UD</v>
      </c>
      <c r="X665" s="9" t="str">
        <f>INDEX(Lookup!$A$2:$A$1349, MATCH(W665, Lookup!$B$2:$B$1349,0))</f>
        <v>J04000358</v>
      </c>
      <c r="Y665" s="9" t="str">
        <f>INDEX(Lookup!$F$2:$F$1349, MATCH(W665, Lookup!$B$2:$B$1349,0))</f>
        <v>e140373</v>
      </c>
      <c r="Z665" s="6" t="str">
        <f>INDEX(Lookup!$C$2:$C$1300, MATCH(X665, Lookup!$A$2:$A$1300,0))</f>
        <v>Outer London</v>
      </c>
    </row>
    <row r="666" spans="1:26" ht="28.15" customHeight="1" x14ac:dyDescent="0.2">
      <c r="A666" s="6" t="s">
        <v>601</v>
      </c>
      <c r="B666" s="1" t="s">
        <v>601</v>
      </c>
      <c r="C666" s="2">
        <v>7411</v>
      </c>
      <c r="D666" s="2">
        <v>479116</v>
      </c>
      <c r="E666" s="2">
        <v>1140</v>
      </c>
      <c r="F666" s="2">
        <v>139172</v>
      </c>
      <c r="G666" s="2">
        <v>27</v>
      </c>
      <c r="H666" s="2">
        <v>5899</v>
      </c>
      <c r="I666" s="2">
        <v>447</v>
      </c>
      <c r="J666" s="2">
        <v>64394</v>
      </c>
      <c r="K666" s="2">
        <v>54</v>
      </c>
      <c r="L666" s="2">
        <v>5794</v>
      </c>
      <c r="M666" s="2">
        <v>430</v>
      </c>
      <c r="N666" s="2">
        <v>54331</v>
      </c>
      <c r="O666" s="2">
        <v>19</v>
      </c>
      <c r="P666" s="2">
        <v>9737</v>
      </c>
      <c r="Q666" s="2">
        <v>2918</v>
      </c>
      <c r="R666" s="2">
        <v>69925</v>
      </c>
      <c r="S666" s="2">
        <v>831286</v>
      </c>
      <c r="T666" s="10">
        <f t="shared" si="33"/>
        <v>624187</v>
      </c>
      <c r="U666" s="8">
        <f t="shared" si="34"/>
        <v>0.75086913529158439</v>
      </c>
      <c r="V666" s="9" t="s">
        <v>5270</v>
      </c>
      <c r="W666" s="9" t="str">
        <f t="shared" si="35"/>
        <v>Herne Bay UD</v>
      </c>
      <c r="X666" s="9" t="str">
        <f>INDEX(Lookup!$A$2:$A$1349, MATCH(W666, Lookup!$B$2:$B$1349,0))</f>
        <v>J04000613</v>
      </c>
      <c r="Y666" s="9" t="str">
        <f>INDEX(Lookup!$F$2:$F$1349, MATCH(W666, Lookup!$B$2:$B$1349,0))</f>
        <v>e190524</v>
      </c>
      <c r="Z666" s="6" t="str">
        <f>INDEX(Lookup!$C$2:$C$1300, MATCH(X666, Lookup!$A$2:$A$1300,0))</f>
        <v>Kent</v>
      </c>
    </row>
    <row r="667" spans="1:26" ht="28.15" customHeight="1" x14ac:dyDescent="0.2">
      <c r="A667" s="6" t="s">
        <v>602</v>
      </c>
      <c r="B667" s="1" t="s">
        <v>602</v>
      </c>
      <c r="C667" s="2">
        <v>7000</v>
      </c>
      <c r="D667" s="2">
        <v>429300</v>
      </c>
      <c r="E667" s="2">
        <v>237</v>
      </c>
      <c r="F667" s="2">
        <v>27735</v>
      </c>
      <c r="I667" s="2">
        <v>228</v>
      </c>
      <c r="J667" s="2">
        <v>24066</v>
      </c>
      <c r="K667" s="2">
        <v>20</v>
      </c>
      <c r="L667" s="2">
        <v>13281</v>
      </c>
      <c r="M667" s="2">
        <v>519</v>
      </c>
      <c r="N667" s="2">
        <v>38295</v>
      </c>
      <c r="O667" s="2">
        <v>19</v>
      </c>
      <c r="P667" s="2">
        <v>321700</v>
      </c>
      <c r="Q667" s="2">
        <v>587</v>
      </c>
      <c r="R667" s="2">
        <v>354845</v>
      </c>
      <c r="S667" s="2">
        <v>1209809</v>
      </c>
      <c r="T667" s="10">
        <f>SUM(D667+F667)</f>
        <v>457035</v>
      </c>
      <c r="U667" s="8">
        <f t="shared" si="34"/>
        <v>0.37777450820749392</v>
      </c>
      <c r="V667" s="9" t="s">
        <v>5270</v>
      </c>
      <c r="W667" s="9" t="str">
        <f t="shared" si="35"/>
        <v>Northfleet UD</v>
      </c>
      <c r="X667" s="9" t="str">
        <f>INDEX(Lookup!$A$2:$A$1349, MATCH(W667, Lookup!$B$2:$B$1349,0))</f>
        <v>J04000934</v>
      </c>
      <c r="Y667" s="9" t="str">
        <f>INDEX(Lookup!$F$2:$F$1349, MATCH(W667, Lookup!$B$2:$B$1349,0))</f>
        <v>e190530</v>
      </c>
      <c r="Z667" s="6" t="str">
        <f>INDEX(Lookup!$C$2:$C$1300, MATCH(X667, Lookup!$A$2:$A$1300,0))</f>
        <v>Kent</v>
      </c>
    </row>
    <row r="668" spans="1:26" ht="28.15" customHeight="1" x14ac:dyDescent="0.2">
      <c r="A668" s="6" t="s">
        <v>603</v>
      </c>
      <c r="B668" s="1" t="s">
        <v>603</v>
      </c>
      <c r="C668" s="2">
        <v>10422</v>
      </c>
      <c r="D668" s="2">
        <v>816079</v>
      </c>
      <c r="E668" s="2">
        <v>14041</v>
      </c>
      <c r="F668" s="2">
        <v>1803974</v>
      </c>
      <c r="G668" s="2">
        <v>461</v>
      </c>
      <c r="H668" s="2">
        <v>111596</v>
      </c>
      <c r="I668" s="2">
        <v>795</v>
      </c>
      <c r="J668" s="2">
        <v>326487</v>
      </c>
      <c r="K668" s="2">
        <v>103</v>
      </c>
      <c r="L668" s="2">
        <v>29606</v>
      </c>
      <c r="M668" s="2">
        <v>755</v>
      </c>
      <c r="N668" s="2">
        <v>107454</v>
      </c>
      <c r="O668" s="2">
        <v>55</v>
      </c>
      <c r="P668" s="2">
        <v>326755</v>
      </c>
      <c r="Q668" s="2">
        <v>47761</v>
      </c>
      <c r="R668" s="2">
        <v>251243</v>
      </c>
      <c r="S668" s="2">
        <v>3820955</v>
      </c>
      <c r="T668" s="10">
        <f t="shared" si="33"/>
        <v>2731649</v>
      </c>
      <c r="U668" s="8">
        <f t="shared" si="34"/>
        <v>0.71491263309826991</v>
      </c>
      <c r="V668" s="9" t="s">
        <v>5270</v>
      </c>
      <c r="W668" s="9" t="str">
        <f t="shared" si="35"/>
        <v>Orpington UD</v>
      </c>
      <c r="X668" s="9" t="str">
        <f>INDEX(Lookup!$A$2:$A$1349, MATCH(W668, Lookup!$B$2:$B$1349,0))</f>
        <v>J04000956</v>
      </c>
      <c r="Y668" s="9" t="str">
        <f>INDEX(Lookup!$F$2:$F$1349, MATCH(W668, Lookup!$B$2:$B$1349,0))</f>
        <v>e140375</v>
      </c>
      <c r="Z668" s="6" t="str">
        <f>INDEX(Lookup!$C$2:$C$1300, MATCH(X668, Lookup!$A$2:$A$1300,0))</f>
        <v>Outer London</v>
      </c>
    </row>
    <row r="669" spans="1:26" ht="28.15" customHeight="1" x14ac:dyDescent="0.2">
      <c r="A669" s="6" t="s">
        <v>604</v>
      </c>
      <c r="B669" s="1" t="s">
        <v>604</v>
      </c>
      <c r="C669" s="2">
        <v>5887</v>
      </c>
      <c r="D669" s="2">
        <v>401265</v>
      </c>
      <c r="E669" s="2">
        <v>1578</v>
      </c>
      <c r="F669" s="2">
        <v>184384</v>
      </c>
      <c r="G669" s="2">
        <v>10</v>
      </c>
      <c r="H669" s="2">
        <v>2353</v>
      </c>
      <c r="I669" s="2">
        <v>424</v>
      </c>
      <c r="J669" s="2">
        <v>143305</v>
      </c>
      <c r="K669" s="2">
        <v>36</v>
      </c>
      <c r="L669" s="2">
        <v>4375</v>
      </c>
      <c r="M669" s="2">
        <v>768</v>
      </c>
      <c r="N669" s="2">
        <v>52803</v>
      </c>
      <c r="O669" s="2">
        <v>42</v>
      </c>
      <c r="P669" s="2">
        <v>61445</v>
      </c>
      <c r="Q669" s="2">
        <v>4480</v>
      </c>
      <c r="R669" s="2">
        <v>105827</v>
      </c>
      <c r="S669" s="2">
        <v>960237</v>
      </c>
      <c r="T669" s="10">
        <f t="shared" si="33"/>
        <v>588002</v>
      </c>
      <c r="U669" s="8">
        <f t="shared" si="34"/>
        <v>0.61235090920262392</v>
      </c>
      <c r="V669" s="9" t="s">
        <v>5270</v>
      </c>
      <c r="W669" s="9" t="str">
        <f t="shared" si="35"/>
        <v>Penge UD</v>
      </c>
      <c r="X669" s="9" t="str">
        <f>INDEX(Lookup!$A$2:$A$1349, MATCH(W669, Lookup!$B$2:$B$1349,0))</f>
        <v>J04000976</v>
      </c>
      <c r="Y669" s="9" t="str">
        <f>INDEX(Lookup!$F$2:$F$1349, MATCH(W669, Lookup!$B$2:$B$1349,0))</f>
        <v>e140375</v>
      </c>
      <c r="Z669" s="6" t="str">
        <f>INDEX(Lookup!$C$2:$C$1300, MATCH(X669, Lookup!$A$2:$A$1300,0))</f>
        <v>Outer London</v>
      </c>
    </row>
    <row r="670" spans="1:26" ht="28.15" customHeight="1" x14ac:dyDescent="0.2">
      <c r="A670" s="6" t="s">
        <v>605</v>
      </c>
      <c r="B670" s="1" t="s">
        <v>605</v>
      </c>
      <c r="C670" s="2">
        <v>3437</v>
      </c>
      <c r="D670" s="2">
        <v>214336</v>
      </c>
      <c r="E670" s="2">
        <v>1818</v>
      </c>
      <c r="F670" s="2">
        <v>257004</v>
      </c>
      <c r="G670" s="2">
        <v>309</v>
      </c>
      <c r="H670" s="2">
        <v>72622</v>
      </c>
      <c r="I670" s="2">
        <v>314</v>
      </c>
      <c r="J670" s="2">
        <v>91854</v>
      </c>
      <c r="K670" s="2">
        <v>58</v>
      </c>
      <c r="L670" s="2">
        <v>8064</v>
      </c>
      <c r="M670" s="2">
        <v>435</v>
      </c>
      <c r="N670" s="2">
        <v>34173</v>
      </c>
      <c r="O670" s="2">
        <v>33</v>
      </c>
      <c r="P670" s="2">
        <v>15695</v>
      </c>
      <c r="Q670" s="2">
        <v>5234</v>
      </c>
      <c r="R670" s="2">
        <v>90486</v>
      </c>
      <c r="S670" s="2">
        <v>789468</v>
      </c>
      <c r="T670" s="10">
        <f t="shared" si="33"/>
        <v>543962</v>
      </c>
      <c r="U670" s="8">
        <f t="shared" si="34"/>
        <v>0.68902349430249232</v>
      </c>
      <c r="V670" s="9" t="s">
        <v>5270</v>
      </c>
      <c r="W670" s="9" t="str">
        <f t="shared" si="35"/>
        <v>Sevenoaks UD</v>
      </c>
      <c r="X670" s="9" t="str">
        <f>INDEX(Lookup!$A$2:$A$1349, MATCH(W670, Lookup!$B$2:$B$1349,0))</f>
        <v>J04001122</v>
      </c>
      <c r="Y670" s="9" t="str">
        <f>INDEX(Lookup!$F$2:$F$1349, MATCH(W670, Lookup!$B$2:$B$1349,0))</f>
        <v>e190536</v>
      </c>
      <c r="Z670" s="6" t="str">
        <f>INDEX(Lookup!$C$2:$C$1300, MATCH(X670, Lookup!$A$2:$A$1300,0))</f>
        <v>Kent</v>
      </c>
    </row>
    <row r="671" spans="1:26" ht="28.15" customHeight="1" x14ac:dyDescent="0.2">
      <c r="A671" s="6" t="s">
        <v>606</v>
      </c>
      <c r="B671" s="1" t="s">
        <v>606</v>
      </c>
      <c r="C671" s="2">
        <v>4557</v>
      </c>
      <c r="D671" s="2">
        <v>211674</v>
      </c>
      <c r="E671" s="2">
        <v>19</v>
      </c>
      <c r="F671" s="2">
        <v>2158</v>
      </c>
      <c r="I671" s="2">
        <v>274</v>
      </c>
      <c r="J671" s="2">
        <v>53399</v>
      </c>
      <c r="K671" s="2">
        <v>28</v>
      </c>
      <c r="L671" s="2">
        <v>2683</v>
      </c>
      <c r="M671" s="2">
        <v>341</v>
      </c>
      <c r="N671" s="2">
        <v>20713</v>
      </c>
      <c r="O671" s="2">
        <v>34</v>
      </c>
      <c r="P671" s="2">
        <v>55367</v>
      </c>
      <c r="Q671" s="2">
        <v>1271</v>
      </c>
      <c r="R671" s="2">
        <v>45276</v>
      </c>
      <c r="S671" s="2">
        <v>392541</v>
      </c>
      <c r="T671" s="10">
        <f>SUM(D671+F671)</f>
        <v>213832</v>
      </c>
      <c r="U671" s="8">
        <f t="shared" si="34"/>
        <v>0.54473800189024846</v>
      </c>
      <c r="V671" s="9" t="s">
        <v>5270</v>
      </c>
      <c r="W671" s="9" t="str">
        <f t="shared" si="35"/>
        <v>Sheerness UD</v>
      </c>
      <c r="X671" s="9" t="str">
        <f>INDEX(Lookup!$A$2:$A$1349, MATCH(W671, Lookup!$B$2:$B$1349,0))</f>
        <v>J04001125</v>
      </c>
      <c r="Y671" s="9" t="str">
        <f>INDEX(Lookup!$F$2:$F$1349, MATCH(W671, Lookup!$B$2:$B$1349,0))</f>
        <v>e190531</v>
      </c>
      <c r="Z671" s="6" t="str">
        <f>INDEX(Lookup!$C$2:$C$1300, MATCH(X671, Lookup!$A$2:$A$1300,0))</f>
        <v>Kent</v>
      </c>
    </row>
    <row r="672" spans="1:26" ht="28.15" customHeight="1" x14ac:dyDescent="0.2">
      <c r="A672" s="6" t="s">
        <v>607</v>
      </c>
      <c r="B672" s="1" t="s">
        <v>5375</v>
      </c>
      <c r="C672" s="2">
        <v>7316</v>
      </c>
      <c r="D672" s="2">
        <v>386428</v>
      </c>
      <c r="E672" s="2">
        <v>538</v>
      </c>
      <c r="F672" s="2">
        <v>66504</v>
      </c>
      <c r="G672" s="2">
        <v>11</v>
      </c>
      <c r="H672" s="2">
        <v>2648</v>
      </c>
      <c r="I672" s="2">
        <v>371</v>
      </c>
      <c r="J672" s="2">
        <v>88210</v>
      </c>
      <c r="K672" s="2">
        <v>52</v>
      </c>
      <c r="L672" s="2">
        <v>9804</v>
      </c>
      <c r="M672" s="2">
        <v>732</v>
      </c>
      <c r="N672" s="2">
        <v>35930</v>
      </c>
      <c r="O672" s="2">
        <v>48</v>
      </c>
      <c r="P672" s="2">
        <v>454937</v>
      </c>
      <c r="Q672" s="2">
        <v>4401</v>
      </c>
      <c r="R672" s="2">
        <v>114021</v>
      </c>
      <c r="S672" s="2">
        <v>1162883</v>
      </c>
      <c r="T672" s="10">
        <f t="shared" si="33"/>
        <v>455580</v>
      </c>
      <c r="U672" s="8">
        <f t="shared" si="34"/>
        <v>0.39176770147985651</v>
      </c>
      <c r="V672" s="9" t="s">
        <v>5270</v>
      </c>
      <c r="W672" s="9" t="str">
        <f t="shared" si="35"/>
        <v>Sittingbourne and Milton UD</v>
      </c>
      <c r="X672" s="9" t="str">
        <f>INDEX(Lookup!$A$2:$A$1349, MATCH(W672, Lookup!$B$2:$B$1349,0))</f>
        <v>J04001143</v>
      </c>
      <c r="Y672" s="9" t="str">
        <f>INDEX(Lookup!$F$2:$F$1349, MATCH(W672, Lookup!$B$2:$B$1349,0))</f>
        <v>e190537</v>
      </c>
      <c r="Z672" s="6" t="str">
        <f>INDEX(Lookup!$C$2:$C$1300, MATCH(X672, Lookup!$A$2:$A$1300,0))</f>
        <v>Kent</v>
      </c>
    </row>
    <row r="673" spans="1:26" ht="28.15" customHeight="1" x14ac:dyDescent="0.2">
      <c r="A673" s="6" t="s">
        <v>608</v>
      </c>
      <c r="B673" s="1" t="s">
        <v>608</v>
      </c>
      <c r="C673" s="2">
        <v>2527</v>
      </c>
      <c r="D673" s="2">
        <v>141328</v>
      </c>
      <c r="E673" s="2">
        <v>744</v>
      </c>
      <c r="F673" s="2">
        <v>97764</v>
      </c>
      <c r="G673" s="2">
        <v>28</v>
      </c>
      <c r="H673" s="2">
        <v>6326</v>
      </c>
      <c r="I673" s="2">
        <v>127</v>
      </c>
      <c r="J673" s="2">
        <v>14496</v>
      </c>
      <c r="K673" s="2">
        <v>13</v>
      </c>
      <c r="L673" s="2">
        <v>1819</v>
      </c>
      <c r="M673" s="2">
        <v>359</v>
      </c>
      <c r="N673" s="2">
        <v>13714</v>
      </c>
      <c r="O673" s="2">
        <v>15</v>
      </c>
      <c r="P673" s="2">
        <v>8010</v>
      </c>
      <c r="Q673" s="2">
        <v>1291</v>
      </c>
      <c r="R673" s="2">
        <v>32233</v>
      </c>
      <c r="S673" s="2">
        <v>316981</v>
      </c>
      <c r="T673" s="10">
        <f t="shared" si="33"/>
        <v>245418</v>
      </c>
      <c r="U673" s="8">
        <f t="shared" si="34"/>
        <v>0.774235679741057</v>
      </c>
      <c r="V673" s="9" t="s">
        <v>5270</v>
      </c>
      <c r="W673" s="9" t="str">
        <f t="shared" si="35"/>
        <v>Southborough UD</v>
      </c>
      <c r="X673" s="9" t="str">
        <f>INDEX(Lookup!$A$2:$A$1349, MATCH(W673, Lookup!$B$2:$B$1349,0))</f>
        <v>J04001165</v>
      </c>
      <c r="Y673" s="9" t="str">
        <f>INDEX(Lookup!$F$2:$F$1349, MATCH(W673, Lookup!$B$2:$B$1349,0))</f>
        <v>e190538</v>
      </c>
      <c r="Z673" s="6" t="str">
        <f>INDEX(Lookup!$C$2:$C$1300, MATCH(X673, Lookup!$A$2:$A$1300,0))</f>
        <v>Kent</v>
      </c>
    </row>
    <row r="674" spans="1:26" ht="28.15" customHeight="1" x14ac:dyDescent="0.2">
      <c r="A674" s="6" t="s">
        <v>609</v>
      </c>
      <c r="B674" s="1" t="s">
        <v>609</v>
      </c>
      <c r="C674" s="2">
        <v>2710</v>
      </c>
      <c r="D674" s="2">
        <v>130659</v>
      </c>
      <c r="E674" s="2">
        <v>9</v>
      </c>
      <c r="F674" s="2">
        <v>1108</v>
      </c>
      <c r="I674" s="2">
        <v>116</v>
      </c>
      <c r="J674" s="2">
        <v>12077</v>
      </c>
      <c r="K674" s="2">
        <v>3</v>
      </c>
      <c r="L674" s="2">
        <v>1364</v>
      </c>
      <c r="M674" s="2">
        <v>236</v>
      </c>
      <c r="N674" s="2">
        <v>8863</v>
      </c>
      <c r="O674" s="2">
        <v>20</v>
      </c>
      <c r="P674" s="2">
        <v>375330</v>
      </c>
      <c r="Q674" s="2">
        <v>347</v>
      </c>
      <c r="R674" s="2">
        <v>34068</v>
      </c>
      <c r="S674" s="2">
        <v>563816</v>
      </c>
      <c r="T674" s="10">
        <f>SUM(D674+F674)</f>
        <v>131767</v>
      </c>
      <c r="U674" s="8">
        <f t="shared" si="34"/>
        <v>0.23370567702938547</v>
      </c>
      <c r="V674" s="9" t="s">
        <v>5270</v>
      </c>
      <c r="W674" s="9" t="str">
        <f t="shared" si="35"/>
        <v>Swanscombe UD</v>
      </c>
      <c r="X674" s="9" t="str">
        <f>INDEX(Lookup!$A$2:$A$1349, MATCH(W674, Lookup!$B$2:$B$1349,0))</f>
        <v>J04001242</v>
      </c>
      <c r="Y674" s="9" t="str">
        <f>INDEX(Lookup!$F$2:$F$1349, MATCH(W674, Lookup!$B$2:$B$1349,0))</f>
        <v>e190539</v>
      </c>
      <c r="Z674" s="6" t="str">
        <f>INDEX(Lookup!$C$2:$C$1300, MATCH(X674, Lookup!$A$2:$A$1300,0))</f>
        <v>Kent</v>
      </c>
    </row>
    <row r="675" spans="1:26" ht="28.15" customHeight="1" x14ac:dyDescent="0.2">
      <c r="A675" s="6" t="s">
        <v>610</v>
      </c>
      <c r="B675" s="1" t="s">
        <v>610</v>
      </c>
      <c r="C675" s="2">
        <v>6334</v>
      </c>
      <c r="D675" s="2">
        <v>378492</v>
      </c>
      <c r="E675" s="2">
        <v>1756</v>
      </c>
      <c r="F675" s="2">
        <v>215749</v>
      </c>
      <c r="G675" s="2">
        <v>11</v>
      </c>
      <c r="H675" s="2">
        <v>2517</v>
      </c>
      <c r="I675" s="2">
        <v>362</v>
      </c>
      <c r="J675" s="2">
        <v>91953</v>
      </c>
      <c r="K675" s="2">
        <v>70</v>
      </c>
      <c r="L675" s="2">
        <v>7866</v>
      </c>
      <c r="M675" s="2">
        <v>750</v>
      </c>
      <c r="N675" s="2">
        <v>42832</v>
      </c>
      <c r="O675" s="2">
        <v>47</v>
      </c>
      <c r="P675" s="2">
        <v>113105</v>
      </c>
      <c r="Q675" s="2">
        <v>3525</v>
      </c>
      <c r="R675" s="2">
        <v>101377</v>
      </c>
      <c r="S675" s="2">
        <v>957416</v>
      </c>
      <c r="T675" s="10">
        <f t="shared" si="33"/>
        <v>596758</v>
      </c>
      <c r="U675" s="8">
        <f t="shared" si="34"/>
        <v>0.62330063420707404</v>
      </c>
      <c r="V675" s="9" t="s">
        <v>5270</v>
      </c>
      <c r="W675" s="9" t="str">
        <f t="shared" si="35"/>
        <v>Tonbridge UD</v>
      </c>
      <c r="X675" s="9" t="str">
        <f>INDEX(Lookup!$A$2:$A$1349, MATCH(W675, Lookup!$B$2:$B$1349,0))</f>
        <v>J04001283</v>
      </c>
      <c r="Y675" s="9" t="str">
        <f>INDEX(Lookup!$F$2:$F$1349, MATCH(W675, Lookup!$B$2:$B$1349,0))</f>
        <v>e190541</v>
      </c>
      <c r="Z675" s="6" t="str">
        <f>INDEX(Lookup!$C$2:$C$1300, MATCH(X675, Lookup!$A$2:$A$1300,0))</f>
        <v>Kent</v>
      </c>
    </row>
    <row r="676" spans="1:26" ht="28.15" customHeight="1" x14ac:dyDescent="0.2">
      <c r="A676" s="6" t="s">
        <v>611</v>
      </c>
      <c r="B676" s="1" t="s">
        <v>611</v>
      </c>
      <c r="C676" s="2">
        <v>7342</v>
      </c>
      <c r="D676" s="2">
        <v>436163</v>
      </c>
      <c r="E676" s="2">
        <v>791</v>
      </c>
      <c r="F676" s="2">
        <v>95887</v>
      </c>
      <c r="G676" s="2">
        <v>12</v>
      </c>
      <c r="H676" s="2">
        <v>2830</v>
      </c>
      <c r="I676" s="2">
        <v>419</v>
      </c>
      <c r="J676" s="2">
        <v>57647</v>
      </c>
      <c r="K676" s="2">
        <v>49</v>
      </c>
      <c r="L676" s="2">
        <v>3234</v>
      </c>
      <c r="M676" s="2">
        <v>474</v>
      </c>
      <c r="N676" s="2">
        <v>39738</v>
      </c>
      <c r="O676" s="2">
        <v>45</v>
      </c>
      <c r="P676" s="2">
        <v>37459</v>
      </c>
      <c r="Q676" s="2">
        <v>1609</v>
      </c>
      <c r="R676" s="2">
        <v>53039</v>
      </c>
      <c r="S676" s="2">
        <v>727606</v>
      </c>
      <c r="T676" s="10">
        <f t="shared" si="33"/>
        <v>534880</v>
      </c>
      <c r="U676" s="8">
        <f t="shared" si="34"/>
        <v>0.73512312982575734</v>
      </c>
      <c r="V676" s="9" t="s">
        <v>5270</v>
      </c>
      <c r="W676" s="9" t="str">
        <f t="shared" si="35"/>
        <v>Whitstable UD</v>
      </c>
      <c r="X676" s="9" t="str">
        <f>INDEX(Lookup!$A$2:$A$1349, MATCH(W676, Lookup!$B$2:$B$1349,0))</f>
        <v>J04001405</v>
      </c>
      <c r="Y676" s="9" t="str">
        <f>INDEX(Lookup!$F$2:$F$1349, MATCH(W676, Lookup!$B$2:$B$1349,0))</f>
        <v>e190542</v>
      </c>
      <c r="Z676" s="6" t="str">
        <f>INDEX(Lookup!$C$2:$C$1300, MATCH(X676, Lookup!$A$2:$A$1300,0))</f>
        <v>Kent</v>
      </c>
    </row>
    <row r="677" spans="1:26" ht="28.15" customHeight="1" x14ac:dyDescent="0.2">
      <c r="A677" s="6" t="s">
        <v>212</v>
      </c>
      <c r="B677" s="1" t="s">
        <v>212</v>
      </c>
      <c r="T677" s="10"/>
      <c r="W677" s="9" t="str">
        <f t="shared" si="35"/>
        <v xml:space="preserve">Rural Districts-- </v>
      </c>
      <c r="X677" s="9" t="e">
        <f>INDEX(Lookup!$A$2:$A$1349, MATCH(W677, Lookup!$B$2:$B$1349,0))</f>
        <v>#N/A</v>
      </c>
      <c r="Y677" s="9" t="e">
        <f>INDEX(Lookup!$F$2:$F$1349, MATCH(W677, Lookup!$B$2:$B$1349,0))</f>
        <v>#N/A</v>
      </c>
      <c r="Z677" s="6" t="e">
        <f>INDEX(Lookup!$C$2:$C$1300, MATCH(X677, Lookup!$A$2:$A$1300,0))</f>
        <v>#N/A</v>
      </c>
    </row>
    <row r="678" spans="1:26" ht="28.15" customHeight="1" x14ac:dyDescent="0.2">
      <c r="A678" s="6" t="s">
        <v>612</v>
      </c>
      <c r="B678" s="1" t="s">
        <v>612</v>
      </c>
      <c r="C678" s="2">
        <v>5238</v>
      </c>
      <c r="D678" s="2">
        <v>269312</v>
      </c>
      <c r="E678" s="2">
        <v>328</v>
      </c>
      <c r="F678" s="2">
        <v>41208</v>
      </c>
      <c r="G678" s="2">
        <v>37</v>
      </c>
      <c r="H678" s="2">
        <v>9765</v>
      </c>
      <c r="I678" s="2">
        <v>117</v>
      </c>
      <c r="J678" s="2">
        <v>10966</v>
      </c>
      <c r="K678" s="2">
        <v>8</v>
      </c>
      <c r="L678" s="2">
        <v>461</v>
      </c>
      <c r="M678" s="2">
        <v>349</v>
      </c>
      <c r="N678" s="2">
        <v>22176</v>
      </c>
      <c r="O678" s="2">
        <v>21</v>
      </c>
      <c r="P678" s="2">
        <v>32336</v>
      </c>
      <c r="Q678" s="2">
        <v>12798</v>
      </c>
      <c r="R678" s="2">
        <v>129410</v>
      </c>
      <c r="S678" s="2">
        <v>528432</v>
      </c>
      <c r="T678" s="10">
        <f t="shared" si="33"/>
        <v>320285</v>
      </c>
      <c r="U678" s="8">
        <f t="shared" si="34"/>
        <v>0.60610447512641175</v>
      </c>
      <c r="V678" s="9" t="s">
        <v>5271</v>
      </c>
      <c r="W678" s="9" t="str">
        <f t="shared" si="35"/>
        <v>Bridge-Blean RD</v>
      </c>
      <c r="X678" s="9" t="str">
        <f>INDEX(Lookup!$A$2:$A$1349, MATCH(W678, Lookup!$B$2:$B$1349,0))</f>
        <v>J04000197</v>
      </c>
      <c r="Y678" s="9" t="str">
        <f>INDEX(Lookup!$F$2:$F$1349, MATCH(W678, Lookup!$B$2:$B$1349,0))</f>
        <v>e190543</v>
      </c>
      <c r="Z678" s="6" t="str">
        <f>INDEX(Lookup!$C$2:$C$1300, MATCH(X678, Lookup!$A$2:$A$1300,0))</f>
        <v>Kent</v>
      </c>
    </row>
    <row r="679" spans="1:26" ht="28.15" customHeight="1" x14ac:dyDescent="0.2">
      <c r="A679" s="6" t="s">
        <v>613</v>
      </c>
      <c r="B679" s="1" t="s">
        <v>613</v>
      </c>
      <c r="C679" s="2">
        <v>3088</v>
      </c>
      <c r="D679" s="2">
        <v>153737</v>
      </c>
      <c r="E679" s="2">
        <v>571</v>
      </c>
      <c r="F679" s="2">
        <v>77287</v>
      </c>
      <c r="G679" s="2">
        <v>131</v>
      </c>
      <c r="H679" s="2">
        <v>37492</v>
      </c>
      <c r="I679" s="2">
        <v>204</v>
      </c>
      <c r="J679" s="2">
        <v>25838</v>
      </c>
      <c r="K679" s="2">
        <v>40</v>
      </c>
      <c r="L679" s="2">
        <v>4048</v>
      </c>
      <c r="M679" s="2">
        <v>348</v>
      </c>
      <c r="N679" s="2">
        <v>21339</v>
      </c>
      <c r="O679" s="2">
        <v>11</v>
      </c>
      <c r="P679" s="2">
        <v>4435</v>
      </c>
      <c r="Q679" s="2">
        <v>3032</v>
      </c>
      <c r="R679" s="2">
        <v>116735</v>
      </c>
      <c r="S679" s="2">
        <v>443943</v>
      </c>
      <c r="T679" s="10">
        <f t="shared" si="33"/>
        <v>268516</v>
      </c>
      <c r="U679" s="8">
        <f t="shared" si="34"/>
        <v>0.60484341458250268</v>
      </c>
      <c r="V679" s="9" t="s">
        <v>5271</v>
      </c>
      <c r="W679" s="9" t="str">
        <f t="shared" si="35"/>
        <v>Cranbrook RD</v>
      </c>
      <c r="X679" s="9" t="str">
        <f>INDEX(Lookup!$A$2:$A$1349, MATCH(W679, Lookup!$B$2:$B$1349,0))</f>
        <v>J04000356</v>
      </c>
      <c r="Y679" s="9" t="str">
        <f>INDEX(Lookup!$F$2:$F$1349, MATCH(W679, Lookup!$B$2:$B$1349,0))</f>
        <v>e190544</v>
      </c>
      <c r="Z679" s="6" t="str">
        <f>INDEX(Lookup!$C$2:$C$1300, MATCH(X679, Lookup!$A$2:$A$1300,0))</f>
        <v>Kent</v>
      </c>
    </row>
    <row r="680" spans="1:26" ht="28.15" customHeight="1" x14ac:dyDescent="0.2">
      <c r="A680" s="6" t="s">
        <v>578</v>
      </c>
      <c r="B680" s="1" t="s">
        <v>578</v>
      </c>
      <c r="C680" s="2">
        <v>14152</v>
      </c>
      <c r="D680" s="2">
        <v>914763</v>
      </c>
      <c r="E680" s="2">
        <v>1382</v>
      </c>
      <c r="F680" s="2">
        <v>170147</v>
      </c>
      <c r="G680" s="2">
        <v>88</v>
      </c>
      <c r="H680" s="2">
        <v>23145</v>
      </c>
      <c r="I680" s="2">
        <v>316</v>
      </c>
      <c r="J680" s="2">
        <v>53540</v>
      </c>
      <c r="K680" s="2">
        <v>20</v>
      </c>
      <c r="L680" s="2">
        <v>8927</v>
      </c>
      <c r="M680" s="2">
        <v>726</v>
      </c>
      <c r="N680" s="2">
        <v>68774</v>
      </c>
      <c r="O680" s="2">
        <v>54</v>
      </c>
      <c r="P680" s="2">
        <v>303725</v>
      </c>
      <c r="Q680" s="2">
        <v>26443</v>
      </c>
      <c r="R680" s="2">
        <v>435127</v>
      </c>
      <c r="S680" s="2">
        <v>2004591</v>
      </c>
      <c r="T680" s="10">
        <f t="shared" si="33"/>
        <v>1108055</v>
      </c>
      <c r="U680" s="8">
        <f t="shared" si="34"/>
        <v>0.55275864253605844</v>
      </c>
      <c r="V680" s="9" t="s">
        <v>5271</v>
      </c>
      <c r="W680" s="9" t="str">
        <f t="shared" si="35"/>
        <v>Dartford RD</v>
      </c>
      <c r="X680" s="9" t="str">
        <f>INDEX(Lookup!$A$2:$A$1349, MATCH(W680, Lookup!$B$2:$B$1349,0))</f>
        <v>J04000384</v>
      </c>
      <c r="Y680" s="9" t="str">
        <f>INDEX(Lookup!$F$2:$F$1349, MATCH(W680, Lookup!$B$2:$B$1349,0))</f>
        <v>e190545</v>
      </c>
      <c r="Z680" s="6" t="str">
        <f>INDEX(Lookup!$C$2:$C$1300, MATCH(X680, Lookup!$A$2:$A$1300,0))</f>
        <v>Kent</v>
      </c>
    </row>
    <row r="681" spans="1:26" ht="28.15" customHeight="1" x14ac:dyDescent="0.2">
      <c r="A681" s="6" t="s">
        <v>580</v>
      </c>
      <c r="B681" s="1" t="s">
        <v>580</v>
      </c>
      <c r="C681" s="2">
        <v>3037</v>
      </c>
      <c r="D681" s="2">
        <v>188327</v>
      </c>
      <c r="E681" s="2">
        <v>527</v>
      </c>
      <c r="F681" s="2">
        <v>64959</v>
      </c>
      <c r="G681" s="2">
        <v>38</v>
      </c>
      <c r="H681" s="2">
        <v>9789</v>
      </c>
      <c r="I681" s="2">
        <v>78</v>
      </c>
      <c r="J681" s="2">
        <v>7229</v>
      </c>
      <c r="K681" s="2">
        <v>6</v>
      </c>
      <c r="L681" s="2">
        <v>287</v>
      </c>
      <c r="M681" s="2">
        <v>203</v>
      </c>
      <c r="N681" s="2">
        <v>17876</v>
      </c>
      <c r="O681" s="2">
        <v>6</v>
      </c>
      <c r="P681" s="2">
        <v>1950</v>
      </c>
      <c r="Q681" s="2">
        <v>36339</v>
      </c>
      <c r="R681" s="2">
        <v>53474</v>
      </c>
      <c r="S681" s="2">
        <v>380230</v>
      </c>
      <c r="T681" s="10">
        <f t="shared" si="33"/>
        <v>263075</v>
      </c>
      <c r="U681" s="8">
        <f t="shared" si="34"/>
        <v>0.69188385976908717</v>
      </c>
      <c r="V681" s="9" t="s">
        <v>5271</v>
      </c>
      <c r="W681" s="9" t="str">
        <f t="shared" si="35"/>
        <v>Dover RD</v>
      </c>
      <c r="X681" s="9" t="str">
        <f>INDEX(Lookup!$A$2:$A$1349, MATCH(W681, Lookup!$B$2:$B$1349,0))</f>
        <v>J04000422</v>
      </c>
      <c r="Y681" s="9" t="str">
        <f>INDEX(Lookup!$F$2:$F$1349, MATCH(W681, Lookup!$B$2:$B$1349,0))</f>
        <v>e190546</v>
      </c>
      <c r="Z681" s="6" t="str">
        <f>INDEX(Lookup!$C$2:$C$1300, MATCH(X681, Lookup!$A$2:$A$1300,0))</f>
        <v>Kent</v>
      </c>
    </row>
    <row r="682" spans="1:26" ht="28.15" customHeight="1" x14ac:dyDescent="0.2">
      <c r="A682" s="6" t="s">
        <v>614</v>
      </c>
      <c r="B682" s="1" t="s">
        <v>614</v>
      </c>
      <c r="C682" s="2">
        <v>2850</v>
      </c>
      <c r="D682" s="2">
        <v>133277</v>
      </c>
      <c r="E682" s="2">
        <v>178</v>
      </c>
      <c r="F682" s="2">
        <v>23691</v>
      </c>
      <c r="G682" s="2">
        <v>25</v>
      </c>
      <c r="H682" s="2">
        <v>8019</v>
      </c>
      <c r="I682" s="2">
        <v>96</v>
      </c>
      <c r="J682" s="2">
        <v>7362</v>
      </c>
      <c r="K682" s="2">
        <v>3</v>
      </c>
      <c r="L682" s="2">
        <v>294</v>
      </c>
      <c r="M682" s="2">
        <v>186</v>
      </c>
      <c r="N682" s="2">
        <v>12797</v>
      </c>
      <c r="O682" s="2">
        <v>18</v>
      </c>
      <c r="P682" s="2">
        <v>8994</v>
      </c>
      <c r="Q682" s="2">
        <v>2901</v>
      </c>
      <c r="R682" s="2">
        <v>68279</v>
      </c>
      <c r="S682" s="2">
        <v>265614</v>
      </c>
      <c r="T682" s="10">
        <f t="shared" si="33"/>
        <v>164987</v>
      </c>
      <c r="U682" s="8">
        <f t="shared" si="34"/>
        <v>0.62115325246410202</v>
      </c>
      <c r="V682" s="9" t="s">
        <v>5271</v>
      </c>
      <c r="W682" s="9" t="str">
        <f t="shared" si="35"/>
        <v>East Ashford RD</v>
      </c>
      <c r="X682" s="9" t="str">
        <f>INDEX(Lookup!$A$2:$A$1349, MATCH(W682, Lookup!$B$2:$B$1349,0))</f>
        <v>J04000445</v>
      </c>
      <c r="Y682" s="9" t="str">
        <f>INDEX(Lookup!$F$2:$F$1349, MATCH(W682, Lookup!$B$2:$B$1349,0))</f>
        <v>e190547</v>
      </c>
      <c r="Z682" s="6" t="str">
        <f>INDEX(Lookup!$C$2:$C$1300, MATCH(X682, Lookup!$A$2:$A$1300,0))</f>
        <v>Kent</v>
      </c>
    </row>
    <row r="683" spans="1:26" ht="28.15" customHeight="1" x14ac:dyDescent="0.2">
      <c r="A683" s="6" t="s">
        <v>615</v>
      </c>
      <c r="B683" s="1" t="s">
        <v>615</v>
      </c>
      <c r="C683" s="2">
        <v>5632</v>
      </c>
      <c r="D683" s="2">
        <v>276813</v>
      </c>
      <c r="E683" s="2">
        <v>212</v>
      </c>
      <c r="F683" s="2">
        <v>26836</v>
      </c>
      <c r="G683" s="2">
        <v>53</v>
      </c>
      <c r="H683" s="2">
        <v>16264</v>
      </c>
      <c r="I683" s="2">
        <v>187</v>
      </c>
      <c r="J683" s="2">
        <v>14979</v>
      </c>
      <c r="K683" s="2">
        <v>14</v>
      </c>
      <c r="L683" s="2">
        <v>1171</v>
      </c>
      <c r="M683" s="2">
        <v>439</v>
      </c>
      <c r="N683" s="2">
        <v>30047</v>
      </c>
      <c r="O683" s="2">
        <v>24</v>
      </c>
      <c r="P683" s="2">
        <v>29807</v>
      </c>
      <c r="Q683" s="2">
        <v>18221</v>
      </c>
      <c r="R683" s="2">
        <v>186008</v>
      </c>
      <c r="S683" s="2">
        <v>600146</v>
      </c>
      <c r="T683" s="10">
        <f t="shared" si="33"/>
        <v>319913</v>
      </c>
      <c r="U683" s="8">
        <f t="shared" si="34"/>
        <v>0.53305862240188218</v>
      </c>
      <c r="V683" s="9" t="s">
        <v>5271</v>
      </c>
      <c r="W683" s="9" t="str">
        <f t="shared" si="35"/>
        <v>Eastry RD</v>
      </c>
      <c r="X683" s="9" t="str">
        <f>INDEX(Lookup!$A$2:$A$1349, MATCH(W683, Lookup!$B$2:$B$1349,0))</f>
        <v>J04000458</v>
      </c>
      <c r="Y683" s="9" t="str">
        <f>INDEX(Lookup!$F$2:$F$1349, MATCH(W683, Lookup!$B$2:$B$1349,0))</f>
        <v>e190548</v>
      </c>
      <c r="Z683" s="6" t="str">
        <f>INDEX(Lookup!$C$2:$C$1300, MATCH(X683, Lookup!$A$2:$A$1300,0))</f>
        <v>Kent</v>
      </c>
    </row>
    <row r="684" spans="1:26" ht="28.15" customHeight="1" x14ac:dyDescent="0.2">
      <c r="A684" s="6" t="s">
        <v>616</v>
      </c>
      <c r="B684" s="1" t="s">
        <v>616</v>
      </c>
      <c r="C684" s="2">
        <v>2530</v>
      </c>
      <c r="D684" s="2">
        <v>151387</v>
      </c>
      <c r="E684" s="2">
        <v>337</v>
      </c>
      <c r="F684" s="2">
        <v>42569</v>
      </c>
      <c r="G684" s="2">
        <v>44</v>
      </c>
      <c r="H684" s="2">
        <v>12066</v>
      </c>
      <c r="I684" s="2">
        <v>79</v>
      </c>
      <c r="J684" s="2">
        <v>8928</v>
      </c>
      <c r="K684" s="2">
        <v>4</v>
      </c>
      <c r="L684" s="2">
        <v>473</v>
      </c>
      <c r="M684" s="2">
        <v>119</v>
      </c>
      <c r="N684" s="2">
        <v>11914</v>
      </c>
      <c r="O684" s="2">
        <v>11</v>
      </c>
      <c r="P684" s="2">
        <v>8630</v>
      </c>
      <c r="Q684" s="2">
        <v>4027</v>
      </c>
      <c r="R684" s="2">
        <v>66843</v>
      </c>
      <c r="S684" s="2">
        <v>306837</v>
      </c>
      <c r="T684" s="10">
        <f t="shared" si="33"/>
        <v>206022</v>
      </c>
      <c r="U684" s="8">
        <f t="shared" si="34"/>
        <v>0.67143792958476323</v>
      </c>
      <c r="V684" s="9" t="s">
        <v>5271</v>
      </c>
      <c r="W684" s="9" t="str">
        <f t="shared" si="35"/>
        <v>Elham RD</v>
      </c>
      <c r="X684" s="9" t="str">
        <f>INDEX(Lookup!$A$2:$A$1349, MATCH(W684, Lookup!$B$2:$B$1349,0))</f>
        <v>J04000465</v>
      </c>
      <c r="Y684" s="9" t="str">
        <f>INDEX(Lookup!$F$2:$F$1349, MATCH(W684, Lookup!$B$2:$B$1349,0))</f>
        <v>e190549</v>
      </c>
      <c r="Z684" s="6" t="str">
        <f>INDEX(Lookup!$C$2:$C$1300, MATCH(X684, Lookup!$A$2:$A$1300,0))</f>
        <v>Kent</v>
      </c>
    </row>
    <row r="685" spans="1:26" ht="28.15" customHeight="1" x14ac:dyDescent="0.2">
      <c r="A685" s="6" t="s">
        <v>617</v>
      </c>
      <c r="B685" s="1" t="s">
        <v>617</v>
      </c>
      <c r="C685" s="2">
        <v>4302</v>
      </c>
      <c r="D685" s="2">
        <v>219260</v>
      </c>
      <c r="E685" s="2">
        <v>496</v>
      </c>
      <c r="F685" s="2">
        <v>62989</v>
      </c>
      <c r="G685" s="2">
        <v>73</v>
      </c>
      <c r="H685" s="2">
        <v>23203</v>
      </c>
      <c r="I685" s="2">
        <v>124</v>
      </c>
      <c r="J685" s="2">
        <v>13014</v>
      </c>
      <c r="K685" s="2">
        <v>18</v>
      </c>
      <c r="L685" s="2">
        <v>1141</v>
      </c>
      <c r="M685" s="2">
        <v>275</v>
      </c>
      <c r="N685" s="2">
        <v>42064</v>
      </c>
      <c r="O685" s="2">
        <v>24</v>
      </c>
      <c r="P685" s="2">
        <v>56403</v>
      </c>
      <c r="Q685" s="2">
        <v>4263</v>
      </c>
      <c r="R685" s="2">
        <v>106811</v>
      </c>
      <c r="S685" s="2">
        <v>529148</v>
      </c>
      <c r="T685" s="10">
        <f t="shared" si="33"/>
        <v>305452</v>
      </c>
      <c r="U685" s="8">
        <f t="shared" si="34"/>
        <v>0.57725248890669534</v>
      </c>
      <c r="V685" s="9" t="s">
        <v>5271</v>
      </c>
      <c r="W685" s="9" t="str">
        <f t="shared" si="35"/>
        <v>Hollingbourn RD</v>
      </c>
      <c r="X685" s="9" t="str">
        <f>INDEX(Lookup!$A$2:$A$1349, MATCH(W685, Lookup!$B$2:$B$1349,0))</f>
        <v>J04000632</v>
      </c>
      <c r="Y685" s="9" t="str">
        <f>INDEX(Lookup!$F$2:$F$1349, MATCH(W685, Lookup!$B$2:$B$1349,0))</f>
        <v>e190550</v>
      </c>
      <c r="Z685" s="6" t="str">
        <f>INDEX(Lookup!$C$2:$C$1300, MATCH(X685, Lookup!$A$2:$A$1300,0))</f>
        <v>Kent</v>
      </c>
    </row>
    <row r="686" spans="1:26" ht="28.15" customHeight="1" x14ac:dyDescent="0.2">
      <c r="A686" s="6" t="s">
        <v>588</v>
      </c>
      <c r="B686" s="1" t="s">
        <v>588</v>
      </c>
      <c r="C686" s="2">
        <v>4707</v>
      </c>
      <c r="D686" s="2">
        <v>269984</v>
      </c>
      <c r="E686" s="2">
        <v>985</v>
      </c>
      <c r="F686" s="2">
        <v>124722</v>
      </c>
      <c r="G686" s="2">
        <v>102</v>
      </c>
      <c r="H686" s="2">
        <v>31023</v>
      </c>
      <c r="I686" s="2">
        <v>152</v>
      </c>
      <c r="J686" s="2">
        <v>15327</v>
      </c>
      <c r="K686" s="2">
        <v>9</v>
      </c>
      <c r="L686" s="2">
        <v>685</v>
      </c>
      <c r="M686" s="2">
        <v>328</v>
      </c>
      <c r="N686" s="2">
        <v>29237</v>
      </c>
      <c r="O686" s="2">
        <v>32</v>
      </c>
      <c r="P686" s="2">
        <v>34357</v>
      </c>
      <c r="Q686" s="2">
        <v>3884</v>
      </c>
      <c r="R686" s="2">
        <v>96775</v>
      </c>
      <c r="S686" s="2">
        <v>605994</v>
      </c>
      <c r="T686" s="10">
        <f t="shared" si="33"/>
        <v>425729</v>
      </c>
      <c r="U686" s="8">
        <f t="shared" si="34"/>
        <v>0.70253005805338009</v>
      </c>
      <c r="V686" s="9" t="s">
        <v>5271</v>
      </c>
      <c r="W686" s="9" t="str">
        <f t="shared" si="35"/>
        <v>Maidstone RD</v>
      </c>
      <c r="X686" s="9" t="str">
        <f>INDEX(Lookup!$A$2:$A$1349, MATCH(W686, Lookup!$B$2:$B$1349,0))</f>
        <v>J04000810</v>
      </c>
      <c r="Y686" s="9" t="str">
        <f>INDEX(Lookup!$F$2:$F$1349, MATCH(W686, Lookup!$B$2:$B$1349,0))</f>
        <v>e190551</v>
      </c>
      <c r="Z686" s="6" t="str">
        <f>INDEX(Lookup!$C$2:$C$1300, MATCH(X686, Lookup!$A$2:$A$1300,0))</f>
        <v>Kent</v>
      </c>
    </row>
    <row r="687" spans="1:26" ht="28.15" customHeight="1" x14ac:dyDescent="0.2">
      <c r="A687" s="6" t="s">
        <v>618</v>
      </c>
      <c r="B687" s="1" t="s">
        <v>618</v>
      </c>
      <c r="C687" s="2">
        <v>10970</v>
      </c>
      <c r="D687" s="2">
        <v>550046</v>
      </c>
      <c r="E687" s="2">
        <v>829</v>
      </c>
      <c r="F687" s="2">
        <v>111110</v>
      </c>
      <c r="G687" s="2">
        <v>208</v>
      </c>
      <c r="H687" s="2">
        <v>59427</v>
      </c>
      <c r="I687" s="2">
        <v>397</v>
      </c>
      <c r="J687" s="2">
        <v>41324</v>
      </c>
      <c r="K687" s="2">
        <v>37</v>
      </c>
      <c r="L687" s="2">
        <v>14591</v>
      </c>
      <c r="M687" s="2">
        <v>844</v>
      </c>
      <c r="N687" s="2">
        <v>116269</v>
      </c>
      <c r="O687" s="2">
        <v>75</v>
      </c>
      <c r="P687" s="2">
        <v>734318</v>
      </c>
      <c r="Q687" s="2">
        <v>46957</v>
      </c>
      <c r="R687" s="2">
        <v>225419</v>
      </c>
      <c r="S687" s="2">
        <v>1899461</v>
      </c>
      <c r="T687" s="10">
        <f t="shared" si="33"/>
        <v>720583</v>
      </c>
      <c r="U687" s="8">
        <f t="shared" si="34"/>
        <v>0.37936182948741776</v>
      </c>
      <c r="V687" s="9" t="s">
        <v>5271</v>
      </c>
      <c r="W687" s="9" t="str">
        <f t="shared" si="35"/>
        <v>Malling RD</v>
      </c>
      <c r="X687" s="9" t="str">
        <f>INDEX(Lookup!$A$2:$A$1349, MATCH(W687, Lookup!$B$2:$B$1349,0))</f>
        <v>J04000814</v>
      </c>
      <c r="Y687" s="9" t="str">
        <f>INDEX(Lookup!$F$2:$F$1349, MATCH(W687, Lookup!$B$2:$B$1349,0))</f>
        <v>e190552</v>
      </c>
      <c r="Z687" s="6" t="str">
        <f>INDEX(Lookup!$C$2:$C$1300, MATCH(X687, Lookup!$A$2:$A$1300,0))</f>
        <v>Kent</v>
      </c>
    </row>
    <row r="688" spans="1:26" ht="28.15" customHeight="1" x14ac:dyDescent="0.2">
      <c r="A688" s="6" t="s">
        <v>619</v>
      </c>
      <c r="B688" s="1" t="s">
        <v>619</v>
      </c>
      <c r="C688" s="2">
        <v>1602</v>
      </c>
      <c r="D688" s="2">
        <v>81153</v>
      </c>
      <c r="E688" s="2">
        <v>64</v>
      </c>
      <c r="F688" s="2">
        <v>8098</v>
      </c>
      <c r="G688" s="2">
        <v>1</v>
      </c>
      <c r="H688" s="2">
        <v>278</v>
      </c>
      <c r="I688" s="2">
        <v>79</v>
      </c>
      <c r="J688" s="2">
        <v>8824</v>
      </c>
      <c r="K688" s="2">
        <v>5</v>
      </c>
      <c r="L688" s="2">
        <v>814</v>
      </c>
      <c r="M688" s="2">
        <v>114</v>
      </c>
      <c r="N688" s="2">
        <v>30932</v>
      </c>
      <c r="O688" s="2">
        <v>5</v>
      </c>
      <c r="P688" s="2">
        <v>1205</v>
      </c>
      <c r="Q688" s="2">
        <v>111</v>
      </c>
      <c r="R688" s="2">
        <v>17622</v>
      </c>
      <c r="S688" s="2">
        <v>149037</v>
      </c>
      <c r="T688" s="10">
        <f t="shared" si="33"/>
        <v>89529</v>
      </c>
      <c r="U688" s="8">
        <f t="shared" si="34"/>
        <v>0.60071660057569598</v>
      </c>
      <c r="V688" s="9" t="s">
        <v>5271</v>
      </c>
      <c r="W688" s="9" t="str">
        <f t="shared" si="35"/>
        <v>Romney Marsh RD</v>
      </c>
      <c r="X688" s="9" t="str">
        <f>INDEX(Lookup!$A$2:$A$1349, MATCH(W688, Lookup!$B$2:$B$1349,0))</f>
        <v>J04001061</v>
      </c>
      <c r="Y688" s="9" t="str">
        <f>INDEX(Lookup!$F$2:$F$1349, MATCH(W688, Lookup!$B$2:$B$1349,0))</f>
        <v>e190553</v>
      </c>
      <c r="Z688" s="6" t="str">
        <f>INDEX(Lookup!$C$2:$C$1300, MATCH(X688, Lookup!$A$2:$A$1300,0))</f>
        <v>Kent</v>
      </c>
    </row>
    <row r="689" spans="1:26" ht="28.15" customHeight="1" x14ac:dyDescent="0.2">
      <c r="A689" s="6" t="s">
        <v>605</v>
      </c>
      <c r="B689" s="1" t="s">
        <v>605</v>
      </c>
      <c r="C689" s="2">
        <v>8733</v>
      </c>
      <c r="D689" s="2">
        <v>480444</v>
      </c>
      <c r="E689" s="2">
        <v>2765</v>
      </c>
      <c r="F689" s="2">
        <v>375390</v>
      </c>
      <c r="G689" s="2">
        <v>306</v>
      </c>
      <c r="H689" s="2">
        <v>80325</v>
      </c>
      <c r="I689" s="2">
        <v>385</v>
      </c>
      <c r="J689" s="2">
        <v>49573</v>
      </c>
      <c r="K689" s="2">
        <v>21</v>
      </c>
      <c r="L689" s="2">
        <v>5224</v>
      </c>
      <c r="M689" s="2">
        <v>895</v>
      </c>
      <c r="N689" s="2">
        <v>92436</v>
      </c>
      <c r="O689" s="2">
        <v>75</v>
      </c>
      <c r="P689" s="2">
        <v>102407</v>
      </c>
      <c r="Q689" s="2">
        <v>20605</v>
      </c>
      <c r="R689" s="2">
        <v>187237</v>
      </c>
      <c r="S689" s="2">
        <v>1393641</v>
      </c>
      <c r="T689" s="10">
        <f t="shared" si="33"/>
        <v>936159</v>
      </c>
      <c r="U689" s="8">
        <f t="shared" si="34"/>
        <v>0.67173612142581918</v>
      </c>
      <c r="V689" s="9" t="s">
        <v>5271</v>
      </c>
      <c r="W689" s="9" t="str">
        <f t="shared" si="35"/>
        <v>Sevenoaks RD</v>
      </c>
      <c r="X689" s="9" t="str">
        <f>INDEX(Lookup!$A$2:$A$1349, MATCH(W689, Lookup!$B$2:$B$1349,0))</f>
        <v>J04001121</v>
      </c>
      <c r="Y689" s="9" t="str">
        <f>INDEX(Lookup!$F$2:$F$1349, MATCH(W689, Lookup!$B$2:$B$1349,0))</f>
        <v>e190554</v>
      </c>
      <c r="Z689" s="6" t="str">
        <f>INDEX(Lookup!$C$2:$C$1300, MATCH(X689, Lookup!$A$2:$A$1300,0))</f>
        <v>Kent</v>
      </c>
    </row>
    <row r="690" spans="1:26" ht="28.15" customHeight="1" x14ac:dyDescent="0.2">
      <c r="A690" s="6" t="s">
        <v>620</v>
      </c>
      <c r="B690" s="1" t="s">
        <v>620</v>
      </c>
      <c r="C690" s="2">
        <v>5887</v>
      </c>
      <c r="D690" s="2">
        <v>235443</v>
      </c>
      <c r="E690" s="2">
        <v>97</v>
      </c>
      <c r="F690" s="2">
        <v>11734</v>
      </c>
      <c r="G690" s="2">
        <v>2</v>
      </c>
      <c r="H690" s="2">
        <v>412</v>
      </c>
      <c r="I690" s="2">
        <v>147</v>
      </c>
      <c r="J690" s="2">
        <v>19691</v>
      </c>
      <c r="K690" s="2">
        <v>3</v>
      </c>
      <c r="L690" s="2">
        <v>284</v>
      </c>
      <c r="M690" s="2">
        <v>165</v>
      </c>
      <c r="N690" s="2">
        <v>40675</v>
      </c>
      <c r="O690" s="2">
        <v>3</v>
      </c>
      <c r="P690" s="2">
        <v>2150</v>
      </c>
      <c r="Q690" s="2">
        <v>8493</v>
      </c>
      <c r="R690" s="2">
        <v>38854</v>
      </c>
      <c r="S690" s="2">
        <v>357736</v>
      </c>
      <c r="T690" s="10">
        <f t="shared" si="33"/>
        <v>247589</v>
      </c>
      <c r="U690" s="8">
        <f t="shared" si="34"/>
        <v>0.69209976071740054</v>
      </c>
      <c r="V690" s="9" t="s">
        <v>5271</v>
      </c>
      <c r="W690" s="9" t="str">
        <f t="shared" si="35"/>
        <v>Sheppey RD</v>
      </c>
      <c r="X690" s="9" t="str">
        <f>INDEX(Lookup!$A$2:$A$1349, MATCH(W690, Lookup!$B$2:$B$1349,0))</f>
        <v>J04001127</v>
      </c>
      <c r="Y690" s="9" t="str">
        <f>INDEX(Lookup!$F$2:$F$1349, MATCH(W690, Lookup!$B$2:$B$1349,0))</f>
        <v>e190531</v>
      </c>
      <c r="Z690" s="6" t="str">
        <f>INDEX(Lookup!$C$2:$C$1300, MATCH(X690, Lookup!$A$2:$A$1300,0))</f>
        <v>Kent</v>
      </c>
    </row>
    <row r="691" spans="1:26" ht="28.15" customHeight="1" x14ac:dyDescent="0.2">
      <c r="A691" s="6" t="s">
        <v>621</v>
      </c>
      <c r="B691" s="1" t="s">
        <v>621</v>
      </c>
      <c r="C691" s="2">
        <v>7648</v>
      </c>
      <c r="D691" s="2">
        <v>410872</v>
      </c>
      <c r="E691" s="2">
        <v>900</v>
      </c>
      <c r="F691" s="2">
        <v>115802</v>
      </c>
      <c r="G691" s="2">
        <v>64</v>
      </c>
      <c r="H691" s="2">
        <v>15250</v>
      </c>
      <c r="I691" s="2">
        <v>174</v>
      </c>
      <c r="J691" s="2">
        <v>18542</v>
      </c>
      <c r="K691" s="2">
        <v>15</v>
      </c>
      <c r="L691" s="2">
        <v>2054</v>
      </c>
      <c r="M691" s="2">
        <v>664</v>
      </c>
      <c r="N691" s="2">
        <v>37939</v>
      </c>
      <c r="O691" s="2">
        <v>41</v>
      </c>
      <c r="P691" s="2">
        <v>102407</v>
      </c>
      <c r="Q691" s="2">
        <v>11123</v>
      </c>
      <c r="R691" s="2">
        <v>190765</v>
      </c>
      <c r="S691" s="2">
        <v>2162075</v>
      </c>
      <c r="T691" s="10">
        <f t="shared" si="33"/>
        <v>541924</v>
      </c>
      <c r="U691" s="8">
        <f t="shared" si="34"/>
        <v>0.25064995432628379</v>
      </c>
      <c r="V691" s="9" t="s">
        <v>5271</v>
      </c>
      <c r="W691" s="9" t="str">
        <f t="shared" si="35"/>
        <v>Strood RD</v>
      </c>
      <c r="X691" s="9" t="str">
        <f>INDEX(Lookup!$A$2:$A$1349, MATCH(W691, Lookup!$B$2:$B$1349,0))</f>
        <v>J04001225</v>
      </c>
      <c r="Y691" s="9" t="str">
        <f>INDEX(Lookup!$F$2:$F$1349, MATCH(W691, Lookup!$B$2:$B$1349,0))</f>
        <v>e190555</v>
      </c>
      <c r="Z691" s="6" t="str">
        <f>INDEX(Lookup!$C$2:$C$1300, MATCH(X691, Lookup!$A$2:$A$1300,0))</f>
        <v>Kent</v>
      </c>
    </row>
    <row r="692" spans="1:26" ht="28.15" customHeight="1" x14ac:dyDescent="0.2">
      <c r="A692" s="6" t="s">
        <v>622</v>
      </c>
      <c r="B692" s="1" t="s">
        <v>622</v>
      </c>
      <c r="C692" s="2">
        <v>5312</v>
      </c>
      <c r="D692" s="2">
        <v>253758</v>
      </c>
      <c r="E692" s="2">
        <v>348</v>
      </c>
      <c r="F692" s="2">
        <v>45281</v>
      </c>
      <c r="G692" s="2">
        <v>43</v>
      </c>
      <c r="H692" s="2">
        <v>11794</v>
      </c>
      <c r="I692" s="2">
        <v>133</v>
      </c>
      <c r="J692" s="2">
        <v>13669</v>
      </c>
      <c r="K692" s="2">
        <v>5</v>
      </c>
      <c r="L692" s="2">
        <v>201</v>
      </c>
      <c r="M692" s="2">
        <v>303</v>
      </c>
      <c r="N692" s="2">
        <v>25286</v>
      </c>
      <c r="O692" s="2">
        <v>13</v>
      </c>
      <c r="P692" s="2">
        <v>2150</v>
      </c>
      <c r="Q692" s="2">
        <v>2165</v>
      </c>
      <c r="R692" s="2">
        <v>125714</v>
      </c>
      <c r="S692" s="2">
        <v>506533</v>
      </c>
      <c r="T692" s="10">
        <f t="shared" si="33"/>
        <v>310833</v>
      </c>
      <c r="U692" s="8">
        <f t="shared" si="34"/>
        <v>0.61364807426169665</v>
      </c>
      <c r="V692" s="9" t="s">
        <v>5271</v>
      </c>
      <c r="W692" s="9" t="str">
        <f t="shared" si="35"/>
        <v>Swale RD</v>
      </c>
      <c r="X692" s="9" t="str">
        <f>INDEX(Lookup!$A$2:$A$1349, MATCH(W692, Lookup!$B$2:$B$1349,0))</f>
        <v>J04001240</v>
      </c>
      <c r="Y692" s="9" t="str">
        <f>INDEX(Lookup!$F$2:$F$1349, MATCH(W692, Lookup!$B$2:$B$1349,0))</f>
        <v>e190556</v>
      </c>
      <c r="Z692" s="6" t="str">
        <f>INDEX(Lookup!$C$2:$C$1300, MATCH(X692, Lookup!$A$2:$A$1300,0))</f>
        <v>Kent</v>
      </c>
    </row>
    <row r="693" spans="1:26" ht="28.15" customHeight="1" x14ac:dyDescent="0.2">
      <c r="A693" s="6" t="s">
        <v>595</v>
      </c>
      <c r="B693" s="1" t="s">
        <v>595</v>
      </c>
      <c r="C693" s="2">
        <v>1948</v>
      </c>
      <c r="D693" s="2">
        <v>90267</v>
      </c>
      <c r="E693" s="2">
        <v>129</v>
      </c>
      <c r="F693" s="2">
        <v>16870</v>
      </c>
      <c r="G693" s="2">
        <v>18</v>
      </c>
      <c r="H693" s="2">
        <v>5034</v>
      </c>
      <c r="I693" s="2">
        <v>67</v>
      </c>
      <c r="J693" s="2">
        <v>5877</v>
      </c>
      <c r="K693" s="2">
        <v>4</v>
      </c>
      <c r="L693" s="2">
        <v>311</v>
      </c>
      <c r="M693" s="2">
        <v>170</v>
      </c>
      <c r="N693" s="2">
        <v>11329</v>
      </c>
      <c r="O693" s="2">
        <v>2</v>
      </c>
      <c r="P693" s="2">
        <v>975</v>
      </c>
      <c r="Q693" s="2">
        <v>116</v>
      </c>
      <c r="R693" s="2">
        <v>43921</v>
      </c>
      <c r="S693" s="2">
        <v>174700</v>
      </c>
      <c r="T693" s="10">
        <f t="shared" si="33"/>
        <v>112171</v>
      </c>
      <c r="U693" s="8">
        <f t="shared" si="34"/>
        <v>0.64207784773898113</v>
      </c>
      <c r="V693" s="9" t="s">
        <v>5271</v>
      </c>
      <c r="W693" s="9" t="str">
        <f t="shared" si="35"/>
        <v>Tenterden RD</v>
      </c>
      <c r="X693" s="9" t="str">
        <f>INDEX(Lookup!$A$2:$A$1349, MATCH(W693, Lookup!$B$2:$B$1349,0))</f>
        <v>J04001261</v>
      </c>
      <c r="Y693" s="9" t="str">
        <f>INDEX(Lookup!$F$2:$F$1349, MATCH(W693, Lookup!$B$2:$B$1349,0))</f>
        <v>e190557</v>
      </c>
      <c r="Z693" s="6" t="str">
        <f>INDEX(Lookup!$C$2:$C$1300, MATCH(X693, Lookup!$A$2:$A$1300,0))</f>
        <v>Kent</v>
      </c>
    </row>
    <row r="694" spans="1:26" ht="28.15" customHeight="1" x14ac:dyDescent="0.2">
      <c r="A694" s="6" t="s">
        <v>610</v>
      </c>
      <c r="B694" s="1" t="s">
        <v>610</v>
      </c>
      <c r="C694" s="2">
        <v>5458</v>
      </c>
      <c r="D694" s="2">
        <v>308171</v>
      </c>
      <c r="E694" s="2">
        <v>1860</v>
      </c>
      <c r="F694" s="2">
        <v>235347</v>
      </c>
      <c r="G694" s="2">
        <v>164</v>
      </c>
      <c r="H694" s="2">
        <v>44475</v>
      </c>
      <c r="I694" s="2">
        <v>205</v>
      </c>
      <c r="J694" s="2">
        <v>22797</v>
      </c>
      <c r="K694" s="2">
        <v>13</v>
      </c>
      <c r="L694" s="2">
        <v>1062</v>
      </c>
      <c r="M694" s="2">
        <v>425</v>
      </c>
      <c r="N694" s="2">
        <v>51106</v>
      </c>
      <c r="O694" s="2">
        <v>31</v>
      </c>
      <c r="P694" s="2">
        <v>78303</v>
      </c>
      <c r="Q694" s="2">
        <v>7412</v>
      </c>
      <c r="R694" s="2">
        <v>109561</v>
      </c>
      <c r="S694" s="2">
        <v>858234</v>
      </c>
      <c r="T694" s="10">
        <f t="shared" si="33"/>
        <v>587993</v>
      </c>
      <c r="U694" s="8">
        <f t="shared" si="34"/>
        <v>0.68511967598580337</v>
      </c>
      <c r="V694" s="9" t="s">
        <v>5271</v>
      </c>
      <c r="W694" s="9" t="str">
        <f t="shared" si="35"/>
        <v>Tonbridge RD</v>
      </c>
      <c r="X694" s="9" t="str">
        <f>INDEX(Lookup!$A$2:$A$1349, MATCH(W694, Lookup!$B$2:$B$1349,0))</f>
        <v>J04001282</v>
      </c>
      <c r="Y694" s="9" t="str">
        <f>INDEX(Lookup!$F$2:$F$1349, MATCH(W694, Lookup!$B$2:$B$1349,0))</f>
        <v>e190558</v>
      </c>
      <c r="Z694" s="6" t="str">
        <f>INDEX(Lookup!$C$2:$C$1300, MATCH(X694, Lookup!$A$2:$A$1300,0))</f>
        <v>Kent</v>
      </c>
    </row>
    <row r="695" spans="1:26" ht="28.15" customHeight="1" x14ac:dyDescent="0.2">
      <c r="A695" s="6" t="s">
        <v>623</v>
      </c>
      <c r="B695" s="1" t="s">
        <v>623</v>
      </c>
      <c r="C695" s="2">
        <v>2827</v>
      </c>
      <c r="D695" s="2">
        <v>134107</v>
      </c>
      <c r="E695" s="2">
        <v>161</v>
      </c>
      <c r="F695" s="2">
        <v>20575</v>
      </c>
      <c r="G695" s="2">
        <v>19</v>
      </c>
      <c r="H695" s="2">
        <v>5404</v>
      </c>
      <c r="I695" s="2">
        <v>76</v>
      </c>
      <c r="J695" s="2">
        <v>5535</v>
      </c>
      <c r="K695" s="2">
        <v>2</v>
      </c>
      <c r="L695" s="2">
        <v>216</v>
      </c>
      <c r="M695" s="2">
        <v>198</v>
      </c>
      <c r="N695" s="2">
        <v>13252</v>
      </c>
      <c r="O695" s="2">
        <v>22</v>
      </c>
      <c r="P695" s="2">
        <v>13128</v>
      </c>
      <c r="Q695" s="2">
        <v>872</v>
      </c>
      <c r="R695" s="2">
        <v>65176</v>
      </c>
      <c r="S695" s="2">
        <v>258265</v>
      </c>
      <c r="T695" s="10">
        <f t="shared" si="33"/>
        <v>160086</v>
      </c>
      <c r="U695" s="8">
        <f t="shared" si="34"/>
        <v>0.61985170270845835</v>
      </c>
      <c r="V695" s="9" t="s">
        <v>5271</v>
      </c>
      <c r="W695" s="9" t="str">
        <f t="shared" si="35"/>
        <v>West Ashford RD</v>
      </c>
      <c r="X695" s="9" t="str">
        <f>INDEX(Lookup!$A$2:$A$1349, MATCH(W695, Lookup!$B$2:$B$1349,0))</f>
        <v>J04001379</v>
      </c>
      <c r="Y695" s="9" t="str">
        <f>INDEX(Lookup!$F$2:$F$1349, MATCH(W695, Lookup!$B$2:$B$1349,0))</f>
        <v>e190559</v>
      </c>
      <c r="Z695" s="6" t="str">
        <f>INDEX(Lookup!$C$2:$C$1300, MATCH(X695, Lookup!$A$2:$A$1300,0))</f>
        <v>Kent</v>
      </c>
    </row>
    <row r="696" spans="1:26" ht="28.15" customHeight="1" x14ac:dyDescent="0.2">
      <c r="A696" s="6" t="s">
        <v>624</v>
      </c>
      <c r="B696" s="1" t="s">
        <v>624</v>
      </c>
      <c r="T696" s="10"/>
      <c r="W696" s="9" t="str">
        <f t="shared" si="35"/>
        <v xml:space="preserve">LANCASTER: </v>
      </c>
      <c r="X696" s="9" t="e">
        <f>INDEX(Lookup!$A$2:$A$1349, MATCH(W696, Lookup!$B$2:$B$1349,0))</f>
        <v>#N/A</v>
      </c>
      <c r="Y696" s="9" t="e">
        <f>INDEX(Lookup!$F$2:$F$1349, MATCH(W696, Lookup!$B$2:$B$1349,0))</f>
        <v>#N/A</v>
      </c>
      <c r="Z696" s="6" t="e">
        <f>INDEX(Lookup!$C$2:$C$1300, MATCH(X696, Lookup!$A$2:$A$1300,0))</f>
        <v>#N/A</v>
      </c>
    </row>
    <row r="697" spans="1:26" ht="28.15" customHeight="1" x14ac:dyDescent="0.2">
      <c r="A697" s="6" t="s">
        <v>332</v>
      </c>
      <c r="B697" s="1" t="s">
        <v>332</v>
      </c>
      <c r="T697" s="10"/>
      <c r="W697" s="9" t="str">
        <f t="shared" si="35"/>
        <v xml:space="preserve">Non-County Boroughs:- </v>
      </c>
      <c r="X697" s="9" t="e">
        <f>INDEX(Lookup!$A$2:$A$1349, MATCH(W697, Lookup!$B$2:$B$1349,0))</f>
        <v>#N/A</v>
      </c>
      <c r="Y697" s="9" t="e">
        <f>INDEX(Lookup!$F$2:$F$1349, MATCH(W697, Lookup!$B$2:$B$1349,0))</f>
        <v>#N/A</v>
      </c>
      <c r="Z697" s="6" t="e">
        <f>INDEX(Lookup!$C$2:$C$1300, MATCH(X697, Lookup!$A$2:$A$1300,0))</f>
        <v>#N/A</v>
      </c>
    </row>
    <row r="698" spans="1:26" ht="28.15" customHeight="1" x14ac:dyDescent="0.2">
      <c r="A698" s="6" t="s">
        <v>625</v>
      </c>
      <c r="B698" s="1" t="s">
        <v>625</v>
      </c>
      <c r="C698" s="2">
        <v>13769</v>
      </c>
      <c r="D698" s="2">
        <v>461415</v>
      </c>
      <c r="E698" s="2">
        <v>121</v>
      </c>
      <c r="F698" s="2">
        <v>14955</v>
      </c>
      <c r="G698" s="2">
        <v>4</v>
      </c>
      <c r="H698" s="2">
        <v>856</v>
      </c>
      <c r="I698" s="2">
        <v>995</v>
      </c>
      <c r="J698" s="2">
        <v>140814</v>
      </c>
      <c r="K698" s="2">
        <v>118</v>
      </c>
      <c r="L698" s="2">
        <v>11504</v>
      </c>
      <c r="M698" s="2">
        <v>2002</v>
      </c>
      <c r="N698" s="2">
        <v>71239</v>
      </c>
      <c r="O698" s="2">
        <v>143</v>
      </c>
      <c r="P698" s="2">
        <v>198381</v>
      </c>
      <c r="Q698" s="2">
        <v>7498</v>
      </c>
      <c r="R698" s="2">
        <v>193540</v>
      </c>
      <c r="S698" s="2">
        <v>1100202</v>
      </c>
      <c r="T698" s="10">
        <f t="shared" si="33"/>
        <v>477226</v>
      </c>
      <c r="U698" s="8">
        <f t="shared" si="34"/>
        <v>0.43376216367539777</v>
      </c>
      <c r="V698" s="9" t="s">
        <v>5268</v>
      </c>
      <c r="W698" s="9" t="str">
        <f t="shared" si="35"/>
        <v>Accrington MB</v>
      </c>
      <c r="X698" s="9" t="str">
        <f>INDEX(Lookup!$A$2:$A$1349, MATCH(W698, Lookup!$B$2:$B$1349,0))</f>
        <v>J04000014</v>
      </c>
      <c r="Y698" s="9" t="str">
        <f>INDEX(Lookup!$F$2:$F$1349, MATCH(W698, Lookup!$B$2:$B$1349,0))</f>
        <v>e200580</v>
      </c>
      <c r="Z698" s="6" t="str">
        <f>INDEX(Lookup!$C$2:$C$1300, MATCH(X698, Lookup!$A$2:$A$1300,0))</f>
        <v>Lancashire</v>
      </c>
    </row>
    <row r="699" spans="1:26" ht="28.15" customHeight="1" x14ac:dyDescent="0.2">
      <c r="A699" s="6" t="s">
        <v>626</v>
      </c>
      <c r="B699" s="1" t="s">
        <v>5488</v>
      </c>
      <c r="C699" s="2">
        <v>16940</v>
      </c>
      <c r="D699" s="2">
        <v>702184</v>
      </c>
      <c r="E699" s="2">
        <v>285</v>
      </c>
      <c r="F699" s="2">
        <v>33309</v>
      </c>
      <c r="G699" s="2">
        <v>5</v>
      </c>
      <c r="H699" s="2">
        <v>1194</v>
      </c>
      <c r="I699" s="2">
        <v>1181</v>
      </c>
      <c r="J699" s="2">
        <v>165903</v>
      </c>
      <c r="K699" s="2">
        <v>162</v>
      </c>
      <c r="L699" s="2">
        <v>11671</v>
      </c>
      <c r="M699" s="2">
        <v>2560</v>
      </c>
      <c r="N699" s="2">
        <v>114835</v>
      </c>
      <c r="O699" s="2">
        <v>243</v>
      </c>
      <c r="P699" s="2">
        <v>259738</v>
      </c>
      <c r="Q699" s="2">
        <v>24284</v>
      </c>
      <c r="R699" s="2">
        <v>143123</v>
      </c>
      <c r="S699" s="2">
        <v>1456241</v>
      </c>
      <c r="T699" s="10">
        <f t="shared" si="33"/>
        <v>736687</v>
      </c>
      <c r="U699" s="8">
        <f t="shared" si="34"/>
        <v>0.50588261146334979</v>
      </c>
      <c r="V699" s="9" t="s">
        <v>5268</v>
      </c>
      <c r="W699" s="9" t="str">
        <f t="shared" si="35"/>
        <v>Ashton under Lyne MB</v>
      </c>
      <c r="X699" s="9" t="str">
        <f>INDEX(Lookup!$A$2:$A$1349, MATCH(W699, Lookup!$B$2:$B$1349,0))</f>
        <v>J04000057</v>
      </c>
      <c r="Y699" s="9" t="str">
        <f>INDEX(Lookup!$F$2:$F$1349, MATCH(W699, Lookup!$B$2:$B$1349,0))</f>
        <v>e200584</v>
      </c>
      <c r="Z699" s="6" t="str">
        <f>INDEX(Lookup!$C$2:$C$1300, MATCH(X699, Lookup!$A$2:$A$1300,0))</f>
        <v>Greater Manchester</v>
      </c>
    </row>
    <row r="700" spans="1:26" ht="28.15" customHeight="1" x14ac:dyDescent="0.2">
      <c r="A700" s="6" t="s">
        <v>627</v>
      </c>
      <c r="B700" s="1" t="s">
        <v>627</v>
      </c>
      <c r="C700" s="2">
        <v>6192</v>
      </c>
      <c r="D700" s="2">
        <v>178006</v>
      </c>
      <c r="E700" s="2">
        <v>27</v>
      </c>
      <c r="F700" s="2">
        <v>3466</v>
      </c>
      <c r="G700" s="2">
        <v>1</v>
      </c>
      <c r="H700" s="2">
        <v>246</v>
      </c>
      <c r="I700" s="2">
        <v>356</v>
      </c>
      <c r="J700" s="2">
        <v>25394</v>
      </c>
      <c r="K700" s="2">
        <v>20</v>
      </c>
      <c r="L700" s="2">
        <v>1180</v>
      </c>
      <c r="M700" s="2">
        <v>1223</v>
      </c>
      <c r="N700" s="2">
        <v>20973</v>
      </c>
      <c r="O700" s="2">
        <v>94</v>
      </c>
      <c r="P700" s="2">
        <v>80804</v>
      </c>
      <c r="Q700" s="2">
        <v>839</v>
      </c>
      <c r="R700" s="2">
        <v>53554</v>
      </c>
      <c r="S700" s="2">
        <v>264462</v>
      </c>
      <c r="T700" s="10">
        <f t="shared" si="33"/>
        <v>181718</v>
      </c>
      <c r="U700" s="8">
        <f t="shared" si="34"/>
        <v>0.68712329181508114</v>
      </c>
      <c r="V700" s="9" t="s">
        <v>5268</v>
      </c>
      <c r="W700" s="9" t="str">
        <f t="shared" si="35"/>
        <v>Bacup MB</v>
      </c>
      <c r="X700" s="9" t="str">
        <f>INDEX(Lookup!$A$2:$A$1349, MATCH(W700, Lookup!$B$2:$B$1349,0))</f>
        <v>J04000068</v>
      </c>
      <c r="Y700" s="9" t="str">
        <f>INDEX(Lookup!$F$2:$F$1349, MATCH(W700, Lookup!$B$2:$B$1349,0))</f>
        <v>e200588</v>
      </c>
      <c r="Z700" s="6" t="str">
        <f>INDEX(Lookup!$C$2:$C$1300, MATCH(X700, Lookup!$A$2:$A$1300,0))</f>
        <v>Lancashire</v>
      </c>
    </row>
    <row r="701" spans="1:26" ht="28.15" customHeight="1" x14ac:dyDescent="0.2">
      <c r="A701" s="6" t="s">
        <v>628</v>
      </c>
      <c r="B701" s="1" t="s">
        <v>628</v>
      </c>
      <c r="C701" s="2">
        <v>9931</v>
      </c>
      <c r="D701" s="2">
        <v>435009</v>
      </c>
      <c r="E701" s="2">
        <v>252</v>
      </c>
      <c r="F701" s="2">
        <v>30661</v>
      </c>
      <c r="G701" s="2">
        <v>8</v>
      </c>
      <c r="H701" s="2">
        <v>1710</v>
      </c>
      <c r="I701" s="2">
        <v>673</v>
      </c>
      <c r="J701" s="2">
        <v>100421</v>
      </c>
      <c r="K701" s="2">
        <v>81</v>
      </c>
      <c r="L701" s="2">
        <v>8546</v>
      </c>
      <c r="M701" s="2">
        <v>1093</v>
      </c>
      <c r="N701" s="2">
        <v>79239</v>
      </c>
      <c r="O701" s="2">
        <v>57</v>
      </c>
      <c r="P701" s="2">
        <v>149673</v>
      </c>
      <c r="Q701" s="2">
        <v>7062</v>
      </c>
      <c r="R701" s="2">
        <v>111872</v>
      </c>
      <c r="S701" s="2">
        <v>924233</v>
      </c>
      <c r="T701" s="10">
        <f t="shared" si="33"/>
        <v>467380</v>
      </c>
      <c r="U701" s="8">
        <f t="shared" si="34"/>
        <v>0.50569499249648087</v>
      </c>
      <c r="V701" s="9" t="s">
        <v>5268</v>
      </c>
      <c r="W701" s="9" t="str">
        <f t="shared" si="35"/>
        <v>Chorley MB</v>
      </c>
      <c r="X701" s="9" t="str">
        <f>INDEX(Lookup!$A$2:$A$1349, MATCH(W701, Lookup!$B$2:$B$1349,0))</f>
        <v>J04000313</v>
      </c>
      <c r="Y701" s="9" t="str">
        <f>INDEX(Lookup!$F$2:$F$1349, MATCH(W701, Lookup!$B$2:$B$1349,0))</f>
        <v>e200596</v>
      </c>
      <c r="Z701" s="6" t="str">
        <f>INDEX(Lookup!$C$2:$C$1300, MATCH(X701, Lookup!$A$2:$A$1300,0))</f>
        <v>Lancashire</v>
      </c>
    </row>
    <row r="702" spans="1:26" ht="28.15" customHeight="1" x14ac:dyDescent="0.2">
      <c r="A702" s="6" t="s">
        <v>629</v>
      </c>
      <c r="B702" s="1" t="s">
        <v>629</v>
      </c>
      <c r="C702" s="2">
        <v>4165</v>
      </c>
      <c r="D702" s="2">
        <v>169265</v>
      </c>
      <c r="E702" s="2">
        <v>217</v>
      </c>
      <c r="F702" s="2">
        <v>27306</v>
      </c>
      <c r="G702" s="2">
        <v>4</v>
      </c>
      <c r="H702" s="2">
        <v>964</v>
      </c>
      <c r="I702" s="2">
        <v>317</v>
      </c>
      <c r="J702" s="2">
        <v>29967</v>
      </c>
      <c r="K702" s="2">
        <v>43</v>
      </c>
      <c r="L702" s="2">
        <v>2956</v>
      </c>
      <c r="M702" s="2">
        <v>678</v>
      </c>
      <c r="N702" s="2">
        <v>27581</v>
      </c>
      <c r="O702" s="2">
        <v>47</v>
      </c>
      <c r="P702" s="2">
        <v>46581</v>
      </c>
      <c r="Q702" s="2">
        <v>2369</v>
      </c>
      <c r="R702" s="2">
        <v>126089</v>
      </c>
      <c r="S702" s="2">
        <v>433078</v>
      </c>
      <c r="T702" s="10">
        <f t="shared" si="33"/>
        <v>197535</v>
      </c>
      <c r="U702" s="8">
        <f t="shared" si="34"/>
        <v>0.45611875920734835</v>
      </c>
      <c r="V702" s="9" t="s">
        <v>5268</v>
      </c>
      <c r="W702" s="9" t="str">
        <f t="shared" si="35"/>
        <v>Clitheroe MB</v>
      </c>
      <c r="X702" s="9" t="str">
        <f>INDEX(Lookup!$A$2:$A$1349, MATCH(W702, Lookup!$B$2:$B$1349,0))</f>
        <v>J04000328</v>
      </c>
      <c r="Y702" s="9" t="str">
        <f>INDEX(Lookup!$F$2:$F$1349, MATCH(W702, Lookup!$B$2:$B$1349,0))</f>
        <v>e200600</v>
      </c>
      <c r="Z702" s="6" t="str">
        <f>INDEX(Lookup!$C$2:$C$1300, MATCH(X702, Lookup!$A$2:$A$1300,0))</f>
        <v>Lancashire</v>
      </c>
    </row>
    <row r="703" spans="1:26" ht="28.15" customHeight="1" x14ac:dyDescent="0.2">
      <c r="A703" s="6" t="s">
        <v>630</v>
      </c>
      <c r="B703" s="1" t="s">
        <v>630</v>
      </c>
      <c r="C703" s="2">
        <v>7095</v>
      </c>
      <c r="D703" s="2">
        <v>229716</v>
      </c>
      <c r="E703" s="2">
        <v>97</v>
      </c>
      <c r="F703" s="2">
        <v>12699</v>
      </c>
      <c r="G703" s="2">
        <v>7</v>
      </c>
      <c r="H703" s="2">
        <v>1578</v>
      </c>
      <c r="I703" s="2">
        <v>414</v>
      </c>
      <c r="J703" s="2">
        <v>33770</v>
      </c>
      <c r="K703" s="2">
        <v>54</v>
      </c>
      <c r="L703" s="2">
        <v>3185</v>
      </c>
      <c r="M703" s="2">
        <v>1438</v>
      </c>
      <c r="N703" s="2">
        <v>32153</v>
      </c>
      <c r="O703" s="2">
        <v>134</v>
      </c>
      <c r="P703" s="2">
        <v>110929</v>
      </c>
      <c r="Q703" s="2">
        <v>2518</v>
      </c>
      <c r="R703" s="2">
        <v>75014</v>
      </c>
      <c r="S703" s="2">
        <v>501562</v>
      </c>
      <c r="T703" s="10">
        <f t="shared" si="33"/>
        <v>243993</v>
      </c>
      <c r="U703" s="8">
        <f t="shared" si="34"/>
        <v>0.48646627934333142</v>
      </c>
      <c r="V703" s="9" t="s">
        <v>5268</v>
      </c>
      <c r="W703" s="9" t="str">
        <f t="shared" si="35"/>
        <v>Colne MB</v>
      </c>
      <c r="X703" s="9" t="str">
        <f>INDEX(Lookup!$A$2:$A$1349, MATCH(W703, Lookup!$B$2:$B$1349,0))</f>
        <v>J04000337</v>
      </c>
      <c r="Y703" s="9" t="str">
        <f>INDEX(Lookup!$F$2:$F$1349, MATCH(W703, Lookup!$B$2:$B$1349,0))</f>
        <v>e200601</v>
      </c>
      <c r="Z703" s="6" t="str">
        <f>INDEX(Lookup!$C$2:$C$1300, MATCH(X703, Lookup!$A$2:$A$1300,0))</f>
        <v>Lancashire</v>
      </c>
    </row>
    <row r="704" spans="1:26" ht="28.15" customHeight="1" x14ac:dyDescent="0.2">
      <c r="A704" s="6" t="s">
        <v>631</v>
      </c>
      <c r="B704" s="1" t="s">
        <v>631</v>
      </c>
      <c r="C704" s="2">
        <v>14068</v>
      </c>
      <c r="D704" s="2">
        <v>886769</v>
      </c>
      <c r="E704" s="2">
        <v>3750</v>
      </c>
      <c r="F704" s="2">
        <v>481314</v>
      </c>
      <c r="G704" s="2">
        <v>172</v>
      </c>
      <c r="H704" s="2">
        <v>40881</v>
      </c>
      <c r="I704" s="2">
        <v>945</v>
      </c>
      <c r="J704" s="2">
        <v>144346</v>
      </c>
      <c r="K704" s="2">
        <v>95</v>
      </c>
      <c r="L704" s="2">
        <v>12291</v>
      </c>
      <c r="M704" s="2">
        <v>965</v>
      </c>
      <c r="N704" s="2">
        <v>84678</v>
      </c>
      <c r="O704" s="2">
        <v>31</v>
      </c>
      <c r="P704" s="2">
        <v>19206</v>
      </c>
      <c r="Q704" s="2">
        <v>5242</v>
      </c>
      <c r="R704" s="2">
        <v>187050</v>
      </c>
      <c r="S704" s="2">
        <v>1861777</v>
      </c>
      <c r="T704" s="10">
        <f t="shared" si="33"/>
        <v>1408964</v>
      </c>
      <c r="U704" s="8">
        <f t="shared" si="34"/>
        <v>0.75678451286056281</v>
      </c>
      <c r="V704" s="9" t="s">
        <v>5268</v>
      </c>
      <c r="W704" s="9" t="str">
        <f t="shared" si="35"/>
        <v>Crosby MB</v>
      </c>
      <c r="X704" s="9" t="str">
        <f>INDEX(Lookup!$A$2:$A$1349, MATCH(W704, Lookup!$B$2:$B$1349,0))</f>
        <v>J04000370</v>
      </c>
      <c r="Y704" s="9" t="str">
        <f>INDEX(Lookup!$F$2:$F$1349, MATCH(W704, Lookup!$B$2:$B$1349,0))</f>
        <v>e200603</v>
      </c>
      <c r="Z704" s="6" t="str">
        <f>INDEX(Lookup!$C$2:$C$1300, MATCH(X704, Lookup!$A$2:$A$1300,0))</f>
        <v>Merseyside</v>
      </c>
    </row>
    <row r="705" spans="1:26" ht="28.15" customHeight="1" x14ac:dyDescent="0.2">
      <c r="A705" s="6" t="s">
        <v>632</v>
      </c>
      <c r="B705" s="1" t="s">
        <v>632</v>
      </c>
      <c r="C705" s="2">
        <v>10441</v>
      </c>
      <c r="D705" s="2">
        <v>349206</v>
      </c>
      <c r="E705" s="2">
        <v>113</v>
      </c>
      <c r="F705" s="2">
        <v>14628</v>
      </c>
      <c r="G705" s="2">
        <v>9</v>
      </c>
      <c r="H705" s="2">
        <v>2528</v>
      </c>
      <c r="I705" s="2">
        <v>687</v>
      </c>
      <c r="J705" s="2">
        <v>53123</v>
      </c>
      <c r="K705" s="2">
        <v>53</v>
      </c>
      <c r="L705" s="2">
        <v>14800</v>
      </c>
      <c r="M705" s="2">
        <v>2119</v>
      </c>
      <c r="N705" s="2">
        <v>46977</v>
      </c>
      <c r="O705" s="2">
        <v>124</v>
      </c>
      <c r="P705" s="2">
        <v>234749</v>
      </c>
      <c r="Q705" s="2">
        <v>1814</v>
      </c>
      <c r="R705" s="2">
        <v>92731</v>
      </c>
      <c r="S705" s="2">
        <v>810556</v>
      </c>
      <c r="T705" s="10">
        <f t="shared" si="33"/>
        <v>366362</v>
      </c>
      <c r="U705" s="8">
        <f t="shared" si="34"/>
        <v>0.45198851158957554</v>
      </c>
      <c r="V705" s="9" t="s">
        <v>5268</v>
      </c>
      <c r="W705" s="9" t="str">
        <f t="shared" si="35"/>
        <v>Darwen MB</v>
      </c>
      <c r="X705" s="9" t="str">
        <f>INDEX(Lookup!$A$2:$A$1349, MATCH(W705, Lookup!$B$2:$B$1349,0))</f>
        <v>J04000387</v>
      </c>
      <c r="Y705" s="9" t="str">
        <f>INDEX(Lookup!$F$2:$F$1349, MATCH(W705, Lookup!$B$2:$B$1349,0))</f>
        <v>e200605</v>
      </c>
      <c r="Z705" s="6" t="str">
        <f>INDEX(Lookup!$C$2:$C$1300, MATCH(X705, Lookup!$A$2:$A$1300,0))</f>
        <v>Lancashire</v>
      </c>
    </row>
    <row r="706" spans="1:26" ht="28.15" customHeight="1" x14ac:dyDescent="0.2">
      <c r="A706" s="6" t="s">
        <v>633</v>
      </c>
      <c r="B706" s="1" t="s">
        <v>633</v>
      </c>
      <c r="C706" s="2">
        <v>13405</v>
      </c>
      <c r="D706" s="2">
        <v>663306</v>
      </c>
      <c r="E706" s="2">
        <v>495</v>
      </c>
      <c r="F706" s="2">
        <v>61425</v>
      </c>
      <c r="G706" s="2">
        <v>5</v>
      </c>
      <c r="H706" s="2">
        <v>1339</v>
      </c>
      <c r="I706" s="2">
        <v>839</v>
      </c>
      <c r="J706" s="2">
        <v>148198</v>
      </c>
      <c r="K706" s="2">
        <v>61</v>
      </c>
      <c r="L706" s="2">
        <v>6629</v>
      </c>
      <c r="M706" s="2">
        <v>1333</v>
      </c>
      <c r="N706" s="2">
        <v>103906</v>
      </c>
      <c r="O706" s="2">
        <v>99</v>
      </c>
      <c r="P706" s="2">
        <v>216580</v>
      </c>
      <c r="Q706" s="2">
        <v>16026</v>
      </c>
      <c r="R706" s="2">
        <v>166405</v>
      </c>
      <c r="S706" s="2">
        <v>1383814</v>
      </c>
      <c r="T706" s="10">
        <f t="shared" si="33"/>
        <v>726070</v>
      </c>
      <c r="U706" s="8">
        <f t="shared" si="34"/>
        <v>0.52468756639259317</v>
      </c>
      <c r="V706" s="9" t="s">
        <v>5268</v>
      </c>
      <c r="W706" s="9" t="str">
        <f t="shared" si="35"/>
        <v>Eccles MB</v>
      </c>
      <c r="X706" s="9" t="str">
        <f>INDEX(Lookup!$A$2:$A$1349, MATCH(W706, Lookup!$B$2:$B$1349,0))</f>
        <v>J04000461</v>
      </c>
      <c r="Y706" s="9" t="str">
        <f>INDEX(Lookup!$F$2:$F$1349, MATCH(W706, Lookup!$B$2:$B$1349,0))</f>
        <v>e200608</v>
      </c>
      <c r="Z706" s="6" t="str">
        <f>INDEX(Lookup!$C$2:$C$1300, MATCH(X706, Lookup!$A$2:$A$1300,0))</f>
        <v>Greater Manchester</v>
      </c>
    </row>
    <row r="707" spans="1:26" ht="28.15" customHeight="1" x14ac:dyDescent="0.2">
      <c r="A707" s="6" t="s">
        <v>634</v>
      </c>
      <c r="B707" s="1" t="s">
        <v>634</v>
      </c>
      <c r="C707" s="2">
        <v>8988</v>
      </c>
      <c r="D707" s="2">
        <v>384519</v>
      </c>
      <c r="E707" s="2">
        <v>36</v>
      </c>
      <c r="F707" s="2">
        <v>4274</v>
      </c>
      <c r="I707" s="2">
        <v>590</v>
      </c>
      <c r="J707" s="2">
        <v>61549</v>
      </c>
      <c r="K707" s="2">
        <v>42</v>
      </c>
      <c r="L707" s="2">
        <v>3126</v>
      </c>
      <c r="M707" s="2">
        <v>803</v>
      </c>
      <c r="N707" s="2">
        <v>53790</v>
      </c>
      <c r="O707" s="2">
        <v>102</v>
      </c>
      <c r="P707" s="2">
        <v>136124</v>
      </c>
      <c r="Q707" s="2">
        <v>9671</v>
      </c>
      <c r="R707" s="2">
        <v>72851</v>
      </c>
      <c r="S707" s="2">
        <v>725904</v>
      </c>
      <c r="T707" s="10">
        <f>SUM(D707+F707)</f>
        <v>388793</v>
      </c>
      <c r="U707" s="8">
        <f t="shared" ref="U707:U770" si="36">T707/S707</f>
        <v>0.53559837113447506</v>
      </c>
      <c r="V707" s="9" t="s">
        <v>5268</v>
      </c>
      <c r="W707" s="9" t="str">
        <f t="shared" ref="W707:W770" si="37">_xlfn.CONCAT(B707," ",V707)</f>
        <v>Farnworth MB</v>
      </c>
      <c r="X707" s="9" t="str">
        <f>INDEX(Lookup!$A$2:$A$1349, MATCH(W707, Lookup!$B$2:$B$1349,0))</f>
        <v>J04000495</v>
      </c>
      <c r="Y707" s="9" t="str">
        <f>INDEX(Lookup!$F$2:$F$1349, MATCH(W707, Lookup!$B$2:$B$1349,0))</f>
        <v>e200610</v>
      </c>
      <c r="Z707" s="6" t="str">
        <f>INDEX(Lookup!$C$2:$C$1300, MATCH(X707, Lookup!$A$2:$A$1300,0))</f>
        <v>Greater Manchester</v>
      </c>
    </row>
    <row r="708" spans="1:26" ht="28.15" customHeight="1" x14ac:dyDescent="0.2">
      <c r="A708" s="6" t="s">
        <v>635</v>
      </c>
      <c r="B708" s="1" t="s">
        <v>635</v>
      </c>
      <c r="C708" s="2">
        <v>7761</v>
      </c>
      <c r="D708" s="2">
        <v>450298</v>
      </c>
      <c r="E708" s="2">
        <v>439</v>
      </c>
      <c r="F708" s="2">
        <v>50914</v>
      </c>
      <c r="G708" s="2">
        <v>6</v>
      </c>
      <c r="H708" s="2">
        <v>1340</v>
      </c>
      <c r="I708" s="2">
        <v>562</v>
      </c>
      <c r="J708" s="2">
        <v>83376</v>
      </c>
      <c r="K708" s="2">
        <v>222</v>
      </c>
      <c r="L708" s="2">
        <v>9211</v>
      </c>
      <c r="M708" s="2">
        <v>614</v>
      </c>
      <c r="N708" s="2">
        <v>48971</v>
      </c>
      <c r="O708" s="2">
        <v>97</v>
      </c>
      <c r="P708" s="2">
        <v>64950</v>
      </c>
      <c r="Q708" s="2">
        <v>3828</v>
      </c>
      <c r="R708" s="2">
        <v>144856</v>
      </c>
      <c r="S708" s="2">
        <v>857744</v>
      </c>
      <c r="T708" s="10">
        <f t="shared" ref="T708:T769" si="38">SUM(D708+F708+H708)</f>
        <v>502552</v>
      </c>
      <c r="U708" s="8">
        <f t="shared" si="36"/>
        <v>0.58589975563804586</v>
      </c>
      <c r="V708" s="9" t="s">
        <v>5268</v>
      </c>
      <c r="W708" s="9" t="str">
        <f t="shared" si="37"/>
        <v>Fleetwood MB</v>
      </c>
      <c r="X708" s="9" t="str">
        <f>INDEX(Lookup!$A$2:$A$1349, MATCH(W708, Lookup!$B$2:$B$1349,0))</f>
        <v>J04000508</v>
      </c>
      <c r="Y708" s="9" t="str">
        <f>INDEX(Lookup!$F$2:$F$1349, MATCH(W708, Lookup!$B$2:$B$1349,0))</f>
        <v>e200611</v>
      </c>
      <c r="Z708" s="6" t="str">
        <f>INDEX(Lookup!$C$2:$C$1300, MATCH(X708, Lookup!$A$2:$A$1300,0))</f>
        <v>Lancashire</v>
      </c>
    </row>
    <row r="709" spans="1:26" ht="28.15" customHeight="1" x14ac:dyDescent="0.2">
      <c r="A709" s="6" t="s">
        <v>636</v>
      </c>
      <c r="B709" s="1" t="s">
        <v>636</v>
      </c>
      <c r="C709" s="2">
        <v>5195</v>
      </c>
      <c r="D709" s="2">
        <v>160076</v>
      </c>
      <c r="E709" s="2">
        <v>47</v>
      </c>
      <c r="F709" s="2">
        <v>5894</v>
      </c>
      <c r="G709" s="2">
        <v>6</v>
      </c>
      <c r="H709" s="2">
        <v>1304</v>
      </c>
      <c r="I709" s="2">
        <v>280</v>
      </c>
      <c r="J709" s="2">
        <v>16199</v>
      </c>
      <c r="K709" s="2">
        <v>30</v>
      </c>
      <c r="L709" s="2">
        <v>1940</v>
      </c>
      <c r="M709" s="2">
        <v>1028</v>
      </c>
      <c r="N709" s="2">
        <v>26897</v>
      </c>
      <c r="O709" s="2">
        <v>80</v>
      </c>
      <c r="P709" s="2">
        <v>108044</v>
      </c>
      <c r="Q709" s="2">
        <v>1973</v>
      </c>
      <c r="R709" s="2">
        <v>58338</v>
      </c>
      <c r="S709" s="2">
        <v>380665</v>
      </c>
      <c r="T709" s="10">
        <f t="shared" si="38"/>
        <v>167274</v>
      </c>
      <c r="U709" s="8">
        <f t="shared" si="36"/>
        <v>0.43942574179396582</v>
      </c>
      <c r="V709" s="9" t="s">
        <v>5268</v>
      </c>
      <c r="W709" s="9" t="str">
        <f t="shared" si="37"/>
        <v>Haslingden MB</v>
      </c>
      <c r="X709" s="9" t="str">
        <f>INDEX(Lookup!$A$2:$A$1349, MATCH(W709, Lookup!$B$2:$B$1349,0))</f>
        <v>J04000583</v>
      </c>
      <c r="Y709" s="9" t="str">
        <f>INDEX(Lookup!$F$2:$F$1349, MATCH(W709, Lookup!$B$2:$B$1349,0))</f>
        <v>e200619</v>
      </c>
      <c r="Z709" s="6" t="str">
        <f>INDEX(Lookup!$C$2:$C$1300, MATCH(X709, Lookup!$A$2:$A$1300,0))</f>
        <v>Lancashire</v>
      </c>
    </row>
    <row r="710" spans="1:26" ht="28.15" customHeight="1" x14ac:dyDescent="0.2">
      <c r="A710" s="6" t="s">
        <v>637</v>
      </c>
      <c r="B710" s="1" t="s">
        <v>637</v>
      </c>
      <c r="C710" s="2">
        <v>8572</v>
      </c>
      <c r="D710" s="2">
        <v>307627</v>
      </c>
      <c r="E710" s="2">
        <v>106</v>
      </c>
      <c r="F710" s="2">
        <v>13928</v>
      </c>
      <c r="G710" s="2">
        <v>14</v>
      </c>
      <c r="H710" s="2">
        <v>3327</v>
      </c>
      <c r="I710" s="2">
        <v>489</v>
      </c>
      <c r="J710" s="2">
        <v>38037</v>
      </c>
      <c r="K710" s="2">
        <v>45</v>
      </c>
      <c r="L710" s="2">
        <v>3462</v>
      </c>
      <c r="M710" s="2">
        <v>1279</v>
      </c>
      <c r="N710" s="2">
        <v>43320</v>
      </c>
      <c r="O710" s="2">
        <v>16</v>
      </c>
      <c r="P710" s="2">
        <v>140428</v>
      </c>
      <c r="Q710" s="2">
        <v>30940</v>
      </c>
      <c r="R710" s="2">
        <v>85260</v>
      </c>
      <c r="S710" s="2">
        <v>665329</v>
      </c>
      <c r="T710" s="10">
        <f t="shared" si="38"/>
        <v>324882</v>
      </c>
      <c r="U710" s="8">
        <f t="shared" si="36"/>
        <v>0.48830277952712114</v>
      </c>
      <c r="V710" s="9" t="s">
        <v>5268</v>
      </c>
      <c r="W710" s="9" t="str">
        <f t="shared" si="37"/>
        <v>Heywood MB</v>
      </c>
      <c r="X710" s="9" t="str">
        <f>INDEX(Lookup!$A$2:$A$1349, MATCH(W710, Lookup!$B$2:$B$1349,0))</f>
        <v>J04000620</v>
      </c>
      <c r="Y710" s="9" t="str">
        <f>INDEX(Lookup!$F$2:$F$1349, MATCH(W710, Lookup!$B$2:$B$1349,0))</f>
        <v>e200621</v>
      </c>
      <c r="Z710" s="6" t="str">
        <f>INDEX(Lookup!$C$2:$C$1300, MATCH(X710, Lookup!$A$2:$A$1300,0))</f>
        <v>Greater Manchester</v>
      </c>
    </row>
    <row r="711" spans="1:26" ht="28.15" customHeight="1" x14ac:dyDescent="0.2">
      <c r="A711" s="6" t="s">
        <v>36</v>
      </c>
      <c r="B711" s="1" t="s">
        <v>5413</v>
      </c>
      <c r="C711" s="2">
        <v>13993</v>
      </c>
      <c r="D711" s="2">
        <v>708403</v>
      </c>
      <c r="E711" s="2">
        <v>408</v>
      </c>
      <c r="F711" s="2">
        <v>502733</v>
      </c>
      <c r="G711" s="2">
        <v>17</v>
      </c>
      <c r="H711" s="2">
        <v>3894</v>
      </c>
      <c r="I711" s="2">
        <v>876</v>
      </c>
      <c r="J711" s="2">
        <v>194364</v>
      </c>
      <c r="K711" s="2">
        <v>175</v>
      </c>
      <c r="L711" s="2">
        <v>22771</v>
      </c>
      <c r="M711" s="2">
        <v>1286</v>
      </c>
      <c r="N711" s="2">
        <v>80226</v>
      </c>
      <c r="O711" s="2">
        <v>52</v>
      </c>
      <c r="P711" s="2">
        <v>328332</v>
      </c>
      <c r="Q711" s="2">
        <v>42194</v>
      </c>
      <c r="R711" s="2">
        <v>183768</v>
      </c>
      <c r="S711" s="2">
        <v>1615225</v>
      </c>
      <c r="T711" s="10">
        <f t="shared" si="38"/>
        <v>1215030</v>
      </c>
      <c r="U711" s="8">
        <f t="shared" si="36"/>
        <v>0.75223575662833353</v>
      </c>
      <c r="V711" s="9" t="s">
        <v>5268</v>
      </c>
      <c r="W711" s="9" t="str">
        <f t="shared" si="37"/>
        <v>Lancaster, city of MB</v>
      </c>
      <c r="X711" s="9" t="str">
        <f>INDEX(Lookup!$A$2:$A$1349, MATCH(W711, Lookup!$B$2:$B$1349,0))</f>
        <v>J04000719</v>
      </c>
      <c r="Y711" s="9" t="str">
        <f>INDEX(Lookup!$F$2:$F$1349, MATCH(W711, Lookup!$B$2:$B$1349,0))</f>
        <v>e200630</v>
      </c>
      <c r="Z711" s="6" t="str">
        <f>INDEX(Lookup!$C$2:$C$1300, MATCH(X711, Lookup!$A$2:$A$1300,0))</f>
        <v>Lancashire</v>
      </c>
    </row>
    <row r="712" spans="1:26" ht="28.15" customHeight="1" x14ac:dyDescent="0.2">
      <c r="A712" s="6" t="s">
        <v>638</v>
      </c>
      <c r="B712" s="1" t="s">
        <v>638</v>
      </c>
      <c r="C712" s="2">
        <v>14979</v>
      </c>
      <c r="D712" s="2">
        <v>620444</v>
      </c>
      <c r="E712" s="2">
        <v>168</v>
      </c>
      <c r="F712" s="2">
        <v>20363</v>
      </c>
      <c r="G712" s="2">
        <v>10</v>
      </c>
      <c r="H712" s="2">
        <v>2248</v>
      </c>
      <c r="I712" s="2">
        <v>845</v>
      </c>
      <c r="J712" s="2">
        <v>132422</v>
      </c>
      <c r="K712" s="2">
        <v>103</v>
      </c>
      <c r="L712" s="2">
        <v>11238</v>
      </c>
      <c r="M712" s="2">
        <v>1803</v>
      </c>
      <c r="N712" s="2">
        <v>66506</v>
      </c>
      <c r="O712" s="2">
        <v>83</v>
      </c>
      <c r="P712" s="2">
        <v>278196</v>
      </c>
      <c r="Q712" s="2">
        <v>10702</v>
      </c>
      <c r="R712" s="2">
        <v>203415</v>
      </c>
      <c r="S712" s="2">
        <v>1345534</v>
      </c>
      <c r="T712" s="10">
        <f t="shared" si="38"/>
        <v>643055</v>
      </c>
      <c r="U712" s="8">
        <f t="shared" si="36"/>
        <v>0.47791806078478877</v>
      </c>
      <c r="V712" s="9" t="s">
        <v>5268</v>
      </c>
      <c r="W712" s="9" t="str">
        <f t="shared" si="37"/>
        <v>Leigh MB</v>
      </c>
      <c r="X712" s="9" t="str">
        <f>INDEX(Lookup!$A$2:$A$1349, MATCH(W712, Lookup!$B$2:$B$1349,0))</f>
        <v>J04000732</v>
      </c>
      <c r="Y712" s="9" t="str">
        <f>INDEX(Lookup!$F$2:$F$1349, MATCH(W712, Lookup!$B$2:$B$1349,0))</f>
        <v>e200632</v>
      </c>
      <c r="Z712" s="6" t="str">
        <f>INDEX(Lookup!$C$2:$C$1300, MATCH(X712, Lookup!$A$2:$A$1300,0))</f>
        <v>Greater Manchester</v>
      </c>
    </row>
    <row r="713" spans="1:26" ht="28.15" customHeight="1" x14ac:dyDescent="0.2">
      <c r="A713" s="6" t="s">
        <v>639</v>
      </c>
      <c r="B713" s="1" t="s">
        <v>5409</v>
      </c>
      <c r="C713" s="2">
        <v>5876</v>
      </c>
      <c r="D713" s="2">
        <v>438439</v>
      </c>
      <c r="E713" s="2">
        <v>6310</v>
      </c>
      <c r="F713" s="2">
        <v>822528</v>
      </c>
      <c r="G713" s="2">
        <v>491</v>
      </c>
      <c r="H713" s="2">
        <v>121790</v>
      </c>
      <c r="I713" s="2">
        <v>649</v>
      </c>
      <c r="J713" s="2">
        <v>182600</v>
      </c>
      <c r="K713" s="2">
        <v>159</v>
      </c>
      <c r="L713" s="2">
        <v>14632</v>
      </c>
      <c r="M713" s="2">
        <v>1203</v>
      </c>
      <c r="N713" s="2">
        <v>147949</v>
      </c>
      <c r="O713" s="2">
        <v>81</v>
      </c>
      <c r="P713" s="2">
        <v>48826</v>
      </c>
      <c r="Q713" s="2">
        <v>19532</v>
      </c>
      <c r="R713" s="2">
        <v>146084</v>
      </c>
      <c r="S713" s="2">
        <v>19455380</v>
      </c>
      <c r="T713" s="10">
        <f t="shared" si="38"/>
        <v>1382757</v>
      </c>
      <c r="U713" s="8">
        <f t="shared" si="36"/>
        <v>7.1073245549560071E-2</v>
      </c>
      <c r="V713" s="9" t="s">
        <v>5268</v>
      </c>
      <c r="W713" s="9" t="str">
        <f t="shared" si="37"/>
        <v>Lytham St. Annes MB</v>
      </c>
      <c r="X713" s="9" t="str">
        <f>INDEX(Lookup!$A$2:$A$1349, MATCH(W713, Lookup!$B$2:$B$1349,0))</f>
        <v>J04000799</v>
      </c>
      <c r="Y713" s="9" t="str">
        <f>INDEX(Lookup!$F$2:$F$1349, MATCH(W713, Lookup!$B$2:$B$1349,0))</f>
        <v>e200639</v>
      </c>
      <c r="Z713" s="6" t="str">
        <f>INDEX(Lookup!$C$2:$C$1300, MATCH(X713, Lookup!$A$2:$A$1300,0))</f>
        <v>Lancashire</v>
      </c>
    </row>
    <row r="714" spans="1:26" ht="28.15" customHeight="1" x14ac:dyDescent="0.2">
      <c r="A714" s="6" t="s">
        <v>640</v>
      </c>
      <c r="B714" s="1" t="s">
        <v>640</v>
      </c>
      <c r="C714" s="2">
        <v>17251</v>
      </c>
      <c r="D714" s="2">
        <v>881922</v>
      </c>
      <c r="E714" s="2">
        <v>543</v>
      </c>
      <c r="F714" s="2">
        <v>65513</v>
      </c>
      <c r="G714" s="2">
        <v>2</v>
      </c>
      <c r="H714" s="2">
        <v>436</v>
      </c>
      <c r="I714" s="2">
        <v>588</v>
      </c>
      <c r="J714" s="2">
        <v>110005</v>
      </c>
      <c r="K714" s="2">
        <v>83</v>
      </c>
      <c r="L714" s="2">
        <v>20375</v>
      </c>
      <c r="M714" s="2">
        <v>1893</v>
      </c>
      <c r="N714" s="2">
        <v>55184</v>
      </c>
      <c r="O714" s="2">
        <v>100</v>
      </c>
      <c r="P714" s="2">
        <v>220855</v>
      </c>
      <c r="Q714" s="2">
        <v>4785</v>
      </c>
      <c r="R714" s="2">
        <v>188337</v>
      </c>
      <c r="S714" s="2">
        <v>1547412</v>
      </c>
      <c r="T714" s="10">
        <f t="shared" si="38"/>
        <v>947871</v>
      </c>
      <c r="U714" s="8">
        <f t="shared" si="36"/>
        <v>0.6125524424006018</v>
      </c>
      <c r="V714" s="9" t="s">
        <v>5268</v>
      </c>
      <c r="W714" s="9" t="str">
        <f t="shared" si="37"/>
        <v>Middleton MB</v>
      </c>
      <c r="X714" s="9" t="str">
        <f>INDEX(Lookup!$A$2:$A$1349, MATCH(W714, Lookup!$B$2:$B$1349,0))</f>
        <v>J04000853</v>
      </c>
      <c r="Y714" s="9" t="str">
        <f>INDEX(Lookup!$F$2:$F$1349, MATCH(W714, Lookup!$B$2:$B$1349,0))</f>
        <v>e200640</v>
      </c>
      <c r="Z714" s="6" t="str">
        <f>INDEX(Lookup!$C$2:$C$1300, MATCH(X714, Lookup!$A$2:$A$1300,0))</f>
        <v>Greater Manchester</v>
      </c>
    </row>
    <row r="715" spans="1:26" ht="28.15" customHeight="1" x14ac:dyDescent="0.2">
      <c r="A715" s="6" t="s">
        <v>641</v>
      </c>
      <c r="B715" s="1" t="s">
        <v>5376</v>
      </c>
      <c r="C715" s="2">
        <v>11694</v>
      </c>
      <c r="D715" s="2">
        <v>807427</v>
      </c>
      <c r="E715" s="2">
        <v>1630</v>
      </c>
      <c r="F715" s="2">
        <v>195202</v>
      </c>
      <c r="G715" s="2">
        <v>28</v>
      </c>
      <c r="H715" s="2">
        <v>6512</v>
      </c>
      <c r="I715" s="2">
        <v>966</v>
      </c>
      <c r="J715" s="2">
        <v>168810</v>
      </c>
      <c r="K715" s="2">
        <v>102</v>
      </c>
      <c r="L715" s="2">
        <v>9185</v>
      </c>
      <c r="M715" s="2">
        <v>1646</v>
      </c>
      <c r="N715" s="2">
        <v>218849</v>
      </c>
      <c r="O715" s="2">
        <v>57</v>
      </c>
      <c r="P715" s="2">
        <v>97700</v>
      </c>
      <c r="Q715" s="2">
        <v>3137</v>
      </c>
      <c r="R715" s="2">
        <v>175288</v>
      </c>
      <c r="S715" s="2">
        <v>1682110</v>
      </c>
      <c r="T715" s="10">
        <f t="shared" si="38"/>
        <v>1009141</v>
      </c>
      <c r="U715" s="8">
        <f t="shared" si="36"/>
        <v>0.59992568856971307</v>
      </c>
      <c r="V715" s="9" t="s">
        <v>5268</v>
      </c>
      <c r="W715" s="9" t="str">
        <f t="shared" si="37"/>
        <v>Morecambe and Heysham MB</v>
      </c>
      <c r="X715" s="9" t="str">
        <f>INDEX(Lookup!$A$2:$A$1349, MATCH(W715, Lookup!$B$2:$B$1349,0))</f>
        <v>J04000868</v>
      </c>
      <c r="Y715" s="9" t="str">
        <f>INDEX(Lookup!$F$2:$F$1349, MATCH(W715, Lookup!$B$2:$B$1349,0))</f>
        <v>e200642</v>
      </c>
      <c r="Z715" s="6" t="str">
        <f>INDEX(Lookup!$C$2:$C$1300, MATCH(X715, Lookup!$A$2:$A$1300,0))</f>
        <v>Lancashire</v>
      </c>
    </row>
    <row r="716" spans="1:26" ht="28.15" customHeight="1" x14ac:dyDescent="0.2">
      <c r="A716" s="6" t="s">
        <v>642</v>
      </c>
      <c r="B716" s="1" t="s">
        <v>642</v>
      </c>
      <c r="C716" s="2">
        <v>3620</v>
      </c>
      <c r="D716" s="2">
        <v>120485</v>
      </c>
      <c r="E716" s="2">
        <v>27</v>
      </c>
      <c r="F716" s="2">
        <v>3235</v>
      </c>
      <c r="G716" s="2">
        <v>2</v>
      </c>
      <c r="H716" s="2">
        <v>472</v>
      </c>
      <c r="I716" s="2">
        <v>205</v>
      </c>
      <c r="J716" s="2">
        <v>14055</v>
      </c>
      <c r="K716" s="2">
        <v>18</v>
      </c>
      <c r="L716" s="2">
        <v>657</v>
      </c>
      <c r="M716" s="2">
        <v>544</v>
      </c>
      <c r="N716" s="2">
        <v>18223</v>
      </c>
      <c r="O716" s="2">
        <v>54</v>
      </c>
      <c r="P716" s="2">
        <v>83590</v>
      </c>
      <c r="Q716" s="2">
        <v>358</v>
      </c>
      <c r="R716" s="2">
        <v>35693</v>
      </c>
      <c r="S716" s="2">
        <v>276768</v>
      </c>
      <c r="T716" s="10">
        <f t="shared" si="38"/>
        <v>124192</v>
      </c>
      <c r="U716" s="8">
        <f t="shared" si="36"/>
        <v>0.44872239565267663</v>
      </c>
      <c r="V716" s="9" t="s">
        <v>5268</v>
      </c>
      <c r="W716" s="9" t="str">
        <f t="shared" si="37"/>
        <v>Mossley MB</v>
      </c>
      <c r="X716" s="9" t="str">
        <f>INDEX(Lookup!$A$2:$A$1349, MATCH(W716, Lookup!$B$2:$B$1349,0))</f>
        <v>J04000872</v>
      </c>
      <c r="Y716" s="9" t="str">
        <f>INDEX(Lookup!$F$2:$F$1349, MATCH(W716, Lookup!$B$2:$B$1349,0))</f>
        <v>e200643</v>
      </c>
      <c r="Z716" s="6" t="str">
        <f>INDEX(Lookup!$C$2:$C$1300, MATCH(X716, Lookup!$A$2:$A$1300,0))</f>
        <v>Greater Manchester</v>
      </c>
    </row>
    <row r="717" spans="1:26" ht="28.15" customHeight="1" x14ac:dyDescent="0.2">
      <c r="A717" s="6" t="s">
        <v>643</v>
      </c>
      <c r="B717" s="1" t="s">
        <v>643</v>
      </c>
      <c r="C717" s="2">
        <v>12014</v>
      </c>
      <c r="D717" s="2">
        <v>391301</v>
      </c>
      <c r="E717" s="2">
        <v>43</v>
      </c>
      <c r="F717" s="2">
        <v>5504</v>
      </c>
      <c r="I717" s="2">
        <v>906</v>
      </c>
      <c r="J717" s="2">
        <v>78184</v>
      </c>
      <c r="K717" s="2">
        <v>109</v>
      </c>
      <c r="L717" s="2">
        <v>5915</v>
      </c>
      <c r="M717" s="2">
        <v>2436</v>
      </c>
      <c r="N717" s="2">
        <v>45304</v>
      </c>
      <c r="O717" s="2">
        <v>180</v>
      </c>
      <c r="P717" s="2">
        <v>223875</v>
      </c>
      <c r="Q717" s="2">
        <v>8103</v>
      </c>
      <c r="R717" s="2">
        <v>98476</v>
      </c>
      <c r="S717" s="2">
        <v>856662</v>
      </c>
      <c r="T717" s="10">
        <f>SUM(D717+F717)</f>
        <v>396805</v>
      </c>
      <c r="U717" s="8">
        <f t="shared" si="36"/>
        <v>0.46319902131762586</v>
      </c>
      <c r="V717" s="9" t="s">
        <v>5268</v>
      </c>
      <c r="W717" s="9" t="str">
        <f t="shared" si="37"/>
        <v>Nelson MB</v>
      </c>
      <c r="X717" s="9" t="str">
        <f>INDEX(Lookup!$A$2:$A$1349, MATCH(W717, Lookup!$B$2:$B$1349,0))</f>
        <v>J04000884</v>
      </c>
      <c r="Y717" s="9" t="str">
        <f>INDEX(Lookup!$F$2:$F$1349, MATCH(W717, Lookup!$B$2:$B$1349,0))</f>
        <v>e200644</v>
      </c>
      <c r="Z717" s="6" t="str">
        <f>INDEX(Lookup!$C$2:$C$1300, MATCH(X717, Lookup!$A$2:$A$1300,0))</f>
        <v>Lancashire</v>
      </c>
    </row>
    <row r="718" spans="1:26" ht="28.15" customHeight="1" x14ac:dyDescent="0.2">
      <c r="A718" s="6" t="s">
        <v>644</v>
      </c>
      <c r="B718" s="1" t="s">
        <v>644</v>
      </c>
      <c r="C718" s="2">
        <v>9056</v>
      </c>
      <c r="D718" s="2">
        <v>583518</v>
      </c>
      <c r="E718" s="2">
        <v>1515</v>
      </c>
      <c r="F718" s="2">
        <v>189587</v>
      </c>
      <c r="G718" s="2">
        <v>54</v>
      </c>
      <c r="H718" s="2">
        <v>12544</v>
      </c>
      <c r="I718" s="2">
        <v>456</v>
      </c>
      <c r="J718" s="2">
        <v>70466</v>
      </c>
      <c r="K718" s="2">
        <v>50</v>
      </c>
      <c r="L718" s="2">
        <v>6073</v>
      </c>
      <c r="M718" s="2">
        <v>766</v>
      </c>
      <c r="N718" s="2">
        <v>37879</v>
      </c>
      <c r="O718" s="2">
        <v>21</v>
      </c>
      <c r="P718" s="2">
        <v>39551</v>
      </c>
      <c r="Q718" s="2">
        <v>20888</v>
      </c>
      <c r="R718" s="2">
        <v>92025</v>
      </c>
      <c r="S718" s="2">
        <v>1052531</v>
      </c>
      <c r="T718" s="10">
        <f t="shared" si="38"/>
        <v>785649</v>
      </c>
      <c r="U718" s="8">
        <f t="shared" si="36"/>
        <v>0.74643787213868285</v>
      </c>
      <c r="V718" s="9" t="s">
        <v>5268</v>
      </c>
      <c r="W718" s="9" t="str">
        <f t="shared" si="37"/>
        <v>Prestwich MB</v>
      </c>
      <c r="X718" s="9" t="str">
        <f>INDEX(Lookup!$A$2:$A$1349, MATCH(W718, Lookup!$B$2:$B$1349,0))</f>
        <v>J04001021</v>
      </c>
      <c r="Y718" s="9" t="str">
        <f>INDEX(Lookup!$F$2:$F$1349, MATCH(W718, Lookup!$B$2:$B$1349,0))</f>
        <v>e200653</v>
      </c>
      <c r="Z718" s="6" t="str">
        <f>INDEX(Lookup!$C$2:$C$1300, MATCH(X718, Lookup!$A$2:$A$1300,0))</f>
        <v>Greater Manchester</v>
      </c>
    </row>
    <row r="719" spans="1:26" ht="28.15" customHeight="1" x14ac:dyDescent="0.2">
      <c r="A719" s="6" t="s">
        <v>645</v>
      </c>
      <c r="B719" s="1" t="s">
        <v>645</v>
      </c>
      <c r="C719" s="2">
        <v>9421</v>
      </c>
      <c r="D719" s="2">
        <v>362886</v>
      </c>
      <c r="E719" s="2">
        <v>255</v>
      </c>
      <c r="F719" s="2">
        <v>31876</v>
      </c>
      <c r="G719" s="2">
        <v>28</v>
      </c>
      <c r="H719" s="2">
        <v>7773</v>
      </c>
      <c r="I719" s="2">
        <v>499</v>
      </c>
      <c r="J719" s="2">
        <v>35776</v>
      </c>
      <c r="K719" s="2">
        <v>54</v>
      </c>
      <c r="L719" s="2">
        <v>3913</v>
      </c>
      <c r="M719" s="2">
        <v>1473</v>
      </c>
      <c r="N719" s="2">
        <v>43761</v>
      </c>
      <c r="O719" s="2">
        <v>186</v>
      </c>
      <c r="P719" s="2">
        <v>275136</v>
      </c>
      <c r="Q719" s="2">
        <v>3123</v>
      </c>
      <c r="R719" s="2">
        <v>88782</v>
      </c>
      <c r="S719" s="2">
        <v>853026</v>
      </c>
      <c r="T719" s="10">
        <f t="shared" si="38"/>
        <v>402535</v>
      </c>
      <c r="U719" s="8">
        <f t="shared" si="36"/>
        <v>0.47189065749461329</v>
      </c>
      <c r="V719" s="9" t="s">
        <v>5268</v>
      </c>
      <c r="W719" s="9" t="str">
        <f t="shared" si="37"/>
        <v>Radcliffe MB</v>
      </c>
      <c r="X719" s="9" t="str">
        <f>INDEX(Lookup!$A$2:$A$1349, MATCH(W719, Lookup!$B$2:$B$1349,0))</f>
        <v>J04001027</v>
      </c>
      <c r="Y719" s="9" t="str">
        <f>INDEX(Lookup!$F$2:$F$1349, MATCH(W719, Lookup!$B$2:$B$1349,0))</f>
        <v>e200654</v>
      </c>
      <c r="Z719" s="6" t="str">
        <f>INDEX(Lookup!$C$2:$C$1300, MATCH(X719, Lookup!$A$2:$A$1300,0))</f>
        <v>Greater Manchester</v>
      </c>
    </row>
    <row r="720" spans="1:26" ht="28.15" customHeight="1" x14ac:dyDescent="0.2">
      <c r="A720" s="6" t="s">
        <v>646</v>
      </c>
      <c r="B720" s="1" t="s">
        <v>646</v>
      </c>
      <c r="C720" s="2">
        <v>8583</v>
      </c>
      <c r="D720" s="2">
        <v>277386</v>
      </c>
      <c r="E720" s="2">
        <v>105</v>
      </c>
      <c r="F720" s="2">
        <v>13118</v>
      </c>
      <c r="G720" s="2">
        <v>13</v>
      </c>
      <c r="H720" s="2">
        <v>3130</v>
      </c>
      <c r="I720" s="2">
        <v>551</v>
      </c>
      <c r="J720" s="2">
        <v>35518</v>
      </c>
      <c r="K720" s="2">
        <v>60</v>
      </c>
      <c r="L720" s="2">
        <v>3075</v>
      </c>
      <c r="M720" s="2">
        <v>1483</v>
      </c>
      <c r="N720" s="2">
        <v>35101</v>
      </c>
      <c r="O720" s="2">
        <v>136</v>
      </c>
      <c r="P720" s="2">
        <v>134129</v>
      </c>
      <c r="Q720" s="2">
        <v>5542</v>
      </c>
      <c r="R720" s="2">
        <v>87821</v>
      </c>
      <c r="S720" s="2">
        <v>594820</v>
      </c>
      <c r="T720" s="10">
        <f t="shared" si="38"/>
        <v>293634</v>
      </c>
      <c r="U720" s="8">
        <f t="shared" si="36"/>
        <v>0.49365186106721359</v>
      </c>
      <c r="V720" s="9" t="s">
        <v>5268</v>
      </c>
      <c r="W720" s="9" t="str">
        <f t="shared" si="37"/>
        <v>Rawtenstall MB</v>
      </c>
      <c r="X720" s="9" t="str">
        <f>INDEX(Lookup!$A$2:$A$1349, MATCH(W720, Lookup!$B$2:$B$1349,0))</f>
        <v>J04001034</v>
      </c>
      <c r="Y720" s="9" t="str">
        <f>INDEX(Lookup!$F$2:$F$1349, MATCH(W720, Lookup!$B$2:$B$1349,0))</f>
        <v>e200657</v>
      </c>
      <c r="Z720" s="6" t="str">
        <f>INDEX(Lookup!$C$2:$C$1300, MATCH(X720, Lookup!$A$2:$A$1300,0))</f>
        <v>Lancashire</v>
      </c>
    </row>
    <row r="721" spans="1:26" ht="28.15" customHeight="1" x14ac:dyDescent="0.2">
      <c r="A721" s="6" t="s">
        <v>647</v>
      </c>
      <c r="B721" s="1" t="s">
        <v>647</v>
      </c>
      <c r="C721" s="2">
        <v>17302</v>
      </c>
      <c r="D721" s="2">
        <v>1004282</v>
      </c>
      <c r="E721" s="2">
        <v>1122</v>
      </c>
      <c r="F721" s="2">
        <v>127053</v>
      </c>
      <c r="G721" s="2">
        <v>7</v>
      </c>
      <c r="H721" s="2">
        <v>1626</v>
      </c>
      <c r="I721" s="2">
        <v>861</v>
      </c>
      <c r="J721" s="2">
        <v>177942</v>
      </c>
      <c r="K721" s="2">
        <v>169</v>
      </c>
      <c r="L721" s="2">
        <v>29436</v>
      </c>
      <c r="M721" s="2">
        <v>1106</v>
      </c>
      <c r="N721" s="2">
        <v>321278</v>
      </c>
      <c r="O721" s="2">
        <v>211</v>
      </c>
      <c r="P721" s="2">
        <v>1413927</v>
      </c>
      <c r="Q721" s="2">
        <v>12855</v>
      </c>
      <c r="R721" s="2">
        <v>350169</v>
      </c>
      <c r="S721" s="2">
        <v>3438568</v>
      </c>
      <c r="T721" s="10">
        <f t="shared" si="38"/>
        <v>1132961</v>
      </c>
      <c r="U721" s="8">
        <f t="shared" si="36"/>
        <v>0.32948628615167708</v>
      </c>
      <c r="V721" s="9" t="s">
        <v>5268</v>
      </c>
      <c r="W721" s="9" t="str">
        <f t="shared" si="37"/>
        <v>Stretford MB</v>
      </c>
      <c r="X721" s="9" t="str">
        <f>INDEX(Lookup!$A$2:$A$1349, MATCH(W721, Lookup!$B$2:$B$1349,0))</f>
        <v>J04001224</v>
      </c>
      <c r="Y721" s="9" t="str">
        <f>INDEX(Lookup!$F$2:$F$1349, MATCH(W721, Lookup!$B$2:$B$1349,0))</f>
        <v>e200663</v>
      </c>
      <c r="Z721" s="6" t="str">
        <f>INDEX(Lookup!$C$2:$C$1300, MATCH(X721, Lookup!$A$2:$A$1300,0))</f>
        <v>Greater Manchester</v>
      </c>
    </row>
    <row r="722" spans="1:26" ht="28.15" customHeight="1" x14ac:dyDescent="0.2">
      <c r="A722" s="6" t="s">
        <v>648</v>
      </c>
      <c r="B722" s="1" t="s">
        <v>5377</v>
      </c>
      <c r="C722" s="2">
        <v>13686</v>
      </c>
      <c r="D722" s="2">
        <v>717544</v>
      </c>
      <c r="E722" s="2">
        <v>212</v>
      </c>
      <c r="F722" s="2">
        <v>25313</v>
      </c>
      <c r="G722" s="2">
        <v>13</v>
      </c>
      <c r="H722" s="2">
        <v>3207</v>
      </c>
      <c r="I722" s="2">
        <v>619</v>
      </c>
      <c r="J722" s="2">
        <v>65377</v>
      </c>
      <c r="K722" s="2">
        <v>55</v>
      </c>
      <c r="L722" s="2">
        <v>11124</v>
      </c>
      <c r="M722" s="2">
        <v>1215</v>
      </c>
      <c r="N722" s="2">
        <v>62184</v>
      </c>
      <c r="O722" s="2">
        <v>64</v>
      </c>
      <c r="P722" s="2">
        <v>280647</v>
      </c>
      <c r="Q722" s="2">
        <v>7922</v>
      </c>
      <c r="R722" s="2">
        <v>307324</v>
      </c>
      <c r="S722" s="2">
        <v>1480642</v>
      </c>
      <c r="T722" s="10">
        <f t="shared" si="38"/>
        <v>746064</v>
      </c>
      <c r="U722" s="8">
        <f t="shared" si="36"/>
        <v>0.50387872287831903</v>
      </c>
      <c r="V722" s="9" t="s">
        <v>5268</v>
      </c>
      <c r="W722" s="9" t="str">
        <f t="shared" si="37"/>
        <v>Swinton and Pendlebury MB</v>
      </c>
      <c r="X722" s="9" t="str">
        <f>INDEX(Lookup!$A$2:$A$1349, MATCH(W722, Lookup!$B$2:$B$1349,0))</f>
        <v>J04001245</v>
      </c>
      <c r="Y722" s="9" t="str">
        <f>INDEX(Lookup!$F$2:$F$1349, MATCH(W722, Lookup!$B$2:$B$1349,0))</f>
        <v>e200664</v>
      </c>
      <c r="Z722" s="6" t="str">
        <f>INDEX(Lookup!$C$2:$C$1300, MATCH(X722, Lookup!$A$2:$A$1300,0))</f>
        <v>Greater Manchester</v>
      </c>
    </row>
    <row r="723" spans="1:26" ht="28.15" customHeight="1" x14ac:dyDescent="0.2">
      <c r="A723" s="6" t="s">
        <v>649</v>
      </c>
      <c r="B723" s="1" t="s">
        <v>649</v>
      </c>
      <c r="C723" s="2">
        <v>14734</v>
      </c>
      <c r="D723" s="2">
        <v>732970</v>
      </c>
      <c r="E723" s="2">
        <v>387</v>
      </c>
      <c r="F723" s="2">
        <v>45434</v>
      </c>
      <c r="G723" s="2">
        <v>2</v>
      </c>
      <c r="H723" s="2">
        <v>436</v>
      </c>
      <c r="I723" s="2">
        <v>684</v>
      </c>
      <c r="J723" s="2">
        <v>118471</v>
      </c>
      <c r="K723" s="2">
        <v>84</v>
      </c>
      <c r="L723" s="2">
        <v>7155</v>
      </c>
      <c r="M723" s="2">
        <v>1107</v>
      </c>
      <c r="N723" s="2">
        <v>59584</v>
      </c>
      <c r="O723" s="2">
        <v>82</v>
      </c>
      <c r="P723" s="2">
        <v>678410</v>
      </c>
      <c r="Q723" s="2">
        <v>5316</v>
      </c>
      <c r="R723" s="2">
        <v>211387</v>
      </c>
      <c r="S723" s="2">
        <v>1859163</v>
      </c>
      <c r="T723" s="10">
        <f t="shared" si="38"/>
        <v>778840</v>
      </c>
      <c r="U723" s="8">
        <f t="shared" si="36"/>
        <v>0.41891969665919554</v>
      </c>
      <c r="V723" s="9" t="s">
        <v>5268</v>
      </c>
      <c r="W723" s="9" t="str">
        <f t="shared" si="37"/>
        <v>Widnes MB</v>
      </c>
      <c r="X723" s="9" t="str">
        <f>INDEX(Lookup!$A$2:$A$1349, MATCH(W723, Lookup!$B$2:$B$1349,0))</f>
        <v>J04001408</v>
      </c>
      <c r="Y723" s="9" t="str">
        <f>INDEX(Lookup!$F$2:$F$1349, MATCH(W723, Lookup!$B$2:$B$1349,0))</f>
        <v>e200678</v>
      </c>
      <c r="Z723" s="6" t="str">
        <f>INDEX(Lookup!$C$2:$C$1300, MATCH(X723, Lookup!$A$2:$A$1300,0))</f>
        <v>Cheshire</v>
      </c>
    </row>
    <row r="724" spans="1:26" ht="28.15" customHeight="1" x14ac:dyDescent="0.2">
      <c r="A724" s="6" t="s">
        <v>179</v>
      </c>
      <c r="B724" s="1" t="s">
        <v>179</v>
      </c>
      <c r="T724" s="10"/>
      <c r="W724" s="9" t="str">
        <f t="shared" si="37"/>
        <v xml:space="preserve">Urban Districts-- </v>
      </c>
      <c r="X724" s="9" t="e">
        <f>INDEX(Lookup!$A$2:$A$1349, MATCH(W724, Lookup!$B$2:$B$1349,0))</f>
        <v>#N/A</v>
      </c>
      <c r="Y724" s="9" t="e">
        <f>INDEX(Lookup!$F$2:$F$1349, MATCH(W724, Lookup!$B$2:$B$1349,0))</f>
        <v>#N/A</v>
      </c>
      <c r="Z724" s="6" t="e">
        <f>INDEX(Lookup!$C$2:$C$1300, MATCH(X724, Lookup!$A$2:$A$1300,0))</f>
        <v>#N/A</v>
      </c>
    </row>
    <row r="725" spans="1:26" ht="28.15" customHeight="1" x14ac:dyDescent="0.2">
      <c r="A725" s="6" t="s">
        <v>650</v>
      </c>
      <c r="B725" s="1" t="s">
        <v>650</v>
      </c>
      <c r="C725" s="2">
        <v>1890</v>
      </c>
      <c r="D725" s="2">
        <v>71215</v>
      </c>
      <c r="E725" s="2">
        <v>7</v>
      </c>
      <c r="F725" s="2">
        <v>806</v>
      </c>
      <c r="I725" s="2">
        <v>58</v>
      </c>
      <c r="J725" s="2">
        <v>2771</v>
      </c>
      <c r="K725" s="2">
        <v>5</v>
      </c>
      <c r="L725" s="2">
        <v>165</v>
      </c>
      <c r="M725" s="2">
        <v>317</v>
      </c>
      <c r="N725" s="2">
        <v>5466</v>
      </c>
      <c r="O725" s="2">
        <v>5</v>
      </c>
      <c r="P725" s="2">
        <v>4502</v>
      </c>
      <c r="Q725" s="2">
        <v>713</v>
      </c>
      <c r="R725" s="2">
        <v>22349</v>
      </c>
      <c r="S725" s="2">
        <v>107987</v>
      </c>
      <c r="T725" s="10">
        <f>SUM(D725+F725)</f>
        <v>72021</v>
      </c>
      <c r="U725" s="8">
        <f t="shared" si="36"/>
        <v>0.66694139109337236</v>
      </c>
      <c r="V725" s="9" t="s">
        <v>5270</v>
      </c>
      <c r="W725" s="9" t="str">
        <f t="shared" si="37"/>
        <v>Abram UD</v>
      </c>
      <c r="X725" s="9" t="str">
        <f>INDEX(Lookup!$A$2:$A$1349, MATCH(W725, Lookup!$B$2:$B$1349,0))</f>
        <v>J04000013</v>
      </c>
      <c r="Y725" s="9" t="str">
        <f>INDEX(Lookup!$F$2:$F$1349, MATCH(W725, Lookup!$B$2:$B$1349,0))</f>
        <v>e200579</v>
      </c>
      <c r="Z725" s="6" t="str">
        <f>INDEX(Lookup!$C$2:$C$1300, MATCH(X725, Lookup!$A$2:$A$1300,0))</f>
        <v>Greater Manchester</v>
      </c>
    </row>
    <row r="726" spans="1:26" ht="28.15" customHeight="1" x14ac:dyDescent="0.2">
      <c r="A726" s="6" t="s">
        <v>651</v>
      </c>
      <c r="B726" s="1" t="s">
        <v>5325</v>
      </c>
      <c r="C726" s="2">
        <v>1467</v>
      </c>
      <c r="D726" s="2">
        <v>58755</v>
      </c>
      <c r="E726" s="2">
        <v>8</v>
      </c>
      <c r="F726" s="2">
        <v>1051</v>
      </c>
      <c r="I726" s="2">
        <v>93</v>
      </c>
      <c r="J726" s="2">
        <v>5322</v>
      </c>
      <c r="K726" s="2">
        <v>4</v>
      </c>
      <c r="L726" s="2">
        <v>1777</v>
      </c>
      <c r="M726" s="2">
        <v>156</v>
      </c>
      <c r="N726" s="2">
        <v>6322</v>
      </c>
      <c r="O726" s="2">
        <v>5</v>
      </c>
      <c r="P726" s="2">
        <v>21415</v>
      </c>
      <c r="Q726" s="2">
        <v>16</v>
      </c>
      <c r="R726" s="2">
        <v>9103</v>
      </c>
      <c r="S726" s="2">
        <v>103761</v>
      </c>
      <c r="T726" s="10">
        <f>SUM(D726+F726)</f>
        <v>59806</v>
      </c>
      <c r="U726" s="8">
        <f t="shared" si="36"/>
        <v>0.57638226308535967</v>
      </c>
      <c r="V726" s="9" t="s">
        <v>5270</v>
      </c>
      <c r="W726" s="9" t="str">
        <f t="shared" si="37"/>
        <v>Adlington UD</v>
      </c>
      <c r="X726" s="9" t="str">
        <f>INDEX(Lookup!$A$2:$A$1349, MATCH(W726, Lookup!$B$2:$B$1349,0))</f>
        <v>J04000016</v>
      </c>
      <c r="Y726" s="9" t="str">
        <f>INDEX(Lookup!$F$2:$F$1349, MATCH(W726, Lookup!$B$2:$B$1349,0))</f>
        <v>e200581</v>
      </c>
      <c r="Z726" s="6" t="str">
        <f>INDEX(Lookup!$C$2:$C$1300, MATCH(X726, Lookup!$A$2:$A$1300,0))</f>
        <v>Lancashire</v>
      </c>
    </row>
    <row r="727" spans="1:26" ht="28.15" customHeight="1" x14ac:dyDescent="0.2">
      <c r="A727" s="6" t="s">
        <v>652</v>
      </c>
      <c r="B727" s="1" t="s">
        <v>5414</v>
      </c>
      <c r="C727" s="2">
        <v>6318</v>
      </c>
      <c r="D727" s="2">
        <v>302504</v>
      </c>
      <c r="E727" s="2">
        <v>118</v>
      </c>
      <c r="F727" s="2">
        <v>14087</v>
      </c>
      <c r="G727" s="2">
        <v>2</v>
      </c>
      <c r="H727" s="2">
        <v>508</v>
      </c>
      <c r="I727" s="2">
        <v>285</v>
      </c>
      <c r="J727" s="2">
        <v>28990</v>
      </c>
      <c r="K727" s="2">
        <v>28</v>
      </c>
      <c r="L727" s="2">
        <v>2835</v>
      </c>
      <c r="M727" s="2">
        <v>633</v>
      </c>
      <c r="N727" s="2">
        <v>20598</v>
      </c>
      <c r="O727" s="2">
        <v>32</v>
      </c>
      <c r="P727" s="2">
        <v>37338</v>
      </c>
      <c r="Q727" s="2">
        <v>3361</v>
      </c>
      <c r="R727" s="2">
        <v>59422</v>
      </c>
      <c r="S727" s="2">
        <v>469643</v>
      </c>
      <c r="T727" s="10">
        <f t="shared" si="38"/>
        <v>317099</v>
      </c>
      <c r="U727" s="8">
        <f t="shared" si="36"/>
        <v>0.67519158169077365</v>
      </c>
      <c r="V727" s="9" t="s">
        <v>5270</v>
      </c>
      <c r="W727" s="9" t="str">
        <f t="shared" si="37"/>
        <v>Ashton in Makerfield UD</v>
      </c>
      <c r="X727" s="9" t="str">
        <f>INDEX(Lookup!$A$2:$A$1349, MATCH(W727, Lookup!$B$2:$B$1349,0))</f>
        <v>J04000056</v>
      </c>
      <c r="Y727" s="9" t="str">
        <f>INDEX(Lookup!$F$2:$F$1349, MATCH(W727, Lookup!$B$2:$B$1349,0))</f>
        <v>e200582</v>
      </c>
      <c r="Z727" s="6" t="str">
        <f>INDEX(Lookup!$C$2:$C$1300, MATCH(X727, Lookup!$A$2:$A$1300,0))</f>
        <v>Greater Manchester</v>
      </c>
    </row>
    <row r="728" spans="1:26" ht="28.15" customHeight="1" x14ac:dyDescent="0.2">
      <c r="A728" s="6" t="s">
        <v>653</v>
      </c>
      <c r="B728" s="1" t="s">
        <v>653</v>
      </c>
      <c r="C728" s="2">
        <v>2081</v>
      </c>
      <c r="D728" s="2">
        <v>77927</v>
      </c>
      <c r="E728" s="2">
        <v>17</v>
      </c>
      <c r="F728" s="2">
        <v>2052</v>
      </c>
      <c r="G728" s="2">
        <v>2</v>
      </c>
      <c r="H728" s="2">
        <v>416</v>
      </c>
      <c r="I728" s="2">
        <v>76</v>
      </c>
      <c r="J728" s="2">
        <v>4633</v>
      </c>
      <c r="K728" s="2">
        <v>5</v>
      </c>
      <c r="L728" s="2">
        <v>1207</v>
      </c>
      <c r="M728" s="2">
        <v>204</v>
      </c>
      <c r="N728" s="2">
        <v>7647</v>
      </c>
      <c r="O728" s="2">
        <v>3</v>
      </c>
      <c r="P728" s="2">
        <v>7900</v>
      </c>
      <c r="Q728" s="2">
        <v>97</v>
      </c>
      <c r="R728" s="2">
        <v>20422</v>
      </c>
      <c r="S728" s="2">
        <v>122301</v>
      </c>
      <c r="T728" s="10">
        <f t="shared" si="38"/>
        <v>80395</v>
      </c>
      <c r="U728" s="8">
        <f t="shared" si="36"/>
        <v>0.65735357846624309</v>
      </c>
      <c r="V728" s="9" t="s">
        <v>5270</v>
      </c>
      <c r="W728" s="9" t="str">
        <f t="shared" si="37"/>
        <v>Aspull UD</v>
      </c>
      <c r="X728" s="9" t="str">
        <f>INDEX(Lookup!$A$2:$A$1349, MATCH(W728, Lookup!$B$2:$B$1349,0))</f>
        <v>J04000058</v>
      </c>
      <c r="Y728" s="9" t="str">
        <f>INDEX(Lookup!$F$2:$F$1349, MATCH(W728, Lookup!$B$2:$B$1349,0))</f>
        <v>e200585</v>
      </c>
      <c r="Z728" s="6" t="str">
        <f>INDEX(Lookup!$C$2:$C$1300, MATCH(X728, Lookup!$A$2:$A$1300,0))</f>
        <v>Greater Manchester</v>
      </c>
    </row>
    <row r="729" spans="1:26" ht="28.15" customHeight="1" x14ac:dyDescent="0.2">
      <c r="A729" s="6" t="s">
        <v>654</v>
      </c>
      <c r="B729" s="1" t="s">
        <v>654</v>
      </c>
      <c r="C729" s="2">
        <v>6510</v>
      </c>
      <c r="D729" s="2">
        <v>249714</v>
      </c>
      <c r="E729" s="2">
        <v>25</v>
      </c>
      <c r="F729" s="2">
        <v>3019</v>
      </c>
      <c r="I729" s="2">
        <v>316</v>
      </c>
      <c r="J729" s="2">
        <v>27303</v>
      </c>
      <c r="K729" s="2">
        <v>31</v>
      </c>
      <c r="L729" s="2">
        <v>2979</v>
      </c>
      <c r="M729" s="2">
        <v>1043</v>
      </c>
      <c r="N729" s="2">
        <v>32135</v>
      </c>
      <c r="O729" s="2">
        <v>41</v>
      </c>
      <c r="P729" s="2">
        <v>91260</v>
      </c>
      <c r="Q729" s="2">
        <v>3127</v>
      </c>
      <c r="R729" s="2">
        <v>86263</v>
      </c>
      <c r="S729" s="2">
        <v>495800</v>
      </c>
      <c r="T729" s="10">
        <f>SUM(D729+F729)</f>
        <v>252733</v>
      </c>
      <c r="U729" s="8">
        <f t="shared" si="36"/>
        <v>0.50974788221056877</v>
      </c>
      <c r="V729" s="9" t="s">
        <v>5270</v>
      </c>
      <c r="W729" s="9" t="str">
        <f t="shared" si="37"/>
        <v>Atherton UD</v>
      </c>
      <c r="X729" s="9" t="str">
        <f>INDEX(Lookup!$A$2:$A$1349, MATCH(W729, Lookup!$B$2:$B$1349,0))</f>
        <v>J04000061</v>
      </c>
      <c r="Y729" s="9" t="str">
        <f>INDEX(Lookup!$F$2:$F$1349, MATCH(W729, Lookup!$B$2:$B$1349,0))</f>
        <v>e200586</v>
      </c>
      <c r="Z729" s="6" t="str">
        <f>INDEX(Lookup!$C$2:$C$1300, MATCH(X729, Lookup!$A$2:$A$1300,0))</f>
        <v>Greater Manchester</v>
      </c>
    </row>
    <row r="730" spans="1:26" ht="28.15" customHeight="1" x14ac:dyDescent="0.2">
      <c r="A730" s="6" t="s">
        <v>655</v>
      </c>
      <c r="B730" s="1" t="s">
        <v>655</v>
      </c>
      <c r="C730" s="2">
        <v>4006</v>
      </c>
      <c r="D730" s="2">
        <v>216222</v>
      </c>
      <c r="E730" s="2">
        <v>217</v>
      </c>
      <c r="F730" s="2">
        <v>25989</v>
      </c>
      <c r="G730" s="2">
        <v>6</v>
      </c>
      <c r="H730" s="2">
        <v>1352</v>
      </c>
      <c r="I730" s="2">
        <v>163</v>
      </c>
      <c r="J730" s="2">
        <v>10009</v>
      </c>
      <c r="K730" s="2">
        <v>8</v>
      </c>
      <c r="L730" s="2">
        <v>3092</v>
      </c>
      <c r="M730" s="2">
        <v>409</v>
      </c>
      <c r="N730" s="2">
        <v>26748</v>
      </c>
      <c r="O730" s="2">
        <v>57</v>
      </c>
      <c r="P730" s="2">
        <v>101943</v>
      </c>
      <c r="Q730" s="2">
        <v>3740</v>
      </c>
      <c r="R730" s="2">
        <v>61599</v>
      </c>
      <c r="S730" s="2">
        <v>450694</v>
      </c>
      <c r="T730" s="10">
        <f t="shared" si="38"/>
        <v>243563</v>
      </c>
      <c r="U730" s="8">
        <f t="shared" si="36"/>
        <v>0.5404176669758195</v>
      </c>
      <c r="V730" s="9" t="s">
        <v>5270</v>
      </c>
      <c r="W730" s="9" t="str">
        <f t="shared" si="37"/>
        <v>Audenshaw UD</v>
      </c>
      <c r="X730" s="9" t="str">
        <f>INDEX(Lookup!$A$2:$A$1349, MATCH(W730, Lookup!$B$2:$B$1349,0))</f>
        <v>J04000062</v>
      </c>
      <c r="Y730" s="9" t="str">
        <f>INDEX(Lookup!$F$2:$F$1349, MATCH(W730, Lookup!$B$2:$B$1349,0))</f>
        <v>e200587</v>
      </c>
      <c r="Z730" s="6" t="str">
        <f>INDEX(Lookup!$C$2:$C$1300, MATCH(X730, Lookup!$A$2:$A$1300,0))</f>
        <v>Greater Manchester</v>
      </c>
    </row>
    <row r="731" spans="1:26" ht="28.15" customHeight="1" x14ac:dyDescent="0.2">
      <c r="A731" s="6" t="s">
        <v>656</v>
      </c>
      <c r="B731" s="1" t="s">
        <v>656</v>
      </c>
      <c r="C731" s="2">
        <v>1827</v>
      </c>
      <c r="D731" s="2">
        <v>60578</v>
      </c>
      <c r="E731" s="2">
        <v>61</v>
      </c>
      <c r="F731" s="2">
        <v>8336</v>
      </c>
      <c r="G731" s="2">
        <v>15</v>
      </c>
      <c r="H731" s="2">
        <v>3765</v>
      </c>
      <c r="I731" s="2">
        <v>86</v>
      </c>
      <c r="J731" s="2">
        <v>3334</v>
      </c>
      <c r="K731" s="2">
        <v>4</v>
      </c>
      <c r="L731" s="2">
        <v>272</v>
      </c>
      <c r="M731" s="2">
        <v>327</v>
      </c>
      <c r="N731" s="2">
        <v>6580</v>
      </c>
      <c r="O731" s="2">
        <v>29</v>
      </c>
      <c r="P731" s="2">
        <v>28677</v>
      </c>
      <c r="Q731" s="2">
        <v>264</v>
      </c>
      <c r="R731" s="2">
        <v>8591</v>
      </c>
      <c r="S731" s="2">
        <v>120397</v>
      </c>
      <c r="T731" s="10">
        <f t="shared" si="38"/>
        <v>72679</v>
      </c>
      <c r="U731" s="8">
        <f t="shared" si="36"/>
        <v>0.6036612207945381</v>
      </c>
      <c r="V731" s="9" t="s">
        <v>5270</v>
      </c>
      <c r="W731" s="9" t="str">
        <f t="shared" si="37"/>
        <v>Barrowford UD</v>
      </c>
      <c r="X731" s="9" t="str">
        <f>INDEX(Lookup!$A$2:$A$1349, MATCH(W731, Lookup!$B$2:$B$1349,0))</f>
        <v>J04000091</v>
      </c>
      <c r="Y731" s="9" t="str">
        <f>INDEX(Lookup!$F$2:$F$1349, MATCH(W731, Lookup!$B$2:$B$1349,0))</f>
        <v>e200589</v>
      </c>
      <c r="Z731" s="6" t="str">
        <f>INDEX(Lookup!$C$2:$C$1300, MATCH(X731, Lookup!$A$2:$A$1300,0))</f>
        <v>Lancashire</v>
      </c>
    </row>
    <row r="732" spans="1:26" ht="28.15" customHeight="1" x14ac:dyDescent="0.2">
      <c r="A732" s="6" t="s">
        <v>657</v>
      </c>
      <c r="B732" s="1" t="s">
        <v>5378</v>
      </c>
      <c r="C732" s="2">
        <v>2284</v>
      </c>
      <c r="D732" s="2">
        <v>127340</v>
      </c>
      <c r="E732" s="2">
        <v>134</v>
      </c>
      <c r="F732" s="2">
        <v>16406</v>
      </c>
      <c r="G732" s="2">
        <v>3</v>
      </c>
      <c r="H732" s="2">
        <v>650</v>
      </c>
      <c r="I732" s="2">
        <v>44</v>
      </c>
      <c r="J732" s="2">
        <v>4149</v>
      </c>
      <c r="K732" s="2">
        <v>4</v>
      </c>
      <c r="L732" s="2">
        <v>790</v>
      </c>
      <c r="M732" s="2">
        <v>179</v>
      </c>
      <c r="N732" s="2">
        <v>5016</v>
      </c>
      <c r="O732" s="2">
        <v>2</v>
      </c>
      <c r="P732" s="2">
        <v>342</v>
      </c>
      <c r="Q732" s="2">
        <v>4455</v>
      </c>
      <c r="R732" s="2">
        <v>38925</v>
      </c>
      <c r="S732" s="2">
        <v>198073</v>
      </c>
      <c r="T732" s="10">
        <f t="shared" si="38"/>
        <v>144396</v>
      </c>
      <c r="U732" s="8">
        <f t="shared" si="36"/>
        <v>0.72900395308800292</v>
      </c>
      <c r="V732" s="9" t="s">
        <v>5270</v>
      </c>
      <c r="W732" s="9" t="str">
        <f t="shared" si="37"/>
        <v>Billinge and Winstanley UD</v>
      </c>
      <c r="X732" s="9" t="str">
        <f>INDEX(Lookup!$A$2:$A$1349, MATCH(W732, Lookup!$B$2:$B$1349,0))</f>
        <v>J04000144</v>
      </c>
      <c r="Y732" s="9" t="str">
        <f>INDEX(Lookup!$F$2:$F$1349, MATCH(W732, Lookup!$B$2:$B$1349,0))</f>
        <v>e200590</v>
      </c>
      <c r="Z732" s="6" t="str">
        <f>INDEX(Lookup!$C$2:$C$1300, MATCH(X732, Lookup!$A$2:$A$1300,0))</f>
        <v>Greater Manchester</v>
      </c>
    </row>
    <row r="733" spans="1:26" ht="28.15" customHeight="1" x14ac:dyDescent="0.2">
      <c r="A733" s="6" t="s">
        <v>658</v>
      </c>
      <c r="B733" s="1" t="s">
        <v>658</v>
      </c>
      <c r="C733" s="2">
        <v>1292</v>
      </c>
      <c r="D733" s="2">
        <v>58964</v>
      </c>
      <c r="E733" s="2">
        <v>15</v>
      </c>
      <c r="F733" s="2">
        <v>2042</v>
      </c>
      <c r="G733" s="2">
        <v>2</v>
      </c>
      <c r="H733" s="2">
        <v>698</v>
      </c>
      <c r="I733" s="2">
        <v>44</v>
      </c>
      <c r="J733" s="2">
        <v>3285</v>
      </c>
      <c r="K733" s="2">
        <v>3</v>
      </c>
      <c r="L733" s="2">
        <v>72</v>
      </c>
      <c r="M733" s="2">
        <v>113</v>
      </c>
      <c r="N733" s="2">
        <v>5104</v>
      </c>
      <c r="O733" s="2">
        <v>3</v>
      </c>
      <c r="P733" s="2">
        <v>8765</v>
      </c>
      <c r="Q733" s="2" t="s">
        <v>5467</v>
      </c>
      <c r="R733" s="2">
        <v>19417</v>
      </c>
      <c r="S733" s="2">
        <v>98347</v>
      </c>
      <c r="T733" s="10">
        <f t="shared" si="38"/>
        <v>61704</v>
      </c>
      <c r="U733" s="8">
        <f t="shared" si="36"/>
        <v>0.62741110557515734</v>
      </c>
      <c r="V733" s="9" t="s">
        <v>5270</v>
      </c>
      <c r="W733" s="9" t="str">
        <f t="shared" si="37"/>
        <v>Blackrod UD</v>
      </c>
      <c r="X733" s="9" t="str">
        <f>INDEX(Lookup!$A$2:$A$1349, MATCH(W733, Lookup!$B$2:$B$1349,0))</f>
        <v>J04000158</v>
      </c>
      <c r="Y733" s="9" t="str">
        <f>INDEX(Lookup!$F$2:$F$1349, MATCH(W733, Lookup!$B$2:$B$1349,0))</f>
        <v>e200592</v>
      </c>
      <c r="Z733" s="6" t="str">
        <f>INDEX(Lookup!$C$2:$C$1300, MATCH(X733, Lookup!$A$2:$A$1300,0))</f>
        <v>Greater Manchester</v>
      </c>
    </row>
    <row r="734" spans="1:26" ht="28.15" customHeight="1" x14ac:dyDescent="0.2">
      <c r="A734" s="6" t="s">
        <v>659</v>
      </c>
      <c r="B734" s="1" t="s">
        <v>659</v>
      </c>
      <c r="C734" s="2">
        <v>2568</v>
      </c>
      <c r="D734" s="2">
        <v>89397</v>
      </c>
      <c r="E734" s="2">
        <v>26</v>
      </c>
      <c r="F734" s="2">
        <v>3118</v>
      </c>
      <c r="G734" s="2">
        <v>5</v>
      </c>
      <c r="H734" s="2">
        <v>1118</v>
      </c>
      <c r="I734" s="2">
        <v>166</v>
      </c>
      <c r="J734" s="2">
        <v>8018</v>
      </c>
      <c r="K734" s="2">
        <v>13</v>
      </c>
      <c r="L734" s="2">
        <v>485</v>
      </c>
      <c r="M734" s="2">
        <v>572</v>
      </c>
      <c r="N734" s="2">
        <v>9199</v>
      </c>
      <c r="O734" s="2">
        <v>23</v>
      </c>
      <c r="P734" s="2">
        <v>37064</v>
      </c>
      <c r="Q734" s="2">
        <v>45</v>
      </c>
      <c r="R734" s="2">
        <v>129219</v>
      </c>
      <c r="S734" s="2">
        <v>177663</v>
      </c>
      <c r="T734" s="10">
        <f t="shared" si="38"/>
        <v>93633</v>
      </c>
      <c r="U734" s="8">
        <f t="shared" si="36"/>
        <v>0.5270258860877054</v>
      </c>
      <c r="V734" s="9" t="s">
        <v>5270</v>
      </c>
      <c r="W734" s="9" t="str">
        <f t="shared" si="37"/>
        <v>Brierfield UD</v>
      </c>
      <c r="X734" s="9" t="str">
        <f>INDEX(Lookup!$A$2:$A$1349, MATCH(W734, Lookup!$B$2:$B$1349,0))</f>
        <v>J04000207</v>
      </c>
      <c r="Y734" s="9" t="str">
        <f>INDEX(Lookup!$F$2:$F$1349, MATCH(W734, Lookup!$B$2:$B$1349,0))</f>
        <v>e200593</v>
      </c>
      <c r="Z734" s="6" t="str">
        <f>INDEX(Lookup!$C$2:$C$1300, MATCH(X734, Lookup!$A$2:$A$1300,0))</f>
        <v>Lancashire</v>
      </c>
    </row>
    <row r="735" spans="1:26" ht="28.15" customHeight="1" x14ac:dyDescent="0.2">
      <c r="A735" s="6" t="s">
        <v>660</v>
      </c>
      <c r="B735" s="1" t="s">
        <v>660</v>
      </c>
      <c r="C735" s="2">
        <v>1304</v>
      </c>
      <c r="D735" s="2">
        <v>58290</v>
      </c>
      <c r="E735" s="2">
        <v>5</v>
      </c>
      <c r="F735" s="2">
        <v>538</v>
      </c>
      <c r="I735" s="2">
        <v>81</v>
      </c>
      <c r="J735" s="2">
        <v>7933</v>
      </c>
      <c r="K735" s="2">
        <v>6</v>
      </c>
      <c r="L735" s="2">
        <v>390</v>
      </c>
      <c r="M735" s="2">
        <v>213</v>
      </c>
      <c r="N735" s="2">
        <v>5849</v>
      </c>
      <c r="O735" s="2">
        <v>9</v>
      </c>
      <c r="P735" s="2">
        <v>2345</v>
      </c>
      <c r="Q735" s="2">
        <v>903</v>
      </c>
      <c r="R735" s="2">
        <v>29323</v>
      </c>
      <c r="S735" s="2">
        <v>105571</v>
      </c>
      <c r="T735" s="10">
        <f>SUM(D735+F735)</f>
        <v>58828</v>
      </c>
      <c r="U735" s="8">
        <f t="shared" si="36"/>
        <v>0.55723636225857476</v>
      </c>
      <c r="V735" s="9" t="s">
        <v>5270</v>
      </c>
      <c r="W735" s="9" t="str">
        <f t="shared" si="37"/>
        <v>Carnforth UD</v>
      </c>
      <c r="X735" s="9" t="str">
        <f>INDEX(Lookup!$A$2:$A$1349, MATCH(W735, Lookup!$B$2:$B$1349,0))</f>
        <v>J04000269</v>
      </c>
      <c r="Y735" s="9" t="str">
        <f>INDEX(Lookup!$F$2:$F$1349, MATCH(W735, Lookup!$B$2:$B$1349,0))</f>
        <v>e200594</v>
      </c>
      <c r="Z735" s="6" t="str">
        <f>INDEX(Lookup!$C$2:$C$1300, MATCH(X735, Lookup!$A$2:$A$1300,0))</f>
        <v>Lancashire</v>
      </c>
    </row>
    <row r="736" spans="1:26" ht="28.15" customHeight="1" x14ac:dyDescent="0.2">
      <c r="A736" s="6" t="s">
        <v>661</v>
      </c>
      <c r="B736" s="1" t="s">
        <v>661</v>
      </c>
      <c r="C736" s="2">
        <v>11422</v>
      </c>
      <c r="D736" s="2">
        <v>509157</v>
      </c>
      <c r="E736" s="2">
        <v>150</v>
      </c>
      <c r="F736" s="2">
        <v>16766</v>
      </c>
      <c r="G736" s="2">
        <v>4</v>
      </c>
      <c r="H736" s="2">
        <v>964</v>
      </c>
      <c r="I736" s="2">
        <v>433</v>
      </c>
      <c r="J736" s="2">
        <v>29705</v>
      </c>
      <c r="K736" s="2">
        <v>26</v>
      </c>
      <c r="L736" s="2">
        <v>2208</v>
      </c>
      <c r="M736" s="2">
        <v>1433</v>
      </c>
      <c r="N736" s="2">
        <v>89786</v>
      </c>
      <c r="O736" s="2">
        <v>130</v>
      </c>
      <c r="P736" s="2">
        <v>389609</v>
      </c>
      <c r="Q736" s="2">
        <v>10104</v>
      </c>
      <c r="R736" s="2">
        <v>256334</v>
      </c>
      <c r="S736" s="2">
        <v>1304633</v>
      </c>
      <c r="T736" s="10">
        <f t="shared" si="38"/>
        <v>526887</v>
      </c>
      <c r="U736" s="8">
        <f t="shared" si="36"/>
        <v>0.40385840309113752</v>
      </c>
      <c r="V736" s="9" t="s">
        <v>5270</v>
      </c>
      <c r="W736" s="9" t="str">
        <f t="shared" si="37"/>
        <v>Chadderton UD</v>
      </c>
      <c r="X736" s="9" t="str">
        <f>INDEX(Lookup!$A$2:$A$1349, MATCH(W736, Lookup!$B$2:$B$1349,0))</f>
        <v>J04000277</v>
      </c>
      <c r="Y736" s="9" t="str">
        <f>INDEX(Lookup!$F$2:$F$1349, MATCH(W736, Lookup!$B$2:$B$1349,0))</f>
        <v>e200595</v>
      </c>
      <c r="Z736" s="6" t="str">
        <f>INDEX(Lookup!$C$2:$C$1300, MATCH(X736, Lookup!$A$2:$A$1300,0))</f>
        <v>Greater Manchester</v>
      </c>
    </row>
    <row r="737" spans="1:26" ht="28.15" customHeight="1" x14ac:dyDescent="0.2">
      <c r="A737" s="6" t="s">
        <v>662</v>
      </c>
      <c r="B737" s="1" t="s">
        <v>662</v>
      </c>
      <c r="C737" s="2">
        <v>1984</v>
      </c>
      <c r="D737" s="2">
        <v>65903</v>
      </c>
      <c r="E737" s="2">
        <v>4</v>
      </c>
      <c r="F737" s="2">
        <v>443</v>
      </c>
      <c r="I737" s="2">
        <v>123</v>
      </c>
      <c r="J737" s="2">
        <v>5700</v>
      </c>
      <c r="K737" s="2">
        <v>7</v>
      </c>
      <c r="L737" s="2">
        <v>223</v>
      </c>
      <c r="M737" s="2">
        <v>323</v>
      </c>
      <c r="N737" s="2">
        <v>8228</v>
      </c>
      <c r="O737" s="2">
        <v>25</v>
      </c>
      <c r="P737" s="2">
        <v>40151</v>
      </c>
      <c r="Q737" s="2">
        <v>105</v>
      </c>
      <c r="R737" s="2">
        <v>20062</v>
      </c>
      <c r="S737" s="2">
        <v>140815</v>
      </c>
      <c r="T737" s="10">
        <f>SUM(D737+F737)</f>
        <v>66346</v>
      </c>
      <c r="U737" s="8">
        <f t="shared" si="36"/>
        <v>0.47115719206050494</v>
      </c>
      <c r="V737" s="9" t="s">
        <v>5270</v>
      </c>
      <c r="W737" s="9" t="str">
        <f t="shared" si="37"/>
        <v>Church UD</v>
      </c>
      <c r="X737" s="9" t="str">
        <f>INDEX(Lookup!$A$2:$A$1349, MATCH(W737, Lookup!$B$2:$B$1349,0))</f>
        <v>J04000318</v>
      </c>
      <c r="Y737" s="9" t="str">
        <f>INDEX(Lookup!$F$2:$F$1349, MATCH(W737, Lookup!$B$2:$B$1349,0))</f>
        <v>e200598</v>
      </c>
      <c r="Z737" s="6" t="str">
        <f>INDEX(Lookup!$C$2:$C$1300, MATCH(X737, Lookup!$A$2:$A$1300,0))</f>
        <v>Lancashire</v>
      </c>
    </row>
    <row r="738" spans="1:26" ht="28.15" customHeight="1" x14ac:dyDescent="0.2">
      <c r="A738" s="6" t="s">
        <v>663</v>
      </c>
      <c r="B738" s="1" t="s">
        <v>5415</v>
      </c>
      <c r="C738" s="2">
        <v>2279</v>
      </c>
      <c r="D738" s="2">
        <v>70957</v>
      </c>
      <c r="E738" s="2">
        <v>7</v>
      </c>
      <c r="F738" s="2">
        <v>862</v>
      </c>
      <c r="G738" s="2">
        <v>1</v>
      </c>
      <c r="H738" s="2">
        <v>218</v>
      </c>
      <c r="I738" s="2">
        <v>160</v>
      </c>
      <c r="J738" s="2">
        <v>7011</v>
      </c>
      <c r="K738" s="2">
        <v>6</v>
      </c>
      <c r="L738" s="2">
        <v>314</v>
      </c>
      <c r="M738" s="2">
        <v>463</v>
      </c>
      <c r="N738" s="2">
        <v>12180</v>
      </c>
      <c r="O738" s="2">
        <v>35</v>
      </c>
      <c r="P738" s="2">
        <v>120866</v>
      </c>
      <c r="Q738" s="2">
        <v>81</v>
      </c>
      <c r="R738" s="2">
        <v>17626</v>
      </c>
      <c r="S738" s="2">
        <v>230115</v>
      </c>
      <c r="T738" s="10">
        <f t="shared" si="38"/>
        <v>72037</v>
      </c>
      <c r="U738" s="8">
        <f t="shared" si="36"/>
        <v>0.31304782391412989</v>
      </c>
      <c r="V738" s="9" t="s">
        <v>5270</v>
      </c>
      <c r="W738" s="9" t="str">
        <f t="shared" si="37"/>
        <v>Clayton le Moors UD</v>
      </c>
      <c r="X738" s="9" t="str">
        <f>INDEX(Lookup!$A$2:$A$1349, MATCH(W738, Lookup!$B$2:$B$1349,0))</f>
        <v>J04000325</v>
      </c>
      <c r="Y738" s="9" t="str">
        <f>INDEX(Lookup!$F$2:$F$1349, MATCH(W738, Lookup!$B$2:$B$1349,0))</f>
        <v>e200599</v>
      </c>
      <c r="Z738" s="6" t="str">
        <f>INDEX(Lookup!$C$2:$C$1300, MATCH(X738, Lookup!$A$2:$A$1300,0))</f>
        <v>Lancashire</v>
      </c>
    </row>
    <row r="739" spans="1:26" ht="28.15" customHeight="1" x14ac:dyDescent="0.2">
      <c r="A739" s="6" t="s">
        <v>664</v>
      </c>
      <c r="B739" s="1" t="s">
        <v>664</v>
      </c>
      <c r="C739" s="2">
        <v>4833</v>
      </c>
      <c r="D739" s="2">
        <v>191898</v>
      </c>
      <c r="E739" s="2">
        <v>68</v>
      </c>
      <c r="F739" s="2">
        <v>7997</v>
      </c>
      <c r="G739" s="2">
        <v>1</v>
      </c>
      <c r="H739" s="2">
        <v>226</v>
      </c>
      <c r="I739" s="2">
        <v>260</v>
      </c>
      <c r="J739" s="2">
        <v>21916</v>
      </c>
      <c r="K739" s="2">
        <v>11</v>
      </c>
      <c r="L739" s="2">
        <v>363</v>
      </c>
      <c r="M739" s="2">
        <v>783</v>
      </c>
      <c r="N739" s="2">
        <v>18219</v>
      </c>
      <c r="O739" s="2">
        <v>63</v>
      </c>
      <c r="P739" s="2">
        <v>162889</v>
      </c>
      <c r="Q739" s="2">
        <v>1568</v>
      </c>
      <c r="R739" s="2">
        <v>38199</v>
      </c>
      <c r="S739" s="2">
        <v>443275</v>
      </c>
      <c r="T739" s="10">
        <f t="shared" si="38"/>
        <v>200121</v>
      </c>
      <c r="U739" s="8">
        <f t="shared" si="36"/>
        <v>0.45146015453161131</v>
      </c>
      <c r="V739" s="9" t="s">
        <v>5270</v>
      </c>
      <c r="W739" s="9" t="str">
        <f t="shared" si="37"/>
        <v>Crompton UD</v>
      </c>
      <c r="X739" s="9" t="str">
        <f>INDEX(Lookup!$A$2:$A$1349, MATCH(W739, Lookup!$B$2:$B$1349,0))</f>
        <v>J04000368</v>
      </c>
      <c r="Y739" s="9" t="str">
        <f>INDEX(Lookup!$F$2:$F$1349, MATCH(W739, Lookup!$B$2:$B$1349,0))</f>
        <v>e200602</v>
      </c>
      <c r="Z739" s="6" t="str">
        <f>INDEX(Lookup!$C$2:$C$1300, MATCH(X739, Lookup!$A$2:$A$1300,0))</f>
        <v>Greater Manchester</v>
      </c>
    </row>
    <row r="740" spans="1:26" ht="28.15" customHeight="1" x14ac:dyDescent="0.2">
      <c r="A740" s="6" t="s">
        <v>665</v>
      </c>
      <c r="B740" s="1" t="s">
        <v>5416</v>
      </c>
      <c r="C740" s="2">
        <v>3275</v>
      </c>
      <c r="D740" s="2">
        <v>118439</v>
      </c>
      <c r="E740" s="2">
        <v>13</v>
      </c>
      <c r="F740" s="2">
        <v>1840</v>
      </c>
      <c r="I740" s="2">
        <v>175</v>
      </c>
      <c r="J740" s="2">
        <v>11387</v>
      </c>
      <c r="K740" s="2">
        <v>9</v>
      </c>
      <c r="L740" s="2">
        <v>411</v>
      </c>
      <c r="M740" s="2">
        <v>443</v>
      </c>
      <c r="N740" s="2">
        <v>9439</v>
      </c>
      <c r="O740" s="2">
        <v>16</v>
      </c>
      <c r="P740" s="2">
        <v>64527</v>
      </c>
      <c r="Q740" s="2">
        <v>405</v>
      </c>
      <c r="R740" s="2">
        <v>27849</v>
      </c>
      <c r="S740" s="2">
        <v>234297</v>
      </c>
      <c r="T740" s="10">
        <f>SUM(D740+F740)</f>
        <v>120279</v>
      </c>
      <c r="U740" s="8">
        <f t="shared" si="36"/>
        <v>0.51336124662287608</v>
      </c>
      <c r="V740" s="9" t="s">
        <v>5270</v>
      </c>
      <c r="W740" s="9" t="str">
        <f t="shared" si="37"/>
        <v>Dalton in Furness UD</v>
      </c>
      <c r="X740" s="9" t="str">
        <f>INDEX(Lookup!$A$2:$A$1349, MATCH(W740, Lookup!$B$2:$B$1349,0))</f>
        <v>J04000378</v>
      </c>
      <c r="Y740" s="9" t="str">
        <f>INDEX(Lookup!$F$2:$F$1349, MATCH(W740, Lookup!$B$2:$B$1349,0))</f>
        <v>e200604</v>
      </c>
      <c r="Z740" s="6" t="str">
        <f>INDEX(Lookup!$C$2:$C$1300, MATCH(X740, Lookup!$A$2:$A$1300,0))</f>
        <v>Cumbria</v>
      </c>
    </row>
    <row r="741" spans="1:26" ht="28.15" customHeight="1" x14ac:dyDescent="0.2">
      <c r="A741" s="6" t="s">
        <v>666</v>
      </c>
      <c r="B741" s="1" t="s">
        <v>666</v>
      </c>
      <c r="C741" s="2">
        <v>10618</v>
      </c>
      <c r="D741" s="2">
        <v>586248</v>
      </c>
      <c r="E741" s="2">
        <v>436</v>
      </c>
      <c r="F741" s="2">
        <v>50212</v>
      </c>
      <c r="G741" s="2">
        <v>3</v>
      </c>
      <c r="H741" s="2">
        <v>662</v>
      </c>
      <c r="I741" s="2">
        <v>409</v>
      </c>
      <c r="J741" s="2">
        <v>53123</v>
      </c>
      <c r="K741" s="2">
        <v>35</v>
      </c>
      <c r="L741" s="2">
        <v>8179</v>
      </c>
      <c r="M741" s="2">
        <v>906</v>
      </c>
      <c r="N741" s="2">
        <v>32070</v>
      </c>
      <c r="O741" s="2">
        <v>99</v>
      </c>
      <c r="P741" s="2">
        <v>154342</v>
      </c>
      <c r="Q741" s="2">
        <v>3739</v>
      </c>
      <c r="R741" s="2">
        <v>135620</v>
      </c>
      <c r="S741" s="2">
        <v>1024195</v>
      </c>
      <c r="T741" s="10">
        <f t="shared" si="38"/>
        <v>637122</v>
      </c>
      <c r="U741" s="8">
        <f t="shared" si="36"/>
        <v>0.62207099234032581</v>
      </c>
      <c r="V741" s="9" t="s">
        <v>5270</v>
      </c>
      <c r="W741" s="9" t="str">
        <f t="shared" si="37"/>
        <v>Denton UD</v>
      </c>
      <c r="X741" s="9" t="str">
        <f>INDEX(Lookup!$A$2:$A$1349, MATCH(W741, Lookup!$B$2:$B$1349,0))</f>
        <v>J04000398</v>
      </c>
      <c r="Y741" s="9" t="str">
        <f>INDEX(Lookup!$F$2:$F$1349, MATCH(W741, Lookup!$B$2:$B$1349,0))</f>
        <v>e200606</v>
      </c>
      <c r="Z741" s="6" t="str">
        <f>INDEX(Lookup!$C$2:$C$1300, MATCH(X741, Lookup!$A$2:$A$1300,0))</f>
        <v>Greater Manchester</v>
      </c>
    </row>
    <row r="742" spans="1:26" ht="28.15" customHeight="1" x14ac:dyDescent="0.2">
      <c r="A742" s="6" t="s">
        <v>667</v>
      </c>
      <c r="B742" s="1" t="s">
        <v>667</v>
      </c>
      <c r="C742" s="2">
        <v>8398</v>
      </c>
      <c r="D742" s="2">
        <v>418563</v>
      </c>
      <c r="E742" s="2">
        <v>41</v>
      </c>
      <c r="F742" s="2">
        <v>4631</v>
      </c>
      <c r="I742" s="2">
        <v>366</v>
      </c>
      <c r="J742" s="2">
        <v>35436</v>
      </c>
      <c r="K742" s="2">
        <v>22</v>
      </c>
      <c r="L742" s="2">
        <v>1571</v>
      </c>
      <c r="M742" s="2">
        <v>1020</v>
      </c>
      <c r="N742" s="2">
        <v>38538</v>
      </c>
      <c r="O742" s="2">
        <v>50</v>
      </c>
      <c r="P742" s="2">
        <v>76074</v>
      </c>
      <c r="Q742" s="2">
        <v>560</v>
      </c>
      <c r="R742" s="2">
        <v>60002</v>
      </c>
      <c r="S742" s="2">
        <v>635375</v>
      </c>
      <c r="T742" s="10">
        <f>SUM(D742+F742)</f>
        <v>423194</v>
      </c>
      <c r="U742" s="8">
        <f t="shared" si="36"/>
        <v>0.66605390517410978</v>
      </c>
      <c r="V742" s="9" t="s">
        <v>5270</v>
      </c>
      <c r="W742" s="9" t="str">
        <f t="shared" si="37"/>
        <v>Droylsden UD</v>
      </c>
      <c r="X742" s="9" t="str">
        <f>INDEX(Lookup!$A$2:$A$1349, MATCH(W742, Lookup!$B$2:$B$1349,0))</f>
        <v>J04000432</v>
      </c>
      <c r="Y742" s="9" t="str">
        <f>INDEX(Lookup!$F$2:$F$1349, MATCH(W742, Lookup!$B$2:$B$1349,0))</f>
        <v>e200607</v>
      </c>
      <c r="Z742" s="6" t="str">
        <f>INDEX(Lookup!$C$2:$C$1300, MATCH(X742, Lookup!$A$2:$A$1300,0))</f>
        <v>Greater Manchester</v>
      </c>
    </row>
    <row r="743" spans="1:26" ht="28.15" customHeight="1" x14ac:dyDescent="0.2">
      <c r="A743" s="6" t="s">
        <v>668</v>
      </c>
      <c r="B743" s="1" t="s">
        <v>668</v>
      </c>
      <c r="C743" s="2">
        <v>7095</v>
      </c>
      <c r="D743" s="2">
        <v>341350</v>
      </c>
      <c r="E743" s="2">
        <v>36</v>
      </c>
      <c r="F743" s="2">
        <v>4184</v>
      </c>
      <c r="I743" s="2">
        <v>325</v>
      </c>
      <c r="J743" s="2">
        <v>23399</v>
      </c>
      <c r="K743" s="2">
        <v>4</v>
      </c>
      <c r="L743" s="2">
        <v>252</v>
      </c>
      <c r="M743" s="2">
        <v>768</v>
      </c>
      <c r="N743" s="2">
        <v>53847</v>
      </c>
      <c r="O743" s="2">
        <v>56</v>
      </c>
      <c r="P743" s="2">
        <v>133437</v>
      </c>
      <c r="Q743" s="2">
        <v>875</v>
      </c>
      <c r="R743" s="2">
        <v>49896</v>
      </c>
      <c r="S743" s="2">
        <v>607240</v>
      </c>
      <c r="T743" s="10">
        <f>SUM(D743+F743)</f>
        <v>345534</v>
      </c>
      <c r="U743" s="8">
        <f t="shared" si="36"/>
        <v>0.56902377972465579</v>
      </c>
      <c r="V743" s="9" t="s">
        <v>5270</v>
      </c>
      <c r="W743" s="9" t="str">
        <f t="shared" si="37"/>
        <v>Failsworth UD</v>
      </c>
      <c r="X743" s="9" t="str">
        <f>INDEX(Lookup!$A$2:$A$1349, MATCH(W743, Lookup!$B$2:$B$1349,0))</f>
        <v>J04000489</v>
      </c>
      <c r="Y743" s="9" t="str">
        <f>INDEX(Lookup!$F$2:$F$1349, MATCH(W743, Lookup!$B$2:$B$1349,0))</f>
        <v>e200609</v>
      </c>
      <c r="Z743" s="6" t="str">
        <f>INDEX(Lookup!$C$2:$C$1300, MATCH(X743, Lookup!$A$2:$A$1300,0))</f>
        <v>Greater Manchester</v>
      </c>
    </row>
    <row r="744" spans="1:26" ht="28.15" customHeight="1" x14ac:dyDescent="0.2">
      <c r="A744" s="6" t="s">
        <v>669</v>
      </c>
      <c r="B744" s="1" t="s">
        <v>5326</v>
      </c>
      <c r="C744" s="2">
        <v>2482</v>
      </c>
      <c r="D744" s="2">
        <v>189822</v>
      </c>
      <c r="E744" s="2">
        <v>1517</v>
      </c>
      <c r="F744" s="2">
        <v>182114</v>
      </c>
      <c r="G744" s="2">
        <v>50</v>
      </c>
      <c r="H744" s="2">
        <v>14153</v>
      </c>
      <c r="I744" s="2">
        <v>157</v>
      </c>
      <c r="J744" s="2">
        <v>29363</v>
      </c>
      <c r="K744" s="2">
        <v>23</v>
      </c>
      <c r="L744" s="2">
        <v>2261</v>
      </c>
      <c r="M744" s="2">
        <v>141</v>
      </c>
      <c r="N744" s="2">
        <v>18415</v>
      </c>
      <c r="O744" s="2">
        <v>6</v>
      </c>
      <c r="P744" s="2">
        <v>2095</v>
      </c>
      <c r="Q744" s="2">
        <v>10478</v>
      </c>
      <c r="R744" s="2">
        <v>41397</v>
      </c>
      <c r="S744" s="2">
        <v>490098</v>
      </c>
      <c r="T744" s="10">
        <f t="shared" si="38"/>
        <v>386089</v>
      </c>
      <c r="U744" s="8">
        <f t="shared" si="36"/>
        <v>0.78777917885810589</v>
      </c>
      <c r="V744" s="9" t="s">
        <v>5270</v>
      </c>
      <c r="W744" s="9" t="str">
        <f t="shared" si="37"/>
        <v>Formby UD</v>
      </c>
      <c r="X744" s="9" t="str">
        <f>INDEX(Lookup!$A$2:$A$1349, MATCH(W744, Lookup!$B$2:$B$1349,0))</f>
        <v>J04000513</v>
      </c>
      <c r="Y744" s="9" t="str">
        <f>INDEX(Lookup!$F$2:$F$1349, MATCH(W744, Lookup!$B$2:$B$1349,0))</f>
        <v>e200612</v>
      </c>
      <c r="Z744" s="6" t="str">
        <f>INDEX(Lookup!$C$2:$C$1300, MATCH(X744, Lookup!$A$2:$A$1300,0))</f>
        <v>Merseyside</v>
      </c>
    </row>
    <row r="745" spans="1:26" ht="28.15" customHeight="1" x14ac:dyDescent="0.2">
      <c r="A745" s="6" t="s">
        <v>670</v>
      </c>
      <c r="B745" s="1" t="s">
        <v>670</v>
      </c>
      <c r="C745" s="2">
        <v>3737</v>
      </c>
      <c r="D745" s="2">
        <v>277780</v>
      </c>
      <c r="E745" s="2">
        <v>1457</v>
      </c>
      <c r="F745" s="2">
        <v>177232</v>
      </c>
      <c r="G745" s="2">
        <v>26</v>
      </c>
      <c r="H745" s="2">
        <v>6208</v>
      </c>
      <c r="I745" s="2">
        <v>94</v>
      </c>
      <c r="J745" s="2">
        <v>10760</v>
      </c>
      <c r="K745" s="2">
        <v>13</v>
      </c>
      <c r="L745" s="2">
        <v>1685</v>
      </c>
      <c r="M745" s="2">
        <v>168</v>
      </c>
      <c r="N745" s="2">
        <v>10423</v>
      </c>
      <c r="O745" s="2">
        <v>1</v>
      </c>
      <c r="P745" s="2">
        <v>855</v>
      </c>
      <c r="Q745" s="2">
        <v>11287</v>
      </c>
      <c r="R745" s="2">
        <v>46701</v>
      </c>
      <c r="S745" s="2">
        <v>542931</v>
      </c>
      <c r="T745" s="10">
        <f t="shared" si="38"/>
        <v>461220</v>
      </c>
      <c r="U745" s="8">
        <f t="shared" si="36"/>
        <v>0.84950021273421483</v>
      </c>
      <c r="V745" s="9" t="s">
        <v>5270</v>
      </c>
      <c r="W745" s="9" t="str">
        <f t="shared" si="37"/>
        <v>Fulwood UD</v>
      </c>
      <c r="X745" s="9" t="str">
        <f>INDEX(Lookup!$A$2:$A$1349, MATCH(W745, Lookup!$B$2:$B$1349,0))</f>
        <v>J04000522</v>
      </c>
      <c r="Y745" s="9" t="str">
        <f>INDEX(Lookup!$F$2:$F$1349, MATCH(W745, Lookup!$B$2:$B$1349,0))</f>
        <v>e200613</v>
      </c>
      <c r="Z745" s="6" t="str">
        <f>INDEX(Lookup!$C$2:$C$1300, MATCH(X745, Lookup!$A$2:$A$1300,0))</f>
        <v>Lancashire</v>
      </c>
    </row>
    <row r="746" spans="1:26" ht="28.15" customHeight="1" x14ac:dyDescent="0.2">
      <c r="A746" s="6" t="s">
        <v>671</v>
      </c>
      <c r="B746" s="1" t="s">
        <v>671</v>
      </c>
      <c r="C746" s="2">
        <v>6377</v>
      </c>
      <c r="D746" s="2">
        <v>325076</v>
      </c>
      <c r="E746" s="2">
        <v>561</v>
      </c>
      <c r="F746" s="2">
        <v>66373</v>
      </c>
      <c r="G746" s="2">
        <v>9</v>
      </c>
      <c r="H746" s="2">
        <v>2082</v>
      </c>
      <c r="I746" s="2">
        <v>253</v>
      </c>
      <c r="J746" s="2">
        <v>30974</v>
      </c>
      <c r="K746" s="2">
        <v>18</v>
      </c>
      <c r="L746" s="2">
        <v>3962</v>
      </c>
      <c r="M746" s="2">
        <v>809</v>
      </c>
      <c r="N746" s="2">
        <v>24205</v>
      </c>
      <c r="O746" s="2">
        <v>32</v>
      </c>
      <c r="P746" s="2">
        <v>64295</v>
      </c>
      <c r="Q746" s="2">
        <v>8410</v>
      </c>
      <c r="R746" s="2">
        <v>67338</v>
      </c>
      <c r="S746" s="2">
        <v>592715</v>
      </c>
      <c r="T746" s="10">
        <f t="shared" si="38"/>
        <v>393531</v>
      </c>
      <c r="U746" s="8">
        <f t="shared" si="36"/>
        <v>0.66394641606843086</v>
      </c>
      <c r="V746" s="9" t="s">
        <v>5270</v>
      </c>
      <c r="W746" s="9" t="str">
        <f t="shared" si="37"/>
        <v>Golborne UD</v>
      </c>
      <c r="X746" s="9" t="str">
        <f>INDEX(Lookup!$A$2:$A$1349, MATCH(W746, Lookup!$B$2:$B$1349,0))</f>
        <v>J04000541</v>
      </c>
      <c r="Y746" s="9" t="str">
        <f>INDEX(Lookup!$F$2:$F$1349, MATCH(W746, Lookup!$B$2:$B$1349,0))</f>
        <v>e200615</v>
      </c>
      <c r="Z746" s="6" t="str">
        <f>INDEX(Lookup!$C$2:$C$1300, MATCH(X746, Lookup!$A$2:$A$1300,0))</f>
        <v>Greater Manchester</v>
      </c>
    </row>
    <row r="747" spans="1:26" ht="28.15" customHeight="1" x14ac:dyDescent="0.2">
      <c r="A747" s="6" t="s">
        <v>672</v>
      </c>
      <c r="B747" s="1" t="s">
        <v>672</v>
      </c>
      <c r="C747" s="2">
        <v>815</v>
      </c>
      <c r="D747" s="2">
        <v>56240</v>
      </c>
      <c r="E747" s="2">
        <v>265</v>
      </c>
      <c r="F747" s="2">
        <v>32415</v>
      </c>
      <c r="G747" s="2">
        <v>7</v>
      </c>
      <c r="H747" s="2">
        <v>1546</v>
      </c>
      <c r="I747" s="2">
        <v>82</v>
      </c>
      <c r="J747" s="2">
        <v>12009</v>
      </c>
      <c r="K747" s="2">
        <v>13</v>
      </c>
      <c r="L747" s="2">
        <v>676</v>
      </c>
      <c r="M747" s="2">
        <v>186</v>
      </c>
      <c r="N747" s="2">
        <v>19368</v>
      </c>
      <c r="O747" s="2">
        <v>7</v>
      </c>
      <c r="P747" s="2">
        <v>838</v>
      </c>
      <c r="Q747" s="2">
        <v>774</v>
      </c>
      <c r="R747" s="2">
        <v>12946</v>
      </c>
      <c r="S747" s="2">
        <v>136842</v>
      </c>
      <c r="T747" s="10">
        <f t="shared" si="38"/>
        <v>90201</v>
      </c>
      <c r="U747" s="8">
        <f t="shared" si="36"/>
        <v>0.6591616608935853</v>
      </c>
      <c r="V747" s="9" t="s">
        <v>5270</v>
      </c>
      <c r="W747" s="9" t="str">
        <f t="shared" si="37"/>
        <v>Grange UD</v>
      </c>
      <c r="X747" s="9" t="str">
        <f>INDEX(Lookup!$A$2:$A$1349, MATCH(W747, Lookup!$B$2:$B$1349,0))</f>
        <v>J04000547</v>
      </c>
      <c r="Y747" s="9" t="str">
        <f>INDEX(Lookup!$F$2:$F$1349, MATCH(W747, Lookup!$B$2:$B$1349,0))</f>
        <v>e200617</v>
      </c>
      <c r="Z747" s="6" t="str">
        <f>INDEX(Lookup!$C$2:$C$1300, MATCH(X747, Lookup!$A$2:$A$1300,0))</f>
        <v>Cumbria</v>
      </c>
    </row>
    <row r="748" spans="1:26" ht="28.15" customHeight="1" x14ac:dyDescent="0.2">
      <c r="A748" s="6" t="s">
        <v>673</v>
      </c>
      <c r="B748" s="1" t="s">
        <v>673</v>
      </c>
      <c r="C748" s="2">
        <v>3754</v>
      </c>
      <c r="D748" s="2">
        <v>124626</v>
      </c>
      <c r="E748" s="2">
        <v>52</v>
      </c>
      <c r="F748" s="2">
        <v>6590</v>
      </c>
      <c r="G748" s="2">
        <v>2</v>
      </c>
      <c r="H748" s="2">
        <v>643</v>
      </c>
      <c r="I748" s="2">
        <v>243</v>
      </c>
      <c r="J748" s="2">
        <v>13403</v>
      </c>
      <c r="K748" s="2">
        <v>17</v>
      </c>
      <c r="L748" s="2">
        <v>578</v>
      </c>
      <c r="M748" s="2">
        <v>510</v>
      </c>
      <c r="N748" s="2">
        <v>19118</v>
      </c>
      <c r="O748" s="2">
        <v>46</v>
      </c>
      <c r="P748" s="2">
        <v>68426</v>
      </c>
      <c r="Q748" s="2">
        <v>801</v>
      </c>
      <c r="R748" s="2">
        <v>31153</v>
      </c>
      <c r="S748" s="2">
        <v>265338</v>
      </c>
      <c r="T748" s="10">
        <f t="shared" si="38"/>
        <v>131859</v>
      </c>
      <c r="U748" s="8">
        <f t="shared" si="36"/>
        <v>0.49694728987178616</v>
      </c>
      <c r="V748" s="9" t="s">
        <v>5270</v>
      </c>
      <c r="W748" s="9" t="str">
        <f t="shared" si="37"/>
        <v>Great Harwood UD</v>
      </c>
      <c r="X748" s="9" t="str">
        <f>INDEX(Lookup!$A$2:$A$1349, MATCH(W748, Lookup!$B$2:$B$1349,0))</f>
        <v>J04000550</v>
      </c>
      <c r="Y748" s="9" t="str">
        <f>INDEX(Lookup!$F$2:$F$1349, MATCH(W748, Lookup!$B$2:$B$1349,0))</f>
        <v>e200618</v>
      </c>
      <c r="Z748" s="6" t="str">
        <f>INDEX(Lookup!$C$2:$C$1300, MATCH(X748, Lookup!$A$2:$A$1300,0))</f>
        <v>Lancashire</v>
      </c>
    </row>
    <row r="749" spans="1:26" ht="28.15" customHeight="1" x14ac:dyDescent="0.2">
      <c r="A749" s="6" t="s">
        <v>674</v>
      </c>
      <c r="B749" s="1" t="s">
        <v>674</v>
      </c>
      <c r="C749" s="2">
        <v>3649</v>
      </c>
      <c r="D749" s="2">
        <v>172151</v>
      </c>
      <c r="E749" s="2">
        <v>10</v>
      </c>
      <c r="F749" s="2">
        <v>1282</v>
      </c>
      <c r="G749" s="2" t="s">
        <v>5467</v>
      </c>
      <c r="I749" s="2">
        <v>128</v>
      </c>
      <c r="J749" s="2">
        <v>9860</v>
      </c>
      <c r="K749" s="2">
        <v>19</v>
      </c>
      <c r="L749" s="2">
        <v>3083</v>
      </c>
      <c r="M749" s="2">
        <v>349</v>
      </c>
      <c r="N749" s="2">
        <v>16603</v>
      </c>
      <c r="O749" s="2">
        <v>7</v>
      </c>
      <c r="P749" s="2">
        <v>16682</v>
      </c>
      <c r="Q749" s="2">
        <v>2259</v>
      </c>
      <c r="R749" s="2">
        <v>80645</v>
      </c>
      <c r="S749" s="2">
        <v>302565</v>
      </c>
      <c r="T749" s="10">
        <f>SUM(D749+F749)</f>
        <v>173433</v>
      </c>
      <c r="U749" s="8">
        <f t="shared" si="36"/>
        <v>0.57320906251549253</v>
      </c>
      <c r="V749" s="9" t="s">
        <v>5270</v>
      </c>
      <c r="W749" s="9" t="str">
        <f t="shared" si="37"/>
        <v>Haydock UD</v>
      </c>
      <c r="X749" s="9" t="str">
        <f>INDEX(Lookup!$A$2:$A$1349, MATCH(W749, Lookup!$B$2:$B$1349,0))</f>
        <v>J04000593</v>
      </c>
      <c r="Y749" s="9" t="str">
        <f>INDEX(Lookup!$F$2:$F$1349, MATCH(W749, Lookup!$B$2:$B$1349,0))</f>
        <v>e200620</v>
      </c>
      <c r="Z749" s="6" t="str">
        <f>INDEX(Lookup!$C$2:$C$1300, MATCH(X749, Lookup!$A$2:$A$1300,0))</f>
        <v>Merseyside</v>
      </c>
    </row>
    <row r="750" spans="1:26" ht="28.15" customHeight="1" x14ac:dyDescent="0.2">
      <c r="A750" s="6" t="s">
        <v>675</v>
      </c>
      <c r="B750" s="1" t="s">
        <v>675</v>
      </c>
      <c r="C750" s="2">
        <v>6511</v>
      </c>
      <c r="D750" s="2">
        <v>232670</v>
      </c>
      <c r="E750" s="2">
        <v>21</v>
      </c>
      <c r="F750" s="2">
        <v>2578</v>
      </c>
      <c r="I750" s="2">
        <v>404</v>
      </c>
      <c r="J750" s="2">
        <v>27194</v>
      </c>
      <c r="K750" s="2">
        <v>21</v>
      </c>
      <c r="L750" s="2">
        <v>1438</v>
      </c>
      <c r="M750" s="2">
        <v>815</v>
      </c>
      <c r="N750" s="2">
        <v>19037</v>
      </c>
      <c r="O750" s="2">
        <v>38</v>
      </c>
      <c r="P750" s="2">
        <v>135885</v>
      </c>
      <c r="Q750" s="2">
        <v>5452</v>
      </c>
      <c r="R750" s="2">
        <v>57521</v>
      </c>
      <c r="S750" s="2">
        <v>475775</v>
      </c>
      <c r="T750" s="10">
        <f>SUM(D750+F750)</f>
        <v>235248</v>
      </c>
      <c r="U750" s="8">
        <f t="shared" si="36"/>
        <v>0.49445220955283486</v>
      </c>
      <c r="V750" s="9" t="s">
        <v>5270</v>
      </c>
      <c r="W750" s="9" t="str">
        <f t="shared" si="37"/>
        <v>Hindley UD</v>
      </c>
      <c r="X750" s="9" t="str">
        <f>INDEX(Lookup!$A$2:$A$1349, MATCH(W750, Lookup!$B$2:$B$1349,0))</f>
        <v>J04000625</v>
      </c>
      <c r="Y750" s="9" t="str">
        <f>INDEX(Lookup!$F$2:$F$1349, MATCH(W750, Lookup!$B$2:$B$1349,0))</f>
        <v>e200622</v>
      </c>
      <c r="Z750" s="6" t="str">
        <f>INDEX(Lookup!$C$2:$C$1300, MATCH(X750, Lookup!$A$2:$A$1300,0))</f>
        <v>Greater Manchester</v>
      </c>
    </row>
    <row r="751" spans="1:26" ht="28.15" customHeight="1" x14ac:dyDescent="0.2">
      <c r="A751" s="6" t="s">
        <v>676</v>
      </c>
      <c r="B751" s="1" t="s">
        <v>676</v>
      </c>
      <c r="C751" s="2">
        <v>5315</v>
      </c>
      <c r="D751" s="2">
        <v>226852</v>
      </c>
      <c r="E751" s="2">
        <v>201</v>
      </c>
      <c r="F751" s="2">
        <v>24246</v>
      </c>
      <c r="G751" s="2">
        <v>8</v>
      </c>
      <c r="H751" s="2">
        <v>1848</v>
      </c>
      <c r="I751" s="2">
        <v>307</v>
      </c>
      <c r="J751" s="2">
        <v>20618</v>
      </c>
      <c r="K751" s="2">
        <v>18</v>
      </c>
      <c r="L751" s="2">
        <v>9756</v>
      </c>
      <c r="M751" s="2">
        <v>548</v>
      </c>
      <c r="N751" s="2">
        <v>20120</v>
      </c>
      <c r="O751" s="2">
        <v>25</v>
      </c>
      <c r="P751" s="2">
        <v>49322</v>
      </c>
      <c r="Q751" s="2">
        <v>1073</v>
      </c>
      <c r="R751" s="2">
        <v>41890</v>
      </c>
      <c r="S751" s="2">
        <v>395725</v>
      </c>
      <c r="T751" s="10">
        <f t="shared" si="38"/>
        <v>252946</v>
      </c>
      <c r="U751" s="8">
        <f t="shared" si="36"/>
        <v>0.63919641164950403</v>
      </c>
      <c r="V751" s="9" t="s">
        <v>5270</v>
      </c>
      <c r="W751" s="9" t="str">
        <f t="shared" si="37"/>
        <v>Horwich UD</v>
      </c>
      <c r="X751" s="9" t="str">
        <f>INDEX(Lookup!$A$2:$A$1349, MATCH(W751, Lookup!$B$2:$B$1349,0))</f>
        <v>J04000650</v>
      </c>
      <c r="Y751" s="9" t="str">
        <f>INDEX(Lookup!$F$2:$F$1349, MATCH(W751, Lookup!$B$2:$B$1349,0))</f>
        <v>e200623</v>
      </c>
      <c r="Z751" s="6" t="str">
        <f>INDEX(Lookup!$C$2:$C$1300, MATCH(X751, Lookup!$A$2:$A$1300,0))</f>
        <v>Greater Manchester</v>
      </c>
    </row>
    <row r="752" spans="1:26" ht="28.15" customHeight="1" x14ac:dyDescent="0.2">
      <c r="A752" s="6" t="s">
        <v>677</v>
      </c>
      <c r="B752" s="1" t="s">
        <v>5417</v>
      </c>
      <c r="C752" s="2">
        <v>17019</v>
      </c>
      <c r="D752" s="2">
        <v>1122375</v>
      </c>
      <c r="E752" s="2">
        <v>759</v>
      </c>
      <c r="F752" s="2">
        <v>87671</v>
      </c>
      <c r="G752" s="2">
        <v>8</v>
      </c>
      <c r="H752" s="2">
        <v>1856</v>
      </c>
      <c r="I752" s="2">
        <v>330</v>
      </c>
      <c r="J752" s="2">
        <v>95217</v>
      </c>
      <c r="K752" s="2">
        <v>29</v>
      </c>
      <c r="L752" s="2">
        <v>9049</v>
      </c>
      <c r="M752" s="2">
        <v>1253</v>
      </c>
      <c r="N752" s="2">
        <v>56959</v>
      </c>
      <c r="O752" s="2">
        <v>13</v>
      </c>
      <c r="P752" s="2">
        <v>81210</v>
      </c>
      <c r="Q752" s="2">
        <v>2203</v>
      </c>
      <c r="R752" s="2">
        <v>153924</v>
      </c>
      <c r="S752" s="2">
        <v>1610464</v>
      </c>
      <c r="T752" s="10">
        <f t="shared" si="38"/>
        <v>1211902</v>
      </c>
      <c r="U752" s="8">
        <f t="shared" si="36"/>
        <v>0.75251728694339026</v>
      </c>
      <c r="V752" s="9" t="s">
        <v>5270</v>
      </c>
      <c r="W752" s="9" t="str">
        <f t="shared" si="37"/>
        <v>Huyton with Roby UD</v>
      </c>
      <c r="X752" s="9" t="str">
        <f>INDEX(Lookup!$A$2:$A$1349, MATCH(W752, Lookup!$B$2:$B$1349,0))</f>
        <v>J04000662</v>
      </c>
      <c r="Y752" s="9" t="str">
        <f>INDEX(Lookup!$F$2:$F$1349, MATCH(W752, Lookup!$B$2:$B$1349,0))</f>
        <v>e200624</v>
      </c>
      <c r="Z752" s="6" t="str">
        <f>INDEX(Lookup!$C$2:$C$1300, MATCH(X752, Lookup!$A$2:$A$1300,0))</f>
        <v>Merseyside</v>
      </c>
    </row>
    <row r="753" spans="1:26" ht="28.15" customHeight="1" x14ac:dyDescent="0.2">
      <c r="A753" s="6" t="s">
        <v>678</v>
      </c>
      <c r="B753" s="1" t="s">
        <v>5418</v>
      </c>
      <c r="C753" s="2">
        <v>5422</v>
      </c>
      <c r="D753" s="2">
        <v>190540</v>
      </c>
      <c r="E753" s="2">
        <v>7</v>
      </c>
      <c r="F753" s="2">
        <v>890</v>
      </c>
      <c r="I753" s="2">
        <v>296</v>
      </c>
      <c r="J753" s="2">
        <v>23137</v>
      </c>
      <c r="K753" s="2">
        <v>17</v>
      </c>
      <c r="L753" s="2">
        <v>1221</v>
      </c>
      <c r="M753" s="2">
        <v>792</v>
      </c>
      <c r="N753" s="2">
        <v>23027</v>
      </c>
      <c r="O753" s="2">
        <v>48</v>
      </c>
      <c r="P753" s="2">
        <v>111584</v>
      </c>
      <c r="Q753" s="2">
        <v>288</v>
      </c>
      <c r="R753" s="2">
        <v>93202</v>
      </c>
      <c r="S753" s="2">
        <v>443889</v>
      </c>
      <c r="T753" s="10">
        <f>SUM(D753+F753)</f>
        <v>191430</v>
      </c>
      <c r="U753" s="8">
        <f t="shared" si="36"/>
        <v>0.43125646276433971</v>
      </c>
      <c r="V753" s="9" t="s">
        <v>5270</v>
      </c>
      <c r="W753" s="9" t="str">
        <f t="shared" si="37"/>
        <v>Ince in Makerfield UD</v>
      </c>
      <c r="X753" s="9" t="str">
        <f>INDEX(Lookup!$A$2:$A$1349, MATCH(W753, Lookup!$B$2:$B$1349,0))</f>
        <v>J04000670</v>
      </c>
      <c r="Y753" s="9" t="str">
        <f>INDEX(Lookup!$F$2:$F$1349, MATCH(W753, Lookup!$B$2:$B$1349,0))</f>
        <v>e200625</v>
      </c>
      <c r="Z753" s="6" t="str">
        <f>INDEX(Lookup!$C$2:$C$1300, MATCH(X753, Lookup!$A$2:$A$1300,0))</f>
        <v>Greater Manchester</v>
      </c>
    </row>
    <row r="754" spans="1:26" ht="28.15" customHeight="1" x14ac:dyDescent="0.2">
      <c r="A754" s="6" t="s">
        <v>679</v>
      </c>
      <c r="B754" s="1" t="s">
        <v>679</v>
      </c>
      <c r="C754" s="2">
        <v>5155</v>
      </c>
      <c r="D754" s="2">
        <v>268766</v>
      </c>
      <c r="E754" s="2">
        <v>25</v>
      </c>
      <c r="F754" s="2">
        <v>2901</v>
      </c>
      <c r="I754" s="2">
        <v>269</v>
      </c>
      <c r="J754" s="2">
        <v>33812</v>
      </c>
      <c r="K754" s="2">
        <v>23</v>
      </c>
      <c r="L754" s="2">
        <v>1647</v>
      </c>
      <c r="M754" s="2">
        <v>440</v>
      </c>
      <c r="N754" s="2">
        <v>17258</v>
      </c>
      <c r="O754" s="2">
        <v>20</v>
      </c>
      <c r="P754" s="2">
        <v>678430</v>
      </c>
      <c r="Q754" s="2">
        <v>598</v>
      </c>
      <c r="R754" s="2">
        <v>65049</v>
      </c>
      <c r="S754" s="2">
        <v>1068461</v>
      </c>
      <c r="T754" s="10">
        <f t="shared" ref="T754:T755" si="39">SUM(D754+F754)</f>
        <v>271667</v>
      </c>
      <c r="U754" s="8">
        <f t="shared" si="36"/>
        <v>0.25426009933914295</v>
      </c>
      <c r="V754" s="9" t="s">
        <v>5270</v>
      </c>
      <c r="W754" s="9" t="str">
        <f t="shared" si="37"/>
        <v>Irlam UD</v>
      </c>
      <c r="X754" s="9" t="str">
        <f>INDEX(Lookup!$A$2:$A$1349, MATCH(W754, Lookup!$B$2:$B$1349,0))</f>
        <v>J04000672</v>
      </c>
      <c r="Y754" s="9" t="str">
        <f>INDEX(Lookup!$F$2:$F$1349, MATCH(W754, Lookup!$B$2:$B$1349,0))</f>
        <v>e200626</v>
      </c>
      <c r="Z754" s="6" t="str">
        <f>INDEX(Lookup!$C$2:$C$1300, MATCH(X754, Lookup!$A$2:$A$1300,0))</f>
        <v>Greater Manchester</v>
      </c>
    </row>
    <row r="755" spans="1:26" ht="28.15" customHeight="1" x14ac:dyDescent="0.2">
      <c r="A755" s="6" t="s">
        <v>680</v>
      </c>
      <c r="B755" s="1" t="s">
        <v>680</v>
      </c>
      <c r="C755" s="2">
        <v>3500</v>
      </c>
      <c r="D755" s="2">
        <v>146881</v>
      </c>
      <c r="E755" s="2">
        <v>18</v>
      </c>
      <c r="F755" s="2">
        <v>1952</v>
      </c>
      <c r="I755" s="2">
        <v>160</v>
      </c>
      <c r="J755" s="2">
        <v>11171</v>
      </c>
      <c r="K755" s="2">
        <v>5</v>
      </c>
      <c r="L755" s="2">
        <v>306</v>
      </c>
      <c r="M755" s="2">
        <v>453</v>
      </c>
      <c r="N755" s="2">
        <v>16015</v>
      </c>
      <c r="O755" s="2">
        <v>21</v>
      </c>
      <c r="P755" s="2">
        <v>56856</v>
      </c>
      <c r="Q755" s="2">
        <v>115</v>
      </c>
      <c r="R755" s="2">
        <v>139571</v>
      </c>
      <c r="S755" s="2">
        <v>372867</v>
      </c>
      <c r="T755" s="10">
        <f t="shared" si="39"/>
        <v>148833</v>
      </c>
      <c r="U755" s="8">
        <f t="shared" si="36"/>
        <v>0.39915841305344801</v>
      </c>
      <c r="V755" s="9" t="s">
        <v>5270</v>
      </c>
      <c r="W755" s="9" t="str">
        <f t="shared" si="37"/>
        <v>Kearsley UD</v>
      </c>
      <c r="X755" s="9" t="str">
        <f>INDEX(Lookup!$A$2:$A$1349, MATCH(W755, Lookup!$B$2:$B$1349,0))</f>
        <v>J04000679</v>
      </c>
      <c r="Y755" s="9" t="str">
        <f>INDEX(Lookup!$F$2:$F$1349, MATCH(W755, Lookup!$B$2:$B$1349,0))</f>
        <v>e200627</v>
      </c>
      <c r="Z755" s="6" t="str">
        <f>INDEX(Lookup!$C$2:$C$1300, MATCH(X755, Lookup!$A$2:$A$1300,0))</f>
        <v>Greater Manchester</v>
      </c>
    </row>
    <row r="756" spans="1:26" ht="28.15" customHeight="1" x14ac:dyDescent="0.2">
      <c r="A756" s="6" t="s">
        <v>681</v>
      </c>
      <c r="B756" s="1" t="s">
        <v>681</v>
      </c>
      <c r="C756" s="2">
        <v>11440</v>
      </c>
      <c r="D756" s="2">
        <v>719929</v>
      </c>
      <c r="E756" s="2">
        <v>83</v>
      </c>
      <c r="F756" s="2">
        <v>9731</v>
      </c>
      <c r="G756" s="2">
        <v>3</v>
      </c>
      <c r="H756" s="2">
        <v>790</v>
      </c>
      <c r="I756" s="2">
        <v>167</v>
      </c>
      <c r="J756" s="2">
        <v>114277</v>
      </c>
      <c r="K756" s="2">
        <v>29</v>
      </c>
      <c r="L756" s="2">
        <v>8469</v>
      </c>
      <c r="M756" s="2">
        <v>967</v>
      </c>
      <c r="N756" s="2">
        <v>98615</v>
      </c>
      <c r="O756" s="2">
        <v>103</v>
      </c>
      <c r="P756" s="2">
        <v>623745</v>
      </c>
      <c r="Q756" s="2">
        <v>5452</v>
      </c>
      <c r="R756" s="2">
        <v>232738</v>
      </c>
      <c r="S756" s="2">
        <v>1813746</v>
      </c>
      <c r="T756" s="10">
        <f t="shared" si="38"/>
        <v>730450</v>
      </c>
      <c r="U756" s="8">
        <f t="shared" si="36"/>
        <v>0.40273004047975847</v>
      </c>
      <c r="V756" s="9" t="s">
        <v>5270</v>
      </c>
      <c r="W756" s="9" t="str">
        <f t="shared" si="37"/>
        <v>Kirkby UD</v>
      </c>
      <c r="X756" s="9" t="str">
        <f>INDEX(Lookup!$A$2:$A$1349, MATCH(W756, Lookup!$B$2:$B$1349,0))</f>
        <v>J04000707</v>
      </c>
      <c r="Y756" s="9" t="str">
        <f>INDEX(Lookup!$F$2:$F$1349, MATCH(W756, Lookup!$B$2:$B$1349,0))</f>
        <v>e200698</v>
      </c>
      <c r="Z756" s="6" t="str">
        <f>INDEX(Lookup!$C$2:$C$1300, MATCH(X756, Lookup!$A$2:$A$1300,0))</f>
        <v>Merseyside</v>
      </c>
    </row>
    <row r="757" spans="1:26" ht="28.15" customHeight="1" x14ac:dyDescent="0.2">
      <c r="A757" s="6" t="s">
        <v>682</v>
      </c>
      <c r="B757" s="1" t="s">
        <v>682</v>
      </c>
      <c r="C757" s="2">
        <v>1597</v>
      </c>
      <c r="D757" s="2">
        <v>79810</v>
      </c>
      <c r="E757" s="2">
        <v>24</v>
      </c>
      <c r="F757" s="2">
        <v>2757</v>
      </c>
      <c r="G757" s="2" t="s">
        <v>290</v>
      </c>
      <c r="H757" s="2" t="s">
        <v>290</v>
      </c>
      <c r="I757" s="2">
        <v>110</v>
      </c>
      <c r="J757" s="2">
        <v>12396</v>
      </c>
      <c r="K757" s="2">
        <v>7</v>
      </c>
      <c r="L757" s="2">
        <v>680</v>
      </c>
      <c r="M757" s="2">
        <v>135</v>
      </c>
      <c r="N757" s="2">
        <v>9869</v>
      </c>
      <c r="O757" s="2">
        <v>22</v>
      </c>
      <c r="P757" s="2">
        <v>24832</v>
      </c>
      <c r="Q757" s="2">
        <v>3295</v>
      </c>
      <c r="R757" s="2">
        <v>21021</v>
      </c>
      <c r="S757" s="2">
        <v>154660</v>
      </c>
      <c r="T757" s="10">
        <f>SUM(D757+F757)</f>
        <v>82567</v>
      </c>
      <c r="U757" s="8">
        <f t="shared" si="36"/>
        <v>0.53386137333505757</v>
      </c>
      <c r="V757" s="9" t="s">
        <v>5270</v>
      </c>
      <c r="W757" s="9" t="str">
        <f t="shared" si="37"/>
        <v>kirkham UD</v>
      </c>
      <c r="X757" s="9" t="str">
        <f>INDEX(Lookup!$A$2:$A$1349, MATCH(W757, Lookup!$B$2:$B$1349,0))</f>
        <v>J04000708</v>
      </c>
      <c r="Y757" s="9" t="str">
        <f>INDEX(Lookup!$F$2:$F$1349, MATCH(W757, Lookup!$B$2:$B$1349,0))</f>
        <v>e200629</v>
      </c>
      <c r="Z757" s="6" t="str">
        <f>INDEX(Lookup!$C$2:$C$1300, MATCH(X757, Lookup!$A$2:$A$1300,0))</f>
        <v>Lancashire</v>
      </c>
    </row>
    <row r="758" spans="1:26" ht="28.15" customHeight="1" x14ac:dyDescent="0.2">
      <c r="A758" s="6" t="s">
        <v>683</v>
      </c>
      <c r="B758" s="1" t="s">
        <v>683</v>
      </c>
      <c r="C758" s="2">
        <v>1435</v>
      </c>
      <c r="D758" s="2">
        <v>46712</v>
      </c>
      <c r="E758" s="2">
        <v>4</v>
      </c>
      <c r="F758" s="2">
        <v>440</v>
      </c>
      <c r="G758" s="2" t="s">
        <v>290</v>
      </c>
      <c r="H758" s="2" t="s">
        <v>290</v>
      </c>
      <c r="I758" s="2">
        <v>83</v>
      </c>
      <c r="J758" s="2">
        <v>4949</v>
      </c>
      <c r="K758" s="2">
        <v>6</v>
      </c>
      <c r="L758" s="2">
        <v>238</v>
      </c>
      <c r="M758" s="2">
        <v>282</v>
      </c>
      <c r="N758" s="2">
        <v>12648</v>
      </c>
      <c r="O758" s="2">
        <v>10</v>
      </c>
      <c r="P758" s="2">
        <v>29895</v>
      </c>
      <c r="Q758" s="2">
        <v>42</v>
      </c>
      <c r="R758" s="2">
        <v>6559</v>
      </c>
      <c r="S758" s="2">
        <v>101483</v>
      </c>
      <c r="T758" s="10">
        <f t="shared" ref="T758:T759" si="40">SUM(D758+F758)</f>
        <v>47152</v>
      </c>
      <c r="U758" s="8">
        <f t="shared" si="36"/>
        <v>0.46462954386448962</v>
      </c>
      <c r="V758" s="9" t="s">
        <v>5270</v>
      </c>
      <c r="W758" s="9" t="str">
        <f t="shared" si="37"/>
        <v>Lees UD</v>
      </c>
      <c r="X758" s="9" t="str">
        <f>INDEX(Lookup!$A$2:$A$1349, MATCH(W758, Lookup!$B$2:$B$1349,0))</f>
        <v>J04000730</v>
      </c>
      <c r="Y758" s="9" t="str">
        <f>INDEX(Lookup!$F$2:$F$1349, MATCH(W758, Lookup!$B$2:$B$1349,0))</f>
        <v>e200631</v>
      </c>
      <c r="Z758" s="6" t="str">
        <f>INDEX(Lookup!$C$2:$C$1300, MATCH(X758, Lookup!$A$2:$A$1300,0))</f>
        <v>Greater Manchester</v>
      </c>
    </row>
    <row r="759" spans="1:26" ht="28.15" customHeight="1" x14ac:dyDescent="0.2">
      <c r="A759" s="6" t="s">
        <v>684</v>
      </c>
      <c r="B759" s="1" t="s">
        <v>684</v>
      </c>
      <c r="C759" s="2">
        <v>6146</v>
      </c>
      <c r="D759" s="2">
        <v>342124</v>
      </c>
      <c r="E759" s="2">
        <v>89</v>
      </c>
      <c r="F759" s="2">
        <v>10603</v>
      </c>
      <c r="I759" s="2">
        <v>300</v>
      </c>
      <c r="J759" s="2">
        <v>32430</v>
      </c>
      <c r="K759" s="2">
        <v>34</v>
      </c>
      <c r="L759" s="2">
        <v>2416</v>
      </c>
      <c r="M759" s="2">
        <v>501</v>
      </c>
      <c r="N759" s="2">
        <v>23616</v>
      </c>
      <c r="O759" s="2">
        <v>28</v>
      </c>
      <c r="P759" s="2">
        <v>174892</v>
      </c>
      <c r="Q759" s="2">
        <v>25645</v>
      </c>
      <c r="R759" s="2">
        <v>70131</v>
      </c>
      <c r="S759" s="2">
        <v>681857</v>
      </c>
      <c r="T759" s="10">
        <f t="shared" si="40"/>
        <v>352727</v>
      </c>
      <c r="U759" s="8">
        <f t="shared" si="36"/>
        <v>0.5173034815217854</v>
      </c>
      <c r="V759" s="9" t="s">
        <v>5270</v>
      </c>
      <c r="W759" s="9" t="str">
        <f t="shared" si="37"/>
        <v>Leyland UD</v>
      </c>
      <c r="X759" s="9" t="str">
        <f>INDEX(Lookup!$A$2:$A$1349, MATCH(W759, Lookup!$B$2:$B$1349,0))</f>
        <v>J04000742</v>
      </c>
      <c r="Y759" s="9" t="str">
        <f>INDEX(Lookup!$F$2:$F$1349, MATCH(W759, Lookup!$B$2:$B$1349,0))</f>
        <v>e200633</v>
      </c>
      <c r="Z759" s="6" t="str">
        <f>INDEX(Lookup!$C$2:$C$1300, MATCH(X759, Lookup!$A$2:$A$1300,0))</f>
        <v>Lancashire</v>
      </c>
    </row>
    <row r="760" spans="1:26" ht="28.15" customHeight="1" x14ac:dyDescent="0.2">
      <c r="A760" s="6" t="s">
        <v>685</v>
      </c>
      <c r="B760" s="1" t="s">
        <v>685</v>
      </c>
      <c r="C760" s="2">
        <v>7502</v>
      </c>
      <c r="D760" s="2">
        <v>434668</v>
      </c>
      <c r="E760" s="2">
        <v>92</v>
      </c>
      <c r="F760" s="2">
        <v>10334</v>
      </c>
      <c r="G760" s="2">
        <v>1</v>
      </c>
      <c r="H760" s="2">
        <v>258</v>
      </c>
      <c r="I760" s="2">
        <v>275</v>
      </c>
      <c r="J760" s="2">
        <v>37293</v>
      </c>
      <c r="K760" s="2">
        <v>14</v>
      </c>
      <c r="L760" s="2">
        <v>3527</v>
      </c>
      <c r="M760" s="2">
        <v>280</v>
      </c>
      <c r="N760" s="2">
        <v>25494</v>
      </c>
      <c r="O760" s="2">
        <v>25</v>
      </c>
      <c r="P760" s="2">
        <v>73606</v>
      </c>
      <c r="Q760" s="2">
        <v>1032</v>
      </c>
      <c r="R760" s="2">
        <v>71953</v>
      </c>
      <c r="S760" s="2">
        <v>658165</v>
      </c>
      <c r="T760" s="10">
        <f t="shared" si="38"/>
        <v>445260</v>
      </c>
      <c r="U760" s="8">
        <f t="shared" si="36"/>
        <v>0.67651728669862421</v>
      </c>
      <c r="V760" s="9" t="s">
        <v>5270</v>
      </c>
      <c r="W760" s="9" t="str">
        <f t="shared" si="37"/>
        <v>Litherland UD</v>
      </c>
      <c r="X760" s="9" t="str">
        <f>INDEX(Lookup!$A$2:$A$1349, MATCH(W760, Lookup!$B$2:$B$1349,0))</f>
        <v>J04000750</v>
      </c>
      <c r="Y760" s="9" t="str">
        <f>INDEX(Lookup!$F$2:$F$1349, MATCH(W760, Lookup!$B$2:$B$1349,0))</f>
        <v>e200635</v>
      </c>
      <c r="Z760" s="6" t="str">
        <f>INDEX(Lookup!$C$2:$C$1300, MATCH(X760, Lookup!$A$2:$A$1300,0))</f>
        <v>Merseyside</v>
      </c>
    </row>
    <row r="761" spans="1:26" ht="28.15" customHeight="1" x14ac:dyDescent="0.2">
      <c r="A761" s="6" t="s">
        <v>686</v>
      </c>
      <c r="B761" s="1" t="s">
        <v>686</v>
      </c>
      <c r="C761" s="2">
        <v>3857</v>
      </c>
      <c r="D761" s="2">
        <v>124118</v>
      </c>
      <c r="E761" s="2">
        <v>44</v>
      </c>
      <c r="F761" s="2">
        <v>5675</v>
      </c>
      <c r="G761" s="2">
        <v>1</v>
      </c>
      <c r="H761" s="2">
        <v>254</v>
      </c>
      <c r="I761" s="2">
        <v>211</v>
      </c>
      <c r="J761" s="2">
        <v>13922</v>
      </c>
      <c r="K761" s="2">
        <v>17</v>
      </c>
      <c r="L761" s="2">
        <v>542</v>
      </c>
      <c r="M761" s="2">
        <v>845</v>
      </c>
      <c r="N761" s="2">
        <v>18548</v>
      </c>
      <c r="O761" s="2">
        <v>73</v>
      </c>
      <c r="P761" s="2">
        <v>77853</v>
      </c>
      <c r="Q761" s="2">
        <v>717</v>
      </c>
      <c r="R761" s="2">
        <v>37561</v>
      </c>
      <c r="S761" s="2">
        <v>279190</v>
      </c>
      <c r="T761" s="10">
        <f t="shared" si="38"/>
        <v>130047</v>
      </c>
      <c r="U761" s="8">
        <f t="shared" si="36"/>
        <v>0.46580106737347327</v>
      </c>
      <c r="V761" s="9" t="s">
        <v>5270</v>
      </c>
      <c r="W761" s="9" t="str">
        <f t="shared" si="37"/>
        <v>Littleborough UD</v>
      </c>
      <c r="X761" s="9" t="str">
        <f>INDEX(Lookup!$A$2:$A$1349, MATCH(W761, Lookup!$B$2:$B$1349,0))</f>
        <v>J04000752</v>
      </c>
      <c r="Y761" s="9" t="str">
        <f>INDEX(Lookup!$F$2:$F$1349, MATCH(W761, Lookup!$B$2:$B$1349,0))</f>
        <v>e200636</v>
      </c>
      <c r="Z761" s="6" t="str">
        <f>INDEX(Lookup!$C$2:$C$1300, MATCH(X761, Lookup!$A$2:$A$1300,0))</f>
        <v>Greater Manchester</v>
      </c>
    </row>
    <row r="762" spans="1:26" ht="28.15" customHeight="1" x14ac:dyDescent="0.2">
      <c r="A762" s="6" t="s">
        <v>687</v>
      </c>
      <c r="B762" s="1" t="s">
        <v>687</v>
      </c>
      <c r="T762" s="10"/>
      <c r="W762" s="9" t="str">
        <f t="shared" si="37"/>
        <v xml:space="preserve">LANCASTER-contd. </v>
      </c>
      <c r="X762" s="9" t="e">
        <f>INDEX(Lookup!$A$2:$A$1349, MATCH(W762, Lookup!$B$2:$B$1349,0))</f>
        <v>#N/A</v>
      </c>
      <c r="Y762" s="9" t="e">
        <f>INDEX(Lookup!$F$2:$F$1349, MATCH(W762, Lookup!$B$2:$B$1349,0))</f>
        <v>#N/A</v>
      </c>
      <c r="Z762" s="6" t="e">
        <f>INDEX(Lookup!$C$2:$C$1300, MATCH(X762, Lookup!$A$2:$A$1300,0))</f>
        <v>#N/A</v>
      </c>
    </row>
    <row r="763" spans="1:26" ht="28.15" customHeight="1" x14ac:dyDescent="0.2">
      <c r="A763" s="6" t="s">
        <v>688</v>
      </c>
      <c r="B763" s="1" t="s">
        <v>688</v>
      </c>
      <c r="T763" s="10"/>
      <c r="W763" s="9" t="str">
        <f t="shared" si="37"/>
        <v xml:space="preserve">Urban Districts-contd. </v>
      </c>
      <c r="X763" s="9" t="e">
        <f>INDEX(Lookup!$A$2:$A$1349, MATCH(W763, Lookup!$B$2:$B$1349,0))</f>
        <v>#N/A</v>
      </c>
      <c r="Y763" s="9" t="e">
        <f>INDEX(Lookup!$F$2:$F$1349, MATCH(W763, Lookup!$B$2:$B$1349,0))</f>
        <v>#N/A</v>
      </c>
      <c r="Z763" s="6" t="e">
        <f>INDEX(Lookup!$C$2:$C$1300, MATCH(X763, Lookup!$A$2:$A$1300,0))</f>
        <v>#N/A</v>
      </c>
    </row>
    <row r="764" spans="1:26" ht="28.15" customHeight="1" x14ac:dyDescent="0.2">
      <c r="A764" s="6" t="s">
        <v>689</v>
      </c>
      <c r="B764" s="1" t="s">
        <v>689</v>
      </c>
      <c r="C764" s="2">
        <v>1883</v>
      </c>
      <c r="D764" s="2">
        <v>82119</v>
      </c>
      <c r="E764" s="2">
        <v>7</v>
      </c>
      <c r="F764" s="2">
        <v>774</v>
      </c>
      <c r="I764" s="2">
        <v>100</v>
      </c>
      <c r="J764" s="2">
        <v>5698</v>
      </c>
      <c r="K764" s="2">
        <v>3</v>
      </c>
      <c r="L764" s="2">
        <v>83</v>
      </c>
      <c r="M764" s="2">
        <v>239</v>
      </c>
      <c r="N764" s="2">
        <v>5941</v>
      </c>
      <c r="O764" s="2">
        <v>19</v>
      </c>
      <c r="P764" s="2">
        <v>40244</v>
      </c>
      <c r="Q764" s="2">
        <v>68</v>
      </c>
      <c r="R764" s="2">
        <v>10388</v>
      </c>
      <c r="S764" s="2">
        <v>145315</v>
      </c>
      <c r="T764" s="10">
        <f>SUM(D764+F764)</f>
        <v>82893</v>
      </c>
      <c r="U764" s="8">
        <f t="shared" si="36"/>
        <v>0.57043663764924479</v>
      </c>
      <c r="V764" s="9" t="s">
        <v>5270</v>
      </c>
      <c r="W764" s="9" t="str">
        <f t="shared" si="37"/>
        <v>Little Lever UD</v>
      </c>
      <c r="X764" s="9" t="str">
        <f>INDEX(Lookup!$A$2:$A$1349, MATCH(W764, Lookup!$B$2:$B$1349,0))</f>
        <v>J04000751</v>
      </c>
      <c r="Y764" s="9" t="str">
        <f>INDEX(Lookup!$F$2:$F$1349, MATCH(W764, Lookup!$B$2:$B$1349,0))</f>
        <v>e200637</v>
      </c>
      <c r="Z764" s="6" t="str">
        <f>INDEX(Lookup!$C$2:$C$1300, MATCH(X764, Lookup!$A$2:$A$1300,0))</f>
        <v>Greater Manchester</v>
      </c>
    </row>
    <row r="765" spans="1:26" ht="28.15" customHeight="1" x14ac:dyDescent="0.2">
      <c r="A765" s="6" t="s">
        <v>690</v>
      </c>
      <c r="B765" s="1" t="s">
        <v>690</v>
      </c>
      <c r="C765" s="2">
        <v>1530</v>
      </c>
      <c r="D765" s="2">
        <v>65016</v>
      </c>
      <c r="E765" s="2">
        <v>26</v>
      </c>
      <c r="F765" s="2">
        <v>3482</v>
      </c>
      <c r="G765" s="2">
        <v>1</v>
      </c>
      <c r="H765" s="2">
        <v>210</v>
      </c>
      <c r="I765" s="2">
        <v>87</v>
      </c>
      <c r="J765" s="2">
        <v>5454</v>
      </c>
      <c r="K765" s="2">
        <v>9</v>
      </c>
      <c r="L765" s="2">
        <v>601</v>
      </c>
      <c r="M765" s="2">
        <v>234</v>
      </c>
      <c r="N765" s="2">
        <v>4955</v>
      </c>
      <c r="O765" s="2">
        <v>18</v>
      </c>
      <c r="P765" s="2">
        <v>8430</v>
      </c>
      <c r="Q765" s="2">
        <v>166</v>
      </c>
      <c r="R765" s="2">
        <v>43548</v>
      </c>
      <c r="S765" s="2">
        <v>131862</v>
      </c>
      <c r="T765" s="10">
        <f t="shared" si="38"/>
        <v>68708</v>
      </c>
      <c r="U765" s="8">
        <f t="shared" si="36"/>
        <v>0.52105989595182844</v>
      </c>
      <c r="V765" s="9" t="s">
        <v>5270</v>
      </c>
      <c r="W765" s="9" t="str">
        <f t="shared" si="37"/>
        <v>Longridge UD</v>
      </c>
      <c r="X765" s="9" t="str">
        <f>INDEX(Lookup!$A$2:$A$1349, MATCH(W765, Lookup!$B$2:$B$1349,0))</f>
        <v>J04000779</v>
      </c>
      <c r="Y765" s="9" t="str">
        <f>INDEX(Lookup!$F$2:$F$1349, MATCH(W765, Lookup!$B$2:$B$1349,0))</f>
        <v>e200638</v>
      </c>
      <c r="Z765" s="6" t="str">
        <f>INDEX(Lookup!$C$2:$C$1300, MATCH(X765, Lookup!$A$2:$A$1300,0))</f>
        <v>Lancashire</v>
      </c>
    </row>
    <row r="766" spans="1:26" ht="28.15" customHeight="1" x14ac:dyDescent="0.2">
      <c r="A766" s="6" t="s">
        <v>691</v>
      </c>
      <c r="B766" s="1" t="s">
        <v>691</v>
      </c>
      <c r="C766" s="2">
        <v>3023</v>
      </c>
      <c r="D766" s="2">
        <v>104663</v>
      </c>
      <c r="E766" s="2">
        <v>34</v>
      </c>
      <c r="F766" s="2">
        <v>4332</v>
      </c>
      <c r="I766" s="2">
        <v>150</v>
      </c>
      <c r="J766" s="2">
        <v>7676</v>
      </c>
      <c r="K766" s="2">
        <v>2</v>
      </c>
      <c r="L766" s="2">
        <v>132</v>
      </c>
      <c r="M766" s="2">
        <v>603</v>
      </c>
      <c r="N766" s="2">
        <v>12968</v>
      </c>
      <c r="O766" s="2">
        <v>50</v>
      </c>
      <c r="P766" s="2">
        <v>82533</v>
      </c>
      <c r="Q766" s="2">
        <v>118</v>
      </c>
      <c r="R766" s="2">
        <v>33921</v>
      </c>
      <c r="S766" s="2">
        <v>246343</v>
      </c>
      <c r="T766" s="10">
        <f>SUM(D766+F766)</f>
        <v>108995</v>
      </c>
      <c r="U766" s="8">
        <f t="shared" si="36"/>
        <v>0.44245219064475144</v>
      </c>
      <c r="V766" s="9" t="s">
        <v>5270</v>
      </c>
      <c r="W766" s="9" t="str">
        <f t="shared" si="37"/>
        <v>Milnrow UD</v>
      </c>
      <c r="X766" s="9" t="str">
        <f>INDEX(Lookup!$A$2:$A$1349, MATCH(W766, Lookup!$B$2:$B$1349,0))</f>
        <v>J04000859</v>
      </c>
      <c r="Y766" s="9" t="str">
        <f>INDEX(Lookup!$F$2:$F$1349, MATCH(W766, Lookup!$B$2:$B$1349,0))</f>
        <v>e200641</v>
      </c>
      <c r="Z766" s="6" t="str">
        <f>INDEX(Lookup!$C$2:$C$1300, MATCH(X766, Lookup!$A$2:$A$1300,0))</f>
        <v>Greater Manchester</v>
      </c>
    </row>
    <row r="767" spans="1:26" ht="28.15" customHeight="1" x14ac:dyDescent="0.2">
      <c r="A767" s="6" t="s">
        <v>692</v>
      </c>
      <c r="B767" s="1" t="s">
        <v>692</v>
      </c>
      <c r="C767" s="2">
        <v>7013</v>
      </c>
      <c r="D767" s="2">
        <v>332144</v>
      </c>
      <c r="E767" s="2">
        <v>131</v>
      </c>
      <c r="F767" s="2">
        <v>16395</v>
      </c>
      <c r="G767" s="2">
        <v>3</v>
      </c>
      <c r="H767" s="2">
        <v>694</v>
      </c>
      <c r="I767" s="2">
        <v>325</v>
      </c>
      <c r="J767" s="2">
        <v>30269</v>
      </c>
      <c r="K767" s="2">
        <v>33</v>
      </c>
      <c r="L767" s="2">
        <v>4059</v>
      </c>
      <c r="M767" s="2">
        <v>756</v>
      </c>
      <c r="N767" s="2">
        <v>35229</v>
      </c>
      <c r="O767" s="2">
        <v>27</v>
      </c>
      <c r="P767" s="2">
        <v>118092</v>
      </c>
      <c r="Q767" s="2">
        <v>1043</v>
      </c>
      <c r="R767" s="2">
        <v>62408</v>
      </c>
      <c r="S767" s="2">
        <v>600333</v>
      </c>
      <c r="T767" s="10">
        <f t="shared" si="38"/>
        <v>349233</v>
      </c>
      <c r="U767" s="8">
        <f t="shared" si="36"/>
        <v>0.58173213866304196</v>
      </c>
      <c r="V767" s="9" t="s">
        <v>5270</v>
      </c>
      <c r="W767" s="9" t="str">
        <f t="shared" si="37"/>
        <v>Newton-le-Willows UD</v>
      </c>
      <c r="X767" s="9" t="str">
        <f>INDEX(Lookup!$A$2:$A$1349, MATCH(W767, Lookup!$B$2:$B$1349,0))</f>
        <v>J04000915</v>
      </c>
      <c r="Y767" s="9" t="str">
        <f>INDEX(Lookup!$F$2:$F$1349, MATCH(W767, Lookup!$B$2:$B$1349,0))</f>
        <v>e200645</v>
      </c>
      <c r="Z767" s="6" t="str">
        <f>INDEX(Lookup!$C$2:$C$1300, MATCH(X767, Lookup!$A$2:$A$1300,0))</f>
        <v>Merseyside</v>
      </c>
    </row>
    <row r="768" spans="1:26" ht="28.15" customHeight="1" x14ac:dyDescent="0.2">
      <c r="A768" s="6" t="s">
        <v>693</v>
      </c>
      <c r="B768" s="1" t="s">
        <v>693</v>
      </c>
      <c r="C768" s="2">
        <v>6741</v>
      </c>
      <c r="D768" s="2">
        <v>384994</v>
      </c>
      <c r="E768" s="2">
        <v>366</v>
      </c>
      <c r="F768" s="2">
        <v>44486</v>
      </c>
      <c r="G768" s="2">
        <v>19</v>
      </c>
      <c r="H768" s="2">
        <v>4532</v>
      </c>
      <c r="I768" s="2">
        <v>318</v>
      </c>
      <c r="J768" s="2">
        <v>66124</v>
      </c>
      <c r="K768" s="2">
        <v>59</v>
      </c>
      <c r="L768" s="2">
        <v>5346</v>
      </c>
      <c r="M768" s="2">
        <v>376</v>
      </c>
      <c r="N768" s="2">
        <v>42246</v>
      </c>
      <c r="O768" s="2">
        <v>45</v>
      </c>
      <c r="P768" s="2">
        <v>70009</v>
      </c>
      <c r="Q768" s="2">
        <v>11599</v>
      </c>
      <c r="R768" s="2">
        <v>217615</v>
      </c>
      <c r="S768" s="2">
        <v>846951</v>
      </c>
      <c r="T768" s="10">
        <f t="shared" si="38"/>
        <v>434012</v>
      </c>
      <c r="U768" s="8">
        <f t="shared" si="36"/>
        <v>0.51244050718400469</v>
      </c>
      <c r="V768" s="9" t="s">
        <v>5270</v>
      </c>
      <c r="W768" s="9" t="str">
        <f t="shared" si="37"/>
        <v>Ormskirk UD</v>
      </c>
      <c r="X768" s="9" t="str">
        <f>INDEX(Lookup!$A$2:$A$1349, MATCH(W768, Lookup!$B$2:$B$1349,0))</f>
        <v>J04000955</v>
      </c>
      <c r="Y768" s="9" t="str">
        <f>INDEX(Lookup!$F$2:$F$1349, MATCH(W768, Lookup!$B$2:$B$1349,0))</f>
        <v>e200646</v>
      </c>
      <c r="Z768" s="6" t="str">
        <f>INDEX(Lookup!$C$2:$C$1300, MATCH(X768, Lookup!$A$2:$A$1300,0))</f>
        <v>Lancashire</v>
      </c>
    </row>
    <row r="769" spans="1:26" ht="28.15" customHeight="1" x14ac:dyDescent="0.2">
      <c r="A769" s="6" t="s">
        <v>694</v>
      </c>
      <c r="B769" s="1" t="s">
        <v>694</v>
      </c>
      <c r="C769" s="2">
        <v>3462</v>
      </c>
      <c r="D769" s="2">
        <v>185121</v>
      </c>
      <c r="E769" s="2">
        <v>201</v>
      </c>
      <c r="F769" s="2">
        <v>24696</v>
      </c>
      <c r="G769" s="2">
        <v>5</v>
      </c>
      <c r="H769" s="2">
        <v>1094</v>
      </c>
      <c r="I769" s="2">
        <v>126</v>
      </c>
      <c r="J769" s="2">
        <v>10905</v>
      </c>
      <c r="K769" s="2">
        <v>10</v>
      </c>
      <c r="L769" s="2">
        <v>1201</v>
      </c>
      <c r="M769" s="2">
        <v>377</v>
      </c>
      <c r="N769" s="2">
        <v>9538</v>
      </c>
      <c r="O769" s="2">
        <v>5</v>
      </c>
      <c r="P769" s="2">
        <v>160715</v>
      </c>
      <c r="Q769" s="2">
        <v>574</v>
      </c>
      <c r="R769" s="2">
        <v>40905</v>
      </c>
      <c r="S769" s="2">
        <v>434749</v>
      </c>
      <c r="T769" s="10">
        <f t="shared" si="38"/>
        <v>210911</v>
      </c>
      <c r="U769" s="8">
        <f t="shared" si="36"/>
        <v>0.48513280076549919</v>
      </c>
      <c r="V769" s="9" t="s">
        <v>5270</v>
      </c>
      <c r="W769" s="9" t="str">
        <f t="shared" si="37"/>
        <v>Orrell UD</v>
      </c>
      <c r="X769" s="9" t="str">
        <f>INDEX(Lookup!$A$2:$A$1349, MATCH(W769, Lookup!$B$2:$B$1349,0))</f>
        <v>J04000957</v>
      </c>
      <c r="Y769" s="9" t="str">
        <f>INDEX(Lookup!$F$2:$F$1349, MATCH(W769, Lookup!$B$2:$B$1349,0))</f>
        <v>e200647</v>
      </c>
      <c r="Z769" s="6" t="str">
        <f>INDEX(Lookup!$C$2:$C$1300, MATCH(X769, Lookup!$A$2:$A$1300,0))</f>
        <v>Greater Manchester</v>
      </c>
    </row>
    <row r="770" spans="1:26" ht="28.15" customHeight="1" x14ac:dyDescent="0.2">
      <c r="A770" s="6" t="s">
        <v>695</v>
      </c>
      <c r="B770" s="1" t="s">
        <v>695</v>
      </c>
      <c r="C770" s="2">
        <v>4416</v>
      </c>
      <c r="D770" s="2">
        <v>146083</v>
      </c>
      <c r="E770" s="2">
        <v>8</v>
      </c>
      <c r="F770" s="2">
        <v>980</v>
      </c>
      <c r="H770" s="2" t="s">
        <v>5467</v>
      </c>
      <c r="I770" s="2">
        <v>244</v>
      </c>
      <c r="J770" s="2">
        <v>11794</v>
      </c>
      <c r="K770" s="2">
        <v>12</v>
      </c>
      <c r="L770" s="2">
        <v>404</v>
      </c>
      <c r="M770" s="2">
        <v>755</v>
      </c>
      <c r="N770" s="2">
        <v>17218</v>
      </c>
      <c r="O770" s="2">
        <v>50</v>
      </c>
      <c r="P770" s="2">
        <v>87569</v>
      </c>
      <c r="Q770" s="2">
        <v>1641</v>
      </c>
      <c r="R770" s="2">
        <v>38743</v>
      </c>
      <c r="S770" s="2">
        <v>304432</v>
      </c>
      <c r="T770" s="10">
        <f>SUM(D770+F770)</f>
        <v>147063</v>
      </c>
      <c r="U770" s="8">
        <f t="shared" si="36"/>
        <v>0.48307339570084618</v>
      </c>
      <c r="V770" s="9" t="s">
        <v>5270</v>
      </c>
      <c r="W770" s="9" t="str">
        <f t="shared" si="37"/>
        <v>Oswaldtwistle UD</v>
      </c>
      <c r="X770" s="9" t="str">
        <f>INDEX(Lookup!$A$2:$A$1349, MATCH(W770, Lookup!$B$2:$B$1349,0))</f>
        <v>J04000960</v>
      </c>
      <c r="Y770" s="9" t="str">
        <f>INDEX(Lookup!$F$2:$F$1349, MATCH(W770, Lookup!$B$2:$B$1349,0))</f>
        <v>e200648</v>
      </c>
      <c r="Z770" s="6" t="str">
        <f>INDEX(Lookup!$C$2:$C$1300, MATCH(X770, Lookup!$A$2:$A$1300,0))</f>
        <v>Lancashire</v>
      </c>
    </row>
    <row r="771" spans="1:26" ht="28.15" customHeight="1" x14ac:dyDescent="0.2">
      <c r="A771" s="6" t="s">
        <v>696</v>
      </c>
      <c r="B771" s="1" t="s">
        <v>696</v>
      </c>
      <c r="C771" s="2">
        <v>3506</v>
      </c>
      <c r="D771" s="2">
        <v>109516</v>
      </c>
      <c r="E771" s="2">
        <v>26</v>
      </c>
      <c r="F771" s="2">
        <v>3266</v>
      </c>
      <c r="G771" s="2">
        <v>3</v>
      </c>
      <c r="H771" s="2">
        <v>658</v>
      </c>
      <c r="I771" s="2">
        <v>253</v>
      </c>
      <c r="J771" s="2">
        <v>16814</v>
      </c>
      <c r="K771" s="2">
        <v>24</v>
      </c>
      <c r="L771" s="2">
        <v>2792</v>
      </c>
      <c r="M771" s="2">
        <v>650</v>
      </c>
      <c r="N771" s="2">
        <v>16329</v>
      </c>
      <c r="O771" s="2">
        <v>63</v>
      </c>
      <c r="P771" s="2">
        <v>76415</v>
      </c>
      <c r="Q771" s="2">
        <v>789</v>
      </c>
      <c r="R771" s="2">
        <v>86528</v>
      </c>
      <c r="S771" s="2">
        <v>313107</v>
      </c>
      <c r="T771" s="10">
        <f t="shared" ref="T771:T834" si="41">SUM(D771+F771+H771)</f>
        <v>113440</v>
      </c>
      <c r="U771" s="8">
        <f t="shared" ref="U771:U834" si="42">T771/S771</f>
        <v>0.36230426020497786</v>
      </c>
      <c r="V771" s="9" t="s">
        <v>5270</v>
      </c>
      <c r="W771" s="9" t="str">
        <f t="shared" ref="W771:W834" si="43">_xlfn.CONCAT(B771," ",V771)</f>
        <v>Padiham UD</v>
      </c>
      <c r="X771" s="9" t="str">
        <f>INDEX(Lookup!$A$2:$A$1349, MATCH(W771, Lookup!$B$2:$B$1349,0))</f>
        <v>J04000969</v>
      </c>
      <c r="Y771" s="9" t="str">
        <f>INDEX(Lookup!$F$2:$F$1349, MATCH(W771, Lookup!$B$2:$B$1349,0))</f>
        <v>e200649</v>
      </c>
      <c r="Z771" s="6" t="str">
        <f>INDEX(Lookup!$C$2:$C$1300, MATCH(X771, Lookup!$A$2:$A$1300,0))</f>
        <v>Lancashire</v>
      </c>
    </row>
    <row r="772" spans="1:26" ht="28.15" customHeight="1" x14ac:dyDescent="0.2">
      <c r="A772" s="6" t="s">
        <v>697</v>
      </c>
      <c r="B772" s="1" t="s">
        <v>5419</v>
      </c>
      <c r="C772" s="2">
        <v>3687</v>
      </c>
      <c r="D772" s="2">
        <v>275240</v>
      </c>
      <c r="E772" s="2">
        <v>1223</v>
      </c>
      <c r="F772" s="2">
        <v>146562</v>
      </c>
      <c r="G772" s="2">
        <v>17</v>
      </c>
      <c r="H772" s="2">
        <v>3682</v>
      </c>
      <c r="I772" s="2">
        <v>170</v>
      </c>
      <c r="J772" s="2">
        <v>23830</v>
      </c>
      <c r="K772" s="2">
        <v>22</v>
      </c>
      <c r="L772" s="2">
        <v>1302</v>
      </c>
      <c r="M772" s="2">
        <v>165</v>
      </c>
      <c r="N772" s="2">
        <v>14727</v>
      </c>
      <c r="O772" s="2">
        <v>21</v>
      </c>
      <c r="P772" s="2">
        <v>12407</v>
      </c>
      <c r="Q772" s="2">
        <v>429</v>
      </c>
      <c r="R772" s="2">
        <v>49015</v>
      </c>
      <c r="S772" s="2">
        <v>527194</v>
      </c>
      <c r="T772" s="10">
        <f t="shared" si="41"/>
        <v>425484</v>
      </c>
      <c r="U772" s="8">
        <f t="shared" si="42"/>
        <v>0.80707291812881021</v>
      </c>
      <c r="V772" s="9" t="s">
        <v>5270</v>
      </c>
      <c r="W772" s="9" t="str">
        <f t="shared" si="43"/>
        <v>Poulton le Fylde UD</v>
      </c>
      <c r="X772" s="9" t="str">
        <f>INDEX(Lookup!$A$2:$A$1349, MATCH(W772, Lookup!$B$2:$B$1349,0))</f>
        <v>J04001014</v>
      </c>
      <c r="Y772" s="9" t="str">
        <f>INDEX(Lookup!$F$2:$F$1349, MATCH(W772, Lookup!$B$2:$B$1349,0))</f>
        <v>e200650</v>
      </c>
      <c r="Z772" s="6" t="str">
        <f>INDEX(Lookup!$C$2:$C$1300, MATCH(X772, Lookup!$A$2:$A$1300,0))</f>
        <v>Lancashire</v>
      </c>
    </row>
    <row r="773" spans="1:26" ht="28.15" customHeight="1" x14ac:dyDescent="0.2">
      <c r="A773" s="6" t="s">
        <v>698</v>
      </c>
      <c r="B773" s="1" t="s">
        <v>698</v>
      </c>
      <c r="C773" s="2">
        <v>878</v>
      </c>
      <c r="D773" s="2">
        <v>45717</v>
      </c>
      <c r="E773" s="2">
        <v>29</v>
      </c>
      <c r="F773" s="2">
        <v>3516</v>
      </c>
      <c r="G773" s="2">
        <v>1</v>
      </c>
      <c r="H773" s="2">
        <v>226</v>
      </c>
      <c r="I773" s="2">
        <v>52</v>
      </c>
      <c r="J773" s="2">
        <v>5020</v>
      </c>
      <c r="M773" s="2">
        <v>66</v>
      </c>
      <c r="N773" s="2">
        <v>5239</v>
      </c>
      <c r="O773" s="2">
        <v>4</v>
      </c>
      <c r="P773" s="2">
        <v>915</v>
      </c>
      <c r="Q773" s="2">
        <v>53</v>
      </c>
      <c r="R773" s="2">
        <v>14977</v>
      </c>
      <c r="S773" s="2">
        <v>75663</v>
      </c>
      <c r="T773" s="10">
        <f t="shared" si="41"/>
        <v>49459</v>
      </c>
      <c r="U773" s="8">
        <f t="shared" si="42"/>
        <v>0.65367484767984352</v>
      </c>
      <c r="V773" s="9" t="s">
        <v>5270</v>
      </c>
      <c r="W773" s="9" t="str">
        <f t="shared" si="43"/>
        <v>Preesall UD</v>
      </c>
      <c r="X773" s="9" t="str">
        <f>INDEX(Lookup!$A$2:$A$1349, MATCH(W773, Lookup!$B$2:$B$1349,0))</f>
        <v>J04001015</v>
      </c>
      <c r="Y773" s="9" t="str">
        <f>INDEX(Lookup!$F$2:$F$1349, MATCH(W773, Lookup!$B$2:$B$1349,0))</f>
        <v>e200651</v>
      </c>
      <c r="Z773" s="6" t="str">
        <f>INDEX(Lookup!$C$2:$C$1300, MATCH(X773, Lookup!$A$2:$A$1300,0))</f>
        <v>Lancashire</v>
      </c>
    </row>
    <row r="774" spans="1:26" ht="28.15" customHeight="1" x14ac:dyDescent="0.2">
      <c r="A774" s="6" t="s">
        <v>699</v>
      </c>
      <c r="B774" s="1" t="s">
        <v>699</v>
      </c>
      <c r="C774" s="2">
        <v>4069</v>
      </c>
      <c r="D774" s="2">
        <v>204971</v>
      </c>
      <c r="E774" s="2">
        <v>89</v>
      </c>
      <c r="F774" s="2">
        <v>10705</v>
      </c>
      <c r="G774" s="2">
        <v>1</v>
      </c>
      <c r="H774" s="2">
        <v>278</v>
      </c>
      <c r="I774" s="2">
        <v>237</v>
      </c>
      <c r="J774" s="2">
        <v>41074</v>
      </c>
      <c r="K774" s="2">
        <v>22</v>
      </c>
      <c r="L774" s="2">
        <v>2386</v>
      </c>
      <c r="M774" s="2">
        <v>295</v>
      </c>
      <c r="N774" s="2">
        <v>13228</v>
      </c>
      <c r="O774" s="2">
        <v>12</v>
      </c>
      <c r="P774" s="2">
        <v>235799</v>
      </c>
      <c r="Q774" s="2">
        <v>1424</v>
      </c>
      <c r="R774" s="2">
        <v>55365</v>
      </c>
      <c r="S774" s="2">
        <v>565230</v>
      </c>
      <c r="T774" s="10">
        <f t="shared" si="41"/>
        <v>215954</v>
      </c>
      <c r="U774" s="8">
        <f t="shared" si="42"/>
        <v>0.38206393857367799</v>
      </c>
      <c r="V774" s="9" t="s">
        <v>5270</v>
      </c>
      <c r="W774" s="9" t="str">
        <f t="shared" si="43"/>
        <v>Prescot UD</v>
      </c>
      <c r="X774" s="9" t="str">
        <f>INDEX(Lookup!$A$2:$A$1349, MATCH(W774, Lookup!$B$2:$B$1349,0))</f>
        <v>J04001016</v>
      </c>
      <c r="Y774" s="9" t="str">
        <f>INDEX(Lookup!$F$2:$F$1349, MATCH(W774, Lookup!$B$2:$B$1349,0))</f>
        <v>e200652</v>
      </c>
      <c r="Z774" s="6" t="str">
        <f>INDEX(Lookup!$C$2:$C$1300, MATCH(X774, Lookup!$A$2:$A$1300,0))</f>
        <v>Merseyside</v>
      </c>
    </row>
    <row r="775" spans="1:26" ht="28.15" customHeight="1" x14ac:dyDescent="0.2">
      <c r="A775" s="6" t="s">
        <v>700</v>
      </c>
      <c r="B775" s="1" t="s">
        <v>700</v>
      </c>
      <c r="C775" s="2">
        <v>1645</v>
      </c>
      <c r="D775" s="2">
        <v>90148</v>
      </c>
      <c r="E775" s="2">
        <v>122</v>
      </c>
      <c r="F775" s="2">
        <v>14322</v>
      </c>
      <c r="G775" s="2">
        <v>1</v>
      </c>
      <c r="H775" s="2">
        <v>206</v>
      </c>
      <c r="I775" s="2">
        <v>52</v>
      </c>
      <c r="J775" s="2">
        <v>5221</v>
      </c>
      <c r="K775" s="2">
        <v>3</v>
      </c>
      <c r="L775" s="2">
        <v>53</v>
      </c>
      <c r="M775" s="2">
        <v>119</v>
      </c>
      <c r="N775" s="2">
        <v>5481</v>
      </c>
      <c r="O775" s="2">
        <v>9</v>
      </c>
      <c r="P775" s="2">
        <v>18950</v>
      </c>
      <c r="Q775" s="2">
        <v>39</v>
      </c>
      <c r="R775" s="2">
        <v>15547</v>
      </c>
      <c r="S775" s="2">
        <v>149967</v>
      </c>
      <c r="T775" s="10">
        <f t="shared" si="41"/>
        <v>104676</v>
      </c>
      <c r="U775" s="8">
        <f t="shared" si="42"/>
        <v>0.69799355858288825</v>
      </c>
      <c r="V775" s="9" t="s">
        <v>5270</v>
      </c>
      <c r="W775" s="9" t="str">
        <f t="shared" si="43"/>
        <v>Rainford UD</v>
      </c>
      <c r="X775" s="9" t="str">
        <f>INDEX(Lookup!$A$2:$A$1349, MATCH(W775, Lookup!$B$2:$B$1349,0))</f>
        <v>J04001028</v>
      </c>
      <c r="Y775" s="9" t="str">
        <f>INDEX(Lookup!$F$2:$F$1349, MATCH(W775, Lookup!$B$2:$B$1349,0))</f>
        <v>e200655</v>
      </c>
      <c r="Z775" s="6" t="str">
        <f>INDEX(Lookup!$C$2:$C$1300, MATCH(X775, Lookup!$A$2:$A$1300,0))</f>
        <v>Merseyside</v>
      </c>
    </row>
    <row r="776" spans="1:26" ht="28.15" customHeight="1" x14ac:dyDescent="0.2">
      <c r="A776" s="6" t="s">
        <v>701</v>
      </c>
      <c r="B776" s="1" t="s">
        <v>701</v>
      </c>
      <c r="C776" s="2">
        <v>4863</v>
      </c>
      <c r="D776" s="2">
        <v>180186</v>
      </c>
      <c r="E776" s="2">
        <v>150</v>
      </c>
      <c r="F776" s="2">
        <v>19195</v>
      </c>
      <c r="G776" s="2">
        <v>3</v>
      </c>
      <c r="H776" s="2">
        <v>782</v>
      </c>
      <c r="I776" s="2">
        <v>267</v>
      </c>
      <c r="J776" s="2">
        <v>16018</v>
      </c>
      <c r="K776" s="2">
        <v>33</v>
      </c>
      <c r="L776" s="2">
        <v>934</v>
      </c>
      <c r="M776" s="2">
        <v>917</v>
      </c>
      <c r="N776" s="2">
        <v>16653</v>
      </c>
      <c r="O776" s="2">
        <v>81</v>
      </c>
      <c r="P776" s="2">
        <v>90023</v>
      </c>
      <c r="Q776" s="2">
        <v>1959</v>
      </c>
      <c r="R776" s="2">
        <v>45320</v>
      </c>
      <c r="S776" s="2">
        <v>371070</v>
      </c>
      <c r="T776" s="10">
        <f t="shared" si="41"/>
        <v>200163</v>
      </c>
      <c r="U776" s="8">
        <f t="shared" si="42"/>
        <v>0.53942113347885845</v>
      </c>
      <c r="V776" s="9" t="s">
        <v>5270</v>
      </c>
      <c r="W776" s="9" t="str">
        <f t="shared" si="43"/>
        <v>Ramsbottom UD</v>
      </c>
      <c r="X776" s="9" t="str">
        <f>INDEX(Lookup!$A$2:$A$1349, MATCH(W776, Lookup!$B$2:$B$1349,0))</f>
        <v>J04001029</v>
      </c>
      <c r="Y776" s="9" t="str">
        <f>INDEX(Lookup!$F$2:$F$1349, MATCH(W776, Lookup!$B$2:$B$1349,0))</f>
        <v>e200656</v>
      </c>
      <c r="Z776" s="6" t="str">
        <f>INDEX(Lookup!$C$2:$C$1300, MATCH(X776, Lookup!$A$2:$A$1300,0))</f>
        <v>Greater Manchester</v>
      </c>
    </row>
    <row r="777" spans="1:26" ht="28.15" customHeight="1" x14ac:dyDescent="0.2">
      <c r="A777" s="6" t="s">
        <v>702</v>
      </c>
      <c r="B777" s="1" t="s">
        <v>702</v>
      </c>
      <c r="C777" s="2">
        <v>1907</v>
      </c>
      <c r="D777" s="2">
        <v>63528</v>
      </c>
      <c r="E777" s="2">
        <v>23</v>
      </c>
      <c r="F777" s="2">
        <v>2654</v>
      </c>
      <c r="G777" s="2" t="s">
        <v>5467</v>
      </c>
      <c r="I777" s="2">
        <v>126</v>
      </c>
      <c r="J777" s="2">
        <v>6795</v>
      </c>
      <c r="K777" s="2">
        <v>5</v>
      </c>
      <c r="L777" s="2">
        <v>293</v>
      </c>
      <c r="M777" s="2">
        <v>309</v>
      </c>
      <c r="N777" s="2">
        <v>9529</v>
      </c>
      <c r="O777" s="2">
        <v>23</v>
      </c>
      <c r="P777" s="2">
        <v>31108</v>
      </c>
      <c r="Q777" s="2">
        <v>83</v>
      </c>
      <c r="R777" s="2">
        <v>76442</v>
      </c>
      <c r="S777" s="2">
        <v>190432</v>
      </c>
      <c r="T777" s="10">
        <f>SUM(D777+F777)</f>
        <v>66182</v>
      </c>
      <c r="U777" s="8">
        <f t="shared" si="42"/>
        <v>0.34753612838178455</v>
      </c>
      <c r="V777" s="9" t="s">
        <v>5270</v>
      </c>
      <c r="W777" s="9" t="str">
        <f t="shared" si="43"/>
        <v>Rishton UD</v>
      </c>
      <c r="X777" s="9" t="str">
        <f>INDEX(Lookup!$A$2:$A$1349, MATCH(W777, Lookup!$B$2:$B$1349,0))</f>
        <v>J04001056</v>
      </c>
      <c r="Y777" s="9" t="str">
        <f>INDEX(Lookup!$F$2:$F$1349, MATCH(W777, Lookup!$B$2:$B$1349,0))</f>
        <v>e200658</v>
      </c>
      <c r="Z777" s="6" t="str">
        <f>INDEX(Lookup!$C$2:$C$1300, MATCH(X777, Lookup!$A$2:$A$1300,0))</f>
        <v>Lancashire</v>
      </c>
    </row>
    <row r="778" spans="1:26" ht="28.15" customHeight="1" x14ac:dyDescent="0.2">
      <c r="A778" s="6" t="s">
        <v>703</v>
      </c>
      <c r="B778" s="1" t="s">
        <v>703</v>
      </c>
      <c r="C778" s="2">
        <v>5302</v>
      </c>
      <c r="D778" s="2">
        <v>214784</v>
      </c>
      <c r="E778" s="2">
        <v>112</v>
      </c>
      <c r="F778" s="2">
        <v>14331</v>
      </c>
      <c r="G778" s="2">
        <v>3</v>
      </c>
      <c r="H778" s="2">
        <v>694</v>
      </c>
      <c r="I778" s="2">
        <v>250</v>
      </c>
      <c r="J778" s="2">
        <v>17356</v>
      </c>
      <c r="K778" s="2">
        <v>20</v>
      </c>
      <c r="L778" s="2">
        <v>1247</v>
      </c>
      <c r="M778" s="2">
        <v>887</v>
      </c>
      <c r="N778" s="2">
        <v>30088</v>
      </c>
      <c r="O778" s="2">
        <v>76</v>
      </c>
      <c r="P778" s="2">
        <v>154749</v>
      </c>
      <c r="Q778" s="2">
        <v>1208</v>
      </c>
      <c r="R778" s="2">
        <v>65611</v>
      </c>
      <c r="S778" s="2">
        <v>500068</v>
      </c>
      <c r="T778" s="10">
        <f t="shared" si="41"/>
        <v>229809</v>
      </c>
      <c r="U778" s="8">
        <f t="shared" si="42"/>
        <v>0.45955550045193855</v>
      </c>
      <c r="V778" s="9" t="s">
        <v>5270</v>
      </c>
      <c r="W778" s="9" t="str">
        <f t="shared" si="43"/>
        <v>Royton UD</v>
      </c>
      <c r="X778" s="9" t="str">
        <f>INDEX(Lookup!$A$2:$A$1349, MATCH(W778, Lookup!$B$2:$B$1349,0))</f>
        <v>J04001076</v>
      </c>
      <c r="Y778" s="9" t="str">
        <f>INDEX(Lookup!$F$2:$F$1349, MATCH(W778, Lookup!$B$2:$B$1349,0))</f>
        <v>e200659</v>
      </c>
      <c r="Z778" s="6" t="str">
        <f>INDEX(Lookup!$C$2:$C$1300, MATCH(X778, Lookup!$A$2:$A$1300,0))</f>
        <v>Greater Manchester</v>
      </c>
    </row>
    <row r="779" spans="1:26" ht="28.15" customHeight="1" x14ac:dyDescent="0.2">
      <c r="A779" s="6" t="s">
        <v>704</v>
      </c>
      <c r="B779" s="1" t="s">
        <v>704</v>
      </c>
      <c r="C779" s="2">
        <v>1997</v>
      </c>
      <c r="D779" s="2">
        <v>87988</v>
      </c>
      <c r="E779" s="2">
        <v>25</v>
      </c>
      <c r="F779" s="2">
        <v>2921</v>
      </c>
      <c r="I779" s="2">
        <v>114</v>
      </c>
      <c r="J779" s="2">
        <v>12998</v>
      </c>
      <c r="K779" s="2">
        <v>10</v>
      </c>
      <c r="L779" s="2">
        <v>453</v>
      </c>
      <c r="M779" s="2">
        <v>187</v>
      </c>
      <c r="N779" s="2">
        <v>5979</v>
      </c>
      <c r="O779" s="2">
        <v>11</v>
      </c>
      <c r="P779" s="2">
        <v>13665</v>
      </c>
      <c r="Q779" s="2">
        <v>76</v>
      </c>
      <c r="R779" s="2">
        <v>17293</v>
      </c>
      <c r="S779" s="2">
        <v>141373</v>
      </c>
      <c r="T779" s="10">
        <f>SUM(D779+F779)</f>
        <v>90909</v>
      </c>
      <c r="U779" s="8">
        <f t="shared" si="42"/>
        <v>0.64304357975002302</v>
      </c>
      <c r="V779" s="9" t="s">
        <v>5270</v>
      </c>
      <c r="W779" s="9" t="str">
        <f t="shared" si="43"/>
        <v>Skelmersdale UD</v>
      </c>
      <c r="X779" s="9" t="str">
        <f>INDEX(Lookup!$A$2:$A$1349, MATCH(W779, Lookup!$B$2:$B$1349,0))</f>
        <v>J04001145</v>
      </c>
      <c r="Y779" s="9" t="str">
        <f>INDEX(Lookup!$F$2:$F$1349, MATCH(W779, Lookup!$B$2:$B$1349,0))</f>
        <v>e200660</v>
      </c>
      <c r="Z779" s="6" t="str">
        <f>INDEX(Lookup!$C$2:$C$1300, MATCH(X779, Lookup!$A$2:$A$1300,0))</f>
        <v>Lancashire</v>
      </c>
    </row>
    <row r="780" spans="1:26" ht="28.15" customHeight="1" x14ac:dyDescent="0.2">
      <c r="A780" s="6" t="s">
        <v>705</v>
      </c>
      <c r="B780" s="1" t="s">
        <v>5420</v>
      </c>
      <c r="C780" s="2">
        <v>3048</v>
      </c>
      <c r="D780" s="2">
        <v>165485</v>
      </c>
      <c r="E780" s="2">
        <v>247</v>
      </c>
      <c r="F780" s="2">
        <v>31654</v>
      </c>
      <c r="G780" s="2">
        <v>8</v>
      </c>
      <c r="H780" s="2">
        <v>2037</v>
      </c>
      <c r="I780" s="2">
        <v>124</v>
      </c>
      <c r="J780" s="2">
        <v>13472</v>
      </c>
      <c r="K780" s="2">
        <v>9</v>
      </c>
      <c r="L780" s="2">
        <v>803</v>
      </c>
      <c r="M780" s="2">
        <v>406</v>
      </c>
      <c r="N780" s="2">
        <v>14165</v>
      </c>
      <c r="O780" s="2">
        <v>8</v>
      </c>
      <c r="P780" s="2">
        <v>49245</v>
      </c>
      <c r="Q780" s="2">
        <v>275</v>
      </c>
      <c r="R780" s="2">
        <v>40967</v>
      </c>
      <c r="S780" s="2">
        <v>318103</v>
      </c>
      <c r="T780" s="10">
        <f t="shared" si="41"/>
        <v>199176</v>
      </c>
      <c r="U780" s="8">
        <f t="shared" si="42"/>
        <v>0.62613681732017612</v>
      </c>
      <c r="V780" s="9" t="s">
        <v>5270</v>
      </c>
      <c r="W780" s="9" t="str">
        <f t="shared" si="43"/>
        <v>Standish with Langtree UD</v>
      </c>
      <c r="X780" s="9" t="str">
        <f>INDEX(Lookup!$A$2:$A$1349, MATCH(W780, Lookup!$B$2:$B$1349,0))</f>
        <v>J04001201</v>
      </c>
      <c r="Y780" s="9" t="str">
        <f>INDEX(Lookup!$F$2:$F$1349, MATCH(W780, Lookup!$B$2:$B$1349,0))</f>
        <v>e200662</v>
      </c>
      <c r="Z780" s="6" t="str">
        <f>INDEX(Lookup!$C$2:$C$1300, MATCH(X780, Lookup!$A$2:$A$1300,0))</f>
        <v>Greater Manchester</v>
      </c>
    </row>
    <row r="781" spans="1:26" ht="28.15" customHeight="1" x14ac:dyDescent="0.2">
      <c r="A781" s="6" t="s">
        <v>706</v>
      </c>
      <c r="B781" s="1" t="s">
        <v>706</v>
      </c>
      <c r="C781" s="2">
        <v>6321</v>
      </c>
      <c r="D781" s="2">
        <v>463556</v>
      </c>
      <c r="E781" s="2">
        <v>1433</v>
      </c>
      <c r="F781" s="2">
        <v>170996</v>
      </c>
      <c r="G781" s="2">
        <v>26</v>
      </c>
      <c r="H781" s="2">
        <v>6771</v>
      </c>
      <c r="I781" s="2">
        <v>412</v>
      </c>
      <c r="J781" s="2">
        <v>95445</v>
      </c>
      <c r="K781" s="2">
        <v>54</v>
      </c>
      <c r="L781" s="2">
        <v>5828</v>
      </c>
      <c r="M781" s="2">
        <v>372</v>
      </c>
      <c r="N781" s="2">
        <v>41901</v>
      </c>
      <c r="O781" s="2">
        <v>26</v>
      </c>
      <c r="P781" s="2">
        <v>370695</v>
      </c>
      <c r="Q781" s="2">
        <v>5753</v>
      </c>
      <c r="R781" s="2">
        <v>67021</v>
      </c>
      <c r="S781" s="2">
        <v>1227966</v>
      </c>
      <c r="T781" s="10">
        <f t="shared" si="41"/>
        <v>641323</v>
      </c>
      <c r="U781" s="8">
        <f t="shared" si="42"/>
        <v>0.52226446009091454</v>
      </c>
      <c r="V781" s="9" t="s">
        <v>5270</v>
      </c>
      <c r="W781" s="9" t="str">
        <f t="shared" si="43"/>
        <v>Thornton Cleveleys UD</v>
      </c>
      <c r="X781" s="9" t="str">
        <f>INDEX(Lookup!$A$2:$A$1349, MATCH(W781, Lookup!$B$2:$B$1349,0))</f>
        <v>J04001274</v>
      </c>
      <c r="Y781" s="9" t="str">
        <f>INDEX(Lookup!$F$2:$F$1349, MATCH(W781, Lookup!$B$2:$B$1349,0))</f>
        <v>e200665</v>
      </c>
      <c r="Z781" s="6" t="str">
        <f>INDEX(Lookup!$C$2:$C$1300, MATCH(X781, Lookup!$A$2:$A$1300,0))</f>
        <v>Lancashire</v>
      </c>
    </row>
    <row r="782" spans="1:26" ht="28.15" customHeight="1" x14ac:dyDescent="0.2">
      <c r="A782" s="6" t="s">
        <v>707</v>
      </c>
      <c r="B782" s="1" t="s">
        <v>707</v>
      </c>
      <c r="C782" s="2">
        <v>2037</v>
      </c>
      <c r="D782" s="2">
        <v>75534</v>
      </c>
      <c r="E782" s="2">
        <v>75</v>
      </c>
      <c r="F782" s="2">
        <v>9704</v>
      </c>
      <c r="G782" s="2">
        <v>10</v>
      </c>
      <c r="H782" s="2">
        <v>2457</v>
      </c>
      <c r="I782" s="2">
        <v>76</v>
      </c>
      <c r="J782" s="2">
        <v>4009</v>
      </c>
      <c r="K782" s="2">
        <v>1</v>
      </c>
      <c r="L782" s="2">
        <v>69</v>
      </c>
      <c r="M782" s="2">
        <v>333</v>
      </c>
      <c r="N782" s="2">
        <v>6691</v>
      </c>
      <c r="O782" s="2">
        <v>23</v>
      </c>
      <c r="P782" s="2">
        <v>31116</v>
      </c>
      <c r="Q782" s="2">
        <v>96</v>
      </c>
      <c r="R782" s="2">
        <v>20245</v>
      </c>
      <c r="S782" s="2">
        <v>149921</v>
      </c>
      <c r="T782" s="10">
        <f t="shared" si="41"/>
        <v>87695</v>
      </c>
      <c r="U782" s="8">
        <f t="shared" si="42"/>
        <v>0.58494140247196857</v>
      </c>
      <c r="V782" s="9" t="s">
        <v>5270</v>
      </c>
      <c r="W782" s="9" t="str">
        <f t="shared" si="43"/>
        <v>Tottington UD</v>
      </c>
      <c r="X782" s="9" t="str">
        <f>INDEX(Lookup!$A$2:$A$1349, MATCH(W782, Lookup!$B$2:$B$1349,0))</f>
        <v>J04001290</v>
      </c>
      <c r="Y782" s="9" t="str">
        <f>INDEX(Lookup!$F$2:$F$1349, MATCH(W782, Lookup!$B$2:$B$1349,0))</f>
        <v>e200666</v>
      </c>
      <c r="Z782" s="6" t="str">
        <f>INDEX(Lookup!$C$2:$C$1300, MATCH(X782, Lookup!$A$2:$A$1300,0))</f>
        <v>Greater Manchester</v>
      </c>
    </row>
    <row r="783" spans="1:26" ht="28.15" customHeight="1" x14ac:dyDescent="0.2">
      <c r="A783" s="6" t="s">
        <v>708</v>
      </c>
      <c r="B783" s="1" t="s">
        <v>708</v>
      </c>
      <c r="C783" s="2">
        <v>715</v>
      </c>
      <c r="D783" s="2">
        <v>15951</v>
      </c>
      <c r="E783" s="2">
        <v>1</v>
      </c>
      <c r="F783" s="2">
        <v>118</v>
      </c>
      <c r="I783" s="2">
        <v>25</v>
      </c>
      <c r="J783" s="2">
        <v>569</v>
      </c>
      <c r="K783" s="2">
        <v>3</v>
      </c>
      <c r="L783" s="2">
        <v>1375</v>
      </c>
      <c r="M783" s="2">
        <v>178</v>
      </c>
      <c r="N783" s="2">
        <v>1781</v>
      </c>
      <c r="O783" s="2">
        <v>15</v>
      </c>
      <c r="P783" s="2">
        <v>13118</v>
      </c>
      <c r="R783" s="2">
        <v>4434</v>
      </c>
      <c r="S783" s="2">
        <v>37346</v>
      </c>
      <c r="T783" s="10">
        <f>SUM(D783+F783)</f>
        <v>16069</v>
      </c>
      <c r="U783" s="8">
        <f t="shared" si="42"/>
        <v>0.43027365715203769</v>
      </c>
      <c r="V783" s="9" t="s">
        <v>5270</v>
      </c>
      <c r="W783" s="9" t="str">
        <f t="shared" si="43"/>
        <v>Trawden UD</v>
      </c>
      <c r="X783" s="9" t="str">
        <f>INDEX(Lookup!$A$2:$A$1349, MATCH(W783, Lookup!$B$2:$B$1349,0))</f>
        <v>J04001294</v>
      </c>
      <c r="Y783" s="9" t="str">
        <f>INDEX(Lookup!$F$2:$F$1349, MATCH(W783, Lookup!$B$2:$B$1349,0))</f>
        <v>e200667</v>
      </c>
      <c r="Z783" s="6" t="str">
        <f>INDEX(Lookup!$C$2:$C$1300, MATCH(X783, Lookup!$A$2:$A$1300,0))</f>
        <v>Lancashire</v>
      </c>
    </row>
    <row r="784" spans="1:26" ht="28.15" customHeight="1" x14ac:dyDescent="0.2">
      <c r="A784" s="6" t="s">
        <v>709</v>
      </c>
      <c r="B784" s="1" t="s">
        <v>709</v>
      </c>
      <c r="C784" s="2">
        <v>5068</v>
      </c>
      <c r="D784" s="2">
        <v>243728</v>
      </c>
      <c r="E784" s="2">
        <v>316</v>
      </c>
      <c r="F784" s="2">
        <v>39432</v>
      </c>
      <c r="G784" s="2">
        <v>27</v>
      </c>
      <c r="H784" s="2">
        <v>6614</v>
      </c>
      <c r="I784" s="2">
        <v>142</v>
      </c>
      <c r="J784" s="2">
        <v>8570</v>
      </c>
      <c r="K784" s="2">
        <v>8</v>
      </c>
      <c r="L784" s="2">
        <v>564</v>
      </c>
      <c r="M784" s="2">
        <v>575</v>
      </c>
      <c r="N784" s="2">
        <v>22076</v>
      </c>
      <c r="O784" s="2">
        <v>42</v>
      </c>
      <c r="P784" s="2">
        <v>73473</v>
      </c>
      <c r="Q784" s="2">
        <v>958</v>
      </c>
      <c r="R784" s="2">
        <v>71277</v>
      </c>
      <c r="S784" s="2">
        <v>466692</v>
      </c>
      <c r="T784" s="10">
        <f t="shared" si="41"/>
        <v>289774</v>
      </c>
      <c r="U784" s="8">
        <f t="shared" si="42"/>
        <v>0.62091057913998959</v>
      </c>
      <c r="V784" s="9" t="s">
        <v>5270</v>
      </c>
      <c r="W784" s="9" t="str">
        <f t="shared" si="43"/>
        <v>Turton UD</v>
      </c>
      <c r="X784" s="9" t="str">
        <f>INDEX(Lookup!$A$2:$A$1349, MATCH(W784, Lookup!$B$2:$B$1349,0))</f>
        <v>J04001301</v>
      </c>
      <c r="Y784" s="9" t="str">
        <f>INDEX(Lookup!$F$2:$F$1349, MATCH(W784, Lookup!$B$2:$B$1349,0))</f>
        <v>e200668</v>
      </c>
      <c r="Z784" s="6" t="str">
        <f>INDEX(Lookup!$C$2:$C$1300, MATCH(X784, Lookup!$A$2:$A$1300,0))</f>
        <v>Greater Manchester</v>
      </c>
    </row>
    <row r="785" spans="1:26" ht="28.15" customHeight="1" x14ac:dyDescent="0.2">
      <c r="A785" s="6" t="s">
        <v>710</v>
      </c>
      <c r="B785" s="1" t="s">
        <v>710</v>
      </c>
      <c r="C785" s="2">
        <v>5596</v>
      </c>
      <c r="D785" s="2">
        <v>219326</v>
      </c>
      <c r="E785" s="2">
        <v>22</v>
      </c>
      <c r="F785" s="2">
        <v>2725</v>
      </c>
      <c r="G785" s="2" t="s">
        <v>5467</v>
      </c>
      <c r="I785" s="2">
        <v>317</v>
      </c>
      <c r="J785" s="2">
        <v>23216</v>
      </c>
      <c r="K785" s="2">
        <v>11</v>
      </c>
      <c r="L785" s="2">
        <v>809</v>
      </c>
      <c r="M785" s="2">
        <v>708</v>
      </c>
      <c r="N785" s="2">
        <v>22313</v>
      </c>
      <c r="O785" s="2">
        <v>24</v>
      </c>
      <c r="P785" s="2">
        <v>39335</v>
      </c>
      <c r="Q785" s="2">
        <v>2426</v>
      </c>
      <c r="R785" s="2">
        <v>133157</v>
      </c>
      <c r="S785" s="2">
        <v>443307</v>
      </c>
      <c r="T785" s="10">
        <f>SUM(D785+F785)</f>
        <v>222051</v>
      </c>
      <c r="U785" s="8">
        <f t="shared" si="42"/>
        <v>0.50089666980219127</v>
      </c>
      <c r="V785" s="9" t="s">
        <v>5270</v>
      </c>
      <c r="W785" s="9" t="str">
        <f t="shared" si="43"/>
        <v>Tyldesley UD</v>
      </c>
      <c r="X785" s="9" t="str">
        <f>INDEX(Lookup!$A$2:$A$1349, MATCH(W785, Lookup!$B$2:$B$1349,0))</f>
        <v>J04001305</v>
      </c>
      <c r="Y785" s="9" t="str">
        <f>INDEX(Lookup!$F$2:$F$1349, MATCH(W785, Lookup!$B$2:$B$1349,0))</f>
        <v>e200669</v>
      </c>
      <c r="Z785" s="6" t="str">
        <f>INDEX(Lookup!$C$2:$C$1300, MATCH(X785, Lookup!$A$2:$A$1300,0))</f>
        <v>Greater Manchester</v>
      </c>
    </row>
    <row r="786" spans="1:26" ht="28.15" customHeight="1" x14ac:dyDescent="0.2">
      <c r="A786" s="6" t="s">
        <v>711</v>
      </c>
      <c r="B786" s="1" t="s">
        <v>711</v>
      </c>
      <c r="C786" s="2">
        <v>3345</v>
      </c>
      <c r="D786" s="2">
        <v>154651</v>
      </c>
      <c r="E786" s="2">
        <v>92</v>
      </c>
      <c r="F786" s="2">
        <v>10711</v>
      </c>
      <c r="G786" s="2">
        <v>2</v>
      </c>
      <c r="H786" s="2">
        <v>416</v>
      </c>
      <c r="I786" s="2">
        <v>263</v>
      </c>
      <c r="J786" s="2">
        <v>37756</v>
      </c>
      <c r="K786" s="2">
        <v>31</v>
      </c>
      <c r="L786" s="2">
        <v>3424</v>
      </c>
      <c r="M786" s="2">
        <v>514</v>
      </c>
      <c r="N786" s="2">
        <v>20907</v>
      </c>
      <c r="O786" s="2">
        <v>21</v>
      </c>
      <c r="P786" s="2">
        <v>53602</v>
      </c>
      <c r="Q786" s="2">
        <v>2818</v>
      </c>
      <c r="R786" s="2">
        <v>38700</v>
      </c>
      <c r="S786" s="2">
        <v>322985</v>
      </c>
      <c r="T786" s="10">
        <f t="shared" si="41"/>
        <v>165778</v>
      </c>
      <c r="U786" s="8">
        <f t="shared" si="42"/>
        <v>0.51326841803798939</v>
      </c>
      <c r="V786" s="9" t="s">
        <v>5270</v>
      </c>
      <c r="W786" s="9" t="str">
        <f t="shared" si="43"/>
        <v>Ulverston UD</v>
      </c>
      <c r="X786" s="9" t="str">
        <f>INDEX(Lookup!$A$2:$A$1349, MATCH(W786, Lookup!$B$2:$B$1349,0))</f>
        <v>J04001308</v>
      </c>
      <c r="Y786" s="9" t="str">
        <f>INDEX(Lookup!$F$2:$F$1349, MATCH(W786, Lookup!$B$2:$B$1349,0))</f>
        <v>e200670</v>
      </c>
      <c r="Z786" s="6" t="str">
        <f>INDEX(Lookup!$C$2:$C$1300, MATCH(X786, Lookup!$A$2:$A$1300,0))</f>
        <v>Cumbria</v>
      </c>
    </row>
    <row r="787" spans="1:26" ht="28.15" customHeight="1" x14ac:dyDescent="0.2">
      <c r="A787" s="6" t="s">
        <v>712</v>
      </c>
      <c r="B787" s="1" t="s">
        <v>712</v>
      </c>
      <c r="C787" s="2">
        <v>2325</v>
      </c>
      <c r="D787" s="2">
        <v>114265</v>
      </c>
      <c r="E787" s="2">
        <v>98</v>
      </c>
      <c r="F787" s="2">
        <v>11718</v>
      </c>
      <c r="G787" s="2">
        <v>3</v>
      </c>
      <c r="H787" s="2">
        <v>710</v>
      </c>
      <c r="I787" s="2">
        <v>59</v>
      </c>
      <c r="J787" s="2">
        <v>5838</v>
      </c>
      <c r="K787" s="2">
        <v>2</v>
      </c>
      <c r="L787" s="2">
        <v>54</v>
      </c>
      <c r="M787" s="2">
        <v>236</v>
      </c>
      <c r="N787" s="2">
        <v>7882</v>
      </c>
      <c r="O787" s="2">
        <v>2</v>
      </c>
      <c r="P787" s="2">
        <v>655</v>
      </c>
      <c r="Q787" s="2">
        <v>186</v>
      </c>
      <c r="R787" s="2">
        <v>37490</v>
      </c>
      <c r="S787" s="2">
        <v>178798</v>
      </c>
      <c r="T787" s="10">
        <f t="shared" si="41"/>
        <v>126693</v>
      </c>
      <c r="U787" s="8">
        <f t="shared" si="42"/>
        <v>0.70858175147373015</v>
      </c>
      <c r="V787" s="9" t="s">
        <v>5270</v>
      </c>
      <c r="W787" s="9" t="str">
        <f t="shared" si="43"/>
        <v>Upholland UD</v>
      </c>
      <c r="X787" s="9" t="str">
        <f>INDEX(Lookup!$A$2:$A$1349, MATCH(W787, Lookup!$B$2:$B$1349,0))</f>
        <v>J04001309</v>
      </c>
      <c r="Y787" s="9" t="str">
        <f>INDEX(Lookup!$F$2:$F$1349, MATCH(W787, Lookup!$B$2:$B$1349,0))</f>
        <v>e200660</v>
      </c>
      <c r="Z787" s="6" t="str">
        <f>INDEX(Lookup!$C$2:$C$1300, MATCH(X787, Lookup!$A$2:$A$1300,0))</f>
        <v>Lancashire</v>
      </c>
    </row>
    <row r="788" spans="1:26" ht="28.15" customHeight="1" x14ac:dyDescent="0.2">
      <c r="A788" s="6" t="s">
        <v>713</v>
      </c>
      <c r="B788" s="1" t="s">
        <v>713</v>
      </c>
      <c r="C788" s="2">
        <v>12648</v>
      </c>
      <c r="D788" s="2">
        <v>877618</v>
      </c>
      <c r="E788" s="2">
        <v>1204</v>
      </c>
      <c r="F788" s="2">
        <v>136929</v>
      </c>
      <c r="G788" s="2">
        <v>7</v>
      </c>
      <c r="H788" s="2">
        <v>1645</v>
      </c>
      <c r="I788" s="2">
        <v>472</v>
      </c>
      <c r="J788" s="2">
        <v>128875</v>
      </c>
      <c r="K788" s="2">
        <v>59</v>
      </c>
      <c r="L788" s="2">
        <v>14047</v>
      </c>
      <c r="M788" s="2">
        <v>670</v>
      </c>
      <c r="N788" s="2">
        <v>237115</v>
      </c>
      <c r="O788" s="2">
        <v>69</v>
      </c>
      <c r="P788" s="2">
        <v>1106415</v>
      </c>
      <c r="Q788" s="2">
        <v>10483</v>
      </c>
      <c r="R788" s="2">
        <v>300960</v>
      </c>
      <c r="S788" s="2">
        <v>2814087</v>
      </c>
      <c r="T788" s="10">
        <f t="shared" si="41"/>
        <v>1016192</v>
      </c>
      <c r="U788" s="8">
        <f t="shared" si="42"/>
        <v>0.36110894936794774</v>
      </c>
      <c r="V788" s="9" t="s">
        <v>5270</v>
      </c>
      <c r="W788" s="9" t="str">
        <f t="shared" si="43"/>
        <v>Urmston UD</v>
      </c>
      <c r="X788" s="9" t="str">
        <f>INDEX(Lookup!$A$2:$A$1349, MATCH(W788, Lookup!$B$2:$B$1349,0))</f>
        <v>J04001312</v>
      </c>
      <c r="Y788" s="9" t="str">
        <f>INDEX(Lookup!$F$2:$F$1349, MATCH(W788, Lookup!$B$2:$B$1349,0))</f>
        <v>e200671</v>
      </c>
      <c r="Z788" s="6" t="str">
        <f>INDEX(Lookup!$C$2:$C$1300, MATCH(X788, Lookup!$A$2:$A$1300,0))</f>
        <v>Greater Manchester</v>
      </c>
    </row>
    <row r="789" spans="1:26" ht="28.15" customHeight="1" x14ac:dyDescent="0.2">
      <c r="A789" s="6" t="s">
        <v>714</v>
      </c>
      <c r="B789" s="1" t="s">
        <v>5421</v>
      </c>
      <c r="C789" s="2">
        <v>6364</v>
      </c>
      <c r="D789" s="2">
        <v>339561</v>
      </c>
      <c r="E789" s="2">
        <v>117</v>
      </c>
      <c r="F789" s="2">
        <v>14474</v>
      </c>
      <c r="G789" s="2">
        <v>3</v>
      </c>
      <c r="H789" s="2">
        <v>618</v>
      </c>
      <c r="I789" s="2">
        <v>216</v>
      </c>
      <c r="J789" s="2">
        <v>16326</v>
      </c>
      <c r="K789" s="2">
        <v>18</v>
      </c>
      <c r="L789" s="2">
        <v>2187</v>
      </c>
      <c r="M789" s="2">
        <v>538</v>
      </c>
      <c r="N789" s="2">
        <v>33854</v>
      </c>
      <c r="O789" s="2">
        <v>50</v>
      </c>
      <c r="P789" s="2">
        <v>130765</v>
      </c>
      <c r="Q789" s="2">
        <v>4498</v>
      </c>
      <c r="R789" s="2">
        <v>76623</v>
      </c>
      <c r="S789" s="2">
        <v>618906</v>
      </c>
      <c r="T789" s="10">
        <f t="shared" si="41"/>
        <v>354653</v>
      </c>
      <c r="U789" s="8">
        <f t="shared" si="42"/>
        <v>0.57303209211091832</v>
      </c>
      <c r="V789" s="9" t="s">
        <v>5270</v>
      </c>
      <c r="W789" s="9" t="str">
        <f t="shared" si="43"/>
        <v>Walton le Dale UD</v>
      </c>
      <c r="X789" s="9" t="str">
        <f>INDEX(Lookup!$A$2:$A$1349, MATCH(W789, Lookup!$B$2:$B$1349,0))</f>
        <v>J04001333</v>
      </c>
      <c r="Y789" s="9" t="str">
        <f>INDEX(Lookup!$F$2:$F$1349, MATCH(W789, Lookup!$B$2:$B$1349,0))</f>
        <v>e200672</v>
      </c>
      <c r="Z789" s="6" t="str">
        <f>INDEX(Lookup!$C$2:$C$1300, MATCH(X789, Lookup!$A$2:$A$1300,0))</f>
        <v>Lancashire</v>
      </c>
    </row>
    <row r="790" spans="1:26" ht="28.15" customHeight="1" x14ac:dyDescent="0.2">
      <c r="A790" s="6" t="s">
        <v>715</v>
      </c>
      <c r="B790" s="1" t="s">
        <v>715</v>
      </c>
      <c r="C790" s="2">
        <v>1413</v>
      </c>
      <c r="D790" s="2">
        <v>51753</v>
      </c>
      <c r="E790" s="2">
        <v>20</v>
      </c>
      <c r="F790" s="2">
        <v>2408</v>
      </c>
      <c r="G790" s="2" t="s">
        <v>5467</v>
      </c>
      <c r="I790" s="2">
        <v>47</v>
      </c>
      <c r="J790" s="2">
        <v>1704</v>
      </c>
      <c r="K790" s="2">
        <v>1</v>
      </c>
      <c r="L790" s="2">
        <v>134</v>
      </c>
      <c r="M790" s="2">
        <v>333</v>
      </c>
      <c r="N790" s="2">
        <v>4391</v>
      </c>
      <c r="O790" s="2">
        <v>24</v>
      </c>
      <c r="P790" s="2">
        <v>22348</v>
      </c>
      <c r="Q790" s="2">
        <v>9064</v>
      </c>
      <c r="R790" s="2">
        <v>29646</v>
      </c>
      <c r="S790" s="2">
        <v>121448</v>
      </c>
      <c r="T790" s="10">
        <f>SUM(D790+F790)</f>
        <v>54161</v>
      </c>
      <c r="U790" s="8">
        <f t="shared" si="42"/>
        <v>0.44596041104011591</v>
      </c>
      <c r="V790" s="9" t="s">
        <v>5270</v>
      </c>
      <c r="W790" s="9" t="str">
        <f t="shared" si="43"/>
        <v>Wardle UD</v>
      </c>
      <c r="X790" s="9" t="str">
        <f>INDEX(Lookup!$A$2:$A$1349, MATCH(W790, Lookup!$B$2:$B$1349,0))</f>
        <v>J04001338</v>
      </c>
      <c r="Y790" s="9" t="str">
        <f>INDEX(Lookup!$F$2:$F$1349, MATCH(W790, Lookup!$B$2:$B$1349,0))</f>
        <v>e200674</v>
      </c>
      <c r="Z790" s="6" t="str">
        <f>INDEX(Lookup!$C$2:$C$1300, MATCH(X790, Lookup!$A$2:$A$1300,0))</f>
        <v>Greater Manchester</v>
      </c>
    </row>
    <row r="791" spans="1:26" ht="28.15" customHeight="1" x14ac:dyDescent="0.2">
      <c r="A791" s="6" t="s">
        <v>716</v>
      </c>
      <c r="B791" s="1" t="s">
        <v>716</v>
      </c>
      <c r="C791" s="2">
        <v>5514</v>
      </c>
      <c r="D791" s="2">
        <v>262775</v>
      </c>
      <c r="E791" s="2">
        <v>190</v>
      </c>
      <c r="F791" s="2">
        <v>23000</v>
      </c>
      <c r="G791" s="2">
        <v>4</v>
      </c>
      <c r="H791" s="2">
        <v>856</v>
      </c>
      <c r="I791" s="2">
        <v>235</v>
      </c>
      <c r="J791" s="2">
        <v>14466</v>
      </c>
      <c r="K791" s="2">
        <v>8</v>
      </c>
      <c r="L791" s="2">
        <v>339</v>
      </c>
      <c r="M791" s="2">
        <v>456</v>
      </c>
      <c r="N791" s="2">
        <v>24324</v>
      </c>
      <c r="O791" s="2">
        <v>46</v>
      </c>
      <c r="P791" s="2">
        <v>82537</v>
      </c>
      <c r="Q791" s="2">
        <v>629</v>
      </c>
      <c r="R791" s="2">
        <v>37816</v>
      </c>
      <c r="S791" s="2">
        <v>446742</v>
      </c>
      <c r="T791" s="10">
        <f t="shared" si="41"/>
        <v>286631</v>
      </c>
      <c r="U791" s="8">
        <f t="shared" si="42"/>
        <v>0.64160298337743038</v>
      </c>
      <c r="V791" s="9" t="s">
        <v>5270</v>
      </c>
      <c r="W791" s="9" t="str">
        <f t="shared" si="43"/>
        <v>Westhoughton UD</v>
      </c>
      <c r="X791" s="9" t="str">
        <f>INDEX(Lookup!$A$2:$A$1349, MATCH(W791, Lookup!$B$2:$B$1349,0))</f>
        <v>J04001390</v>
      </c>
      <c r="Y791" s="9" t="str">
        <f>INDEX(Lookup!$F$2:$F$1349, MATCH(W791, Lookup!$B$2:$B$1349,0))</f>
        <v>e200675</v>
      </c>
      <c r="Z791" s="6" t="str">
        <f>INDEX(Lookup!$C$2:$C$1300, MATCH(X791, Lookup!$A$2:$A$1300,0))</f>
        <v>Greater Manchester</v>
      </c>
    </row>
    <row r="792" spans="1:26" ht="28.15" customHeight="1" x14ac:dyDescent="0.2">
      <c r="A792" s="6" t="s">
        <v>717</v>
      </c>
      <c r="B792" s="1" t="s">
        <v>717</v>
      </c>
      <c r="C792" s="2">
        <v>4815</v>
      </c>
      <c r="D792" s="2">
        <v>273445</v>
      </c>
      <c r="E792" s="2">
        <v>427</v>
      </c>
      <c r="F792" s="2">
        <v>56496</v>
      </c>
      <c r="G792" s="2">
        <v>29</v>
      </c>
      <c r="H792" s="2">
        <v>7475</v>
      </c>
      <c r="I792" s="2">
        <v>196</v>
      </c>
      <c r="J792" s="2">
        <v>16471</v>
      </c>
      <c r="K792" s="2">
        <v>17</v>
      </c>
      <c r="L792" s="2">
        <v>989</v>
      </c>
      <c r="M792" s="2">
        <v>456</v>
      </c>
      <c r="N792" s="2">
        <v>13330</v>
      </c>
      <c r="O792" s="2">
        <v>30</v>
      </c>
      <c r="P792" s="2">
        <v>29231</v>
      </c>
      <c r="Q792" s="2">
        <v>682</v>
      </c>
      <c r="R792" s="2">
        <v>52397</v>
      </c>
      <c r="S792" s="2">
        <v>450516</v>
      </c>
      <c r="T792" s="10">
        <f t="shared" si="41"/>
        <v>337416</v>
      </c>
      <c r="U792" s="8">
        <f t="shared" si="42"/>
        <v>0.74895453213648355</v>
      </c>
      <c r="V792" s="9" t="s">
        <v>5270</v>
      </c>
      <c r="W792" s="9" t="str">
        <f t="shared" si="43"/>
        <v>Whitefield UD</v>
      </c>
      <c r="X792" s="9" t="str">
        <f>INDEX(Lookup!$A$2:$A$1349, MATCH(W792, Lookup!$B$2:$B$1349,0))</f>
        <v>J04001402</v>
      </c>
      <c r="Y792" s="9" t="str">
        <f>INDEX(Lookup!$F$2:$F$1349, MATCH(W792, Lookup!$B$2:$B$1349,0))</f>
        <v>e200676</v>
      </c>
      <c r="Z792" s="6" t="str">
        <f>INDEX(Lookup!$C$2:$C$1300, MATCH(X792, Lookup!$A$2:$A$1300,0))</f>
        <v>Greater Manchester</v>
      </c>
    </row>
    <row r="793" spans="1:26" ht="28.15" customHeight="1" x14ac:dyDescent="0.2">
      <c r="A793" s="6" t="s">
        <v>718</v>
      </c>
      <c r="B793" s="1" t="s">
        <v>718</v>
      </c>
      <c r="C793" s="2">
        <v>2549</v>
      </c>
      <c r="D793" s="2">
        <v>70629</v>
      </c>
      <c r="E793" s="2">
        <v>10</v>
      </c>
      <c r="F793" s="2">
        <v>1288</v>
      </c>
      <c r="G793" s="2">
        <v>1</v>
      </c>
      <c r="H793" s="2">
        <v>210</v>
      </c>
      <c r="I793" s="2">
        <v>131</v>
      </c>
      <c r="J793" s="2">
        <v>5574</v>
      </c>
      <c r="K793" s="2">
        <v>8</v>
      </c>
      <c r="L793" s="2">
        <v>163</v>
      </c>
      <c r="M793" s="2">
        <v>489</v>
      </c>
      <c r="N793" s="2">
        <v>6439</v>
      </c>
      <c r="O793" s="2">
        <v>34</v>
      </c>
      <c r="P793" s="2">
        <v>36012</v>
      </c>
      <c r="Q793" s="2">
        <v>152</v>
      </c>
      <c r="R793" s="2">
        <v>19892</v>
      </c>
      <c r="S793" s="2">
        <v>140359</v>
      </c>
      <c r="T793" s="10">
        <f t="shared" si="41"/>
        <v>72127</v>
      </c>
      <c r="U793" s="8">
        <f t="shared" si="42"/>
        <v>0.51387513447659217</v>
      </c>
      <c r="V793" s="9" t="s">
        <v>5270</v>
      </c>
      <c r="W793" s="9" t="str">
        <f t="shared" si="43"/>
        <v>Whitworth UD</v>
      </c>
      <c r="X793" s="9" t="str">
        <f>INDEX(Lookup!$A$2:$A$1349, MATCH(W793, Lookup!$B$2:$B$1349,0))</f>
        <v>J04001407</v>
      </c>
      <c r="Y793" s="9" t="str">
        <f>INDEX(Lookup!$F$2:$F$1349, MATCH(W793, Lookup!$B$2:$B$1349,0))</f>
        <v>e200677</v>
      </c>
      <c r="Z793" s="6" t="str">
        <f>INDEX(Lookup!$C$2:$C$1300, MATCH(X793, Lookup!$A$2:$A$1300,0))</f>
        <v>Lancashire</v>
      </c>
    </row>
    <row r="794" spans="1:26" ht="28.15" customHeight="1" x14ac:dyDescent="0.2">
      <c r="A794" s="6" t="s">
        <v>719</v>
      </c>
      <c r="B794" s="1" t="s">
        <v>719</v>
      </c>
      <c r="C794" s="2">
        <v>847</v>
      </c>
      <c r="D794" s="2">
        <v>27050</v>
      </c>
      <c r="E794" s="2">
        <v>4</v>
      </c>
      <c r="F794" s="2">
        <v>506</v>
      </c>
      <c r="G794" s="2">
        <v>3</v>
      </c>
      <c r="H794" s="2">
        <v>674</v>
      </c>
      <c r="I794" s="2">
        <v>47</v>
      </c>
      <c r="J794" s="2">
        <v>1854</v>
      </c>
      <c r="K794" s="2">
        <v>1</v>
      </c>
      <c r="L794" s="2">
        <v>80</v>
      </c>
      <c r="M794" s="2">
        <v>169</v>
      </c>
      <c r="N794" s="2">
        <v>3140</v>
      </c>
      <c r="O794" s="2">
        <v>7</v>
      </c>
      <c r="P794" s="2">
        <v>23415</v>
      </c>
      <c r="Q794" s="2">
        <v>766</v>
      </c>
      <c r="R794" s="2">
        <v>21032</v>
      </c>
      <c r="S794" s="2">
        <v>78517</v>
      </c>
      <c r="T794" s="10">
        <f t="shared" si="41"/>
        <v>28230</v>
      </c>
      <c r="U794" s="8">
        <f t="shared" si="42"/>
        <v>0.35953997223531209</v>
      </c>
      <c r="V794" s="9" t="s">
        <v>5270</v>
      </c>
      <c r="W794" s="9" t="str">
        <f t="shared" si="43"/>
        <v>Withnell UD</v>
      </c>
      <c r="X794" s="9" t="str">
        <f>INDEX(Lookup!$A$2:$A$1349, MATCH(W794, Lookup!$B$2:$B$1349,0))</f>
        <v>J04001435</v>
      </c>
      <c r="Y794" s="9" t="str">
        <f>INDEX(Lookup!$F$2:$F$1349, MATCH(W794, Lookup!$B$2:$B$1349,0))</f>
        <v>e200679</v>
      </c>
      <c r="Z794" s="6" t="str">
        <f>INDEX(Lookup!$C$2:$C$1300, MATCH(X794, Lookup!$A$2:$A$1300,0))</f>
        <v>Lancashire</v>
      </c>
    </row>
    <row r="795" spans="1:26" ht="28.15" customHeight="1" x14ac:dyDescent="0.2">
      <c r="A795" s="6" t="s">
        <v>720</v>
      </c>
      <c r="B795" s="1" t="s">
        <v>720</v>
      </c>
      <c r="C795" s="2">
        <v>13076</v>
      </c>
      <c r="D795" s="2">
        <v>708906</v>
      </c>
      <c r="E795" s="2">
        <v>638</v>
      </c>
      <c r="F795" s="2">
        <v>78314</v>
      </c>
      <c r="G795" s="2">
        <v>19</v>
      </c>
      <c r="H795" s="2">
        <v>4542</v>
      </c>
      <c r="I795" s="2">
        <v>474</v>
      </c>
      <c r="J795" s="2">
        <v>62087</v>
      </c>
      <c r="K795" s="2">
        <v>41</v>
      </c>
      <c r="L795" s="2">
        <v>12915</v>
      </c>
      <c r="M795" s="2">
        <v>1673</v>
      </c>
      <c r="N795" s="2">
        <v>51928</v>
      </c>
      <c r="O795" s="2">
        <v>78</v>
      </c>
      <c r="P795" s="2">
        <v>243965</v>
      </c>
      <c r="Q795" s="2">
        <v>3367</v>
      </c>
      <c r="R795" s="2">
        <v>200436</v>
      </c>
      <c r="S795" s="2">
        <v>1366460</v>
      </c>
      <c r="T795" s="10">
        <f t="shared" si="41"/>
        <v>791762</v>
      </c>
      <c r="U795" s="8">
        <f t="shared" si="42"/>
        <v>0.57942566924754479</v>
      </c>
      <c r="V795" s="9" t="s">
        <v>5270</v>
      </c>
      <c r="W795" s="9" t="str">
        <f t="shared" si="43"/>
        <v>Worsley UD</v>
      </c>
      <c r="X795" s="9" t="str">
        <f>INDEX(Lookup!$A$2:$A$1349, MATCH(W795, Lookup!$B$2:$B$1349,0))</f>
        <v>J04001455</v>
      </c>
      <c r="Y795" s="9" t="str">
        <f>INDEX(Lookup!$F$2:$F$1349, MATCH(W795, Lookup!$B$2:$B$1349,0))</f>
        <v>e200680</v>
      </c>
      <c r="Z795" s="6" t="str">
        <f>INDEX(Lookup!$C$2:$C$1300, MATCH(X795, Lookup!$A$2:$A$1300,0))</f>
        <v>Greater Manchester</v>
      </c>
    </row>
    <row r="796" spans="1:26" ht="28.15" customHeight="1" x14ac:dyDescent="0.2">
      <c r="A796" s="6" t="s">
        <v>212</v>
      </c>
      <c r="B796" s="1" t="s">
        <v>212</v>
      </c>
      <c r="T796" s="10"/>
      <c r="W796" s="9" t="str">
        <f t="shared" si="43"/>
        <v xml:space="preserve">Rural Districts-- </v>
      </c>
      <c r="X796" s="9" t="e">
        <f>INDEX(Lookup!$A$2:$A$1349, MATCH(W796, Lookup!$B$2:$B$1349,0))</f>
        <v>#N/A</v>
      </c>
      <c r="Y796" s="9" t="e">
        <f>INDEX(Lookup!$F$2:$F$1349, MATCH(W796, Lookup!$B$2:$B$1349,0))</f>
        <v>#N/A</v>
      </c>
      <c r="Z796" s="6" t="e">
        <f>INDEX(Lookup!$C$2:$C$1300, MATCH(X796, Lookup!$A$2:$A$1300,0))</f>
        <v>#N/A</v>
      </c>
    </row>
    <row r="797" spans="1:26" ht="28.15" customHeight="1" x14ac:dyDescent="0.2">
      <c r="A797" s="6" t="s">
        <v>101</v>
      </c>
      <c r="B797" s="1" t="s">
        <v>101</v>
      </c>
      <c r="C797" s="2">
        <v>3873</v>
      </c>
      <c r="D797" s="2">
        <v>189042</v>
      </c>
      <c r="E797" s="2">
        <v>460</v>
      </c>
      <c r="F797" s="2">
        <v>58270</v>
      </c>
      <c r="G797" s="2">
        <v>26</v>
      </c>
      <c r="H797" s="2">
        <v>6151</v>
      </c>
      <c r="I797" s="2">
        <v>94</v>
      </c>
      <c r="J797" s="2">
        <v>5681</v>
      </c>
      <c r="K797" s="2">
        <v>1</v>
      </c>
      <c r="L797" s="2">
        <v>16</v>
      </c>
      <c r="M797" s="2">
        <v>548</v>
      </c>
      <c r="N797" s="2">
        <v>15205</v>
      </c>
      <c r="O797" s="2">
        <v>17</v>
      </c>
      <c r="P797" s="2">
        <v>103952</v>
      </c>
      <c r="Q797" s="2">
        <v>20349</v>
      </c>
      <c r="R797" s="2">
        <v>69715</v>
      </c>
      <c r="S797" s="2">
        <v>477381</v>
      </c>
      <c r="T797" s="10">
        <f t="shared" si="41"/>
        <v>253463</v>
      </c>
      <c r="U797" s="8">
        <f t="shared" si="42"/>
        <v>0.5309448846937771</v>
      </c>
      <c r="V797" s="9" t="s">
        <v>5271</v>
      </c>
      <c r="W797" s="9" t="str">
        <f t="shared" si="43"/>
        <v>Blackburn RD</v>
      </c>
      <c r="X797" s="9" t="str">
        <f>INDEX(Lookup!$A$2:$A$1349, MATCH(W797, Lookup!$B$2:$B$1349,0))</f>
        <v>J04000156</v>
      </c>
      <c r="Y797" s="9" t="str">
        <f>INDEX(Lookup!$F$2:$F$1349, MATCH(W797, Lookup!$B$2:$B$1349,0))</f>
        <v>e200681</v>
      </c>
      <c r="Z797" s="6" t="str">
        <f>INDEX(Lookup!$C$2:$C$1300, MATCH(X797, Lookup!$A$2:$A$1300,0))</f>
        <v>Lancashire</v>
      </c>
    </row>
    <row r="798" spans="1:26" ht="28.15" customHeight="1" x14ac:dyDescent="0.2">
      <c r="A798" s="6" t="s">
        <v>109</v>
      </c>
      <c r="B798" s="1" t="s">
        <v>109</v>
      </c>
      <c r="C798" s="2">
        <v>5451</v>
      </c>
      <c r="D798" s="2">
        <v>196435</v>
      </c>
      <c r="E798" s="2">
        <v>218</v>
      </c>
      <c r="F798" s="2">
        <v>29118</v>
      </c>
      <c r="G798" s="2">
        <v>38</v>
      </c>
      <c r="H798" s="2">
        <v>9841</v>
      </c>
      <c r="I798" s="2">
        <v>187</v>
      </c>
      <c r="J798" s="2">
        <v>8309</v>
      </c>
      <c r="K798" s="2">
        <v>12</v>
      </c>
      <c r="L798" s="2">
        <v>348</v>
      </c>
      <c r="M798" s="2">
        <v>1211</v>
      </c>
      <c r="N798" s="2">
        <v>35733</v>
      </c>
      <c r="O798" s="2">
        <v>73</v>
      </c>
      <c r="P798" s="2">
        <v>253254</v>
      </c>
      <c r="Q798" s="2">
        <v>1067</v>
      </c>
      <c r="R798" s="2">
        <v>165474</v>
      </c>
      <c r="S798" s="2">
        <v>699579</v>
      </c>
      <c r="T798" s="10">
        <f t="shared" si="41"/>
        <v>235394</v>
      </c>
      <c r="U798" s="8">
        <f t="shared" si="42"/>
        <v>0.33647951124890829</v>
      </c>
      <c r="V798" s="9" t="s">
        <v>5271</v>
      </c>
      <c r="W798" s="9" t="str">
        <f t="shared" si="43"/>
        <v>Burnley RD</v>
      </c>
      <c r="X798" s="9" t="str">
        <f>INDEX(Lookup!$A$2:$A$1349, MATCH(W798, Lookup!$B$2:$B$1349,0))</f>
        <v>J04000240</v>
      </c>
      <c r="Y798" s="9" t="str">
        <f>INDEX(Lookup!$F$2:$F$1349, MATCH(W798, Lookup!$B$2:$B$1349,0))</f>
        <v>e200682</v>
      </c>
      <c r="Z798" s="6" t="str">
        <f>INDEX(Lookup!$C$2:$C$1300, MATCH(X798, Lookup!$A$2:$A$1300,0))</f>
        <v>Lancashire</v>
      </c>
    </row>
    <row r="799" spans="1:26" ht="28.15" customHeight="1" x14ac:dyDescent="0.2">
      <c r="A799" s="6" t="s">
        <v>628</v>
      </c>
      <c r="B799" s="1" t="s">
        <v>628</v>
      </c>
      <c r="C799" s="2">
        <v>8438</v>
      </c>
      <c r="D799" s="2">
        <v>369407</v>
      </c>
      <c r="E799" s="2">
        <v>213</v>
      </c>
      <c r="F799" s="2">
        <v>26564</v>
      </c>
      <c r="G799" s="2">
        <v>25</v>
      </c>
      <c r="H799" s="2">
        <v>6460</v>
      </c>
      <c r="I799" s="2">
        <v>286</v>
      </c>
      <c r="J799" s="2">
        <v>15761</v>
      </c>
      <c r="K799" s="2">
        <v>14</v>
      </c>
      <c r="L799" s="2">
        <v>828</v>
      </c>
      <c r="M799" s="2">
        <v>858</v>
      </c>
      <c r="N799" s="2">
        <v>47683</v>
      </c>
      <c r="O799" s="2">
        <v>28</v>
      </c>
      <c r="P799" s="2">
        <v>91960</v>
      </c>
      <c r="Q799" s="2">
        <v>81713</v>
      </c>
      <c r="R799" s="2">
        <v>172074</v>
      </c>
      <c r="S799" s="2">
        <v>812450</v>
      </c>
      <c r="T799" s="10">
        <f t="shared" si="41"/>
        <v>402431</v>
      </c>
      <c r="U799" s="8">
        <f t="shared" si="42"/>
        <v>0.49533017416456399</v>
      </c>
      <c r="V799" s="9" t="s">
        <v>5271</v>
      </c>
      <c r="W799" s="9" t="str">
        <f t="shared" si="43"/>
        <v>Chorley RD</v>
      </c>
      <c r="X799" s="9" t="str">
        <f>INDEX(Lookup!$A$2:$A$1349, MATCH(W799, Lookup!$B$2:$B$1349,0))</f>
        <v>J04000314</v>
      </c>
      <c r="Y799" s="9" t="str">
        <f>INDEX(Lookup!$F$2:$F$1349, MATCH(W799, Lookup!$B$2:$B$1349,0))</f>
        <v>e200683</v>
      </c>
      <c r="Z799" s="6" t="str">
        <f>INDEX(Lookup!$C$2:$C$1300, MATCH(X799, Lookup!$A$2:$A$1300,0))</f>
        <v>Lancashire</v>
      </c>
    </row>
    <row r="800" spans="1:26" ht="28.15" customHeight="1" x14ac:dyDescent="0.2">
      <c r="A800" s="6" t="s">
        <v>629</v>
      </c>
      <c r="B800" s="1" t="s">
        <v>629</v>
      </c>
      <c r="C800" s="2">
        <v>1535</v>
      </c>
      <c r="D800" s="2">
        <v>66050</v>
      </c>
      <c r="E800" s="2">
        <v>199</v>
      </c>
      <c r="F800" s="2">
        <v>25349</v>
      </c>
      <c r="G800" s="2">
        <v>27</v>
      </c>
      <c r="H800" s="2">
        <v>6676</v>
      </c>
      <c r="I800" s="2">
        <v>78</v>
      </c>
      <c r="J800" s="2">
        <v>5103</v>
      </c>
      <c r="K800" s="2">
        <v>5</v>
      </c>
      <c r="L800" s="2">
        <v>216</v>
      </c>
      <c r="M800" s="2">
        <v>258</v>
      </c>
      <c r="N800" s="2">
        <v>8496</v>
      </c>
      <c r="O800" s="2">
        <v>21</v>
      </c>
      <c r="P800" s="2">
        <v>17944</v>
      </c>
      <c r="Q800" s="2">
        <v>19833</v>
      </c>
      <c r="R800" s="2">
        <v>72111</v>
      </c>
      <c r="S800" s="2">
        <v>221778</v>
      </c>
      <c r="T800" s="10">
        <f t="shared" si="41"/>
        <v>98075</v>
      </c>
      <c r="U800" s="8">
        <f t="shared" si="42"/>
        <v>0.44222150078005934</v>
      </c>
      <c r="V800" s="9" t="s">
        <v>5271</v>
      </c>
      <c r="W800" s="9" t="str">
        <f t="shared" si="43"/>
        <v>Clitheroe RD</v>
      </c>
      <c r="X800" s="9" t="str">
        <f>INDEX(Lookup!$A$2:$A$1349, MATCH(W800, Lookup!$B$2:$B$1349,0))</f>
        <v>J04000329</v>
      </c>
      <c r="Y800" s="9" t="str">
        <f>INDEX(Lookup!$F$2:$F$1349, MATCH(W800, Lookup!$B$2:$B$1349,0))</f>
        <v>e200685</v>
      </c>
      <c r="Z800" s="6" t="str">
        <f>INDEX(Lookup!$C$2:$C$1300, MATCH(X800, Lookup!$A$2:$A$1300,0))</f>
        <v>Lancashire</v>
      </c>
    </row>
    <row r="801" spans="1:26" ht="28.15" customHeight="1" x14ac:dyDescent="0.2">
      <c r="A801" s="6" t="s">
        <v>721</v>
      </c>
      <c r="B801" s="1" t="s">
        <v>721</v>
      </c>
      <c r="C801" s="2">
        <v>3585</v>
      </c>
      <c r="D801" s="2">
        <v>194460</v>
      </c>
      <c r="E801" s="2">
        <v>186</v>
      </c>
      <c r="F801" s="2">
        <v>22849</v>
      </c>
      <c r="G801" s="2">
        <v>9</v>
      </c>
      <c r="H801" s="2">
        <v>2439</v>
      </c>
      <c r="I801" s="2">
        <v>144</v>
      </c>
      <c r="J801" s="2">
        <v>10988</v>
      </c>
      <c r="K801" s="2">
        <v>3</v>
      </c>
      <c r="L801" s="2">
        <v>605</v>
      </c>
      <c r="M801" s="2">
        <v>441</v>
      </c>
      <c r="N801" s="2">
        <v>40400</v>
      </c>
      <c r="O801" s="2">
        <v>28</v>
      </c>
      <c r="P801" s="2">
        <v>194786</v>
      </c>
      <c r="Q801" s="2">
        <v>67432</v>
      </c>
      <c r="R801" s="2">
        <v>91516</v>
      </c>
      <c r="S801" s="2">
        <v>625475</v>
      </c>
      <c r="T801" s="10">
        <f t="shared" si="41"/>
        <v>219748</v>
      </c>
      <c r="U801" s="8">
        <f t="shared" si="42"/>
        <v>0.35132978936008635</v>
      </c>
      <c r="V801" s="9" t="s">
        <v>5271</v>
      </c>
      <c r="W801" s="9" t="str">
        <f t="shared" si="43"/>
        <v>Fylde RD</v>
      </c>
      <c r="X801" s="9" t="str">
        <f>INDEX(Lookup!$A$2:$A$1349, MATCH(W801, Lookup!$B$2:$B$1349,0))</f>
        <v>J04000523</v>
      </c>
      <c r="Y801" s="9" t="str">
        <f>INDEX(Lookup!$F$2:$F$1349, MATCH(W801, Lookup!$B$2:$B$1349,0))</f>
        <v>e200686</v>
      </c>
      <c r="Z801" s="6" t="str">
        <f>INDEX(Lookup!$C$2:$C$1300, MATCH(X801, Lookup!$A$2:$A$1300,0))</f>
        <v>Lancashire</v>
      </c>
    </row>
    <row r="802" spans="1:26" ht="28.15" customHeight="1" x14ac:dyDescent="0.2">
      <c r="A802" s="6" t="s">
        <v>722</v>
      </c>
      <c r="B802" s="1" t="s">
        <v>722</v>
      </c>
      <c r="C802" s="2">
        <v>3515</v>
      </c>
      <c r="D802" s="2">
        <v>169852</v>
      </c>
      <c r="E802" s="2">
        <v>116</v>
      </c>
      <c r="F802" s="2">
        <v>14809</v>
      </c>
      <c r="G802" s="2">
        <v>7</v>
      </c>
      <c r="H802" s="2">
        <v>1710</v>
      </c>
      <c r="I802" s="2">
        <v>168</v>
      </c>
      <c r="J802" s="2">
        <v>16407</v>
      </c>
      <c r="K802" s="2">
        <v>14</v>
      </c>
      <c r="L802" s="2">
        <v>3054</v>
      </c>
      <c r="M802" s="2">
        <v>311</v>
      </c>
      <c r="N802" s="2">
        <v>41567</v>
      </c>
      <c r="O802" s="2">
        <v>36</v>
      </c>
      <c r="P802" s="2">
        <v>24746</v>
      </c>
      <c r="Q802" s="2">
        <v>4623</v>
      </c>
      <c r="R802" s="2">
        <v>135957</v>
      </c>
      <c r="S802" s="2">
        <v>412725</v>
      </c>
      <c r="T802" s="10">
        <f t="shared" si="41"/>
        <v>186371</v>
      </c>
      <c r="U802" s="8">
        <f t="shared" si="42"/>
        <v>0.45156217820582711</v>
      </c>
      <c r="V802" s="9" t="s">
        <v>5271</v>
      </c>
      <c r="W802" s="9" t="str">
        <f t="shared" si="43"/>
        <v>Garstang RD</v>
      </c>
      <c r="X802" s="9" t="str">
        <f>INDEX(Lookup!$A$2:$A$1349, MATCH(W802, Lookup!$B$2:$B$1349,0))</f>
        <v>J04000527</v>
      </c>
      <c r="Y802" s="9" t="str">
        <f>INDEX(Lookup!$F$2:$F$1349, MATCH(W802, Lookup!$B$2:$B$1349,0))</f>
        <v>e200687</v>
      </c>
      <c r="Z802" s="6" t="str">
        <f>INDEX(Lookup!$C$2:$C$1300, MATCH(X802, Lookup!$A$2:$A$1300,0))</f>
        <v>Lancashire</v>
      </c>
    </row>
    <row r="803" spans="1:26" ht="28.15" customHeight="1" x14ac:dyDescent="0.2">
      <c r="A803" s="6" t="s">
        <v>36</v>
      </c>
      <c r="B803" s="1" t="s">
        <v>36</v>
      </c>
      <c r="C803" s="2">
        <v>4087</v>
      </c>
      <c r="D803" s="2">
        <v>232751</v>
      </c>
      <c r="E803" s="2">
        <v>507</v>
      </c>
      <c r="F803" s="2">
        <v>61493</v>
      </c>
      <c r="G803" s="2">
        <v>11</v>
      </c>
      <c r="H803" s="2">
        <v>3119</v>
      </c>
      <c r="I803" s="2">
        <v>106</v>
      </c>
      <c r="J803" s="2">
        <v>8437</v>
      </c>
      <c r="K803" s="2">
        <v>5</v>
      </c>
      <c r="L803" s="2">
        <v>362</v>
      </c>
      <c r="M803" s="2">
        <v>331</v>
      </c>
      <c r="N803" s="2">
        <v>61567</v>
      </c>
      <c r="O803" s="2">
        <v>16</v>
      </c>
      <c r="P803" s="2">
        <v>225551</v>
      </c>
      <c r="Q803" s="2">
        <v>2330</v>
      </c>
      <c r="R803" s="2">
        <v>89519</v>
      </c>
      <c r="S803" s="2">
        <v>685129</v>
      </c>
      <c r="T803" s="10">
        <f t="shared" si="41"/>
        <v>297363</v>
      </c>
      <c r="U803" s="8">
        <f t="shared" si="42"/>
        <v>0.43402483327957214</v>
      </c>
      <c r="V803" s="9" t="s">
        <v>5271</v>
      </c>
      <c r="W803" s="9" t="str">
        <f t="shared" si="43"/>
        <v>Lancaster RD</v>
      </c>
      <c r="X803" s="9" t="str">
        <f>INDEX(Lookup!$A$2:$A$1349, MATCH(W803, Lookup!$B$2:$B$1349,0))</f>
        <v>J04000718</v>
      </c>
      <c r="Y803" s="9" t="str">
        <f>INDEX(Lookup!$F$2:$F$1349, MATCH(W803, Lookup!$B$2:$B$1349,0))</f>
        <v>e200688</v>
      </c>
      <c r="Z803" s="6" t="str">
        <f>INDEX(Lookup!$C$2:$C$1300, MATCH(X803, Lookup!$A$2:$A$1300,0))</f>
        <v>Lancashire</v>
      </c>
    </row>
    <row r="804" spans="1:26" ht="28.15" customHeight="1" x14ac:dyDescent="0.2">
      <c r="A804" s="6" t="s">
        <v>723</v>
      </c>
      <c r="B804" s="1" t="s">
        <v>723</v>
      </c>
      <c r="C804" s="2">
        <v>2250</v>
      </c>
      <c r="D804" s="2">
        <v>112167</v>
      </c>
      <c r="E804" s="2">
        <v>105</v>
      </c>
      <c r="F804" s="2">
        <v>13017</v>
      </c>
      <c r="G804" s="2">
        <v>10</v>
      </c>
      <c r="H804" s="2">
        <v>2452</v>
      </c>
      <c r="I804" s="2">
        <v>62</v>
      </c>
      <c r="J804" s="2">
        <v>4055</v>
      </c>
      <c r="K804" s="2">
        <v>3</v>
      </c>
      <c r="L804" s="2">
        <v>136</v>
      </c>
      <c r="M804" s="2">
        <v>279</v>
      </c>
      <c r="N804" s="2">
        <v>9712</v>
      </c>
      <c r="O804" s="2">
        <v>13</v>
      </c>
      <c r="P804" s="2">
        <v>38165</v>
      </c>
      <c r="Q804" s="2">
        <v>2472</v>
      </c>
      <c r="R804" s="2">
        <v>119796</v>
      </c>
      <c r="S804" s="2">
        <v>301972</v>
      </c>
      <c r="T804" s="10">
        <f t="shared" si="41"/>
        <v>127636</v>
      </c>
      <c r="U804" s="8">
        <f t="shared" si="42"/>
        <v>0.42267494999536381</v>
      </c>
      <c r="V804" s="9" t="s">
        <v>5271</v>
      </c>
      <c r="W804" s="9" t="str">
        <f t="shared" si="43"/>
        <v>Lunesdale RD</v>
      </c>
      <c r="X804" s="9" t="str">
        <f>INDEX(Lookup!$A$2:$A$1349, MATCH(W804, Lookup!$B$2:$B$1349,0))</f>
        <v>J04000789</v>
      </c>
      <c r="Y804" s="9" t="str">
        <f>INDEX(Lookup!$F$2:$F$1349, MATCH(W804, Lookup!$B$2:$B$1349,0))</f>
        <v>e200689</v>
      </c>
      <c r="Z804" s="6" t="str">
        <f>INDEX(Lookup!$C$2:$C$1300, MATCH(X804, Lookup!$A$2:$A$1300,0))</f>
        <v>Lancashire</v>
      </c>
    </row>
    <row r="805" spans="1:26" ht="28.15" customHeight="1" x14ac:dyDescent="0.2">
      <c r="A805" s="6" t="s">
        <v>724</v>
      </c>
      <c r="B805" s="1" t="s">
        <v>724</v>
      </c>
      <c r="C805" s="2">
        <v>4755</v>
      </c>
      <c r="D805" s="2">
        <v>197217</v>
      </c>
      <c r="E805" s="2">
        <v>225</v>
      </c>
      <c r="F805" s="2">
        <v>28588</v>
      </c>
      <c r="G805" s="2">
        <v>23</v>
      </c>
      <c r="H805" s="2">
        <v>6374</v>
      </c>
      <c r="I805" s="2">
        <v>162</v>
      </c>
      <c r="J805" s="2">
        <v>9346</v>
      </c>
      <c r="K805" s="2">
        <v>10</v>
      </c>
      <c r="L805" s="2">
        <v>213</v>
      </c>
      <c r="M805" s="2">
        <v>759</v>
      </c>
      <c r="N805" s="2">
        <v>29909</v>
      </c>
      <c r="O805" s="2">
        <v>39</v>
      </c>
      <c r="P805" s="2">
        <v>8676</v>
      </c>
      <c r="Q805" s="2">
        <v>4157</v>
      </c>
      <c r="R805" s="2">
        <v>85232</v>
      </c>
      <c r="S805" s="2">
        <v>369712</v>
      </c>
      <c r="T805" s="10">
        <f t="shared" si="41"/>
        <v>232179</v>
      </c>
      <c r="U805" s="8">
        <f t="shared" si="42"/>
        <v>0.62799963214610288</v>
      </c>
      <c r="V805" s="9" t="s">
        <v>5271</v>
      </c>
      <c r="W805" s="9" t="str">
        <f t="shared" si="43"/>
        <v>North Lonsdale RD</v>
      </c>
      <c r="X805" s="9" t="str">
        <f>INDEX(Lookup!$A$2:$A$1349, MATCH(W805, Lookup!$B$2:$B$1349,0))</f>
        <v>J04000925</v>
      </c>
      <c r="Y805" s="9" t="str">
        <f>INDEX(Lookup!$F$2:$F$1349, MATCH(W805, Lookup!$B$2:$B$1349,0))</f>
        <v>e200690</v>
      </c>
      <c r="Z805" s="6" t="str">
        <f>INDEX(Lookup!$C$2:$C$1300, MATCH(X805, Lookup!$A$2:$A$1300,0))</f>
        <v>Cumbria</v>
      </c>
    </row>
    <row r="806" spans="1:26" ht="28.15" customHeight="1" x14ac:dyDescent="0.2">
      <c r="A806" s="6" t="s">
        <v>146</v>
      </c>
      <c r="B806" s="1" t="s">
        <v>146</v>
      </c>
      <c r="C806" s="2">
        <v>10925</v>
      </c>
      <c r="D806" s="2">
        <v>703704</v>
      </c>
      <c r="E806" s="2">
        <v>1188</v>
      </c>
      <c r="F806" s="2">
        <v>146155</v>
      </c>
      <c r="G806" s="2">
        <v>42</v>
      </c>
      <c r="H806" s="2">
        <v>8882</v>
      </c>
      <c r="I806" s="2">
        <v>297</v>
      </c>
      <c r="J806" s="2">
        <v>24470</v>
      </c>
      <c r="K806" s="2">
        <v>15</v>
      </c>
      <c r="L806" s="2">
        <v>1134</v>
      </c>
      <c r="M806" s="2">
        <v>770</v>
      </c>
      <c r="N806" s="2">
        <v>39861</v>
      </c>
      <c r="O806" s="2">
        <v>43</v>
      </c>
      <c r="P806" s="2">
        <v>250912</v>
      </c>
      <c r="Q806" s="2">
        <v>23005</v>
      </c>
      <c r="R806" s="2">
        <v>320686</v>
      </c>
      <c r="S806" s="2">
        <v>1518809</v>
      </c>
      <c r="T806" s="10">
        <f t="shared" si="41"/>
        <v>858741</v>
      </c>
      <c r="U806" s="8">
        <f t="shared" si="42"/>
        <v>0.56540420816574044</v>
      </c>
      <c r="V806" s="9" t="s">
        <v>5271</v>
      </c>
      <c r="W806" s="9" t="str">
        <f t="shared" si="43"/>
        <v>Preston RD</v>
      </c>
      <c r="X806" s="9" t="str">
        <f>INDEX(Lookup!$A$2:$A$1349, MATCH(W806, Lookup!$B$2:$B$1349,0))</f>
        <v>J04001020</v>
      </c>
      <c r="Y806" s="9" t="str">
        <f>INDEX(Lookup!$F$2:$F$1349, MATCH(W806, Lookup!$B$2:$B$1349,0))</f>
        <v>e200691</v>
      </c>
      <c r="Z806" s="6" t="str">
        <f>INDEX(Lookup!$C$2:$C$1300, MATCH(X806, Lookup!$A$2:$A$1300,0))</f>
        <v>Lancashire</v>
      </c>
    </row>
    <row r="807" spans="1:26" ht="28.15" customHeight="1" x14ac:dyDescent="0.2">
      <c r="A807" s="6" t="s">
        <v>165</v>
      </c>
      <c r="B807" s="1" t="s">
        <v>165</v>
      </c>
      <c r="C807" s="2">
        <v>9045</v>
      </c>
      <c r="D807" s="2">
        <v>544538</v>
      </c>
      <c r="E807" s="2">
        <v>323</v>
      </c>
      <c r="F807" s="2">
        <v>38957</v>
      </c>
      <c r="G807" s="2">
        <v>6</v>
      </c>
      <c r="H807" s="2">
        <v>1396</v>
      </c>
      <c r="I807" s="2">
        <v>150</v>
      </c>
      <c r="J807" s="2">
        <v>18058</v>
      </c>
      <c r="K807" s="2">
        <v>12</v>
      </c>
      <c r="L807" s="2">
        <v>5052</v>
      </c>
      <c r="M807" s="2">
        <v>252</v>
      </c>
      <c r="N807" s="2">
        <v>27341</v>
      </c>
      <c r="O807" s="2">
        <v>32</v>
      </c>
      <c r="P807" s="2">
        <v>155550</v>
      </c>
      <c r="Q807" s="2">
        <v>69382</v>
      </c>
      <c r="R807" s="2">
        <v>163832</v>
      </c>
      <c r="S807" s="2">
        <v>1024106</v>
      </c>
      <c r="T807" s="10">
        <f t="shared" si="41"/>
        <v>584891</v>
      </c>
      <c r="U807" s="8">
        <f t="shared" si="42"/>
        <v>0.57112349698175779</v>
      </c>
      <c r="V807" s="9" t="s">
        <v>5271</v>
      </c>
      <c r="W807" s="9" t="str">
        <f t="shared" si="43"/>
        <v>Warrington RD</v>
      </c>
      <c r="X807" s="9" t="str">
        <f>INDEX(Lookup!$A$2:$A$1349, MATCH(W807, Lookup!$B$2:$B$1349,0))</f>
        <v>J04001347</v>
      </c>
      <c r="Y807" s="9" t="str">
        <f>INDEX(Lookup!$F$2:$F$1349, MATCH(W807, Lookup!$B$2:$B$1349,0))</f>
        <v>e200693</v>
      </c>
      <c r="Z807" s="6" t="str">
        <f>INDEX(Lookup!$C$2:$C$1300, MATCH(X807, Lookup!$A$2:$A$1300,0))</f>
        <v>Cheshire</v>
      </c>
    </row>
    <row r="808" spans="1:26" ht="28.15" customHeight="1" x14ac:dyDescent="0.2">
      <c r="A808" s="6" t="s">
        <v>725</v>
      </c>
      <c r="B808" s="1" t="s">
        <v>725</v>
      </c>
      <c r="C808" s="2">
        <v>16063</v>
      </c>
      <c r="D808" s="2">
        <v>1055680</v>
      </c>
      <c r="E808" s="2">
        <v>1300</v>
      </c>
      <c r="F808" s="2">
        <v>156927</v>
      </c>
      <c r="G808" s="2">
        <v>31</v>
      </c>
      <c r="H808" s="2">
        <v>7780</v>
      </c>
      <c r="I808" s="2">
        <v>369</v>
      </c>
      <c r="J808" s="2">
        <v>76198</v>
      </c>
      <c r="K808" s="2">
        <v>24</v>
      </c>
      <c r="L808" s="2">
        <v>10201</v>
      </c>
      <c r="M808" s="2">
        <v>726</v>
      </c>
      <c r="N808" s="2">
        <v>64603</v>
      </c>
      <c r="O808" s="2">
        <v>62</v>
      </c>
      <c r="P808" s="2">
        <v>134485</v>
      </c>
      <c r="Q808" s="2">
        <v>22049</v>
      </c>
      <c r="R808" s="2">
        <v>264259</v>
      </c>
      <c r="S808" s="2">
        <v>1792182</v>
      </c>
      <c r="T808" s="10">
        <f t="shared" si="41"/>
        <v>1220387</v>
      </c>
      <c r="U808" s="8">
        <f t="shared" si="42"/>
        <v>0.68095037222782062</v>
      </c>
      <c r="V808" s="9" t="s">
        <v>5271</v>
      </c>
      <c r="W808" s="9" t="str">
        <f t="shared" si="43"/>
        <v>West Lancashire RD</v>
      </c>
      <c r="X808" s="9" t="str">
        <f>INDEX(Lookup!$A$2:$A$1349, MATCH(W808, Lookup!$B$2:$B$1349,0))</f>
        <v>J04001386</v>
      </c>
      <c r="Y808" s="9" t="str">
        <f>INDEX(Lookup!$F$2:$F$1349, MATCH(W808, Lookup!$B$2:$B$1349,0))</f>
        <v>e200695</v>
      </c>
      <c r="Z808" s="6" t="str">
        <f>INDEX(Lookup!$C$2:$C$1300, MATCH(X808, Lookup!$A$2:$A$1300,0))</f>
        <v>Lancashire</v>
      </c>
    </row>
    <row r="809" spans="1:26" ht="28.15" customHeight="1" x14ac:dyDescent="0.2">
      <c r="A809" s="6" t="s">
        <v>726</v>
      </c>
      <c r="B809" s="1" t="s">
        <v>726</v>
      </c>
      <c r="C809" s="2">
        <v>12590</v>
      </c>
      <c r="D809" s="2">
        <v>779531</v>
      </c>
      <c r="E809" s="2">
        <v>1066</v>
      </c>
      <c r="F809" s="2">
        <v>145054</v>
      </c>
      <c r="G809" s="2">
        <v>43</v>
      </c>
      <c r="H809" s="2">
        <v>10082</v>
      </c>
      <c r="I809" s="2">
        <v>259</v>
      </c>
      <c r="J809" s="2">
        <v>29577</v>
      </c>
      <c r="K809" s="2">
        <v>11</v>
      </c>
      <c r="L809" s="2">
        <v>517</v>
      </c>
      <c r="M809" s="2">
        <v>669</v>
      </c>
      <c r="N809" s="2">
        <v>37823</v>
      </c>
      <c r="O809" s="2">
        <v>20</v>
      </c>
      <c r="P809" s="2">
        <v>176665</v>
      </c>
      <c r="Q809" s="2">
        <v>20143</v>
      </c>
      <c r="R809" s="2">
        <v>402124</v>
      </c>
      <c r="S809" s="2">
        <v>1601516</v>
      </c>
      <c r="T809" s="10">
        <f t="shared" si="41"/>
        <v>934667</v>
      </c>
      <c r="U809" s="8">
        <f t="shared" si="42"/>
        <v>0.58361390082896458</v>
      </c>
      <c r="V809" s="9" t="s">
        <v>5271</v>
      </c>
      <c r="W809" s="9" t="str">
        <f t="shared" si="43"/>
        <v>Whiston RD</v>
      </c>
      <c r="X809" s="9" t="str">
        <f>INDEX(Lookup!$A$2:$A$1349, MATCH(W809, Lookup!$B$2:$B$1349,0))</f>
        <v>J04001398</v>
      </c>
      <c r="Y809" s="9" t="str">
        <f>INDEX(Lookup!$F$2:$F$1349, MATCH(W809, Lookup!$B$2:$B$1349,0))</f>
        <v>e200698</v>
      </c>
      <c r="Z809" s="6" t="str">
        <f>INDEX(Lookup!$C$2:$C$1300, MATCH(X809, Lookup!$A$2:$A$1300,0))</f>
        <v>Merseyside</v>
      </c>
    </row>
    <row r="810" spans="1:26" ht="28.15" customHeight="1" x14ac:dyDescent="0.2">
      <c r="A810" s="6" t="s">
        <v>169</v>
      </c>
      <c r="B810" s="1" t="s">
        <v>169</v>
      </c>
      <c r="C810" s="2">
        <v>2852</v>
      </c>
      <c r="D810" s="2">
        <v>148587</v>
      </c>
      <c r="E810" s="2">
        <v>250</v>
      </c>
      <c r="F810" s="2">
        <v>31833</v>
      </c>
      <c r="G810" s="2">
        <v>25</v>
      </c>
      <c r="H810" s="2">
        <v>6666</v>
      </c>
      <c r="I810" s="2">
        <v>83</v>
      </c>
      <c r="J810" s="2">
        <v>6567</v>
      </c>
      <c r="K810" s="2">
        <v>9</v>
      </c>
      <c r="L810" s="2">
        <v>1165</v>
      </c>
      <c r="M810" s="2">
        <v>275</v>
      </c>
      <c r="N810" s="2">
        <v>8739</v>
      </c>
      <c r="O810" s="2">
        <v>25</v>
      </c>
      <c r="P810" s="2">
        <v>85734</v>
      </c>
      <c r="Q810" s="2">
        <v>5376</v>
      </c>
      <c r="R810" s="2">
        <v>59213</v>
      </c>
      <c r="S810" s="2">
        <v>353880</v>
      </c>
      <c r="T810" s="10">
        <f t="shared" si="41"/>
        <v>187086</v>
      </c>
      <c r="U810" s="8">
        <f t="shared" si="42"/>
        <v>0.52867073584265856</v>
      </c>
      <c r="V810" s="9" t="s">
        <v>5271</v>
      </c>
      <c r="W810" s="9" t="str">
        <f t="shared" si="43"/>
        <v>Wigan RD</v>
      </c>
      <c r="X810" s="9" t="str">
        <f>INDEX(Lookup!$A$2:$A$1349, MATCH(W810, Lookup!$B$2:$B$1349,0))</f>
        <v>J04001410</v>
      </c>
      <c r="Y810" s="9" t="str">
        <f>INDEX(Lookup!$F$2:$F$1349, MATCH(W810, Lookup!$B$2:$B$1349,0))</f>
        <v>e200701</v>
      </c>
      <c r="Z810" s="6" t="str">
        <f>INDEX(Lookup!$C$2:$C$1300, MATCH(X810, Lookup!$A$2:$A$1300,0))</f>
        <v>Lancashire</v>
      </c>
    </row>
    <row r="811" spans="1:26" ht="28.15" customHeight="1" x14ac:dyDescent="0.2">
      <c r="A811" s="6" t="s">
        <v>727</v>
      </c>
      <c r="B811" s="1" t="s">
        <v>727</v>
      </c>
      <c r="T811" s="10"/>
      <c r="W811" s="9" t="str">
        <f t="shared" si="43"/>
        <v xml:space="preserve">LEICESTER: </v>
      </c>
      <c r="X811" s="9" t="e">
        <f>INDEX(Lookup!$A$2:$A$1349, MATCH(W811, Lookup!$B$2:$B$1349,0))</f>
        <v>#N/A</v>
      </c>
      <c r="Y811" s="9" t="e">
        <f>INDEX(Lookup!$F$2:$F$1349, MATCH(W811, Lookup!$B$2:$B$1349,0))</f>
        <v>#N/A</v>
      </c>
      <c r="Z811" s="6" t="e">
        <f>INDEX(Lookup!$C$2:$C$1300, MATCH(X811, Lookup!$A$2:$A$1300,0))</f>
        <v>#N/A</v>
      </c>
    </row>
    <row r="812" spans="1:26" ht="28.15" customHeight="1" x14ac:dyDescent="0.2">
      <c r="A812" s="6" t="s">
        <v>557</v>
      </c>
      <c r="B812" s="1" t="s">
        <v>557</v>
      </c>
      <c r="T812" s="10"/>
      <c r="W812" s="9" t="str">
        <f t="shared" si="43"/>
        <v xml:space="preserve">Non-County Borough-- </v>
      </c>
      <c r="X812" s="9" t="e">
        <f>INDEX(Lookup!$A$2:$A$1349, MATCH(W812, Lookup!$B$2:$B$1349,0))</f>
        <v>#N/A</v>
      </c>
      <c r="Y812" s="9" t="e">
        <f>INDEX(Lookup!$F$2:$F$1349, MATCH(W812, Lookup!$B$2:$B$1349,0))</f>
        <v>#N/A</v>
      </c>
      <c r="Z812" s="6" t="e">
        <f>INDEX(Lookup!$C$2:$C$1300, MATCH(X812, Lookup!$A$2:$A$1300,0))</f>
        <v>#N/A</v>
      </c>
    </row>
    <row r="813" spans="1:26" ht="28.15" customHeight="1" x14ac:dyDescent="0.2">
      <c r="A813" s="6" t="s">
        <v>728</v>
      </c>
      <c r="B813" s="1" t="s">
        <v>728</v>
      </c>
      <c r="C813" s="2">
        <v>11612</v>
      </c>
      <c r="D813" s="2">
        <v>684047</v>
      </c>
      <c r="E813" s="2">
        <v>775</v>
      </c>
      <c r="F813" s="2">
        <v>94245</v>
      </c>
      <c r="G813" s="2">
        <v>10</v>
      </c>
      <c r="H813" s="2">
        <v>2417</v>
      </c>
      <c r="I813" s="2">
        <v>638</v>
      </c>
      <c r="J813" s="2">
        <v>163293</v>
      </c>
      <c r="K813" s="2">
        <v>104</v>
      </c>
      <c r="L813" s="2">
        <v>18176</v>
      </c>
      <c r="M813" s="2">
        <v>1458</v>
      </c>
      <c r="N813" s="2">
        <v>82503</v>
      </c>
      <c r="O813" s="2">
        <v>120</v>
      </c>
      <c r="P813" s="2">
        <v>353797</v>
      </c>
      <c r="Q813" s="2">
        <v>8781</v>
      </c>
      <c r="R813" s="2">
        <v>299793</v>
      </c>
      <c r="S813" s="2">
        <v>1707052</v>
      </c>
      <c r="T813" s="10">
        <f t="shared" si="41"/>
        <v>780709</v>
      </c>
      <c r="U813" s="8">
        <f t="shared" si="42"/>
        <v>0.45734342011842638</v>
      </c>
      <c r="V813" s="9" t="s">
        <v>5268</v>
      </c>
      <c r="W813" s="9" t="str">
        <f t="shared" si="43"/>
        <v>Loughborough MB</v>
      </c>
      <c r="X813" s="9" t="str">
        <f>INDEX(Lookup!$A$2:$A$1349, MATCH(W813, Lookup!$B$2:$B$1349,0))</f>
        <v>J04000783</v>
      </c>
      <c r="Y813" s="9" t="str">
        <f>INDEX(Lookup!$F$2:$F$1349, MATCH(W813, Lookup!$B$2:$B$1349,0))</f>
        <v>e210707</v>
      </c>
      <c r="Z813" s="6" t="str">
        <f>INDEX(Lookup!$C$2:$C$1300, MATCH(X813, Lookup!$A$2:$A$1300,0))</f>
        <v>Leicestershire</v>
      </c>
    </row>
    <row r="814" spans="1:26" ht="28.15" customHeight="1" x14ac:dyDescent="0.2">
      <c r="A814" s="6" t="s">
        <v>179</v>
      </c>
      <c r="B814" s="1" t="s">
        <v>179</v>
      </c>
      <c r="T814" s="10"/>
      <c r="W814" s="9" t="str">
        <f t="shared" si="43"/>
        <v xml:space="preserve">Urban Districts-- </v>
      </c>
      <c r="X814" s="9" t="e">
        <f>INDEX(Lookup!$A$2:$A$1349, MATCH(W814, Lookup!$B$2:$B$1349,0))</f>
        <v>#N/A</v>
      </c>
      <c r="Y814" s="9" t="e">
        <f>INDEX(Lookup!$F$2:$F$1349, MATCH(W814, Lookup!$B$2:$B$1349,0))</f>
        <v>#N/A</v>
      </c>
      <c r="Z814" s="6" t="e">
        <f>INDEX(Lookup!$C$2:$C$1300, MATCH(X814, Lookup!$A$2:$A$1300,0))</f>
        <v>#N/A</v>
      </c>
    </row>
    <row r="815" spans="1:26" ht="28.15" customHeight="1" x14ac:dyDescent="0.2">
      <c r="A815" s="6" t="s">
        <v>729</v>
      </c>
      <c r="B815" s="1" t="s">
        <v>5422</v>
      </c>
      <c r="C815" s="2">
        <v>2108</v>
      </c>
      <c r="D815" s="2">
        <v>116513</v>
      </c>
      <c r="E815" s="2">
        <v>160</v>
      </c>
      <c r="F815" s="2">
        <v>19936</v>
      </c>
      <c r="G815" s="2">
        <v>2</v>
      </c>
      <c r="H815" s="2">
        <v>480</v>
      </c>
      <c r="I815" s="2">
        <v>124</v>
      </c>
      <c r="J815" s="2">
        <v>25364</v>
      </c>
      <c r="K815" s="2">
        <v>18</v>
      </c>
      <c r="L815" s="2">
        <v>2981</v>
      </c>
      <c r="M815" s="2">
        <v>208</v>
      </c>
      <c r="N815" s="2">
        <v>16845</v>
      </c>
      <c r="O815" s="2">
        <v>14</v>
      </c>
      <c r="P815" s="2">
        <v>24615</v>
      </c>
      <c r="Q815" s="2">
        <v>1479</v>
      </c>
      <c r="R815" s="2">
        <v>42750</v>
      </c>
      <c r="S815" s="2">
        <v>250963</v>
      </c>
      <c r="T815" s="10">
        <f t="shared" si="41"/>
        <v>136929</v>
      </c>
      <c r="U815" s="8">
        <f t="shared" si="42"/>
        <v>0.54561429374051151</v>
      </c>
      <c r="V815" s="9" t="s">
        <v>5270</v>
      </c>
      <c r="W815" s="9" t="str">
        <f t="shared" si="43"/>
        <v>Ashby de la Zouch UD</v>
      </c>
      <c r="X815" s="9" t="str">
        <f>INDEX(Lookup!$A$2:$A$1349, MATCH(W815, Lookup!$B$2:$B$1349,0))</f>
        <v>J04000052</v>
      </c>
      <c r="Y815" s="9" t="str">
        <f>INDEX(Lookup!$F$2:$F$1349, MATCH(W815, Lookup!$B$2:$B$1349,0))</f>
        <v>e210703</v>
      </c>
      <c r="Z815" s="6" t="str">
        <f>INDEX(Lookup!$C$2:$C$1300, MATCH(X815, Lookup!$A$2:$A$1300,0))</f>
        <v>Leicestershire</v>
      </c>
    </row>
    <row r="816" spans="1:26" ht="28.15" customHeight="1" x14ac:dyDescent="0.2">
      <c r="A816" s="6" t="s">
        <v>730</v>
      </c>
      <c r="B816" s="1" t="s">
        <v>730</v>
      </c>
      <c r="C816" s="2">
        <v>1075</v>
      </c>
      <c r="D816" s="2">
        <v>45087</v>
      </c>
      <c r="E816" s="2">
        <v>8</v>
      </c>
      <c r="F816" s="2">
        <v>927</v>
      </c>
      <c r="G816" s="2">
        <v>1</v>
      </c>
      <c r="H816" s="2">
        <v>409</v>
      </c>
      <c r="I816" s="2">
        <v>27</v>
      </c>
      <c r="J816" s="2">
        <v>2513</v>
      </c>
      <c r="K816" s="2">
        <v>2</v>
      </c>
      <c r="L816" s="2">
        <v>2930</v>
      </c>
      <c r="M816" s="2">
        <v>75</v>
      </c>
      <c r="N816" s="2">
        <v>2883</v>
      </c>
      <c r="O816" s="2">
        <v>3</v>
      </c>
      <c r="P816" s="2">
        <v>7600</v>
      </c>
      <c r="R816" s="2">
        <v>99100</v>
      </c>
      <c r="S816" s="2">
        <v>161449</v>
      </c>
      <c r="T816" s="10">
        <f t="shared" si="41"/>
        <v>46423</v>
      </c>
      <c r="U816" s="8">
        <f t="shared" si="42"/>
        <v>0.28753971842501347</v>
      </c>
      <c r="V816" s="9" t="s">
        <v>5270</v>
      </c>
      <c r="W816" s="9" t="str">
        <f t="shared" si="43"/>
        <v>Ashby Woulds UD</v>
      </c>
      <c r="X816" s="9" t="str">
        <f>INDEX(Lookup!$A$2:$A$1349, MATCH(W816, Lookup!$B$2:$B$1349,0))</f>
        <v>J04000053</v>
      </c>
      <c r="Y816" s="9" t="str">
        <f>INDEX(Lookup!$F$2:$F$1349, MATCH(W816, Lookup!$B$2:$B$1349,0))</f>
        <v>e210704</v>
      </c>
      <c r="Z816" s="6" t="str">
        <f>INDEX(Lookup!$C$2:$C$1300, MATCH(X816, Lookup!$A$2:$A$1300,0))</f>
        <v>Leicestershire</v>
      </c>
    </row>
    <row r="817" spans="1:26" ht="28.15" customHeight="1" x14ac:dyDescent="0.2">
      <c r="A817" s="6" t="s">
        <v>731</v>
      </c>
      <c r="B817" s="1" t="s">
        <v>731</v>
      </c>
      <c r="C817" s="2">
        <v>8065</v>
      </c>
      <c r="D817" s="2">
        <v>411486</v>
      </c>
      <c r="E817" s="2">
        <v>186</v>
      </c>
      <c r="F817" s="2">
        <v>21054</v>
      </c>
      <c r="G817" s="2">
        <v>2</v>
      </c>
      <c r="H817" s="2">
        <v>512</v>
      </c>
      <c r="I817" s="2">
        <v>373</v>
      </c>
      <c r="J817" s="2">
        <v>60173</v>
      </c>
      <c r="K817" s="2">
        <v>44</v>
      </c>
      <c r="L817" s="2">
        <v>4700</v>
      </c>
      <c r="M817" s="2">
        <v>757</v>
      </c>
      <c r="N817" s="2">
        <v>38896</v>
      </c>
      <c r="O817" s="2">
        <v>42</v>
      </c>
      <c r="P817" s="2">
        <v>91219</v>
      </c>
      <c r="Q817" s="2">
        <v>2482</v>
      </c>
      <c r="R817" s="2">
        <v>179031</v>
      </c>
      <c r="S817" s="2">
        <v>809553</v>
      </c>
      <c r="T817" s="10">
        <f t="shared" si="41"/>
        <v>433052</v>
      </c>
      <c r="U817" s="8">
        <f t="shared" si="42"/>
        <v>0.53492729938620454</v>
      </c>
      <c r="V817" s="9" t="s">
        <v>5270</v>
      </c>
      <c r="W817" s="9" t="str">
        <f t="shared" si="43"/>
        <v>Coalville UD</v>
      </c>
      <c r="X817" s="9" t="str">
        <f>INDEX(Lookup!$A$2:$A$1349, MATCH(W817, Lookup!$B$2:$B$1349,0))</f>
        <v>J04000333</v>
      </c>
      <c r="Y817" s="9" t="str">
        <f>INDEX(Lookup!$F$2:$F$1349, MATCH(W817, Lookup!$B$2:$B$1349,0))</f>
        <v>e210705</v>
      </c>
      <c r="Z817" s="6" t="str">
        <f>INDEX(Lookup!$C$2:$C$1300, MATCH(X817, Lookup!$A$2:$A$1300,0))</f>
        <v>Leicestershire</v>
      </c>
    </row>
    <row r="818" spans="1:26" ht="28.15" customHeight="1" x14ac:dyDescent="0.2">
      <c r="A818" s="6" t="s">
        <v>732</v>
      </c>
      <c r="B818" s="1" t="s">
        <v>732</v>
      </c>
      <c r="C818" s="2">
        <v>12891</v>
      </c>
      <c r="D818" s="2">
        <v>723575</v>
      </c>
      <c r="E818" s="2">
        <v>754</v>
      </c>
      <c r="F818" s="2">
        <v>95066</v>
      </c>
      <c r="G818" s="2">
        <v>51</v>
      </c>
      <c r="H818" s="2">
        <v>12721</v>
      </c>
      <c r="I818" s="2">
        <v>607</v>
      </c>
      <c r="J818" s="2">
        <v>115340</v>
      </c>
      <c r="K818" s="2">
        <v>89</v>
      </c>
      <c r="L818" s="2">
        <v>12363</v>
      </c>
      <c r="M818" s="2">
        <v>1258</v>
      </c>
      <c r="N818" s="2">
        <v>72694</v>
      </c>
      <c r="O818" s="2">
        <v>221</v>
      </c>
      <c r="P818" s="2">
        <v>313484</v>
      </c>
      <c r="Q818" s="2">
        <v>6838</v>
      </c>
      <c r="R818" s="2">
        <v>141736</v>
      </c>
      <c r="S818" s="2">
        <v>1493817</v>
      </c>
      <c r="T818" s="10">
        <f t="shared" si="41"/>
        <v>831362</v>
      </c>
      <c r="U818" s="8">
        <f t="shared" si="42"/>
        <v>0.55653537213728321</v>
      </c>
      <c r="V818" s="9" t="s">
        <v>5270</v>
      </c>
      <c r="W818" s="9" t="str">
        <f t="shared" si="43"/>
        <v>Hinckley UD</v>
      </c>
      <c r="X818" s="9" t="str">
        <f>INDEX(Lookup!$A$2:$A$1349, MATCH(W818, Lookup!$B$2:$B$1349,0))</f>
        <v>J04000624</v>
      </c>
      <c r="Y818" s="9" t="str">
        <f>INDEX(Lookup!$F$2:$F$1349, MATCH(W818, Lookup!$B$2:$B$1349,0))</f>
        <v>e210706</v>
      </c>
      <c r="Z818" s="6" t="str">
        <f>INDEX(Lookup!$C$2:$C$1300, MATCH(X818, Lookup!$A$2:$A$1300,0))</f>
        <v>Leicestershire</v>
      </c>
    </row>
    <row r="819" spans="1:26" ht="28.15" customHeight="1" x14ac:dyDescent="0.2">
      <c r="A819" s="6" t="s">
        <v>733</v>
      </c>
      <c r="B819" s="1" t="s">
        <v>733</v>
      </c>
      <c r="C819" s="2">
        <v>3770</v>
      </c>
      <c r="D819" s="2">
        <v>208236</v>
      </c>
      <c r="E819" s="2">
        <v>293</v>
      </c>
      <c r="F819" s="2">
        <v>35875</v>
      </c>
      <c r="G819" s="2">
        <v>16</v>
      </c>
      <c r="H819" s="2">
        <v>4403</v>
      </c>
      <c r="I819" s="2">
        <v>226</v>
      </c>
      <c r="J819" s="2">
        <v>35521</v>
      </c>
      <c r="K819" s="2">
        <v>46</v>
      </c>
      <c r="L819" s="2">
        <v>5045</v>
      </c>
      <c r="M819" s="2">
        <v>442</v>
      </c>
      <c r="N819" s="2">
        <v>31504</v>
      </c>
      <c r="O819" s="2">
        <v>46</v>
      </c>
      <c r="P819" s="2">
        <v>66405</v>
      </c>
      <c r="Q819" s="2">
        <v>2830</v>
      </c>
      <c r="R819" s="2">
        <v>43655</v>
      </c>
      <c r="S819" s="2">
        <v>433474</v>
      </c>
      <c r="T819" s="10">
        <f t="shared" si="41"/>
        <v>248514</v>
      </c>
      <c r="U819" s="8">
        <f t="shared" si="42"/>
        <v>0.57330774164079046</v>
      </c>
      <c r="V819" s="9" t="s">
        <v>5270</v>
      </c>
      <c r="W819" s="9" t="str">
        <f t="shared" si="43"/>
        <v>Market Harborough UD</v>
      </c>
      <c r="X819" s="9" t="str">
        <f>INDEX(Lookup!$A$2:$A$1349, MATCH(W819, Lookup!$B$2:$B$1349,0))</f>
        <v>J04000830</v>
      </c>
      <c r="Y819" s="9" t="str">
        <f>INDEX(Lookup!$F$2:$F$1349, MATCH(W819, Lookup!$B$2:$B$1349,0))</f>
        <v>e210708</v>
      </c>
      <c r="Z819" s="6" t="str">
        <f>INDEX(Lookup!$C$2:$C$1300, MATCH(X819, Lookup!$A$2:$A$1300,0))</f>
        <v>Leicestershire</v>
      </c>
    </row>
    <row r="820" spans="1:26" ht="28.15" customHeight="1" x14ac:dyDescent="0.2">
      <c r="A820" s="6" t="s">
        <v>734</v>
      </c>
      <c r="B820" s="1" t="s">
        <v>734</v>
      </c>
      <c r="C820" s="2">
        <v>4512</v>
      </c>
      <c r="D820" s="2">
        <v>249254</v>
      </c>
      <c r="E820" s="2">
        <v>503</v>
      </c>
      <c r="F820" s="2">
        <v>59270</v>
      </c>
      <c r="G820" s="2">
        <v>26</v>
      </c>
      <c r="H820" s="2">
        <v>6176</v>
      </c>
      <c r="I820" s="2">
        <v>267</v>
      </c>
      <c r="J820" s="2">
        <v>62896</v>
      </c>
      <c r="K820" s="2">
        <v>58</v>
      </c>
      <c r="L820" s="2">
        <v>26412</v>
      </c>
      <c r="M820" s="2">
        <v>480</v>
      </c>
      <c r="N820" s="2">
        <v>38339</v>
      </c>
      <c r="O820" s="2">
        <v>28</v>
      </c>
      <c r="P820" s="2">
        <v>91375</v>
      </c>
      <c r="Q820" s="2">
        <v>10406</v>
      </c>
      <c r="R820" s="2">
        <v>64377</v>
      </c>
      <c r="S820" s="2">
        <v>608505</v>
      </c>
      <c r="T820" s="10">
        <f t="shared" si="41"/>
        <v>314700</v>
      </c>
      <c r="U820" s="8">
        <f t="shared" si="42"/>
        <v>0.51716912761604261</v>
      </c>
      <c r="V820" s="9" t="s">
        <v>5270</v>
      </c>
      <c r="W820" s="9" t="str">
        <f t="shared" si="43"/>
        <v>Melton Mowbray UD</v>
      </c>
      <c r="X820" s="9" t="str">
        <f>INDEX(Lookup!$A$2:$A$1349, MATCH(W820, Lookup!$B$2:$B$1349,0))</f>
        <v>J04000845</v>
      </c>
      <c r="Y820" s="9" t="str">
        <f>INDEX(Lookup!$F$2:$F$1349, MATCH(W820, Lookup!$B$2:$B$1349,0))</f>
        <v>e210709</v>
      </c>
      <c r="Z820" s="6" t="str">
        <f>INDEX(Lookup!$C$2:$C$1300, MATCH(X820, Lookup!$A$2:$A$1300,0))</f>
        <v>Leicestershire</v>
      </c>
    </row>
    <row r="821" spans="1:26" ht="28.15" customHeight="1" x14ac:dyDescent="0.2">
      <c r="A821" s="6" t="s">
        <v>735</v>
      </c>
      <c r="B821" s="1" t="s">
        <v>735</v>
      </c>
      <c r="C821" s="2">
        <v>2840</v>
      </c>
      <c r="D821" s="2">
        <v>203064</v>
      </c>
      <c r="E821" s="2">
        <v>1323</v>
      </c>
      <c r="F821" s="2">
        <v>175152</v>
      </c>
      <c r="G821" s="2">
        <v>242</v>
      </c>
      <c r="H821" s="2">
        <v>62612</v>
      </c>
      <c r="I821" s="2">
        <v>91</v>
      </c>
      <c r="J821" s="2">
        <v>23656</v>
      </c>
      <c r="K821" s="2">
        <v>7</v>
      </c>
      <c r="L821" s="2">
        <v>1002</v>
      </c>
      <c r="M821" s="2">
        <v>206</v>
      </c>
      <c r="N821" s="2">
        <v>24736</v>
      </c>
      <c r="O821" s="2">
        <v>53</v>
      </c>
      <c r="P821" s="2">
        <v>43064</v>
      </c>
      <c r="Q821" s="2">
        <v>349</v>
      </c>
      <c r="R821" s="2">
        <v>67563</v>
      </c>
      <c r="S821" s="2">
        <v>601198</v>
      </c>
      <c r="T821" s="10">
        <f t="shared" si="41"/>
        <v>440828</v>
      </c>
      <c r="U821" s="8">
        <f t="shared" si="42"/>
        <v>0.73324927893971703</v>
      </c>
      <c r="V821" s="9" t="s">
        <v>5270</v>
      </c>
      <c r="W821" s="9" t="str">
        <f t="shared" si="43"/>
        <v>Oadby UD</v>
      </c>
      <c r="X821" s="9" t="str">
        <f>INDEX(Lookup!$A$2:$A$1349, MATCH(W821, Lookup!$B$2:$B$1349,0))</f>
        <v>J04000944</v>
      </c>
      <c r="Y821" s="9" t="str">
        <f>INDEX(Lookup!$F$2:$F$1349, MATCH(W821, Lookup!$B$2:$B$1349,0))</f>
        <v>e210710</v>
      </c>
      <c r="Z821" s="6" t="str">
        <f>INDEX(Lookup!$C$2:$C$1300, MATCH(X821, Lookup!$A$2:$A$1300,0))</f>
        <v>Leicestershire</v>
      </c>
    </row>
    <row r="822" spans="1:26" ht="28.15" customHeight="1" x14ac:dyDescent="0.2">
      <c r="A822" s="6" t="s">
        <v>736</v>
      </c>
      <c r="B822" s="1" t="s">
        <v>736</v>
      </c>
      <c r="C822" s="2">
        <v>2283</v>
      </c>
      <c r="D822" s="2">
        <v>111760</v>
      </c>
      <c r="E822" s="2">
        <v>52</v>
      </c>
      <c r="F822" s="2">
        <v>6070</v>
      </c>
      <c r="G822" s="2">
        <v>1</v>
      </c>
      <c r="H822" s="2">
        <v>246</v>
      </c>
      <c r="I822" s="2">
        <v>102</v>
      </c>
      <c r="J822" s="2">
        <v>10636</v>
      </c>
      <c r="K822" s="2">
        <v>10</v>
      </c>
      <c r="L822" s="2">
        <v>540</v>
      </c>
      <c r="M822" s="2">
        <v>185</v>
      </c>
      <c r="N822" s="2">
        <v>10112</v>
      </c>
      <c r="O822" s="2">
        <v>32</v>
      </c>
      <c r="P822" s="2">
        <v>36345</v>
      </c>
      <c r="Q822" s="2">
        <v>60</v>
      </c>
      <c r="R822" s="2">
        <v>26762</v>
      </c>
      <c r="S822" s="2">
        <v>202531</v>
      </c>
      <c r="T822" s="10">
        <f t="shared" si="41"/>
        <v>118076</v>
      </c>
      <c r="U822" s="8">
        <f t="shared" si="42"/>
        <v>0.58300210831922028</v>
      </c>
      <c r="V822" s="9" t="s">
        <v>5270</v>
      </c>
      <c r="W822" s="9" t="str">
        <f t="shared" si="43"/>
        <v>Shepshed UD</v>
      </c>
      <c r="X822" s="9" t="str">
        <f>INDEX(Lookup!$A$2:$A$1349, MATCH(W822, Lookup!$B$2:$B$1349,0))</f>
        <v>J04001128</v>
      </c>
      <c r="Y822" s="9" t="str">
        <f>INDEX(Lookup!$F$2:$F$1349, MATCH(W822, Lookup!$B$2:$B$1349,0))</f>
        <v>e210711</v>
      </c>
      <c r="Z822" s="6" t="str">
        <f>INDEX(Lookup!$C$2:$C$1300, MATCH(X822, Lookup!$A$2:$A$1300,0))</f>
        <v>Leicestershire</v>
      </c>
    </row>
    <row r="823" spans="1:26" ht="28.15" customHeight="1" x14ac:dyDescent="0.2">
      <c r="A823" s="6" t="s">
        <v>737</v>
      </c>
      <c r="B823" s="1" t="s">
        <v>737</v>
      </c>
      <c r="C823" s="2">
        <v>7151</v>
      </c>
      <c r="D823" s="2">
        <v>470067</v>
      </c>
      <c r="E823" s="2">
        <v>334</v>
      </c>
      <c r="F823" s="2">
        <v>39187</v>
      </c>
      <c r="G823" s="2">
        <v>1</v>
      </c>
      <c r="H823" s="2">
        <v>226</v>
      </c>
      <c r="I823" s="2">
        <v>241</v>
      </c>
      <c r="J823" s="2">
        <v>50523</v>
      </c>
      <c r="K823" s="2">
        <v>20</v>
      </c>
      <c r="L823" s="2">
        <v>3871</v>
      </c>
      <c r="M823" s="2">
        <v>351</v>
      </c>
      <c r="N823" s="2">
        <v>38875</v>
      </c>
      <c r="O823" s="2">
        <v>75</v>
      </c>
      <c r="P823" s="2">
        <v>148430</v>
      </c>
      <c r="Q823" s="2">
        <v>9762</v>
      </c>
      <c r="R823" s="2">
        <v>82621</v>
      </c>
      <c r="S823" s="2">
        <v>843562</v>
      </c>
      <c r="T823" s="10">
        <f t="shared" si="41"/>
        <v>509480</v>
      </c>
      <c r="U823" s="8">
        <f t="shared" si="42"/>
        <v>0.6039627199897577</v>
      </c>
      <c r="V823" s="9" t="s">
        <v>5270</v>
      </c>
      <c r="W823" s="9" t="str">
        <f t="shared" si="43"/>
        <v>Wigston UD</v>
      </c>
      <c r="X823" s="9" t="str">
        <f>INDEX(Lookup!$A$2:$A$1349, MATCH(W823, Lookup!$B$2:$B$1349,0))</f>
        <v>J04001411</v>
      </c>
      <c r="Y823" s="9" t="str">
        <f>INDEX(Lookup!$F$2:$F$1349, MATCH(W823, Lookup!$B$2:$B$1349,0))</f>
        <v>e210712</v>
      </c>
      <c r="Z823" s="6" t="str">
        <f>INDEX(Lookup!$C$2:$C$1300, MATCH(X823, Lookup!$A$2:$A$1300,0))</f>
        <v>Leicestershire</v>
      </c>
    </row>
    <row r="824" spans="1:26" ht="28.15" customHeight="1" x14ac:dyDescent="0.2">
      <c r="A824" s="6" t="s">
        <v>738</v>
      </c>
      <c r="B824" s="1" t="s">
        <v>738</v>
      </c>
      <c r="T824" s="10"/>
      <c r="W824" s="9" t="str">
        <f t="shared" si="43"/>
        <v xml:space="preserve">LEICESTER-contd </v>
      </c>
      <c r="X824" s="9" t="e">
        <f>INDEX(Lookup!$A$2:$A$1349, MATCH(W824, Lookup!$B$2:$B$1349,0))</f>
        <v>#N/A</v>
      </c>
      <c r="Y824" s="9" t="e">
        <f>INDEX(Lookup!$F$2:$F$1349, MATCH(W824, Lookup!$B$2:$B$1349,0))</f>
        <v>#N/A</v>
      </c>
      <c r="Z824" s="6" t="e">
        <f>INDEX(Lookup!$C$2:$C$1300, MATCH(X824, Lookup!$A$2:$A$1300,0))</f>
        <v>#N/A</v>
      </c>
    </row>
    <row r="825" spans="1:26" ht="28.15" customHeight="1" x14ac:dyDescent="0.2">
      <c r="A825" s="6" t="s">
        <v>212</v>
      </c>
      <c r="B825" s="1" t="s">
        <v>212</v>
      </c>
      <c r="T825" s="10"/>
      <c r="W825" s="9" t="str">
        <f t="shared" si="43"/>
        <v xml:space="preserve">Rural Districts-- </v>
      </c>
      <c r="X825" s="9" t="e">
        <f>INDEX(Lookup!$A$2:$A$1349, MATCH(W825, Lookup!$B$2:$B$1349,0))</f>
        <v>#N/A</v>
      </c>
      <c r="Y825" s="9" t="e">
        <f>INDEX(Lookup!$F$2:$F$1349, MATCH(W825, Lookup!$B$2:$B$1349,0))</f>
        <v>#N/A</v>
      </c>
      <c r="Z825" s="6" t="e">
        <f>INDEX(Lookup!$C$2:$C$1300, MATCH(X825, Lookup!$A$2:$A$1300,0))</f>
        <v>#N/A</v>
      </c>
    </row>
    <row r="826" spans="1:26" ht="28.15" customHeight="1" x14ac:dyDescent="0.2">
      <c r="A826" s="6" t="s">
        <v>729</v>
      </c>
      <c r="B826" s="1" t="s">
        <v>5422</v>
      </c>
      <c r="C826" s="2">
        <v>4009</v>
      </c>
      <c r="D826" s="2">
        <v>175592</v>
      </c>
      <c r="E826" s="2">
        <v>72</v>
      </c>
      <c r="F826" s="2">
        <v>8858</v>
      </c>
      <c r="I826" s="2">
        <v>142</v>
      </c>
      <c r="J826" s="2">
        <v>11588</v>
      </c>
      <c r="K826" s="2">
        <v>7</v>
      </c>
      <c r="L826" s="2">
        <v>5506</v>
      </c>
      <c r="M826" s="2">
        <v>344</v>
      </c>
      <c r="N826" s="2">
        <v>18632</v>
      </c>
      <c r="O826" s="2">
        <v>16</v>
      </c>
      <c r="P826" s="2">
        <v>10668</v>
      </c>
      <c r="Q826" s="2">
        <v>104</v>
      </c>
      <c r="R826" s="2">
        <v>189601</v>
      </c>
      <c r="S826" s="2">
        <v>420549</v>
      </c>
      <c r="T826" s="10">
        <f>SUM(D826+F826)</f>
        <v>184450</v>
      </c>
      <c r="U826" s="8">
        <f t="shared" si="42"/>
        <v>0.43859336248570319</v>
      </c>
      <c r="V826" s="9" t="s">
        <v>5271</v>
      </c>
      <c r="W826" s="9" t="str">
        <f t="shared" si="43"/>
        <v>Ashby de la Zouch RD</v>
      </c>
      <c r="X826" s="9" t="str">
        <f>INDEX(Lookup!$A$2:$A$1349, MATCH(W826, Lookup!$B$2:$B$1349,0))</f>
        <v>J04000051</v>
      </c>
      <c r="Y826" s="9" t="str">
        <f>INDEX(Lookup!$F$2:$F$1349, MATCH(W826, Lookup!$B$2:$B$1349,0))</f>
        <v>e210713</v>
      </c>
      <c r="Z826" s="6" t="str">
        <f>INDEX(Lookup!$C$2:$C$1300, MATCH(X826, Lookup!$A$2:$A$1300,0))</f>
        <v>Leicestershire</v>
      </c>
    </row>
    <row r="827" spans="1:26" ht="28.15" customHeight="1" x14ac:dyDescent="0.2">
      <c r="A827" s="6" t="s">
        <v>739</v>
      </c>
      <c r="B827" s="1" t="s">
        <v>5423</v>
      </c>
      <c r="C827" s="2">
        <v>17126</v>
      </c>
      <c r="D827" s="2">
        <v>1032448</v>
      </c>
      <c r="E827" s="2">
        <v>1710</v>
      </c>
      <c r="F827" s="2">
        <v>209636</v>
      </c>
      <c r="G827" s="2">
        <v>139</v>
      </c>
      <c r="H827" s="2">
        <v>36433</v>
      </c>
      <c r="I827" s="2">
        <v>570</v>
      </c>
      <c r="J827" s="2">
        <v>75118</v>
      </c>
      <c r="K827" s="2">
        <v>35</v>
      </c>
      <c r="L827" s="2">
        <v>3413</v>
      </c>
      <c r="M827" s="2">
        <v>1093</v>
      </c>
      <c r="N827" s="2">
        <v>74856</v>
      </c>
      <c r="O827" s="2">
        <v>176</v>
      </c>
      <c r="P827" s="2">
        <v>242947</v>
      </c>
      <c r="Q827" s="2">
        <v>15812</v>
      </c>
      <c r="R827" s="2">
        <v>233982</v>
      </c>
      <c r="S827" s="2">
        <v>1924645</v>
      </c>
      <c r="T827" s="10">
        <f t="shared" si="41"/>
        <v>1278517</v>
      </c>
      <c r="U827" s="8">
        <f t="shared" si="42"/>
        <v>0.66428718023323785</v>
      </c>
      <c r="V827" s="9" t="s">
        <v>5271</v>
      </c>
      <c r="W827" s="9" t="str">
        <f t="shared" si="43"/>
        <v>Barrow upon Soar RD</v>
      </c>
      <c r="X827" s="9" t="str">
        <f>INDEX(Lookup!$A$2:$A$1349, MATCH(W827, Lookup!$B$2:$B$1349,0))</f>
        <v>J04000090</v>
      </c>
      <c r="Y827" s="9" t="str">
        <f>INDEX(Lookup!$F$2:$F$1349, MATCH(W827, Lookup!$B$2:$B$1349,0))</f>
        <v>e210714</v>
      </c>
      <c r="Z827" s="6" t="str">
        <f>INDEX(Lookup!$C$2:$C$1300, MATCH(X827, Lookup!$A$2:$A$1300,0))</f>
        <v>Leicestershire</v>
      </c>
    </row>
    <row r="828" spans="1:26" ht="28.15" customHeight="1" x14ac:dyDescent="0.2">
      <c r="A828" s="6" t="s">
        <v>740</v>
      </c>
      <c r="B828" s="1" t="s">
        <v>740</v>
      </c>
      <c r="C828" s="2">
        <v>4822</v>
      </c>
      <c r="D828" s="2">
        <v>290631</v>
      </c>
      <c r="E828" s="2">
        <v>844</v>
      </c>
      <c r="F828" s="2">
        <v>105239</v>
      </c>
      <c r="G828" s="2">
        <v>107</v>
      </c>
      <c r="H828" s="2">
        <v>28545</v>
      </c>
      <c r="I828" s="2">
        <v>70</v>
      </c>
      <c r="J828" s="2">
        <v>12820</v>
      </c>
      <c r="K828" s="2">
        <v>2</v>
      </c>
      <c r="L828" s="2">
        <v>53</v>
      </c>
      <c r="M828" s="2">
        <v>212</v>
      </c>
      <c r="N828" s="2">
        <v>14911</v>
      </c>
      <c r="O828" s="2">
        <v>8</v>
      </c>
      <c r="P828" s="2">
        <v>4715</v>
      </c>
      <c r="Q828" s="2">
        <v>2952</v>
      </c>
      <c r="R828" s="2">
        <v>90232</v>
      </c>
      <c r="S828" s="2">
        <v>550098</v>
      </c>
      <c r="T828" s="10">
        <f t="shared" si="41"/>
        <v>424415</v>
      </c>
      <c r="U828" s="8">
        <f t="shared" si="42"/>
        <v>0.77152616442888355</v>
      </c>
      <c r="V828" s="9" t="s">
        <v>5271</v>
      </c>
      <c r="W828" s="9" t="str">
        <f t="shared" si="43"/>
        <v>Billesdon RD</v>
      </c>
      <c r="X828" s="9" t="str">
        <f>INDEX(Lookup!$A$2:$A$1349, MATCH(W828, Lookup!$B$2:$B$1349,0))</f>
        <v>J04000143</v>
      </c>
      <c r="Y828" s="9" t="str">
        <f>INDEX(Lookup!$F$2:$F$1349, MATCH(W828, Lookup!$B$2:$B$1349,0))</f>
        <v>e210702</v>
      </c>
      <c r="Z828" s="6" t="str">
        <f>INDEX(Lookup!$C$2:$C$1300, MATCH(X828, Lookup!$A$2:$A$1300,0))</f>
        <v>Leicestershire</v>
      </c>
    </row>
    <row r="829" spans="1:26" ht="28.15" customHeight="1" x14ac:dyDescent="0.2">
      <c r="A829" s="6" t="s">
        <v>741</v>
      </c>
      <c r="B829" s="1" t="s">
        <v>741</v>
      </c>
      <c r="C829" s="2">
        <v>16194</v>
      </c>
      <c r="D829" s="2">
        <v>1107438</v>
      </c>
      <c r="E829" s="2">
        <v>2027</v>
      </c>
      <c r="F829" s="2">
        <v>242507</v>
      </c>
      <c r="G829" s="2">
        <v>88</v>
      </c>
      <c r="H829" s="2">
        <v>21047</v>
      </c>
      <c r="I829" s="2">
        <v>340</v>
      </c>
      <c r="J829" s="2">
        <v>49194</v>
      </c>
      <c r="K829" s="2">
        <v>17</v>
      </c>
      <c r="L829" s="2">
        <v>1273</v>
      </c>
      <c r="M829" s="2">
        <v>997</v>
      </c>
      <c r="N829" s="2">
        <v>71762</v>
      </c>
      <c r="O829" s="2">
        <v>116</v>
      </c>
      <c r="P829" s="2">
        <v>214828</v>
      </c>
      <c r="Q829" s="2">
        <v>13944</v>
      </c>
      <c r="R829" s="2">
        <v>167118</v>
      </c>
      <c r="S829" s="2">
        <v>1889111</v>
      </c>
      <c r="T829" s="10">
        <f t="shared" si="41"/>
        <v>1370992</v>
      </c>
      <c r="U829" s="8">
        <f t="shared" si="42"/>
        <v>0.72573395634242777</v>
      </c>
      <c r="V829" s="9" t="s">
        <v>5271</v>
      </c>
      <c r="W829" s="9" t="str">
        <f t="shared" si="43"/>
        <v>Blaby RD</v>
      </c>
      <c r="X829" s="9" t="str">
        <f>INDEX(Lookup!$A$2:$A$1349, MATCH(W829, Lookup!$B$2:$B$1349,0))</f>
        <v>J04000154</v>
      </c>
      <c r="Y829" s="9" t="str">
        <f>INDEX(Lookup!$F$2:$F$1349, MATCH(W829, Lookup!$B$2:$B$1349,0))</f>
        <v>e210716</v>
      </c>
      <c r="Z829" s="6" t="str">
        <f>INDEX(Lookup!$C$2:$C$1300, MATCH(X829, Lookup!$A$2:$A$1300,0))</f>
        <v>Leicestershire</v>
      </c>
    </row>
    <row r="830" spans="1:26" ht="28.15" customHeight="1" x14ac:dyDescent="0.2">
      <c r="A830" s="6" t="s">
        <v>742</v>
      </c>
      <c r="B830" s="1" t="s">
        <v>5424</v>
      </c>
      <c r="C830" s="2">
        <v>2783</v>
      </c>
      <c r="D830" s="2">
        <v>127436</v>
      </c>
      <c r="E830" s="2">
        <v>85</v>
      </c>
      <c r="F830" s="2">
        <v>10505</v>
      </c>
      <c r="G830" s="2">
        <v>5</v>
      </c>
      <c r="H830" s="2">
        <v>1536</v>
      </c>
      <c r="I830" s="2">
        <v>130</v>
      </c>
      <c r="J830" s="2">
        <v>10492</v>
      </c>
      <c r="K830" s="2">
        <v>8</v>
      </c>
      <c r="L830" s="2">
        <v>769</v>
      </c>
      <c r="M830" s="2">
        <v>263</v>
      </c>
      <c r="N830" s="2">
        <v>22754</v>
      </c>
      <c r="O830" s="2">
        <v>34</v>
      </c>
      <c r="P830" s="2">
        <v>33121</v>
      </c>
      <c r="Q830" s="2">
        <v>734</v>
      </c>
      <c r="R830" s="2">
        <v>328542</v>
      </c>
      <c r="S830" s="2">
        <v>535889</v>
      </c>
      <c r="T830" s="10">
        <f t="shared" si="41"/>
        <v>139477</v>
      </c>
      <c r="U830" s="8">
        <f t="shared" si="42"/>
        <v>0.26027218323197526</v>
      </c>
      <c r="V830" s="9" t="s">
        <v>5271</v>
      </c>
      <c r="W830" s="9" t="str">
        <f t="shared" si="43"/>
        <v>Castle Donington RD</v>
      </c>
      <c r="X830" s="9" t="str">
        <f>INDEX(Lookup!$A$2:$A$1349, MATCH(W830, Lookup!$B$2:$B$1349,0))</f>
        <v>J04000271</v>
      </c>
      <c r="Y830" s="9" t="str">
        <f>INDEX(Lookup!$F$2:$F$1349, MATCH(W830, Lookup!$B$2:$B$1349,0))</f>
        <v>e210717</v>
      </c>
      <c r="Z830" s="6" t="str">
        <f>INDEX(Lookup!$C$2:$C$1300, MATCH(X830, Lookup!$A$2:$A$1300,0))</f>
        <v>Leicestershire</v>
      </c>
    </row>
    <row r="831" spans="1:26" ht="28.15" customHeight="1" x14ac:dyDescent="0.2">
      <c r="A831" s="6" t="s">
        <v>743</v>
      </c>
      <c r="B831" s="1" t="s">
        <v>743</v>
      </c>
      <c r="C831" s="2">
        <v>3648</v>
      </c>
      <c r="D831" s="2">
        <v>155024</v>
      </c>
      <c r="E831" s="2">
        <v>108</v>
      </c>
      <c r="F831" s="2">
        <v>13593</v>
      </c>
      <c r="G831" s="2">
        <v>16</v>
      </c>
      <c r="H831" s="2">
        <v>512</v>
      </c>
      <c r="I831" s="2">
        <v>135</v>
      </c>
      <c r="J831" s="2">
        <v>13208</v>
      </c>
      <c r="K831" s="2">
        <v>15</v>
      </c>
      <c r="L831" s="2">
        <v>972</v>
      </c>
      <c r="M831" s="2">
        <v>284</v>
      </c>
      <c r="N831" s="2">
        <v>20025</v>
      </c>
      <c r="O831" s="2">
        <v>36</v>
      </c>
      <c r="P831" s="2">
        <v>95265</v>
      </c>
      <c r="Q831" s="2">
        <v>3400</v>
      </c>
      <c r="R831" s="2">
        <v>58861</v>
      </c>
      <c r="S831" s="2">
        <v>365460</v>
      </c>
      <c r="T831" s="10">
        <f t="shared" si="41"/>
        <v>169129</v>
      </c>
      <c r="U831" s="8">
        <f t="shared" si="42"/>
        <v>0.46278388879767962</v>
      </c>
      <c r="V831" s="9" t="s">
        <v>5271</v>
      </c>
      <c r="W831" s="9" t="str">
        <f t="shared" si="43"/>
        <v>Lutterworth RD</v>
      </c>
      <c r="X831" s="9" t="str">
        <f>INDEX(Lookup!$A$2:$A$1349, MATCH(W831, Lookup!$B$2:$B$1349,0))</f>
        <v>J04000792</v>
      </c>
      <c r="Y831" s="9" t="str">
        <f>INDEX(Lookup!$F$2:$F$1349, MATCH(W831, Lookup!$B$2:$B$1349,0))</f>
        <v>e210718</v>
      </c>
      <c r="Z831" s="6" t="str">
        <f>INDEX(Lookup!$C$2:$C$1300, MATCH(X831, Lookup!$A$2:$A$1300,0))</f>
        <v>Leicestershire</v>
      </c>
    </row>
    <row r="832" spans="1:26" ht="28.15" customHeight="1" x14ac:dyDescent="0.2">
      <c r="A832" s="6" t="s">
        <v>744</v>
      </c>
      <c r="B832" s="1" t="s">
        <v>744</v>
      </c>
      <c r="C832" s="2">
        <v>8053</v>
      </c>
      <c r="D832" s="2">
        <v>354497</v>
      </c>
      <c r="E832" s="2">
        <v>208</v>
      </c>
      <c r="F832" s="2">
        <v>25147</v>
      </c>
      <c r="G832" s="2">
        <v>22</v>
      </c>
      <c r="H832" s="2">
        <v>5807</v>
      </c>
      <c r="I832" s="2">
        <v>289</v>
      </c>
      <c r="J832" s="2">
        <v>22327</v>
      </c>
      <c r="K832" s="2">
        <v>27</v>
      </c>
      <c r="L832" s="2">
        <v>8311</v>
      </c>
      <c r="M832" s="2">
        <v>629</v>
      </c>
      <c r="N832" s="2">
        <v>58051</v>
      </c>
      <c r="O832" s="2">
        <v>48</v>
      </c>
      <c r="P832" s="2">
        <v>108276</v>
      </c>
      <c r="Q832" s="2">
        <v>7408</v>
      </c>
      <c r="R832" s="2">
        <v>296138</v>
      </c>
      <c r="S832" s="2">
        <v>885962</v>
      </c>
      <c r="T832" s="10">
        <f t="shared" si="41"/>
        <v>385451</v>
      </c>
      <c r="U832" s="8">
        <f t="shared" si="42"/>
        <v>0.43506493506493504</v>
      </c>
      <c r="V832" s="9" t="s">
        <v>5271</v>
      </c>
      <c r="W832" s="9" t="str">
        <f t="shared" si="43"/>
        <v>Market Bosworth RD</v>
      </c>
      <c r="X832" s="9" t="str">
        <f>INDEX(Lookup!$A$2:$A$1349, MATCH(W832, Lookup!$B$2:$B$1349,0))</f>
        <v>J04000827</v>
      </c>
      <c r="Y832" s="9" t="str">
        <f>INDEX(Lookup!$F$2:$F$1349, MATCH(W832, Lookup!$B$2:$B$1349,0))</f>
        <v>e210719</v>
      </c>
      <c r="Z832" s="6" t="str">
        <f>INDEX(Lookup!$C$2:$C$1300, MATCH(X832, Lookup!$A$2:$A$1300,0))</f>
        <v>Leicestershire</v>
      </c>
    </row>
    <row r="833" spans="1:26" ht="28.15" customHeight="1" x14ac:dyDescent="0.2">
      <c r="A833" s="6" t="s">
        <v>733</v>
      </c>
      <c r="B833" s="1" t="s">
        <v>733</v>
      </c>
      <c r="C833" s="2">
        <v>2805</v>
      </c>
      <c r="D833" s="2">
        <v>120860</v>
      </c>
      <c r="E833" s="2">
        <v>149</v>
      </c>
      <c r="F833" s="2">
        <v>19514</v>
      </c>
      <c r="G833" s="2">
        <v>35</v>
      </c>
      <c r="H833" s="2">
        <v>9058</v>
      </c>
      <c r="I833" s="2">
        <v>109</v>
      </c>
      <c r="J833" s="2">
        <v>8532</v>
      </c>
      <c r="K833" s="2">
        <v>13</v>
      </c>
      <c r="L833" s="2">
        <v>698</v>
      </c>
      <c r="M833" s="2">
        <v>243</v>
      </c>
      <c r="N833" s="2">
        <v>19266</v>
      </c>
      <c r="O833" s="2">
        <v>17</v>
      </c>
      <c r="P833" s="2">
        <v>12981</v>
      </c>
      <c r="Q833" s="2">
        <v>748</v>
      </c>
      <c r="S833" s="2">
        <v>236022</v>
      </c>
      <c r="T833" s="10">
        <f t="shared" si="41"/>
        <v>149432</v>
      </c>
      <c r="U833" s="8">
        <f t="shared" si="42"/>
        <v>0.63312742032522396</v>
      </c>
      <c r="V833" s="9" t="s">
        <v>5271</v>
      </c>
      <c r="W833" s="9" t="str">
        <f t="shared" si="43"/>
        <v>Market Harborough RD</v>
      </c>
      <c r="X833" s="9" t="str">
        <f>INDEX(Lookup!$A$2:$A$1349, MATCH(W833, Lookup!$B$2:$B$1349,0))</f>
        <v>J04000829</v>
      </c>
      <c r="Y833" s="9" t="str">
        <f>INDEX(Lookup!$F$2:$F$1349, MATCH(W833, Lookup!$B$2:$B$1349,0))</f>
        <v>e210720</v>
      </c>
      <c r="Z833" s="6" t="str">
        <f>INDEX(Lookup!$C$2:$C$1300, MATCH(X833, Lookup!$A$2:$A$1300,0))</f>
        <v>Leicestershire</v>
      </c>
    </row>
    <row r="834" spans="1:26" ht="28.15" customHeight="1" x14ac:dyDescent="0.2">
      <c r="A834" s="6" t="s">
        <v>745</v>
      </c>
      <c r="B834" s="1" t="s">
        <v>5379</v>
      </c>
      <c r="C834" s="2">
        <v>4990</v>
      </c>
      <c r="D834" s="2">
        <v>208037</v>
      </c>
      <c r="E834" s="2">
        <v>224</v>
      </c>
      <c r="F834" s="2">
        <v>28191</v>
      </c>
      <c r="G834" s="2">
        <v>53</v>
      </c>
      <c r="H834" s="2">
        <v>15015</v>
      </c>
      <c r="I834" s="2">
        <v>137</v>
      </c>
      <c r="J834" s="2">
        <v>9689</v>
      </c>
      <c r="K834" s="2">
        <v>6</v>
      </c>
      <c r="L834" s="2">
        <v>1783</v>
      </c>
      <c r="M834" s="2">
        <v>319</v>
      </c>
      <c r="N834" s="2">
        <v>19332</v>
      </c>
      <c r="O834" s="2">
        <v>22</v>
      </c>
      <c r="P834" s="2">
        <v>51117</v>
      </c>
      <c r="Q834" s="2">
        <v>35643</v>
      </c>
      <c r="R834" s="2">
        <v>122537</v>
      </c>
      <c r="S834" s="2">
        <v>491344</v>
      </c>
      <c r="T834" s="10">
        <f t="shared" si="41"/>
        <v>251243</v>
      </c>
      <c r="U834" s="8">
        <f t="shared" si="42"/>
        <v>0.51133828844964013</v>
      </c>
      <c r="V834" s="9" t="s">
        <v>5271</v>
      </c>
      <c r="W834" s="9" t="str">
        <f t="shared" si="43"/>
        <v>Melton and Belvoir RD</v>
      </c>
      <c r="X834" s="9" t="str">
        <f>INDEX(Lookup!$A$2:$A$1349, MATCH(W834, Lookup!$B$2:$B$1349,0))</f>
        <v>J04000844</v>
      </c>
      <c r="Y834" s="9" t="str">
        <f>INDEX(Lookup!$F$2:$F$1349, MATCH(W834, Lookup!$B$2:$B$1349,0))</f>
        <v>e210721</v>
      </c>
      <c r="Z834" s="6" t="str">
        <f>INDEX(Lookup!$C$2:$C$1300, MATCH(X834, Lookup!$A$2:$A$1300,0))</f>
        <v>Leicestershire</v>
      </c>
    </row>
    <row r="835" spans="1:26" ht="28.15" customHeight="1" x14ac:dyDescent="0.2">
      <c r="A835" s="6" t="s">
        <v>746</v>
      </c>
      <c r="B835" s="1" t="s">
        <v>746</v>
      </c>
      <c r="T835" s="10"/>
      <c r="W835" s="9" t="str">
        <f t="shared" ref="W835:W898" si="44">_xlfn.CONCAT(B835," ",V835)</f>
        <v xml:space="preserve">LINCOLN, PARTS OF HOLLAND: </v>
      </c>
      <c r="X835" s="9" t="e">
        <f>INDEX(Lookup!$A$2:$A$1349, MATCH(W835, Lookup!$B$2:$B$1349,0))</f>
        <v>#N/A</v>
      </c>
      <c r="Y835" s="9" t="e">
        <f>INDEX(Lookup!$F$2:$F$1349, MATCH(W835, Lookup!$B$2:$B$1349,0))</f>
        <v>#N/A</v>
      </c>
      <c r="Z835" s="6" t="e">
        <f>INDEX(Lookup!$C$2:$C$1300, MATCH(X835, Lookup!$A$2:$A$1300,0))</f>
        <v>#N/A</v>
      </c>
    </row>
    <row r="836" spans="1:26" ht="28.15" customHeight="1" x14ac:dyDescent="0.2">
      <c r="A836" s="6" t="s">
        <v>557</v>
      </c>
      <c r="B836" s="1" t="s">
        <v>557</v>
      </c>
      <c r="T836" s="10"/>
      <c r="W836" s="9" t="str">
        <f t="shared" si="44"/>
        <v xml:space="preserve">Non-County Borough-- </v>
      </c>
      <c r="X836" s="9" t="e">
        <f>INDEX(Lookup!$A$2:$A$1349, MATCH(W836, Lookup!$B$2:$B$1349,0))</f>
        <v>#N/A</v>
      </c>
      <c r="Y836" s="9" t="e">
        <f>INDEX(Lookup!$F$2:$F$1349, MATCH(W836, Lookup!$B$2:$B$1349,0))</f>
        <v>#N/A</v>
      </c>
      <c r="Z836" s="6" t="e">
        <f>INDEX(Lookup!$C$2:$C$1300, MATCH(X836, Lookup!$A$2:$A$1300,0))</f>
        <v>#N/A</v>
      </c>
    </row>
    <row r="837" spans="1:26" ht="28.15" customHeight="1" x14ac:dyDescent="0.2">
      <c r="A837" s="6" t="s">
        <v>747</v>
      </c>
      <c r="B837" s="1" t="s">
        <v>747</v>
      </c>
      <c r="C837" s="2">
        <v>7777</v>
      </c>
      <c r="D837" s="2">
        <v>373504</v>
      </c>
      <c r="E837" s="2">
        <v>329</v>
      </c>
      <c r="F837" s="2">
        <v>41563</v>
      </c>
      <c r="G837" s="2">
        <v>8</v>
      </c>
      <c r="H837" s="2">
        <v>1788</v>
      </c>
      <c r="I837" s="2">
        <v>561</v>
      </c>
      <c r="J837" s="2">
        <v>164857</v>
      </c>
      <c r="K837" s="2">
        <v>176</v>
      </c>
      <c r="L837" s="2">
        <v>26392</v>
      </c>
      <c r="M837" s="2">
        <v>1081</v>
      </c>
      <c r="N837" s="2">
        <v>88625</v>
      </c>
      <c r="O837" s="2">
        <v>71</v>
      </c>
      <c r="P837" s="2">
        <v>1377</v>
      </c>
      <c r="Q837" s="2">
        <v>7442</v>
      </c>
      <c r="R837" s="2">
        <v>111412</v>
      </c>
      <c r="S837" s="2">
        <v>953379</v>
      </c>
      <c r="T837" s="10">
        <f t="shared" ref="T837:T898" si="45">SUM(D837+F837+H837)</f>
        <v>416855</v>
      </c>
      <c r="U837" s="8">
        <f t="shared" ref="U837:U898" si="46">T837/S837</f>
        <v>0.4372395448190069</v>
      </c>
      <c r="V837" s="9" t="s">
        <v>5268</v>
      </c>
      <c r="W837" s="9" t="str">
        <f t="shared" si="44"/>
        <v>Boston MB</v>
      </c>
      <c r="X837" s="9" t="str">
        <f>INDEX(Lookup!$A$2:$A$1349, MATCH(W837, Lookup!$B$2:$B$1349,0))</f>
        <v>J04000176</v>
      </c>
      <c r="Y837" s="9" t="str">
        <f>INDEX(Lookup!$F$2:$F$1349, MATCH(W837, Lookup!$B$2:$B$1349,0))</f>
        <v>e220722</v>
      </c>
      <c r="Z837" s="6" t="str">
        <f>INDEX(Lookup!$C$2:$C$1300, MATCH(X837, Lookup!$A$2:$A$1300,0))</f>
        <v>Lincolnshire</v>
      </c>
    </row>
    <row r="838" spans="1:26" ht="28.15" customHeight="1" x14ac:dyDescent="0.2">
      <c r="A838" s="6" t="s">
        <v>179</v>
      </c>
      <c r="B838" s="1" t="s">
        <v>179</v>
      </c>
      <c r="T838" s="10"/>
      <c r="W838" s="9" t="str">
        <f t="shared" si="44"/>
        <v xml:space="preserve">Urban Districts-- </v>
      </c>
      <c r="X838" s="9" t="e">
        <f>INDEX(Lookup!$A$2:$A$1349, MATCH(W838, Lookup!$B$2:$B$1349,0))</f>
        <v>#N/A</v>
      </c>
      <c r="Y838" s="9" t="e">
        <f>INDEX(Lookup!$F$2:$F$1349, MATCH(W838, Lookup!$B$2:$B$1349,0))</f>
        <v>#N/A</v>
      </c>
      <c r="Z838" s="6" t="e">
        <f>INDEX(Lookup!$C$2:$C$1300, MATCH(X838, Lookup!$A$2:$A$1300,0))</f>
        <v>#N/A</v>
      </c>
    </row>
    <row r="839" spans="1:26" ht="28.15" customHeight="1" x14ac:dyDescent="0.2">
      <c r="A839" s="6" t="s">
        <v>748</v>
      </c>
      <c r="B839" s="1" t="s">
        <v>748</v>
      </c>
      <c r="C839" s="2">
        <v>4549</v>
      </c>
      <c r="D839" s="2">
        <v>228410</v>
      </c>
      <c r="E839" s="2">
        <v>271</v>
      </c>
      <c r="F839" s="2">
        <v>33557</v>
      </c>
      <c r="G839" s="2">
        <v>3</v>
      </c>
      <c r="H839" s="2">
        <v>714</v>
      </c>
      <c r="I839" s="2">
        <v>344</v>
      </c>
      <c r="J839" s="2">
        <v>99101</v>
      </c>
      <c r="K839" s="2">
        <v>94</v>
      </c>
      <c r="L839" s="2">
        <v>14097</v>
      </c>
      <c r="M839" s="2">
        <v>658</v>
      </c>
      <c r="N839" s="2">
        <v>49238</v>
      </c>
      <c r="O839" s="2">
        <v>35</v>
      </c>
      <c r="P839" s="2">
        <v>102210</v>
      </c>
      <c r="Q839" s="2">
        <v>5864</v>
      </c>
      <c r="R839" s="2">
        <v>78284</v>
      </c>
      <c r="S839" s="2">
        <v>611475</v>
      </c>
      <c r="T839" s="10">
        <f t="shared" si="45"/>
        <v>262681</v>
      </c>
      <c r="U839" s="8">
        <f t="shared" si="46"/>
        <v>0.4295858375240198</v>
      </c>
      <c r="V839" s="9" t="s">
        <v>5270</v>
      </c>
      <c r="W839" s="9" t="str">
        <f t="shared" si="44"/>
        <v>Spalding UD</v>
      </c>
      <c r="X839" s="9" t="str">
        <f>INDEX(Lookup!$A$2:$A$1349, MATCH(W839, Lookup!$B$2:$B$1349,0))</f>
        <v>J04001175</v>
      </c>
      <c r="Y839" s="9" t="str">
        <f>INDEX(Lookup!$F$2:$F$1349, MATCH(W839, Lookup!$B$2:$B$1349,0))</f>
        <v>e220723</v>
      </c>
      <c r="Z839" s="6" t="str">
        <f>INDEX(Lookup!$C$2:$C$1300, MATCH(X839, Lookup!$A$2:$A$1300,0))</f>
        <v>Lincolnshire</v>
      </c>
    </row>
    <row r="840" spans="1:26" ht="28.15" customHeight="1" x14ac:dyDescent="0.2">
      <c r="A840" s="6" t="s">
        <v>212</v>
      </c>
      <c r="B840" s="1" t="s">
        <v>212</v>
      </c>
      <c r="T840" s="10"/>
      <c r="W840" s="9" t="str">
        <f t="shared" si="44"/>
        <v xml:space="preserve">Rural Districts-- </v>
      </c>
      <c r="X840" s="9" t="e">
        <f>INDEX(Lookup!$A$2:$A$1349, MATCH(W840, Lookup!$B$2:$B$1349,0))</f>
        <v>#N/A</v>
      </c>
      <c r="Y840" s="9" t="e">
        <f>INDEX(Lookup!$F$2:$F$1349, MATCH(W840, Lookup!$B$2:$B$1349,0))</f>
        <v>#N/A</v>
      </c>
      <c r="Z840" s="6" t="e">
        <f>INDEX(Lookup!$C$2:$C$1300, MATCH(X840, Lookup!$A$2:$A$1300,0))</f>
        <v>#N/A</v>
      </c>
    </row>
    <row r="841" spans="1:26" ht="28.15" customHeight="1" x14ac:dyDescent="0.2">
      <c r="A841" s="6" t="s">
        <v>749</v>
      </c>
      <c r="B841" s="1" t="s">
        <v>747</v>
      </c>
      <c r="C841" s="2">
        <v>5150</v>
      </c>
      <c r="D841" s="2">
        <v>228028</v>
      </c>
      <c r="E841" s="2">
        <v>125</v>
      </c>
      <c r="F841" s="2">
        <v>16117</v>
      </c>
      <c r="G841" s="2">
        <v>10</v>
      </c>
      <c r="H841" s="2">
        <v>2448</v>
      </c>
      <c r="I841" s="2">
        <v>142</v>
      </c>
      <c r="J841" s="2">
        <v>12462</v>
      </c>
      <c r="K841" s="2">
        <v>13</v>
      </c>
      <c r="L841" s="2">
        <v>715</v>
      </c>
      <c r="M841" s="2">
        <v>685</v>
      </c>
      <c r="N841" s="2">
        <v>27587</v>
      </c>
      <c r="O841" s="2">
        <v>26</v>
      </c>
      <c r="P841" s="2">
        <v>12366</v>
      </c>
      <c r="Q841" s="2">
        <v>3642</v>
      </c>
      <c r="R841" s="2">
        <v>109668</v>
      </c>
      <c r="S841" s="2">
        <v>413033</v>
      </c>
      <c r="T841" s="10">
        <f t="shared" si="45"/>
        <v>246593</v>
      </c>
      <c r="U841" s="8">
        <f t="shared" si="46"/>
        <v>0.59702977728171835</v>
      </c>
      <c r="V841" s="9" t="s">
        <v>5271</v>
      </c>
      <c r="W841" s="9" t="str">
        <f t="shared" si="44"/>
        <v>Boston RD</v>
      </c>
      <c r="X841" s="9" t="str">
        <f>INDEX(Lookup!$A$2:$A$1349, MATCH(W841, Lookup!$B$2:$B$1349,0))</f>
        <v>J04000177</v>
      </c>
      <c r="Y841" s="9" t="str">
        <f>INDEX(Lookup!$F$2:$F$1349, MATCH(W841, Lookup!$B$2:$B$1349,0))</f>
        <v>e220724</v>
      </c>
      <c r="Z841" s="6" t="str">
        <f>INDEX(Lookup!$C$2:$C$1300, MATCH(X841, Lookup!$A$2:$A$1300,0))</f>
        <v>Lincolnshire</v>
      </c>
    </row>
    <row r="842" spans="1:26" ht="28.15" customHeight="1" x14ac:dyDescent="0.2">
      <c r="A842" s="6" t="s">
        <v>750</v>
      </c>
      <c r="B842" s="1" t="s">
        <v>750</v>
      </c>
      <c r="C842" s="2">
        <v>5206</v>
      </c>
      <c r="D842" s="2">
        <v>195198</v>
      </c>
      <c r="E842" s="2">
        <v>69</v>
      </c>
      <c r="F842" s="2">
        <v>7820</v>
      </c>
      <c r="G842" s="2">
        <v>1</v>
      </c>
      <c r="H842" s="2">
        <v>367</v>
      </c>
      <c r="I842" s="2">
        <v>339</v>
      </c>
      <c r="J842" s="2">
        <v>36097</v>
      </c>
      <c r="K842" s="2">
        <v>40</v>
      </c>
      <c r="L842" s="2">
        <v>2594</v>
      </c>
      <c r="M842" s="2">
        <v>610</v>
      </c>
      <c r="N842" s="2">
        <v>38844</v>
      </c>
      <c r="O842" s="2">
        <v>26</v>
      </c>
      <c r="P842" s="2">
        <v>22886</v>
      </c>
      <c r="Q842" s="2">
        <v>2775</v>
      </c>
      <c r="R842" s="2">
        <v>118294</v>
      </c>
      <c r="S842" s="2">
        <v>424875</v>
      </c>
      <c r="T842" s="10">
        <f t="shared" si="45"/>
        <v>203385</v>
      </c>
      <c r="U842" s="8">
        <f t="shared" si="46"/>
        <v>0.47869373345101501</v>
      </c>
      <c r="V842" s="9" t="s">
        <v>5271</v>
      </c>
      <c r="W842" s="9" t="str">
        <f t="shared" si="44"/>
        <v>East Elloe RD</v>
      </c>
      <c r="X842" s="9" t="str">
        <f>INDEX(Lookup!$A$2:$A$1349, MATCH(W842, Lookup!$B$2:$B$1349,0))</f>
        <v>J04000449</v>
      </c>
      <c r="Y842" s="9" t="str">
        <f>INDEX(Lookup!$F$2:$F$1349, MATCH(W842, Lookup!$B$2:$B$1349,0))</f>
        <v>e220725</v>
      </c>
      <c r="Z842" s="6" t="str">
        <f>INDEX(Lookup!$C$2:$C$1300, MATCH(X842, Lookup!$A$2:$A$1300,0))</f>
        <v>Lincolnshire</v>
      </c>
    </row>
    <row r="843" spans="1:26" ht="28.15" customHeight="1" x14ac:dyDescent="0.2">
      <c r="A843" s="6" t="s">
        <v>748</v>
      </c>
      <c r="B843" s="1" t="s">
        <v>748</v>
      </c>
      <c r="C843" s="2">
        <v>4495</v>
      </c>
      <c r="D843" s="2">
        <v>173958</v>
      </c>
      <c r="E843" s="2">
        <v>40</v>
      </c>
      <c r="F843" s="2">
        <v>4745</v>
      </c>
      <c r="G843" s="2">
        <v>2</v>
      </c>
      <c r="H843" s="2">
        <v>452</v>
      </c>
      <c r="I843" s="2">
        <v>179</v>
      </c>
      <c r="J843" s="2">
        <v>15496</v>
      </c>
      <c r="K843" s="2">
        <v>29</v>
      </c>
      <c r="L843" s="2">
        <v>1395</v>
      </c>
      <c r="M843" s="2">
        <v>571</v>
      </c>
      <c r="N843" s="2">
        <v>27147</v>
      </c>
      <c r="O843" s="2">
        <v>15</v>
      </c>
      <c r="P843" s="2">
        <v>7465</v>
      </c>
      <c r="Q843" s="2">
        <v>385</v>
      </c>
      <c r="R843" s="2">
        <v>96573</v>
      </c>
      <c r="S843" s="2">
        <v>327616</v>
      </c>
      <c r="T843" s="10">
        <f t="shared" si="45"/>
        <v>179155</v>
      </c>
      <c r="U843" s="8">
        <f t="shared" si="46"/>
        <v>0.54684447646024614</v>
      </c>
      <c r="V843" s="9" t="s">
        <v>5271</v>
      </c>
      <c r="W843" s="9" t="str">
        <f t="shared" si="44"/>
        <v>Spalding RD</v>
      </c>
      <c r="X843" s="9" t="str">
        <f>INDEX(Lookup!$A$2:$A$1349, MATCH(W843, Lookup!$B$2:$B$1349,0))</f>
        <v>J04001174</v>
      </c>
      <c r="Y843" s="9" t="str">
        <f>INDEX(Lookup!$F$2:$F$1349, MATCH(W843, Lookup!$B$2:$B$1349,0))</f>
        <v>e220726</v>
      </c>
      <c r="Z843" s="6" t="str">
        <f>INDEX(Lookup!$C$2:$C$1300, MATCH(X843, Lookup!$A$2:$A$1300,0))</f>
        <v>Lincolnshire</v>
      </c>
    </row>
    <row r="844" spans="1:26" ht="28.15" customHeight="1" x14ac:dyDescent="0.2">
      <c r="A844" s="6" t="s">
        <v>751</v>
      </c>
      <c r="B844" s="1" t="s">
        <v>751</v>
      </c>
      <c r="T844" s="10"/>
      <c r="W844" s="9" t="str">
        <f t="shared" si="44"/>
        <v xml:space="preserve">LINCOLN, PARTS OF KESTEVEN: </v>
      </c>
      <c r="X844" s="9" t="e">
        <f>INDEX(Lookup!$A$2:$A$1349, MATCH(W844, Lookup!$B$2:$B$1349,0))</f>
        <v>#N/A</v>
      </c>
      <c r="Y844" s="9" t="e">
        <f>INDEX(Lookup!$F$2:$F$1349, MATCH(W844, Lookup!$B$2:$B$1349,0))</f>
        <v>#N/A</v>
      </c>
      <c r="Z844" s="6" t="e">
        <f>INDEX(Lookup!$C$2:$C$1300, MATCH(X844, Lookup!$A$2:$A$1300,0))</f>
        <v>#N/A</v>
      </c>
    </row>
    <row r="845" spans="1:26" ht="28.15" customHeight="1" x14ac:dyDescent="0.2">
      <c r="A845" s="6" t="s">
        <v>175</v>
      </c>
      <c r="B845" s="1" t="s">
        <v>175</v>
      </c>
      <c r="T845" s="10"/>
      <c r="W845" s="9" t="str">
        <f t="shared" si="44"/>
        <v xml:space="preserve">Non-County Boroughs-- </v>
      </c>
      <c r="X845" s="9" t="e">
        <f>INDEX(Lookup!$A$2:$A$1349, MATCH(W845, Lookup!$B$2:$B$1349,0))</f>
        <v>#N/A</v>
      </c>
      <c r="Y845" s="9" t="e">
        <f>INDEX(Lookup!$F$2:$F$1349, MATCH(W845, Lookup!$B$2:$B$1349,0))</f>
        <v>#N/A</v>
      </c>
      <c r="Z845" s="6" t="e">
        <f>INDEX(Lookup!$C$2:$C$1300, MATCH(X845, Lookup!$A$2:$A$1300,0))</f>
        <v>#N/A</v>
      </c>
    </row>
    <row r="846" spans="1:26" ht="28.15" customHeight="1" x14ac:dyDescent="0.2">
      <c r="A846" s="6" t="s">
        <v>752</v>
      </c>
      <c r="B846" s="1" t="s">
        <v>752</v>
      </c>
      <c r="C846" s="2">
        <v>7887</v>
      </c>
      <c r="D846" s="2">
        <v>400633</v>
      </c>
      <c r="E846" s="2">
        <v>295</v>
      </c>
      <c r="F846" s="2">
        <v>36653</v>
      </c>
      <c r="G846" s="2">
        <v>13</v>
      </c>
      <c r="H846" s="2">
        <v>3022</v>
      </c>
      <c r="I846" s="2">
        <v>431</v>
      </c>
      <c r="J846" s="2">
        <v>91531</v>
      </c>
      <c r="K846" s="2">
        <v>103</v>
      </c>
      <c r="L846" s="2">
        <v>7835</v>
      </c>
      <c r="M846" s="2">
        <v>1108</v>
      </c>
      <c r="N846" s="2">
        <v>51170</v>
      </c>
      <c r="O846" s="2">
        <v>46</v>
      </c>
      <c r="P846" s="2">
        <v>143203</v>
      </c>
      <c r="Q846" s="2">
        <v>10094</v>
      </c>
      <c r="R846" s="2">
        <v>105390</v>
      </c>
      <c r="S846" s="2">
        <v>849531</v>
      </c>
      <c r="T846" s="10">
        <f t="shared" si="45"/>
        <v>440308</v>
      </c>
      <c r="U846" s="8">
        <f t="shared" si="46"/>
        <v>0.51829538886750459</v>
      </c>
      <c r="V846" s="9" t="s">
        <v>5268</v>
      </c>
      <c r="W846" s="9" t="str">
        <f t="shared" si="44"/>
        <v>Grantham MB</v>
      </c>
      <c r="X846" s="9" t="str">
        <f>INDEX(Lookup!$A$2:$A$1349, MATCH(W846, Lookup!$B$2:$B$1349,0))</f>
        <v>J04000548</v>
      </c>
      <c r="Y846" s="9" t="str">
        <f>INDEX(Lookup!$F$2:$F$1349, MATCH(W846, Lookup!$B$2:$B$1349,0))</f>
        <v>e230729</v>
      </c>
      <c r="Z846" s="6" t="str">
        <f>INDEX(Lookup!$C$2:$C$1300, MATCH(X846, Lookup!$A$2:$A$1300,0))</f>
        <v>Lincolnshire</v>
      </c>
    </row>
    <row r="847" spans="1:26" ht="28.15" customHeight="1" x14ac:dyDescent="0.2">
      <c r="A847" s="6" t="s">
        <v>753</v>
      </c>
      <c r="B847" s="1" t="s">
        <v>753</v>
      </c>
      <c r="C847" s="2">
        <v>3775</v>
      </c>
      <c r="D847" s="2">
        <v>185986</v>
      </c>
      <c r="E847" s="2">
        <v>178</v>
      </c>
      <c r="F847" s="2">
        <v>21845</v>
      </c>
      <c r="G847" s="2">
        <v>6</v>
      </c>
      <c r="H847" s="2">
        <v>1326</v>
      </c>
      <c r="I847" s="2">
        <v>278</v>
      </c>
      <c r="J847" s="2">
        <v>41920</v>
      </c>
      <c r="K847" s="2">
        <v>49</v>
      </c>
      <c r="L847" s="2">
        <v>3443</v>
      </c>
      <c r="M847" s="2">
        <v>722</v>
      </c>
      <c r="N847" s="2">
        <v>29310</v>
      </c>
      <c r="O847" s="2">
        <v>38</v>
      </c>
      <c r="P847" s="2">
        <v>47164</v>
      </c>
      <c r="Q847" s="2">
        <v>3387</v>
      </c>
      <c r="R847" s="2">
        <v>58561</v>
      </c>
      <c r="S847" s="2">
        <v>392942</v>
      </c>
      <c r="T847" s="10">
        <f t="shared" si="45"/>
        <v>209157</v>
      </c>
      <c r="U847" s="8">
        <f t="shared" si="46"/>
        <v>0.53228466287645504</v>
      </c>
      <c r="V847" s="9" t="s">
        <v>5268</v>
      </c>
      <c r="W847" s="9" t="str">
        <f t="shared" si="44"/>
        <v>Stamford MB</v>
      </c>
      <c r="X847" s="9" t="str">
        <f>INDEX(Lookup!$A$2:$A$1349, MATCH(W847, Lookup!$B$2:$B$1349,0))</f>
        <v>J04001200</v>
      </c>
      <c r="Y847" s="9" t="str">
        <f>INDEX(Lookup!$F$2:$F$1349, MATCH(W847, Lookup!$B$2:$B$1349,0))</f>
        <v>e230731</v>
      </c>
      <c r="Z847" s="6" t="str">
        <f>INDEX(Lookup!$C$2:$C$1300, MATCH(X847, Lookup!$A$2:$A$1300,0))</f>
        <v>Lincolnshire</v>
      </c>
    </row>
    <row r="848" spans="1:26" ht="28.15" customHeight="1" x14ac:dyDescent="0.2">
      <c r="A848" s="6" t="s">
        <v>179</v>
      </c>
      <c r="B848" s="1" t="s">
        <v>179</v>
      </c>
      <c r="T848" s="10"/>
      <c r="W848" s="9" t="str">
        <f t="shared" si="44"/>
        <v xml:space="preserve">Urban Districts-- </v>
      </c>
      <c r="X848" s="9" t="e">
        <f>INDEX(Lookup!$A$2:$A$1349, MATCH(W848, Lookup!$B$2:$B$1349,0))</f>
        <v>#N/A</v>
      </c>
      <c r="Y848" s="9" t="e">
        <f>INDEX(Lookup!$F$2:$F$1349, MATCH(W848, Lookup!$B$2:$B$1349,0))</f>
        <v>#N/A</v>
      </c>
      <c r="Z848" s="6" t="e">
        <f>INDEX(Lookup!$C$2:$C$1300, MATCH(X848, Lookup!$A$2:$A$1300,0))</f>
        <v>#N/A</v>
      </c>
    </row>
    <row r="849" spans="1:26" ht="28.15" customHeight="1" x14ac:dyDescent="0.2">
      <c r="A849" s="6" t="s">
        <v>754</v>
      </c>
      <c r="B849" s="1" t="s">
        <v>754</v>
      </c>
      <c r="C849" s="2">
        <v>1624</v>
      </c>
      <c r="D849" s="2">
        <v>70049</v>
      </c>
      <c r="E849" s="2">
        <v>31</v>
      </c>
      <c r="F849" s="2">
        <v>3884</v>
      </c>
      <c r="I849" s="2">
        <v>124</v>
      </c>
      <c r="J849" s="2">
        <v>18215</v>
      </c>
      <c r="K849" s="2">
        <v>18</v>
      </c>
      <c r="L849" s="2">
        <v>1154</v>
      </c>
      <c r="M849" s="2">
        <v>188</v>
      </c>
      <c r="N849" s="2">
        <v>13201</v>
      </c>
      <c r="O849" s="2">
        <v>22</v>
      </c>
      <c r="P849" s="2">
        <v>16014</v>
      </c>
      <c r="Q849" s="2">
        <v>1742</v>
      </c>
      <c r="R849" s="2">
        <v>22507</v>
      </c>
      <c r="S849" s="2">
        <v>146766</v>
      </c>
      <c r="T849" s="10">
        <f>SUM(D849+F849)</f>
        <v>73933</v>
      </c>
      <c r="U849" s="8">
        <f t="shared" si="46"/>
        <v>0.50374746194622733</v>
      </c>
      <c r="V849" s="9" t="s">
        <v>5270</v>
      </c>
      <c r="W849" s="9" t="str">
        <f t="shared" si="44"/>
        <v>Bourne UD</v>
      </c>
      <c r="X849" s="9" t="str">
        <f>INDEX(Lookup!$A$2:$A$1349, MATCH(W849, Lookup!$B$2:$B$1349,0))</f>
        <v>J04000178</v>
      </c>
      <c r="Y849" s="9" t="str">
        <f>INDEX(Lookup!$F$2:$F$1349, MATCH(W849, Lookup!$B$2:$B$1349,0))</f>
        <v>e230728</v>
      </c>
      <c r="Z849" s="6" t="str">
        <f>INDEX(Lookup!$C$2:$C$1300, MATCH(X849, Lookup!$A$2:$A$1300,0))</f>
        <v>Lincolnshire</v>
      </c>
    </row>
    <row r="850" spans="1:26" ht="28.15" customHeight="1" x14ac:dyDescent="0.2">
      <c r="A850" s="6" t="s">
        <v>755</v>
      </c>
      <c r="B850" s="1" t="s">
        <v>755</v>
      </c>
      <c r="C850" s="2">
        <v>2232</v>
      </c>
      <c r="D850" s="2">
        <v>104526</v>
      </c>
      <c r="E850" s="2">
        <v>109</v>
      </c>
      <c r="F850" s="2">
        <v>13703</v>
      </c>
      <c r="G850" s="2">
        <v>5</v>
      </c>
      <c r="H850" s="2">
        <v>1062</v>
      </c>
      <c r="I850" s="2">
        <v>180</v>
      </c>
      <c r="J850" s="2">
        <v>34913</v>
      </c>
      <c r="K850" s="2">
        <v>35</v>
      </c>
      <c r="L850" s="2">
        <v>2248</v>
      </c>
      <c r="M850" s="2">
        <v>429</v>
      </c>
      <c r="N850" s="2">
        <v>25707</v>
      </c>
      <c r="O850" s="2">
        <v>23</v>
      </c>
      <c r="P850" s="2">
        <v>21986</v>
      </c>
      <c r="Q850" s="2">
        <v>10279</v>
      </c>
      <c r="R850" s="2">
        <v>39104</v>
      </c>
      <c r="S850" s="2">
        <v>253528</v>
      </c>
      <c r="T850" s="10">
        <f t="shared" si="45"/>
        <v>119291</v>
      </c>
      <c r="U850" s="8">
        <f t="shared" si="46"/>
        <v>0.47052396579470512</v>
      </c>
      <c r="V850" s="9" t="s">
        <v>5270</v>
      </c>
      <c r="W850" s="9" t="str">
        <f t="shared" si="44"/>
        <v>Sleaford UD</v>
      </c>
      <c r="X850" s="9" t="str">
        <f>INDEX(Lookup!$A$2:$A$1349, MATCH(W850, Lookup!$B$2:$B$1349,0))</f>
        <v>J04001149</v>
      </c>
      <c r="Y850" s="9" t="str">
        <f>INDEX(Lookup!$F$2:$F$1349, MATCH(W850, Lookup!$B$2:$B$1349,0))</f>
        <v>e230730</v>
      </c>
      <c r="Z850" s="6" t="str">
        <f>INDEX(Lookup!$C$2:$C$1300, MATCH(X850, Lookup!$A$2:$A$1300,0))</f>
        <v>Lincolnshire</v>
      </c>
    </row>
    <row r="851" spans="1:26" ht="28.15" customHeight="1" x14ac:dyDescent="0.2">
      <c r="A851" s="6" t="s">
        <v>756</v>
      </c>
      <c r="B851" s="1" t="s">
        <v>756</v>
      </c>
      <c r="T851" s="10"/>
      <c r="W851" s="9" t="str">
        <f t="shared" si="44"/>
        <v xml:space="preserve">Rural Distrcts-- </v>
      </c>
      <c r="X851" s="9" t="e">
        <f>INDEX(Lookup!$A$2:$A$1349, MATCH(W851, Lookup!$B$2:$B$1349,0))</f>
        <v>#N/A</v>
      </c>
      <c r="Y851" s="9" t="e">
        <f>INDEX(Lookup!$F$2:$F$1349, MATCH(W851, Lookup!$B$2:$B$1349,0))</f>
        <v>#N/A</v>
      </c>
      <c r="Z851" s="6" t="e">
        <f>INDEX(Lookup!$C$2:$C$1300, MATCH(X851, Lookup!$A$2:$A$1300,0))</f>
        <v>#N/A</v>
      </c>
    </row>
    <row r="852" spans="1:26" ht="28.15" customHeight="1" x14ac:dyDescent="0.2">
      <c r="A852" s="6" t="s">
        <v>757</v>
      </c>
      <c r="B852" s="1" t="s">
        <v>757</v>
      </c>
      <c r="C852" s="2">
        <v>4224</v>
      </c>
      <c r="D852" s="2">
        <v>162888</v>
      </c>
      <c r="E852" s="2">
        <v>50</v>
      </c>
      <c r="F852" s="2">
        <v>5997</v>
      </c>
      <c r="G852" s="2">
        <v>1</v>
      </c>
      <c r="H852" s="2">
        <v>388</v>
      </c>
      <c r="I852" s="2">
        <v>171</v>
      </c>
      <c r="J852" s="2">
        <v>10723</v>
      </c>
      <c r="K852" s="2">
        <v>18</v>
      </c>
      <c r="L852" s="2">
        <v>276</v>
      </c>
      <c r="M852" s="2">
        <v>471</v>
      </c>
      <c r="N852" s="2">
        <v>21591</v>
      </c>
      <c r="O852" s="2">
        <v>10</v>
      </c>
      <c r="P852" s="2">
        <v>8285</v>
      </c>
      <c r="Q852" s="2">
        <v>85515</v>
      </c>
      <c r="R852" s="2">
        <v>92996</v>
      </c>
      <c r="S852" s="2">
        <v>388659</v>
      </c>
      <c r="T852" s="10">
        <f t="shared" si="45"/>
        <v>169273</v>
      </c>
      <c r="U852" s="8">
        <f t="shared" si="46"/>
        <v>0.43553088954584868</v>
      </c>
      <c r="V852" s="9" t="s">
        <v>5271</v>
      </c>
      <c r="W852" s="9" t="str">
        <f t="shared" si="44"/>
        <v>East Kesteven RD</v>
      </c>
      <c r="X852" s="9" t="str">
        <f>INDEX(Lookup!$A$2:$A$1349, MATCH(W852, Lookup!$B$2:$B$1349,0))</f>
        <v>J04000452</v>
      </c>
      <c r="Y852" s="9" t="str">
        <f>INDEX(Lookup!$F$2:$F$1349, MATCH(W852, Lookup!$B$2:$B$1349,0))</f>
        <v>e230732</v>
      </c>
      <c r="Z852" s="6" t="str">
        <f>INDEX(Lookup!$C$2:$C$1300, MATCH(X852, Lookup!$A$2:$A$1300,0))</f>
        <v>Lincolnshire</v>
      </c>
    </row>
    <row r="853" spans="1:26" ht="28.15" customHeight="1" x14ac:dyDescent="0.2">
      <c r="A853" s="6" t="s">
        <v>758</v>
      </c>
      <c r="B853" s="1" t="s">
        <v>758</v>
      </c>
      <c r="C853" s="2">
        <v>7774</v>
      </c>
      <c r="D853" s="2">
        <v>355998</v>
      </c>
      <c r="E853" s="2">
        <v>204</v>
      </c>
      <c r="F853" s="2">
        <v>24669</v>
      </c>
      <c r="G853" s="2">
        <v>10</v>
      </c>
      <c r="H853" s="2">
        <v>2508</v>
      </c>
      <c r="I853" s="2">
        <v>209</v>
      </c>
      <c r="J853" s="2">
        <v>14963</v>
      </c>
      <c r="K853" s="2">
        <v>17</v>
      </c>
      <c r="L853" s="2">
        <v>246</v>
      </c>
      <c r="M853" s="2">
        <v>425</v>
      </c>
      <c r="N853" s="2">
        <v>46394</v>
      </c>
      <c r="O853" s="2">
        <v>15</v>
      </c>
      <c r="P853" s="2">
        <v>43767</v>
      </c>
      <c r="Q853" s="2">
        <v>105675</v>
      </c>
      <c r="R853" s="2">
        <v>163663</v>
      </c>
      <c r="S853" s="2">
        <v>757883</v>
      </c>
      <c r="T853" s="10">
        <f t="shared" si="45"/>
        <v>383175</v>
      </c>
      <c r="U853" s="8">
        <f t="shared" si="46"/>
        <v>0.50558595456026856</v>
      </c>
      <c r="V853" s="9" t="s">
        <v>5271</v>
      </c>
      <c r="W853" s="9" t="str">
        <f t="shared" si="44"/>
        <v>North Kesteven RD</v>
      </c>
      <c r="X853" s="9" t="str">
        <f>INDEX(Lookup!$A$2:$A$1349, MATCH(W853, Lookup!$B$2:$B$1349,0))</f>
        <v>J04000924</v>
      </c>
      <c r="Y853" s="9" t="str">
        <f>INDEX(Lookup!$F$2:$F$1349, MATCH(W853, Lookup!$B$2:$B$1349,0))</f>
        <v>e230733</v>
      </c>
      <c r="Z853" s="6" t="str">
        <f>INDEX(Lookup!$C$2:$C$1300, MATCH(X853, Lookup!$A$2:$A$1300,0))</f>
        <v>Lincolnshire</v>
      </c>
    </row>
    <row r="854" spans="1:26" ht="28.15" customHeight="1" x14ac:dyDescent="0.2">
      <c r="A854" s="6" t="s">
        <v>759</v>
      </c>
      <c r="B854" s="1" t="s">
        <v>759</v>
      </c>
      <c r="C854" s="2">
        <v>3756</v>
      </c>
      <c r="D854" s="2">
        <v>132362</v>
      </c>
      <c r="E854" s="2">
        <v>28</v>
      </c>
      <c r="F854" s="2">
        <v>3405</v>
      </c>
      <c r="G854" s="2">
        <v>7</v>
      </c>
      <c r="H854" s="2">
        <v>2397</v>
      </c>
      <c r="I854" s="2">
        <v>164</v>
      </c>
      <c r="J854" s="2">
        <v>12065</v>
      </c>
      <c r="K854" s="2">
        <v>21</v>
      </c>
      <c r="L854" s="2">
        <v>857</v>
      </c>
      <c r="M854" s="2">
        <v>337</v>
      </c>
      <c r="N854" s="2">
        <v>19382</v>
      </c>
      <c r="O854" s="2">
        <v>16</v>
      </c>
      <c r="P854" s="2">
        <v>18212</v>
      </c>
      <c r="Q854" s="2">
        <v>2723</v>
      </c>
      <c r="R854" s="2">
        <v>87705</v>
      </c>
      <c r="S854" s="2">
        <v>279108</v>
      </c>
      <c r="T854" s="10">
        <f t="shared" si="45"/>
        <v>138164</v>
      </c>
      <c r="U854" s="8">
        <f t="shared" si="46"/>
        <v>0.4950198489473609</v>
      </c>
      <c r="V854" s="9" t="s">
        <v>5271</v>
      </c>
      <c r="W854" s="9" t="str">
        <f t="shared" si="44"/>
        <v>South Kesteven RD</v>
      </c>
      <c r="X854" s="9" t="str">
        <f>INDEX(Lookup!$A$2:$A$1349, MATCH(W854, Lookup!$B$2:$B$1349,0))</f>
        <v>J04001157</v>
      </c>
      <c r="Y854" s="9" t="str">
        <f>INDEX(Lookup!$F$2:$F$1349, MATCH(W854, Lookup!$B$2:$B$1349,0))</f>
        <v>e230734</v>
      </c>
      <c r="Z854" s="6" t="str">
        <f>INDEX(Lookup!$C$2:$C$1300, MATCH(X854, Lookup!$A$2:$A$1300,0))</f>
        <v>Lincolnshire</v>
      </c>
    </row>
    <row r="855" spans="1:26" ht="28.15" customHeight="1" x14ac:dyDescent="0.2">
      <c r="A855" s="6" t="s">
        <v>760</v>
      </c>
      <c r="B855" s="1" t="s">
        <v>760</v>
      </c>
      <c r="C855" s="2">
        <v>4171</v>
      </c>
      <c r="D855" s="2">
        <v>146715</v>
      </c>
      <c r="E855" s="2">
        <v>77</v>
      </c>
      <c r="F855" s="2">
        <v>9572</v>
      </c>
      <c r="G855" s="2">
        <v>14</v>
      </c>
      <c r="H855" s="2">
        <v>4042</v>
      </c>
      <c r="I855" s="2">
        <v>107</v>
      </c>
      <c r="J855" s="2">
        <v>6572</v>
      </c>
      <c r="K855" s="2">
        <v>4</v>
      </c>
      <c r="L855" s="2">
        <v>153</v>
      </c>
      <c r="M855" s="2">
        <v>419</v>
      </c>
      <c r="N855" s="2">
        <v>22121</v>
      </c>
      <c r="O855" s="2">
        <v>22</v>
      </c>
      <c r="P855" s="2">
        <v>30782</v>
      </c>
      <c r="Q855" s="2">
        <v>27288</v>
      </c>
      <c r="R855" s="2">
        <v>167679</v>
      </c>
      <c r="S855" s="2">
        <v>414924</v>
      </c>
      <c r="T855" s="10">
        <f t="shared" si="45"/>
        <v>160329</v>
      </c>
      <c r="U855" s="8">
        <f t="shared" si="46"/>
        <v>0.38640570321311857</v>
      </c>
      <c r="V855" s="9" t="s">
        <v>5271</v>
      </c>
      <c r="W855" s="9" t="str">
        <f t="shared" si="44"/>
        <v>West kesteven RD</v>
      </c>
      <c r="X855" s="9" t="str">
        <f>INDEX(Lookup!$A$2:$A$1349, MATCH(W855, Lookup!$B$2:$B$1349,0))</f>
        <v>J04001385</v>
      </c>
      <c r="Y855" s="9" t="str">
        <f>INDEX(Lookup!$F$2:$F$1349, MATCH(W855, Lookup!$B$2:$B$1349,0))</f>
        <v>e230735</v>
      </c>
      <c r="Z855" s="6" t="str">
        <f>INDEX(Lookup!$C$2:$C$1300, MATCH(X855, Lookup!$A$2:$A$1300,0))</f>
        <v>Lincolnshire</v>
      </c>
    </row>
    <row r="856" spans="1:26" ht="28.15" customHeight="1" x14ac:dyDescent="0.2">
      <c r="A856" s="6" t="s">
        <v>761</v>
      </c>
      <c r="B856" s="1" t="s">
        <v>761</v>
      </c>
      <c r="T856" s="10"/>
      <c r="W856" s="9" t="str">
        <f t="shared" si="44"/>
        <v xml:space="preserve">LINCOLN, PARTS OF LINDSEY: </v>
      </c>
      <c r="X856" s="9" t="e">
        <f>INDEX(Lookup!$A$2:$A$1349, MATCH(W856, Lookup!$B$2:$B$1349,0))</f>
        <v>#N/A</v>
      </c>
      <c r="Y856" s="9" t="e">
        <f>INDEX(Lookup!$F$2:$F$1349, MATCH(W856, Lookup!$B$2:$B$1349,0))</f>
        <v>#N/A</v>
      </c>
      <c r="Z856" s="6" t="e">
        <f>INDEX(Lookup!$C$2:$C$1300, MATCH(X856, Lookup!$A$2:$A$1300,0))</f>
        <v>#N/A</v>
      </c>
    </row>
    <row r="857" spans="1:26" ht="28.15" customHeight="1" x14ac:dyDescent="0.2">
      <c r="A857" s="6" t="s">
        <v>175</v>
      </c>
      <c r="B857" s="1" t="s">
        <v>175</v>
      </c>
      <c r="T857" s="10"/>
      <c r="W857" s="9" t="str">
        <f t="shared" si="44"/>
        <v xml:space="preserve">Non-County Boroughs-- </v>
      </c>
      <c r="X857" s="9" t="e">
        <f>INDEX(Lookup!$A$2:$A$1349, MATCH(W857, Lookup!$B$2:$B$1349,0))</f>
        <v>#N/A</v>
      </c>
      <c r="Y857" s="9" t="e">
        <f>INDEX(Lookup!$F$2:$F$1349, MATCH(W857, Lookup!$B$2:$B$1349,0))</f>
        <v>#N/A</v>
      </c>
      <c r="Z857" s="6" t="e">
        <f>INDEX(Lookup!$C$2:$C$1300, MATCH(X857, Lookup!$A$2:$A$1300,0))</f>
        <v>#N/A</v>
      </c>
    </row>
    <row r="858" spans="1:26" ht="28.15" customHeight="1" x14ac:dyDescent="0.2">
      <c r="A858" s="6" t="s">
        <v>762</v>
      </c>
      <c r="B858" s="1" t="s">
        <v>762</v>
      </c>
      <c r="C858" s="2">
        <v>9734</v>
      </c>
      <c r="D858" s="2">
        <v>537091</v>
      </c>
      <c r="E858" s="2">
        <v>529</v>
      </c>
      <c r="F858" s="2">
        <v>64770</v>
      </c>
      <c r="G858" s="2">
        <v>15</v>
      </c>
      <c r="H858" s="2">
        <v>3366</v>
      </c>
      <c r="I858" s="2">
        <v>664</v>
      </c>
      <c r="J858" s="2">
        <v>94845</v>
      </c>
      <c r="K858" s="2">
        <v>28</v>
      </c>
      <c r="L858" s="2">
        <v>3869</v>
      </c>
      <c r="M858" s="2">
        <v>389</v>
      </c>
      <c r="N858" s="2">
        <v>41996</v>
      </c>
      <c r="O858" s="2">
        <v>34</v>
      </c>
      <c r="P858" s="2">
        <v>45590</v>
      </c>
      <c r="Q858" s="2">
        <v>1413</v>
      </c>
      <c r="R858" s="2">
        <v>124611</v>
      </c>
      <c r="S858" s="2">
        <v>917551</v>
      </c>
      <c r="T858" s="10">
        <f t="shared" si="45"/>
        <v>605227</v>
      </c>
      <c r="U858" s="8">
        <f t="shared" si="46"/>
        <v>0.65961129136146113</v>
      </c>
      <c r="V858" s="9" t="s">
        <v>5268</v>
      </c>
      <c r="W858" s="9" t="str">
        <f t="shared" si="44"/>
        <v>Cleethorpes MB</v>
      </c>
      <c r="X858" s="9" t="str">
        <f>INDEX(Lookup!$A$2:$A$1349, MATCH(W858, Lookup!$B$2:$B$1349,0))</f>
        <v>J04000326</v>
      </c>
      <c r="Y858" s="9" t="str">
        <f>INDEX(Lookup!$F$2:$F$1349, MATCH(W858, Lookup!$B$2:$B$1349,0))</f>
        <v>e240740</v>
      </c>
      <c r="Z858" s="6" t="str">
        <f>INDEX(Lookup!$C$2:$C$1300, MATCH(X858, Lookup!$A$2:$A$1300,0))</f>
        <v>Humberside</v>
      </c>
    </row>
    <row r="859" spans="1:26" ht="28.15" customHeight="1" x14ac:dyDescent="0.2">
      <c r="A859" s="6" t="s">
        <v>763</v>
      </c>
      <c r="B859" s="1" t="s">
        <v>763</v>
      </c>
      <c r="C859" s="2">
        <v>3760</v>
      </c>
      <c r="D859" s="2">
        <v>165691</v>
      </c>
      <c r="E859" s="2">
        <v>122</v>
      </c>
      <c r="F859" s="2">
        <v>14406</v>
      </c>
      <c r="G859" s="2">
        <v>2</v>
      </c>
      <c r="H859" s="2">
        <v>480</v>
      </c>
      <c r="I859" s="2">
        <v>340</v>
      </c>
      <c r="J859" s="2">
        <v>50003</v>
      </c>
      <c r="K859" s="2">
        <v>79</v>
      </c>
      <c r="L859" s="2">
        <v>7926</v>
      </c>
      <c r="M859" s="2">
        <v>386</v>
      </c>
      <c r="N859" s="2">
        <v>24151</v>
      </c>
      <c r="O859" s="2">
        <v>30</v>
      </c>
      <c r="P859" s="2">
        <v>38075</v>
      </c>
      <c r="Q859" s="2">
        <v>5551</v>
      </c>
      <c r="R859" s="2">
        <v>42428</v>
      </c>
      <c r="S859" s="2">
        <v>348711</v>
      </c>
      <c r="T859" s="10">
        <f t="shared" si="45"/>
        <v>180577</v>
      </c>
      <c r="U859" s="8">
        <f t="shared" si="46"/>
        <v>0.51784142169303515</v>
      </c>
      <c r="V859" s="9" t="s">
        <v>5268</v>
      </c>
      <c r="W859" s="9" t="str">
        <f t="shared" si="44"/>
        <v>Louth MB</v>
      </c>
      <c r="X859" s="9" t="str">
        <f>INDEX(Lookup!$A$2:$A$1349, MATCH(W859, Lookup!$B$2:$B$1349,0))</f>
        <v>J04000784</v>
      </c>
      <c r="Y859" s="9" t="str">
        <f>INDEX(Lookup!$F$2:$F$1349, MATCH(W859, Lookup!$B$2:$B$1349,0))</f>
        <v>e240743</v>
      </c>
      <c r="Z859" s="6" t="str">
        <f>INDEX(Lookup!$C$2:$C$1300, MATCH(X859, Lookup!$A$2:$A$1300,0))</f>
        <v>Lincolnshire</v>
      </c>
    </row>
    <row r="860" spans="1:26" ht="28.15" customHeight="1" x14ac:dyDescent="0.2">
      <c r="A860" s="6" t="s">
        <v>764</v>
      </c>
      <c r="B860" s="1" t="s">
        <v>764</v>
      </c>
      <c r="C860" s="2">
        <v>19520</v>
      </c>
      <c r="D860" s="2">
        <v>1254082</v>
      </c>
      <c r="E860" s="2">
        <v>662</v>
      </c>
      <c r="F860" s="2">
        <v>81377</v>
      </c>
      <c r="G860" s="2">
        <v>30</v>
      </c>
      <c r="H860" s="2">
        <v>7338</v>
      </c>
      <c r="I860" s="2">
        <v>879</v>
      </c>
      <c r="J860" s="2">
        <v>380931</v>
      </c>
      <c r="K860" s="2">
        <v>144</v>
      </c>
      <c r="L860" s="2">
        <v>28487</v>
      </c>
      <c r="M860" s="2">
        <v>1484</v>
      </c>
      <c r="N860" s="2">
        <v>109624</v>
      </c>
      <c r="O860" s="2">
        <v>59</v>
      </c>
      <c r="P860" s="2">
        <v>2845345</v>
      </c>
      <c r="Q860" s="2">
        <v>12688</v>
      </c>
      <c r="R860" s="2">
        <v>402160</v>
      </c>
      <c r="S860" s="2">
        <v>5122032</v>
      </c>
      <c r="T860" s="10">
        <f t="shared" si="45"/>
        <v>1342797</v>
      </c>
      <c r="U860" s="8">
        <f t="shared" si="46"/>
        <v>0.26216099391803876</v>
      </c>
      <c r="V860" s="9" t="s">
        <v>5268</v>
      </c>
      <c r="W860" s="9" t="str">
        <f t="shared" si="44"/>
        <v>Scunthorpe MB</v>
      </c>
      <c r="X860" s="9" t="str">
        <f>INDEX(Lookup!$A$2:$A$1349, MATCH(W860, Lookup!$B$2:$B$1349,0))</f>
        <v>J04001109</v>
      </c>
      <c r="Y860" s="9" t="str">
        <f>INDEX(Lookup!$F$2:$F$1349, MATCH(W860, Lookup!$B$2:$B$1349,0))</f>
        <v>e240746</v>
      </c>
      <c r="Z860" s="6" t="str">
        <f>INDEX(Lookup!$C$2:$C$1300, MATCH(X860, Lookup!$A$2:$A$1300,0))</f>
        <v>Humberside</v>
      </c>
    </row>
    <row r="861" spans="1:26" ht="28.15" customHeight="1" x14ac:dyDescent="0.2">
      <c r="A861" s="6" t="s">
        <v>179</v>
      </c>
      <c r="B861" s="1" t="s">
        <v>179</v>
      </c>
      <c r="T861" s="10"/>
      <c r="W861" s="9" t="str">
        <f t="shared" si="44"/>
        <v xml:space="preserve">Urban Districts-- </v>
      </c>
      <c r="X861" s="9" t="e">
        <f>INDEX(Lookup!$A$2:$A$1349, MATCH(W861, Lookup!$B$2:$B$1349,0))</f>
        <v>#N/A</v>
      </c>
      <c r="Y861" s="9" t="e">
        <f>INDEX(Lookup!$F$2:$F$1349, MATCH(W861, Lookup!$B$2:$B$1349,0))</f>
        <v>#N/A</v>
      </c>
      <c r="Z861" s="6" t="e">
        <f>INDEX(Lookup!$C$2:$C$1300, MATCH(X861, Lookup!$A$2:$A$1300,0))</f>
        <v>#N/A</v>
      </c>
    </row>
    <row r="862" spans="1:26" ht="28.15" customHeight="1" x14ac:dyDescent="0.2">
      <c r="A862" s="6" t="s">
        <v>765</v>
      </c>
      <c r="B862" s="1" t="s">
        <v>765</v>
      </c>
      <c r="C862" s="2">
        <v>794</v>
      </c>
      <c r="D862" s="2">
        <v>31651</v>
      </c>
      <c r="E862" s="2">
        <v>15</v>
      </c>
      <c r="F862" s="2">
        <v>1744</v>
      </c>
      <c r="I862" s="2">
        <v>90</v>
      </c>
      <c r="J862" s="2">
        <v>8147</v>
      </c>
      <c r="K862" s="2">
        <v>14</v>
      </c>
      <c r="L862" s="2">
        <v>982</v>
      </c>
      <c r="M862" s="2">
        <v>127</v>
      </c>
      <c r="N862" s="2">
        <v>4667</v>
      </c>
      <c r="O862" s="2">
        <v>11</v>
      </c>
      <c r="P862" s="2">
        <v>11020</v>
      </c>
      <c r="Q862" s="2">
        <v>796</v>
      </c>
      <c r="R862" s="2">
        <v>11656</v>
      </c>
      <c r="S862" s="2">
        <v>70663</v>
      </c>
      <c r="T862" s="10">
        <f>SUM(D862+F862)</f>
        <v>33395</v>
      </c>
      <c r="U862" s="8">
        <f t="shared" si="46"/>
        <v>0.47259527616998998</v>
      </c>
      <c r="V862" s="9" t="s">
        <v>5270</v>
      </c>
      <c r="W862" s="9" t="str">
        <f t="shared" si="44"/>
        <v>Alford UD</v>
      </c>
      <c r="X862" s="9" t="str">
        <f>INDEX(Lookup!$A$2:$A$1349, MATCH(W862, Lookup!$B$2:$B$1349,0))</f>
        <v>J04000026</v>
      </c>
      <c r="Y862" s="9" t="str">
        <f>INDEX(Lookup!$F$2:$F$1349, MATCH(W862, Lookup!$B$2:$B$1349,0))</f>
        <v>e240737</v>
      </c>
      <c r="Z862" s="6" t="str">
        <f>INDEX(Lookup!$C$2:$C$1300, MATCH(X862, Lookup!$A$2:$A$1300,0))</f>
        <v>Lincolnshire</v>
      </c>
    </row>
    <row r="863" spans="1:26" ht="28.15" customHeight="1" x14ac:dyDescent="0.2">
      <c r="A863" s="6" t="s">
        <v>766</v>
      </c>
      <c r="B863" s="1" t="s">
        <v>5425</v>
      </c>
      <c r="C863" s="2">
        <v>2141</v>
      </c>
      <c r="D863" s="2">
        <v>87876</v>
      </c>
      <c r="E863" s="2">
        <v>43</v>
      </c>
      <c r="F863" s="2">
        <v>5283</v>
      </c>
      <c r="I863" s="2">
        <v>149</v>
      </c>
      <c r="J863" s="2">
        <v>12076</v>
      </c>
      <c r="K863" s="2">
        <v>13</v>
      </c>
      <c r="L863" s="2">
        <v>1122</v>
      </c>
      <c r="M863" s="2">
        <v>187</v>
      </c>
      <c r="N863" s="2">
        <v>7397</v>
      </c>
      <c r="O863" s="2">
        <v>15</v>
      </c>
      <c r="P863" s="2">
        <v>38492</v>
      </c>
      <c r="Q863" s="2">
        <v>392</v>
      </c>
      <c r="R863" s="2">
        <v>25640</v>
      </c>
      <c r="S863" s="2">
        <v>178278</v>
      </c>
      <c r="T863" s="10">
        <f>SUM(D863+F863)</f>
        <v>93159</v>
      </c>
      <c r="U863" s="8">
        <f t="shared" si="46"/>
        <v>0.52254905260323758</v>
      </c>
      <c r="V863" s="9" t="s">
        <v>5270</v>
      </c>
      <c r="W863" s="9" t="str">
        <f t="shared" si="44"/>
        <v>Barton upon Humber UD</v>
      </c>
      <c r="X863" s="9" t="str">
        <f>INDEX(Lookup!$A$2:$A$1349, MATCH(W863, Lookup!$B$2:$B$1349,0))</f>
        <v>J04000094</v>
      </c>
      <c r="Y863" s="9" t="str">
        <f>INDEX(Lookup!$F$2:$F$1349, MATCH(W863, Lookup!$B$2:$B$1349,0))</f>
        <v>e240738</v>
      </c>
      <c r="Z863" s="6" t="str">
        <f>INDEX(Lookup!$C$2:$C$1300, MATCH(X863, Lookup!$A$2:$A$1300,0))</f>
        <v>Humberside</v>
      </c>
    </row>
    <row r="864" spans="1:26" ht="28.15" customHeight="1" x14ac:dyDescent="0.2">
      <c r="A864" s="6" t="s">
        <v>767</v>
      </c>
      <c r="B864" s="1" t="s">
        <v>767</v>
      </c>
      <c r="C864" s="2">
        <v>1301</v>
      </c>
      <c r="D864" s="2">
        <v>64021</v>
      </c>
      <c r="E864" s="2">
        <v>66</v>
      </c>
      <c r="F864" s="2">
        <v>8000</v>
      </c>
      <c r="G864" s="2">
        <v>2</v>
      </c>
      <c r="H864" s="2">
        <v>412</v>
      </c>
      <c r="I864" s="2">
        <v>132</v>
      </c>
      <c r="J864" s="2">
        <v>17954</v>
      </c>
      <c r="K864" s="2">
        <v>27</v>
      </c>
      <c r="L864" s="2">
        <v>2142</v>
      </c>
      <c r="M864" s="2">
        <v>204</v>
      </c>
      <c r="N864" s="2">
        <v>15540</v>
      </c>
      <c r="O864" s="2">
        <v>12</v>
      </c>
      <c r="P864" s="2">
        <v>10540</v>
      </c>
      <c r="Q864" s="2">
        <v>1175</v>
      </c>
      <c r="R864" s="2">
        <v>31439</v>
      </c>
      <c r="S864" s="2">
        <v>151223</v>
      </c>
      <c r="T864" s="10">
        <f t="shared" si="45"/>
        <v>72433</v>
      </c>
      <c r="U864" s="8">
        <f t="shared" si="46"/>
        <v>0.47898137188126144</v>
      </c>
      <c r="V864" s="9" t="s">
        <v>5270</v>
      </c>
      <c r="W864" s="9" t="str">
        <f t="shared" si="44"/>
        <v>Brigg UD</v>
      </c>
      <c r="X864" s="9" t="str">
        <f>INDEX(Lookup!$A$2:$A$1349, MATCH(W864, Lookup!$B$2:$B$1349,0))</f>
        <v>J04000209</v>
      </c>
      <c r="Y864" s="9" t="str">
        <f>INDEX(Lookup!$F$2:$F$1349, MATCH(W864, Lookup!$B$2:$B$1349,0))</f>
        <v>e240739</v>
      </c>
      <c r="Z864" s="6" t="str">
        <f>INDEX(Lookup!$C$2:$C$1300, MATCH(X864, Lookup!$A$2:$A$1300,0))</f>
        <v>Humberside</v>
      </c>
    </row>
    <row r="865" spans="1:26" ht="28.15" customHeight="1" x14ac:dyDescent="0.2">
      <c r="A865" s="6" t="s">
        <v>768</v>
      </c>
      <c r="B865" s="1" t="s">
        <v>768</v>
      </c>
      <c r="C865" s="2">
        <v>5438</v>
      </c>
      <c r="D865" s="2">
        <v>232193</v>
      </c>
      <c r="E865" s="2">
        <v>126</v>
      </c>
      <c r="F865" s="2">
        <v>15199</v>
      </c>
      <c r="G865" s="2">
        <v>2</v>
      </c>
      <c r="H865" s="2">
        <v>604</v>
      </c>
      <c r="I865" s="2">
        <v>354</v>
      </c>
      <c r="J865" s="2">
        <v>77772</v>
      </c>
      <c r="K865" s="2">
        <v>46</v>
      </c>
      <c r="L865" s="2">
        <v>6016</v>
      </c>
      <c r="M865" s="2">
        <v>764</v>
      </c>
      <c r="N865" s="2">
        <v>33179</v>
      </c>
      <c r="O865" s="2">
        <v>38</v>
      </c>
      <c r="P865" s="2">
        <v>171070</v>
      </c>
      <c r="Q865" s="2">
        <v>6249</v>
      </c>
      <c r="R865" s="2">
        <v>77805</v>
      </c>
      <c r="S865" s="2">
        <v>620087</v>
      </c>
      <c r="T865" s="10">
        <f t="shared" si="45"/>
        <v>247996</v>
      </c>
      <c r="U865" s="8">
        <f t="shared" si="46"/>
        <v>0.39993742813508426</v>
      </c>
      <c r="V865" s="9" t="s">
        <v>5270</v>
      </c>
      <c r="W865" s="9" t="str">
        <f t="shared" si="44"/>
        <v>Gainsborough UD</v>
      </c>
      <c r="X865" s="9" t="str">
        <f>INDEX(Lookup!$A$2:$A$1349, MATCH(W865, Lookup!$B$2:$B$1349,0))</f>
        <v>J04000525</v>
      </c>
      <c r="Y865" s="9" t="str">
        <f>INDEX(Lookup!$F$2:$F$1349, MATCH(W865, Lookup!$B$2:$B$1349,0))</f>
        <v>e240741</v>
      </c>
      <c r="Z865" s="6" t="str">
        <f>INDEX(Lookup!$C$2:$C$1300, MATCH(X865, Lookup!$A$2:$A$1300,0))</f>
        <v>Lincolnshire</v>
      </c>
    </row>
    <row r="866" spans="1:26" ht="28.15" customHeight="1" x14ac:dyDescent="0.2">
      <c r="A866" s="6" t="s">
        <v>769</v>
      </c>
      <c r="B866" s="1" t="s">
        <v>769</v>
      </c>
      <c r="C866" s="2">
        <v>1243</v>
      </c>
      <c r="D866" s="2">
        <v>48485</v>
      </c>
      <c r="E866" s="2">
        <v>20</v>
      </c>
      <c r="F866" s="2">
        <v>2232</v>
      </c>
      <c r="I866" s="2">
        <v>137</v>
      </c>
      <c r="J866" s="2">
        <v>17131</v>
      </c>
      <c r="K866" s="2">
        <v>16</v>
      </c>
      <c r="L866" s="2">
        <v>892</v>
      </c>
      <c r="M866" s="2">
        <v>246</v>
      </c>
      <c r="N866" s="2">
        <v>13087</v>
      </c>
      <c r="O866" s="2">
        <v>15</v>
      </c>
      <c r="P866" s="2">
        <v>5390</v>
      </c>
      <c r="Q866" s="2">
        <v>841</v>
      </c>
      <c r="R866" s="2">
        <v>21456</v>
      </c>
      <c r="S866" s="2">
        <v>109514</v>
      </c>
      <c r="T866" s="10">
        <f>SUM(D866+F866)</f>
        <v>50717</v>
      </c>
      <c r="U866" s="8">
        <f t="shared" si="46"/>
        <v>0.46310973939405009</v>
      </c>
      <c r="V866" s="9" t="s">
        <v>5270</v>
      </c>
      <c r="W866" s="9" t="str">
        <f t="shared" si="44"/>
        <v>Horncastle UD</v>
      </c>
      <c r="X866" s="9" t="str">
        <f>INDEX(Lookup!$A$2:$A$1349, MATCH(W866, Lookup!$B$2:$B$1349,0))</f>
        <v>J04000643</v>
      </c>
      <c r="Y866" s="9" t="str">
        <f>INDEX(Lookup!$F$2:$F$1349, MATCH(W866, Lookup!$B$2:$B$1349,0))</f>
        <v>e240742</v>
      </c>
      <c r="Z866" s="6" t="str">
        <f>INDEX(Lookup!$C$2:$C$1300, MATCH(X866, Lookup!$A$2:$A$1300,0))</f>
        <v>Lincolnshire</v>
      </c>
    </row>
    <row r="867" spans="1:26" ht="28.15" customHeight="1" x14ac:dyDescent="0.2">
      <c r="A867" s="6" t="s">
        <v>770</v>
      </c>
      <c r="B867" s="1" t="s">
        <v>5380</v>
      </c>
      <c r="C867" s="2">
        <v>2317</v>
      </c>
      <c r="D867" s="2">
        <v>120737</v>
      </c>
      <c r="E867" s="2">
        <v>91</v>
      </c>
      <c r="F867" s="2">
        <v>10909</v>
      </c>
      <c r="G867" s="2">
        <v>1</v>
      </c>
      <c r="H867" s="2">
        <v>206</v>
      </c>
      <c r="I867" s="2">
        <v>193</v>
      </c>
      <c r="J867" s="2">
        <v>40764</v>
      </c>
      <c r="K867" s="2">
        <v>17</v>
      </c>
      <c r="L867" s="2">
        <v>1395</v>
      </c>
      <c r="M867" s="2">
        <v>177</v>
      </c>
      <c r="N867" s="2">
        <v>39847</v>
      </c>
      <c r="O867" s="2">
        <v>4</v>
      </c>
      <c r="P867" s="2">
        <v>4200</v>
      </c>
      <c r="Q867" s="2">
        <v>832</v>
      </c>
      <c r="R867" s="2">
        <v>47015</v>
      </c>
      <c r="S867" s="2">
        <v>265905</v>
      </c>
      <c r="T867" s="10">
        <f t="shared" si="45"/>
        <v>131852</v>
      </c>
      <c r="U867" s="8">
        <f t="shared" si="46"/>
        <v>0.49586130384911903</v>
      </c>
      <c r="V867" s="9" t="s">
        <v>5270</v>
      </c>
      <c r="W867" s="9" t="str">
        <f t="shared" si="44"/>
        <v>Mablethorpe and Sutton UD</v>
      </c>
      <c r="X867" s="9" t="str">
        <f>INDEX(Lookup!$A$2:$A$1349, MATCH(W867, Lookup!$B$2:$B$1349,0))</f>
        <v>J04000800</v>
      </c>
      <c r="Y867" s="9" t="str">
        <f>INDEX(Lookup!$F$2:$F$1349, MATCH(W867, Lookup!$B$2:$B$1349,0))</f>
        <v>e240744</v>
      </c>
      <c r="Z867" s="6" t="str">
        <f>INDEX(Lookup!$C$2:$C$1300, MATCH(X867, Lookup!$A$2:$A$1300,0))</f>
        <v>Lincolnshire</v>
      </c>
    </row>
    <row r="868" spans="1:26" ht="28.15" customHeight="1" x14ac:dyDescent="0.2">
      <c r="A868" s="6" t="s">
        <v>771</v>
      </c>
      <c r="B868" s="1" t="s">
        <v>771</v>
      </c>
      <c r="C868" s="2">
        <v>722</v>
      </c>
      <c r="D868" s="2">
        <v>28271</v>
      </c>
      <c r="E868" s="2">
        <v>26</v>
      </c>
      <c r="F868" s="2">
        <v>3074</v>
      </c>
      <c r="I868" s="2">
        <v>90</v>
      </c>
      <c r="J868" s="2">
        <v>10439</v>
      </c>
      <c r="K868" s="2">
        <v>14</v>
      </c>
      <c r="L868" s="2">
        <v>1625</v>
      </c>
      <c r="M868" s="2">
        <v>110</v>
      </c>
      <c r="N868" s="2">
        <v>7607</v>
      </c>
      <c r="O868" s="2">
        <v>5</v>
      </c>
      <c r="P868" s="2">
        <v>1940</v>
      </c>
      <c r="Q868" s="2">
        <v>326</v>
      </c>
      <c r="R868" s="2">
        <v>11413</v>
      </c>
      <c r="S868" s="2">
        <v>64695</v>
      </c>
      <c r="T868" s="10">
        <f>SUM(D868+F868)</f>
        <v>31345</v>
      </c>
      <c r="U868" s="8">
        <f t="shared" si="46"/>
        <v>0.48450421207203032</v>
      </c>
      <c r="V868" s="9" t="s">
        <v>5270</v>
      </c>
      <c r="W868" s="9" t="str">
        <f t="shared" si="44"/>
        <v>Market Rasen UD</v>
      </c>
      <c r="X868" s="9" t="str">
        <f>INDEX(Lookup!$A$2:$A$1349, MATCH(W868, Lookup!$B$2:$B$1349,0))</f>
        <v>J04000831</v>
      </c>
      <c r="Y868" s="9" t="str">
        <f>INDEX(Lookup!$F$2:$F$1349, MATCH(W868, Lookup!$B$2:$B$1349,0))</f>
        <v>e240745</v>
      </c>
      <c r="Z868" s="6" t="str">
        <f>INDEX(Lookup!$C$2:$C$1300, MATCH(X868, Lookup!$A$2:$A$1300,0))</f>
        <v>Lincolnshire</v>
      </c>
    </row>
    <row r="869" spans="1:26" ht="28.15" customHeight="1" x14ac:dyDescent="0.2">
      <c r="A869" s="6" t="s">
        <v>772</v>
      </c>
      <c r="B869" s="1" t="s">
        <v>772</v>
      </c>
      <c r="C869" s="2">
        <v>3377</v>
      </c>
      <c r="D869" s="2">
        <v>233619</v>
      </c>
      <c r="E869" s="2">
        <v>661</v>
      </c>
      <c r="F869" s="2">
        <v>77437</v>
      </c>
      <c r="G869" s="2">
        <v>5</v>
      </c>
      <c r="H869" s="2">
        <v>1174</v>
      </c>
      <c r="I869" s="2">
        <v>415</v>
      </c>
      <c r="J869" s="2">
        <v>108325</v>
      </c>
      <c r="K869" s="2">
        <v>68</v>
      </c>
      <c r="L869" s="2">
        <v>6976</v>
      </c>
      <c r="M869" s="2">
        <v>712</v>
      </c>
      <c r="N869" s="2">
        <v>121702</v>
      </c>
      <c r="O869" s="2">
        <v>32</v>
      </c>
      <c r="P869" s="2">
        <v>21875</v>
      </c>
      <c r="Q869" s="2">
        <v>4391</v>
      </c>
      <c r="R869" s="2">
        <v>91618</v>
      </c>
      <c r="S869" s="2">
        <v>667117</v>
      </c>
      <c r="T869" s="10">
        <f t="shared" si="45"/>
        <v>312230</v>
      </c>
      <c r="U869" s="8">
        <f t="shared" si="46"/>
        <v>0.4680288465141797</v>
      </c>
      <c r="V869" s="9" t="s">
        <v>5270</v>
      </c>
      <c r="W869" s="9" t="str">
        <f t="shared" si="44"/>
        <v>Skegness UD</v>
      </c>
      <c r="X869" s="9" t="str">
        <f>INDEX(Lookup!$A$2:$A$1349, MATCH(W869, Lookup!$B$2:$B$1349,0))</f>
        <v>J04001144</v>
      </c>
      <c r="Y869" s="9" t="str">
        <f>INDEX(Lookup!$F$2:$F$1349, MATCH(W869, Lookup!$B$2:$B$1349,0))</f>
        <v>e240747</v>
      </c>
      <c r="Z869" s="6" t="str">
        <f>INDEX(Lookup!$C$2:$C$1300, MATCH(X869, Lookup!$A$2:$A$1300,0))</f>
        <v>Lincolnshire</v>
      </c>
    </row>
    <row r="870" spans="1:26" ht="28.15" customHeight="1" x14ac:dyDescent="0.2">
      <c r="A870" s="6" t="s">
        <v>773</v>
      </c>
      <c r="B870" s="1" t="s">
        <v>773</v>
      </c>
      <c r="C870" s="2">
        <v>553</v>
      </c>
      <c r="D870" s="2">
        <v>30152</v>
      </c>
      <c r="E870" s="2">
        <v>63</v>
      </c>
      <c r="F870" s="2">
        <v>7659</v>
      </c>
      <c r="G870" s="2">
        <v>2</v>
      </c>
      <c r="H870" s="2">
        <v>613</v>
      </c>
      <c r="I870" s="2">
        <v>53</v>
      </c>
      <c r="J870" s="2">
        <v>4136</v>
      </c>
      <c r="K870" s="2">
        <v>4</v>
      </c>
      <c r="L870" s="2">
        <v>114</v>
      </c>
      <c r="M870" s="2">
        <v>70</v>
      </c>
      <c r="N870" s="2">
        <v>4809</v>
      </c>
      <c r="O870" s="2">
        <v>3</v>
      </c>
      <c r="P870" s="2">
        <v>1280</v>
      </c>
      <c r="Q870" s="2">
        <v>328</v>
      </c>
      <c r="R870" s="2">
        <v>10345</v>
      </c>
      <c r="S870" s="2">
        <v>59436</v>
      </c>
      <c r="T870" s="10">
        <f t="shared" si="45"/>
        <v>38424</v>
      </c>
      <c r="U870" s="8">
        <f t="shared" si="46"/>
        <v>0.64647688269735515</v>
      </c>
      <c r="V870" s="9" t="s">
        <v>5270</v>
      </c>
      <c r="W870" s="9" t="str">
        <f t="shared" si="44"/>
        <v>Woodhall Spa UD</v>
      </c>
      <c r="X870" s="9" t="str">
        <f>INDEX(Lookup!$A$2:$A$1349, MATCH(W870, Lookup!$B$2:$B$1349,0))</f>
        <v>J04001447</v>
      </c>
      <c r="Y870" s="9" t="str">
        <f>INDEX(Lookup!$F$2:$F$1349, MATCH(W870, Lookup!$B$2:$B$1349,0))</f>
        <v>e240748</v>
      </c>
      <c r="Z870" s="6" t="str">
        <f>INDEX(Lookup!$C$2:$C$1300, MATCH(X870, Lookup!$A$2:$A$1300,0))</f>
        <v>Lincolnshire</v>
      </c>
    </row>
    <row r="871" spans="1:26" ht="28.15" customHeight="1" x14ac:dyDescent="0.2">
      <c r="A871" s="6" t="s">
        <v>212</v>
      </c>
      <c r="B871" s="1" t="s">
        <v>212</v>
      </c>
      <c r="T871" s="10"/>
      <c r="W871" s="9" t="str">
        <f t="shared" si="44"/>
        <v xml:space="preserve">Rural Districts-- </v>
      </c>
      <c r="X871" s="9" t="e">
        <f>INDEX(Lookup!$A$2:$A$1349, MATCH(W871, Lookup!$B$2:$B$1349,0))</f>
        <v>#N/A</v>
      </c>
      <c r="Y871" s="9" t="e">
        <f>INDEX(Lookup!$F$2:$F$1349, MATCH(W871, Lookup!$B$2:$B$1349,0))</f>
        <v>#N/A</v>
      </c>
      <c r="Z871" s="6" t="e">
        <f>INDEX(Lookup!$C$2:$C$1300, MATCH(X871, Lookup!$A$2:$A$1300,0))</f>
        <v>#N/A</v>
      </c>
    </row>
    <row r="872" spans="1:26" ht="28.15" customHeight="1" x14ac:dyDescent="0.2">
      <c r="A872" s="6" t="s">
        <v>774</v>
      </c>
      <c r="B872" s="1" t="s">
        <v>774</v>
      </c>
      <c r="C872" s="2">
        <v>2619</v>
      </c>
      <c r="D872" s="2">
        <v>91603</v>
      </c>
      <c r="E872" s="2">
        <v>52</v>
      </c>
      <c r="F872" s="2">
        <v>6090</v>
      </c>
      <c r="G872" s="2">
        <v>4</v>
      </c>
      <c r="H872" s="2">
        <v>1038</v>
      </c>
      <c r="I872" s="2">
        <v>125</v>
      </c>
      <c r="J872" s="2">
        <v>7860</v>
      </c>
      <c r="K872" s="2">
        <v>9</v>
      </c>
      <c r="L872" s="2">
        <v>491</v>
      </c>
      <c r="M872" s="2">
        <v>261</v>
      </c>
      <c r="N872" s="2">
        <v>13258</v>
      </c>
      <c r="O872" s="2">
        <v>8</v>
      </c>
      <c r="P872" s="2">
        <v>886</v>
      </c>
      <c r="Q872" s="2">
        <v>54175</v>
      </c>
      <c r="R872" s="2">
        <v>95536</v>
      </c>
      <c r="S872" s="2">
        <v>270937</v>
      </c>
      <c r="T872" s="10">
        <f t="shared" si="45"/>
        <v>98731</v>
      </c>
      <c r="U872" s="8">
        <f t="shared" si="46"/>
        <v>0.36440574746158699</v>
      </c>
      <c r="V872" s="9" t="s">
        <v>5271</v>
      </c>
      <c r="W872" s="9" t="str">
        <f t="shared" si="44"/>
        <v>Caistor RD</v>
      </c>
      <c r="X872" s="9" t="str">
        <f>INDEX(Lookup!$A$2:$A$1349, MATCH(W872, Lookup!$B$2:$B$1349,0))</f>
        <v>J04000251</v>
      </c>
      <c r="Y872" s="9" t="str">
        <f>INDEX(Lookup!$F$2:$F$1349, MATCH(W872, Lookup!$B$2:$B$1349,0))</f>
        <v>e240749</v>
      </c>
      <c r="Z872" s="6" t="str">
        <f>INDEX(Lookup!$C$2:$C$1300, MATCH(X872, Lookup!$A$2:$A$1300,0))</f>
        <v>Lincolnshire</v>
      </c>
    </row>
    <row r="873" spans="1:26" ht="28.15" customHeight="1" x14ac:dyDescent="0.2">
      <c r="A873" s="6" t="s">
        <v>768</v>
      </c>
      <c r="B873" s="1" t="s">
        <v>768</v>
      </c>
      <c r="C873" s="2">
        <v>2699</v>
      </c>
      <c r="D873" s="2">
        <v>108098</v>
      </c>
      <c r="E873" s="2">
        <v>70</v>
      </c>
      <c r="F873" s="2">
        <v>8990</v>
      </c>
      <c r="G873" s="2">
        <v>6</v>
      </c>
      <c r="H873" s="2">
        <v>1604</v>
      </c>
      <c r="I873" s="2">
        <v>84</v>
      </c>
      <c r="J873" s="2">
        <v>5856</v>
      </c>
      <c r="K873" s="2">
        <v>3</v>
      </c>
      <c r="L873" s="2">
        <v>53</v>
      </c>
      <c r="M873" s="2">
        <v>186</v>
      </c>
      <c r="N873" s="2">
        <v>12002</v>
      </c>
      <c r="O873" s="2">
        <v>10</v>
      </c>
      <c r="P873" s="2">
        <v>4456</v>
      </c>
      <c r="Q873" s="2">
        <v>27880</v>
      </c>
      <c r="R873" s="2">
        <v>84799</v>
      </c>
      <c r="S873" s="2">
        <v>253738</v>
      </c>
      <c r="T873" s="10">
        <f t="shared" si="45"/>
        <v>118692</v>
      </c>
      <c r="U873" s="8">
        <f t="shared" si="46"/>
        <v>0.46777384546264256</v>
      </c>
      <c r="V873" s="9" t="s">
        <v>5271</v>
      </c>
      <c r="W873" s="9" t="str">
        <f t="shared" si="44"/>
        <v>Gainsborough RD</v>
      </c>
      <c r="X873" s="9" t="str">
        <f>INDEX(Lookup!$A$2:$A$1349, MATCH(W873, Lookup!$B$2:$B$1349,0))</f>
        <v>J04000524</v>
      </c>
      <c r="Y873" s="9" t="str">
        <f>INDEX(Lookup!$F$2:$F$1349, MATCH(W873, Lookup!$B$2:$B$1349,0))</f>
        <v>e240750</v>
      </c>
      <c r="Z873" s="6" t="str">
        <f>INDEX(Lookup!$C$2:$C$1300, MATCH(X873, Lookup!$A$2:$A$1300,0))</f>
        <v>Lincolnshire</v>
      </c>
    </row>
    <row r="874" spans="1:26" ht="28.15" customHeight="1" x14ac:dyDescent="0.2">
      <c r="A874" s="6" t="s">
        <v>775</v>
      </c>
      <c r="B874" s="1" t="s">
        <v>775</v>
      </c>
      <c r="C874" s="2">
        <v>10140</v>
      </c>
      <c r="D874" s="2">
        <v>471955</v>
      </c>
      <c r="E874" s="2">
        <v>252</v>
      </c>
      <c r="F874" s="2">
        <v>30083</v>
      </c>
      <c r="G874" s="2">
        <v>12</v>
      </c>
      <c r="H874" s="2">
        <v>2992</v>
      </c>
      <c r="I874" s="2">
        <v>352</v>
      </c>
      <c r="J874" s="2">
        <v>25975</v>
      </c>
      <c r="K874" s="2">
        <v>35</v>
      </c>
      <c r="L874" s="2">
        <v>1495</v>
      </c>
      <c r="M874" s="2">
        <v>553</v>
      </c>
      <c r="N874" s="2">
        <v>36393</v>
      </c>
      <c r="O874" s="2">
        <v>44</v>
      </c>
      <c r="P874" s="2">
        <v>281689</v>
      </c>
      <c r="Q874" s="2">
        <v>33091</v>
      </c>
      <c r="R874" s="2">
        <v>501134</v>
      </c>
      <c r="S874" s="2">
        <v>1384807</v>
      </c>
      <c r="T874" s="10">
        <f t="shared" si="45"/>
        <v>505030</v>
      </c>
      <c r="U874" s="8">
        <f t="shared" si="46"/>
        <v>0.36469341937179695</v>
      </c>
      <c r="V874" s="9" t="s">
        <v>5271</v>
      </c>
      <c r="W874" s="9" t="str">
        <f t="shared" si="44"/>
        <v>Glanford Brigg RD</v>
      </c>
      <c r="X874" s="9" t="str">
        <f>INDEX(Lookup!$A$2:$A$1349, MATCH(W874, Lookup!$B$2:$B$1349,0))</f>
        <v>J04000532</v>
      </c>
      <c r="Y874" s="9" t="str">
        <f>INDEX(Lookup!$F$2:$F$1349, MATCH(W874, Lookup!$B$2:$B$1349,0))</f>
        <v>e240751</v>
      </c>
      <c r="Z874" s="6" t="str">
        <f>INDEX(Lookup!$C$2:$C$1300, MATCH(X874, Lookup!$A$2:$A$1300,0))</f>
        <v>Humberside</v>
      </c>
    </row>
    <row r="875" spans="1:26" ht="28.15" customHeight="1" x14ac:dyDescent="0.2">
      <c r="A875" s="6" t="s">
        <v>128</v>
      </c>
      <c r="B875" s="1" t="s">
        <v>128</v>
      </c>
      <c r="C875" s="2">
        <v>5784</v>
      </c>
      <c r="D875" s="2">
        <v>314920</v>
      </c>
      <c r="E875" s="2">
        <v>319</v>
      </c>
      <c r="F875" s="2">
        <v>39424</v>
      </c>
      <c r="G875" s="2">
        <v>37</v>
      </c>
      <c r="H875" s="2">
        <v>9821</v>
      </c>
      <c r="I875" s="2">
        <v>148</v>
      </c>
      <c r="J875" s="2">
        <v>15558</v>
      </c>
      <c r="K875" s="2">
        <v>38</v>
      </c>
      <c r="L875" s="2">
        <v>1747</v>
      </c>
      <c r="M875" s="2">
        <v>206</v>
      </c>
      <c r="N875" s="2">
        <v>31979</v>
      </c>
      <c r="O875" s="2">
        <v>28</v>
      </c>
      <c r="P875" s="2">
        <v>884670</v>
      </c>
      <c r="Q875" s="2">
        <v>2438</v>
      </c>
      <c r="R875" s="2">
        <v>232833</v>
      </c>
      <c r="S875" s="2">
        <v>1533390</v>
      </c>
      <c r="T875" s="10">
        <f t="shared" si="45"/>
        <v>364165</v>
      </c>
      <c r="U875" s="8">
        <f t="shared" si="46"/>
        <v>0.23749013623409571</v>
      </c>
      <c r="V875" s="9" t="s">
        <v>5271</v>
      </c>
      <c r="W875" s="9" t="str">
        <f t="shared" si="44"/>
        <v>Grimsby RD</v>
      </c>
      <c r="X875" s="9" t="str">
        <f>INDEX(Lookup!$A$2:$A$1349, MATCH(W875, Lookup!$B$2:$B$1349,0))</f>
        <v>J04000555</v>
      </c>
      <c r="Y875" s="9" t="str">
        <f>INDEX(Lookup!$F$2:$F$1349, MATCH(W875, Lookup!$B$2:$B$1349,0))</f>
        <v>e240752</v>
      </c>
      <c r="Z875" s="6" t="str">
        <f>INDEX(Lookup!$C$2:$C$1300, MATCH(X875, Lookup!$A$2:$A$1300,0))</f>
        <v>Humberside</v>
      </c>
    </row>
    <row r="876" spans="1:26" ht="28.15" customHeight="1" x14ac:dyDescent="0.2">
      <c r="A876" s="6" t="s">
        <v>769</v>
      </c>
      <c r="B876" s="1" t="s">
        <v>769</v>
      </c>
      <c r="C876" s="2">
        <v>2398</v>
      </c>
      <c r="D876" s="2">
        <v>80648</v>
      </c>
      <c r="E876" s="2">
        <v>30</v>
      </c>
      <c r="F876" s="2">
        <v>3652</v>
      </c>
      <c r="G876" s="2">
        <v>4</v>
      </c>
      <c r="H876" s="2">
        <v>924</v>
      </c>
      <c r="I876" s="2">
        <v>113</v>
      </c>
      <c r="J876" s="2">
        <v>7958</v>
      </c>
      <c r="K876" s="2">
        <v>28</v>
      </c>
      <c r="L876" s="2">
        <v>1232</v>
      </c>
      <c r="M876" s="2">
        <v>400</v>
      </c>
      <c r="N876" s="2">
        <v>22848</v>
      </c>
      <c r="O876" s="2">
        <v>10</v>
      </c>
      <c r="P876" s="2">
        <v>7650</v>
      </c>
      <c r="Q876" s="2">
        <v>523</v>
      </c>
      <c r="R876" s="2">
        <v>226380</v>
      </c>
      <c r="S876" s="2">
        <v>428405</v>
      </c>
      <c r="T876" s="10">
        <f t="shared" si="45"/>
        <v>85224</v>
      </c>
      <c r="U876" s="8">
        <f t="shared" si="46"/>
        <v>0.1989332524130204</v>
      </c>
      <c r="V876" s="9" t="s">
        <v>5271</v>
      </c>
      <c r="W876" s="9" t="str">
        <f t="shared" si="44"/>
        <v>Horncastle RD</v>
      </c>
      <c r="X876" s="9" t="str">
        <f>INDEX(Lookup!$A$2:$A$1349, MATCH(W876, Lookup!$B$2:$B$1349,0))</f>
        <v>J04000642</v>
      </c>
      <c r="Y876" s="9" t="str">
        <f>INDEX(Lookup!$F$2:$F$1349, MATCH(W876, Lookup!$B$2:$B$1349,0))</f>
        <v>e240753</v>
      </c>
      <c r="Z876" s="6" t="str">
        <f>INDEX(Lookup!$C$2:$C$1300, MATCH(X876, Lookup!$A$2:$A$1300,0))</f>
        <v>Lincolnshire</v>
      </c>
    </row>
    <row r="877" spans="1:26" ht="28.15" customHeight="1" x14ac:dyDescent="0.2">
      <c r="A877" s="6" t="s">
        <v>776</v>
      </c>
      <c r="B877" s="1" t="s">
        <v>776</v>
      </c>
      <c r="C877" s="2">
        <v>3969</v>
      </c>
      <c r="D877" s="2">
        <v>149080</v>
      </c>
      <c r="E877" s="2">
        <v>49</v>
      </c>
      <c r="F877" s="2">
        <v>5929</v>
      </c>
      <c r="I877" s="2">
        <v>214</v>
      </c>
      <c r="J877" s="2">
        <v>14763</v>
      </c>
      <c r="K877" s="2">
        <v>13</v>
      </c>
      <c r="L877" s="2">
        <v>432</v>
      </c>
      <c r="M877" s="2">
        <v>282</v>
      </c>
      <c r="N877" s="2">
        <v>14395</v>
      </c>
      <c r="O877" s="2">
        <v>11</v>
      </c>
      <c r="P877" s="2">
        <v>9985</v>
      </c>
      <c r="Q877" s="2">
        <v>51819</v>
      </c>
      <c r="R877" s="2">
        <v>80470</v>
      </c>
      <c r="S877" s="2">
        <v>250283</v>
      </c>
      <c r="T877" s="10">
        <f>SUM(D877+F877)</f>
        <v>155009</v>
      </c>
      <c r="U877" s="8">
        <f t="shared" si="46"/>
        <v>0.61933491287862141</v>
      </c>
      <c r="V877" s="9" t="s">
        <v>5271</v>
      </c>
      <c r="W877" s="9" t="str">
        <f t="shared" si="44"/>
        <v>Isle of Axholme RD</v>
      </c>
      <c r="X877" s="9" t="str">
        <f>INDEX(Lookup!$A$2:$A$1349, MATCH(W877, Lookup!$B$2:$B$1349,0))</f>
        <v>J04000674</v>
      </c>
      <c r="Y877" s="9" t="str">
        <f>INDEX(Lookup!$F$2:$F$1349, MATCH(W877, Lookup!$B$2:$B$1349,0))</f>
        <v>e240754</v>
      </c>
      <c r="Z877" s="6" t="str">
        <f>INDEX(Lookup!$C$2:$C$1300, MATCH(X877, Lookup!$A$2:$A$1300,0))</f>
        <v>Humberside</v>
      </c>
    </row>
    <row r="878" spans="1:26" ht="28.15" customHeight="1" x14ac:dyDescent="0.2">
      <c r="A878" s="6" t="s">
        <v>777</v>
      </c>
      <c r="B878" s="1" t="s">
        <v>763</v>
      </c>
      <c r="C878" s="2">
        <v>3797</v>
      </c>
      <c r="D878" s="2">
        <v>145669</v>
      </c>
      <c r="E878" s="2">
        <v>61</v>
      </c>
      <c r="F878" s="2">
        <v>7459</v>
      </c>
      <c r="G878" s="2">
        <v>8</v>
      </c>
      <c r="H878" s="2">
        <v>2731</v>
      </c>
      <c r="I878" s="2">
        <v>155</v>
      </c>
      <c r="J878" s="2">
        <v>11222</v>
      </c>
      <c r="K878" s="2">
        <v>3</v>
      </c>
      <c r="L878" s="2">
        <v>33</v>
      </c>
      <c r="M878" s="2">
        <v>232</v>
      </c>
      <c r="N878" s="2">
        <v>15873</v>
      </c>
      <c r="O878" s="2">
        <v>11</v>
      </c>
      <c r="P878" s="2">
        <v>5551</v>
      </c>
      <c r="Q878" s="2">
        <v>58698</v>
      </c>
      <c r="R878" s="2">
        <v>105546</v>
      </c>
      <c r="S878" s="2">
        <v>352782</v>
      </c>
      <c r="T878" s="10">
        <f t="shared" si="45"/>
        <v>155859</v>
      </c>
      <c r="U878" s="8">
        <f t="shared" si="46"/>
        <v>0.44179975168801128</v>
      </c>
      <c r="V878" s="9" t="s">
        <v>5271</v>
      </c>
      <c r="W878" s="9" t="str">
        <f t="shared" si="44"/>
        <v>Louth RD</v>
      </c>
      <c r="X878" s="9" t="str">
        <f>INDEX(Lookup!$A$2:$A$1349, MATCH(W878, Lookup!$B$2:$B$1349,0))</f>
        <v>J04000785</v>
      </c>
      <c r="Y878" s="9" t="str">
        <f>INDEX(Lookup!$F$2:$F$1349, MATCH(W878, Lookup!$B$2:$B$1349,0))</f>
        <v>e240755</v>
      </c>
      <c r="Z878" s="6" t="str">
        <f>INDEX(Lookup!$C$2:$C$1300, MATCH(X878, Lookup!$A$2:$A$1300,0))</f>
        <v>Lincolnshire</v>
      </c>
    </row>
    <row r="879" spans="1:26" ht="28.15" customHeight="1" x14ac:dyDescent="0.2">
      <c r="A879" s="6" t="s">
        <v>778</v>
      </c>
      <c r="B879" s="1" t="s">
        <v>778</v>
      </c>
      <c r="C879" s="2">
        <v>5836</v>
      </c>
      <c r="D879" s="2">
        <v>228273</v>
      </c>
      <c r="E879" s="2">
        <v>92</v>
      </c>
      <c r="F879" s="2">
        <v>10630</v>
      </c>
      <c r="G879" s="2">
        <v>6</v>
      </c>
      <c r="H879" s="2">
        <v>1580</v>
      </c>
      <c r="I879" s="2">
        <v>384</v>
      </c>
      <c r="J879" s="2">
        <v>32827</v>
      </c>
      <c r="K879" s="2">
        <v>54</v>
      </c>
      <c r="L879" s="2">
        <v>2221</v>
      </c>
      <c r="M879" s="2">
        <v>796</v>
      </c>
      <c r="N879" s="2">
        <v>156285</v>
      </c>
      <c r="O879" s="2">
        <v>25</v>
      </c>
      <c r="P879" s="2">
        <v>8555</v>
      </c>
      <c r="Q879" s="2">
        <v>1546</v>
      </c>
      <c r="R879" s="2">
        <v>150921</v>
      </c>
      <c r="S879" s="2">
        <v>592838</v>
      </c>
      <c r="T879" s="10">
        <f t="shared" si="45"/>
        <v>240483</v>
      </c>
      <c r="U879" s="8">
        <f t="shared" si="46"/>
        <v>0.40564707390551885</v>
      </c>
      <c r="V879" s="9" t="s">
        <v>5271</v>
      </c>
      <c r="W879" s="9" t="str">
        <f t="shared" si="44"/>
        <v>Spilsby RD</v>
      </c>
      <c r="X879" s="9" t="str">
        <f>INDEX(Lookup!$A$2:$A$1349, MATCH(W879, Lookup!$B$2:$B$1349,0))</f>
        <v>J04001178</v>
      </c>
      <c r="Y879" s="9" t="str">
        <f>INDEX(Lookup!$F$2:$F$1349, MATCH(W879, Lookup!$B$2:$B$1349,0))</f>
        <v>e240756</v>
      </c>
      <c r="Z879" s="6" t="str">
        <f>INDEX(Lookup!$C$2:$C$1300, MATCH(X879, Lookup!$A$2:$A$1300,0))</f>
        <v>Lincolnshire</v>
      </c>
    </row>
    <row r="880" spans="1:26" ht="28.15" customHeight="1" x14ac:dyDescent="0.2">
      <c r="A880" s="6" t="s">
        <v>779</v>
      </c>
      <c r="B880" s="1" t="s">
        <v>779</v>
      </c>
      <c r="C880" s="2">
        <v>4223</v>
      </c>
      <c r="D880" s="2">
        <v>191085</v>
      </c>
      <c r="E880" s="2">
        <v>169</v>
      </c>
      <c r="F880" s="2">
        <v>20465</v>
      </c>
      <c r="I880" s="2">
        <v>123</v>
      </c>
      <c r="J880" s="2">
        <v>7643</v>
      </c>
      <c r="K880" s="2">
        <v>8</v>
      </c>
      <c r="L880" s="2">
        <v>152</v>
      </c>
      <c r="M880" s="2">
        <v>308</v>
      </c>
      <c r="N880" s="2">
        <v>20194</v>
      </c>
      <c r="O880" s="2">
        <v>14</v>
      </c>
      <c r="P880" s="2">
        <v>50110</v>
      </c>
      <c r="Q880" s="2">
        <v>57278</v>
      </c>
      <c r="R880" s="2">
        <v>70945</v>
      </c>
      <c r="S880" s="2">
        <v>417872</v>
      </c>
      <c r="T880" s="10">
        <f>SUM(D880+F880)</f>
        <v>211550</v>
      </c>
      <c r="U880" s="8">
        <f t="shared" si="46"/>
        <v>0.50625550407780373</v>
      </c>
      <c r="V880" s="9" t="s">
        <v>5271</v>
      </c>
      <c r="W880" s="9" t="str">
        <f t="shared" si="44"/>
        <v>Welton RD</v>
      </c>
      <c r="X880" s="9" t="str">
        <f>INDEX(Lookup!$A$2:$A$1349, MATCH(W880, Lookup!$B$2:$B$1349,0))</f>
        <v>J04001371</v>
      </c>
      <c r="Y880" s="9" t="str">
        <f>INDEX(Lookup!$F$2:$F$1349, MATCH(W880, Lookup!$B$2:$B$1349,0))</f>
        <v>e240757</v>
      </c>
      <c r="Z880" s="6" t="str">
        <f>INDEX(Lookup!$C$2:$C$1300, MATCH(X880, Lookup!$A$2:$A$1300,0))</f>
        <v>Lincolnshire</v>
      </c>
    </row>
    <row r="881" spans="1:26" ht="28.15" customHeight="1" x14ac:dyDescent="0.2">
      <c r="A881" s="6" t="s">
        <v>780</v>
      </c>
      <c r="B881" s="1" t="s">
        <v>780</v>
      </c>
      <c r="T881" s="10"/>
      <c r="W881" s="9" t="str">
        <f t="shared" si="44"/>
        <v xml:space="preserve">MIDDLESEX: </v>
      </c>
      <c r="X881" s="9" t="e">
        <f>INDEX(Lookup!$A$2:$A$1349, MATCH(W881, Lookup!$B$2:$B$1349,0))</f>
        <v>#N/A</v>
      </c>
      <c r="Y881" s="9" t="e">
        <f>INDEX(Lookup!$F$2:$F$1349, MATCH(W881, Lookup!$B$2:$B$1349,0))</f>
        <v>#N/A</v>
      </c>
      <c r="Z881" s="6" t="e">
        <f>INDEX(Lookup!$C$2:$C$1300, MATCH(X881, Lookup!$A$2:$A$1300,0))</f>
        <v>#N/A</v>
      </c>
    </row>
    <row r="882" spans="1:26" ht="28.15" customHeight="1" x14ac:dyDescent="0.2">
      <c r="A882" s="6" t="s">
        <v>781</v>
      </c>
      <c r="B882" s="1" t="s">
        <v>781</v>
      </c>
      <c r="T882" s="10"/>
      <c r="W882" s="9" t="str">
        <f t="shared" si="44"/>
        <v xml:space="preserve">Non-county Boroughs </v>
      </c>
      <c r="X882" s="9" t="e">
        <f>INDEX(Lookup!$A$2:$A$1349, MATCH(W882, Lookup!$B$2:$B$1349,0))</f>
        <v>#N/A</v>
      </c>
      <c r="Y882" s="9" t="e">
        <f>INDEX(Lookup!$F$2:$F$1349, MATCH(W882, Lookup!$B$2:$B$1349,0))</f>
        <v>#N/A</v>
      </c>
      <c r="Z882" s="6" t="e">
        <f>INDEX(Lookup!$C$2:$C$1300, MATCH(X882, Lookup!$A$2:$A$1300,0))</f>
        <v>#N/A</v>
      </c>
    </row>
    <row r="883" spans="1:26" ht="28.15" customHeight="1" x14ac:dyDescent="0.2">
      <c r="A883" s="6" t="s">
        <v>782</v>
      </c>
      <c r="B883" s="1" t="s">
        <v>782</v>
      </c>
      <c r="C883" s="2">
        <v>9651</v>
      </c>
      <c r="D883" s="2">
        <v>691604</v>
      </c>
      <c r="E883" s="2">
        <v>8579</v>
      </c>
      <c r="F883" s="2">
        <v>1149874</v>
      </c>
      <c r="G883" s="2">
        <v>306</v>
      </c>
      <c r="H883" s="2">
        <v>68413</v>
      </c>
      <c r="I883" s="2">
        <v>830</v>
      </c>
      <c r="J883" s="2">
        <v>227434</v>
      </c>
      <c r="K883" s="2">
        <v>117</v>
      </c>
      <c r="L883" s="2">
        <v>81117</v>
      </c>
      <c r="M883" s="2">
        <v>1401</v>
      </c>
      <c r="N883" s="2">
        <v>930783</v>
      </c>
      <c r="O883" s="2">
        <v>384</v>
      </c>
      <c r="P883" s="2">
        <v>3579676</v>
      </c>
      <c r="Q883" s="2">
        <v>54620</v>
      </c>
      <c r="R883" s="2">
        <v>391559</v>
      </c>
      <c r="S883" s="2">
        <v>7175080</v>
      </c>
      <c r="T883" s="10">
        <f t="shared" si="45"/>
        <v>1909891</v>
      </c>
      <c r="U883" s="8">
        <f t="shared" si="46"/>
        <v>0.26618393105024613</v>
      </c>
      <c r="V883" s="9" t="s">
        <v>5268</v>
      </c>
      <c r="W883" s="9" t="str">
        <f t="shared" si="44"/>
        <v>Acton MB</v>
      </c>
      <c r="X883" s="9" t="str">
        <f>INDEX(Lookup!$A$2:$A$1349, MATCH(W883, Lookup!$B$2:$B$1349,0))</f>
        <v>J04000015</v>
      </c>
      <c r="Y883" s="9" t="str">
        <f>INDEX(Lookup!$F$2:$F$1349, MATCH(W883, Lookup!$B$2:$B$1349,0))</f>
        <v>e140379</v>
      </c>
      <c r="Z883" s="6" t="str">
        <f>INDEX(Lookup!$C$2:$C$1300, MATCH(X883, Lookup!$A$2:$A$1300,0))</f>
        <v>Outer London</v>
      </c>
    </row>
    <row r="884" spans="1:26" ht="28.15" customHeight="1" x14ac:dyDescent="0.2">
      <c r="A884" s="6" t="s">
        <v>783</v>
      </c>
      <c r="B884" s="1" t="s">
        <v>783</v>
      </c>
      <c r="C884" s="2">
        <v>9188</v>
      </c>
      <c r="D884" s="2">
        <v>625450</v>
      </c>
      <c r="E884" s="2">
        <v>6895</v>
      </c>
      <c r="F884" s="2">
        <v>938361</v>
      </c>
      <c r="G884" s="2">
        <v>374</v>
      </c>
      <c r="H884" s="2">
        <v>86998</v>
      </c>
      <c r="I884" s="2">
        <v>865</v>
      </c>
      <c r="J884" s="2">
        <v>278730</v>
      </c>
      <c r="K884" s="2">
        <v>187</v>
      </c>
      <c r="L884" s="2">
        <v>365860</v>
      </c>
      <c r="M884" s="2">
        <v>1651</v>
      </c>
      <c r="N884" s="2">
        <v>393875</v>
      </c>
      <c r="O884" s="2">
        <v>161</v>
      </c>
      <c r="P884" s="2">
        <v>1167900</v>
      </c>
      <c r="Q884" s="2">
        <v>19389</v>
      </c>
      <c r="R884" s="2">
        <v>575051</v>
      </c>
      <c r="S884" s="2">
        <v>4451614</v>
      </c>
      <c r="T884" s="10">
        <f t="shared" si="45"/>
        <v>1650809</v>
      </c>
      <c r="U884" s="8">
        <f t="shared" si="46"/>
        <v>0.37083381443224861</v>
      </c>
      <c r="V884" s="9" t="s">
        <v>5268</v>
      </c>
      <c r="W884" s="9" t="str">
        <f t="shared" si="44"/>
        <v>Brentford and Chiswick MB</v>
      </c>
      <c r="X884" s="9" t="str">
        <f>INDEX(Lookup!$A$2:$A$1349, MATCH(W884, Lookup!$B$2:$B$1349,0))</f>
        <v>J04000195</v>
      </c>
      <c r="Y884" s="9" t="str">
        <f>INDEX(Lookup!$F$2:$F$1349, MATCH(W884, Lookup!$B$2:$B$1349,0))</f>
        <v>e140389</v>
      </c>
      <c r="Z884" s="6" t="str">
        <f>INDEX(Lookup!$C$2:$C$1300, MATCH(X884, Lookup!$A$2:$A$1300,0))</f>
        <v>Outer London</v>
      </c>
    </row>
    <row r="885" spans="1:26" ht="28.15" customHeight="1" x14ac:dyDescent="0.2">
      <c r="A885" s="6" t="s">
        <v>784</v>
      </c>
      <c r="B885" s="1" t="s">
        <v>784</v>
      </c>
      <c r="C885" s="2">
        <v>19346</v>
      </c>
      <c r="D885" s="2">
        <v>1612047</v>
      </c>
      <c r="E885" s="2">
        <v>32754</v>
      </c>
      <c r="F885" s="2">
        <v>4093748</v>
      </c>
      <c r="G885" s="2">
        <v>2804</v>
      </c>
      <c r="H885" s="2">
        <v>700862</v>
      </c>
      <c r="I885" s="2">
        <v>2276</v>
      </c>
      <c r="J885" s="2">
        <v>1379805</v>
      </c>
      <c r="K885" s="2">
        <v>319</v>
      </c>
      <c r="L885" s="2">
        <v>363123</v>
      </c>
      <c r="M885" s="2">
        <v>3732</v>
      </c>
      <c r="N885" s="2">
        <v>792945</v>
      </c>
      <c r="O885" s="2">
        <v>266</v>
      </c>
      <c r="P885" s="2">
        <v>2377248</v>
      </c>
      <c r="Q885" s="2">
        <v>77715</v>
      </c>
      <c r="R885" s="2">
        <v>787326</v>
      </c>
      <c r="S885" s="2">
        <v>12184819</v>
      </c>
      <c r="T885" s="10">
        <f t="shared" si="45"/>
        <v>6406657</v>
      </c>
      <c r="U885" s="8">
        <f t="shared" si="46"/>
        <v>0.52579008354576295</v>
      </c>
      <c r="V885" s="9" t="s">
        <v>5268</v>
      </c>
      <c r="W885" s="9" t="str">
        <f t="shared" si="44"/>
        <v>Ealing MB</v>
      </c>
      <c r="X885" s="9" t="str">
        <f>INDEX(Lookup!$A$2:$A$1349, MATCH(W885, Lookup!$B$2:$B$1349,0))</f>
        <v>J04000441</v>
      </c>
      <c r="Y885" s="9" t="str">
        <f>INDEX(Lookup!$F$2:$F$1349, MATCH(W885, Lookup!$B$2:$B$1349,0))</f>
        <v>e140379</v>
      </c>
      <c r="Z885" s="6" t="str">
        <f>INDEX(Lookup!$C$2:$C$1300, MATCH(X885, Lookup!$A$2:$A$1300,0))</f>
        <v>Outer London</v>
      </c>
    </row>
    <row r="886" spans="1:26" ht="28.15" customHeight="1" x14ac:dyDescent="0.2">
      <c r="A886" s="6" t="s">
        <v>785</v>
      </c>
      <c r="B886" s="1" t="s">
        <v>785</v>
      </c>
      <c r="C886" s="2">
        <v>16917</v>
      </c>
      <c r="D886" s="2">
        <v>1313389</v>
      </c>
      <c r="E886" s="2">
        <v>10956</v>
      </c>
      <c r="F886" s="2">
        <v>1351640</v>
      </c>
      <c r="G886" s="2">
        <v>129</v>
      </c>
      <c r="H886" s="2">
        <v>32642</v>
      </c>
      <c r="I886" s="2">
        <v>1045</v>
      </c>
      <c r="J886" s="2">
        <v>340072</v>
      </c>
      <c r="K886" s="2">
        <v>73</v>
      </c>
      <c r="L886" s="2">
        <v>33962</v>
      </c>
      <c r="M886" s="2">
        <v>1261</v>
      </c>
      <c r="N886" s="2">
        <v>250533</v>
      </c>
      <c r="O886" s="2">
        <v>196</v>
      </c>
      <c r="P886" s="2">
        <v>1554321</v>
      </c>
      <c r="Q886" s="2">
        <v>23440</v>
      </c>
      <c r="R886" s="2">
        <v>439231</v>
      </c>
      <c r="S886" s="2">
        <v>5339230</v>
      </c>
      <c r="T886" s="10">
        <f t="shared" si="45"/>
        <v>2697671</v>
      </c>
      <c r="U886" s="8">
        <f t="shared" si="46"/>
        <v>0.50525469028305581</v>
      </c>
      <c r="V886" s="9" t="s">
        <v>5268</v>
      </c>
      <c r="W886" s="9" t="str">
        <f t="shared" si="44"/>
        <v>Edmonton MB</v>
      </c>
      <c r="X886" s="9" t="str">
        <f>INDEX(Lookup!$A$2:$A$1349, MATCH(W886, Lookup!$B$2:$B$1349,0))</f>
        <v>J04000463</v>
      </c>
      <c r="Y886" s="9" t="str">
        <f>INDEX(Lookup!$F$2:$F$1349, MATCH(W886, Lookup!$B$2:$B$1349,0))</f>
        <v>e140380</v>
      </c>
      <c r="Z886" s="6" t="str">
        <f>INDEX(Lookup!$C$2:$C$1300, MATCH(X886, Lookup!$A$2:$A$1300,0))</f>
        <v>Outer London</v>
      </c>
    </row>
    <row r="887" spans="1:26" ht="28.15" customHeight="1" x14ac:dyDescent="0.2">
      <c r="A887" s="6" t="s">
        <v>786</v>
      </c>
      <c r="B887" s="1" t="s">
        <v>786</v>
      </c>
      <c r="C887" s="2">
        <v>20810</v>
      </c>
      <c r="D887" s="2">
        <v>1652525</v>
      </c>
      <c r="E887" s="2">
        <v>12044</v>
      </c>
      <c r="F887" s="2">
        <v>1502104</v>
      </c>
      <c r="G887" s="2">
        <v>1072</v>
      </c>
      <c r="H887" s="2">
        <v>279915</v>
      </c>
      <c r="I887" s="2">
        <v>1198</v>
      </c>
      <c r="J887" s="2">
        <v>508906</v>
      </c>
      <c r="K887" s="2">
        <v>188</v>
      </c>
      <c r="L887" s="2">
        <v>87743</v>
      </c>
      <c r="M887" s="2">
        <v>2020</v>
      </c>
      <c r="N887" s="2">
        <v>322205</v>
      </c>
      <c r="O887" s="2">
        <v>236</v>
      </c>
      <c r="P887" s="2">
        <v>2324602</v>
      </c>
      <c r="Q887" s="2">
        <v>40885</v>
      </c>
      <c r="R887" s="2">
        <v>645677</v>
      </c>
      <c r="S887" s="2">
        <v>7364562</v>
      </c>
      <c r="T887" s="10">
        <f t="shared" si="45"/>
        <v>3434544</v>
      </c>
      <c r="U887" s="8">
        <f t="shared" si="46"/>
        <v>0.46636093225910785</v>
      </c>
      <c r="V887" s="9" t="s">
        <v>5268</v>
      </c>
      <c r="W887" s="9" t="str">
        <f t="shared" si="44"/>
        <v>Enfield MB</v>
      </c>
      <c r="X887" s="9" t="str">
        <f>INDEX(Lookup!$A$2:$A$1349, MATCH(W887, Lookup!$B$2:$B$1349,0))</f>
        <v>J04000473</v>
      </c>
      <c r="Y887" s="9" t="str">
        <f>INDEX(Lookup!$F$2:$F$1349, MATCH(W887, Lookup!$B$2:$B$1349,0))</f>
        <v>e140380</v>
      </c>
      <c r="Z887" s="6" t="str">
        <f>INDEX(Lookup!$C$2:$C$1300, MATCH(X887, Lookup!$A$2:$A$1300,0))</f>
        <v>Outer London</v>
      </c>
    </row>
    <row r="888" spans="1:26" ht="28.15" customHeight="1" x14ac:dyDescent="0.2">
      <c r="A888" s="6" t="s">
        <v>787</v>
      </c>
      <c r="B888" s="1" t="s">
        <v>787</v>
      </c>
      <c r="C888" s="2">
        <v>2787</v>
      </c>
      <c r="D888" s="2">
        <v>233345</v>
      </c>
      <c r="E888" s="2">
        <v>14373</v>
      </c>
      <c r="F888" s="2">
        <v>2081009</v>
      </c>
      <c r="G888" s="2">
        <v>4304</v>
      </c>
      <c r="H888" s="2">
        <v>1279270</v>
      </c>
      <c r="I888" s="2">
        <v>1033</v>
      </c>
      <c r="J888" s="2">
        <v>531306</v>
      </c>
      <c r="K888" s="2">
        <v>162</v>
      </c>
      <c r="L888" s="2">
        <v>114450</v>
      </c>
      <c r="M888" s="2">
        <v>2755</v>
      </c>
      <c r="N888" s="2">
        <v>319077</v>
      </c>
      <c r="O888" s="2">
        <v>62</v>
      </c>
      <c r="P888" s="2">
        <v>203790</v>
      </c>
      <c r="Q888" s="2">
        <v>19361</v>
      </c>
      <c r="R888" s="2">
        <v>319383</v>
      </c>
      <c r="S888" s="2">
        <v>5100991</v>
      </c>
      <c r="T888" s="10">
        <f t="shared" si="45"/>
        <v>3593624</v>
      </c>
      <c r="U888" s="8">
        <f t="shared" si="46"/>
        <v>0.70449526376345306</v>
      </c>
      <c r="V888" s="9" t="s">
        <v>5268</v>
      </c>
      <c r="W888" s="9" t="str">
        <f t="shared" si="44"/>
        <v>Finchley MB</v>
      </c>
      <c r="X888" s="9" t="str">
        <f>INDEX(Lookup!$A$2:$A$1349, MATCH(W888, Lookup!$B$2:$B$1349,0))</f>
        <v>J04000503</v>
      </c>
      <c r="Y888" s="9" t="str">
        <f>INDEX(Lookup!$F$2:$F$1349, MATCH(W888, Lookup!$B$2:$B$1349,0))</f>
        <v>e140372</v>
      </c>
      <c r="Z888" s="6" t="str">
        <f>INDEX(Lookup!$C$2:$C$1300, MATCH(X888, Lookup!$A$2:$A$1300,0))</f>
        <v>Outer London</v>
      </c>
    </row>
    <row r="889" spans="1:26" ht="28.15" customHeight="1" x14ac:dyDescent="0.2">
      <c r="A889" s="6" t="s">
        <v>788</v>
      </c>
      <c r="B889" s="1" t="s">
        <v>788</v>
      </c>
      <c r="C889" s="2">
        <v>26554</v>
      </c>
      <c r="D889" s="2">
        <v>2202478</v>
      </c>
      <c r="E889" s="2">
        <v>36685</v>
      </c>
      <c r="F889" s="2">
        <v>4583651</v>
      </c>
      <c r="G889" s="2">
        <v>2369</v>
      </c>
      <c r="H889" s="2">
        <v>586218</v>
      </c>
      <c r="I889" s="2">
        <v>2433</v>
      </c>
      <c r="J889" s="2">
        <v>957554</v>
      </c>
      <c r="K889" s="2">
        <v>366</v>
      </c>
      <c r="L889" s="2">
        <v>197353</v>
      </c>
      <c r="M889" s="2">
        <v>3665</v>
      </c>
      <c r="N889" s="2">
        <v>366831</v>
      </c>
      <c r="O889" s="2">
        <v>153</v>
      </c>
      <c r="P889" s="2">
        <v>634201</v>
      </c>
      <c r="Q889" s="2">
        <v>137747</v>
      </c>
      <c r="R889" s="2">
        <v>974884</v>
      </c>
      <c r="S889" s="2">
        <v>10640917</v>
      </c>
      <c r="T889" s="10">
        <f t="shared" si="45"/>
        <v>7372347</v>
      </c>
      <c r="U889" s="8">
        <f t="shared" si="46"/>
        <v>0.69283004462867248</v>
      </c>
      <c r="V889" s="9" t="s">
        <v>5268</v>
      </c>
      <c r="W889" s="9" t="str">
        <f t="shared" si="44"/>
        <v>Harrow MB</v>
      </c>
      <c r="X889" s="9" t="str">
        <f>INDEX(Lookup!$A$2:$A$1349, MATCH(W889, Lookup!$B$2:$B$1349,0))</f>
        <v>J04000577</v>
      </c>
      <c r="Y889" s="9" t="str">
        <f>INDEX(Lookup!$F$2:$F$1349, MATCH(W889, Lookup!$B$2:$B$1349,0))</f>
        <v>e140386</v>
      </c>
      <c r="Z889" s="6" t="str">
        <f>INDEX(Lookup!$C$2:$C$1300, MATCH(X889, Lookup!$A$2:$A$1300,0))</f>
        <v>Outer London</v>
      </c>
    </row>
    <row r="890" spans="1:26" ht="28.15" customHeight="1" x14ac:dyDescent="0.2">
      <c r="A890" s="6" t="s">
        <v>789</v>
      </c>
      <c r="B890" s="1" t="s">
        <v>789</v>
      </c>
      <c r="C890" s="2">
        <v>8812</v>
      </c>
      <c r="D890" s="2">
        <v>771454</v>
      </c>
      <c r="E890" s="2">
        <v>28564</v>
      </c>
      <c r="F890" s="2">
        <v>4039668</v>
      </c>
      <c r="G890" s="2">
        <v>8400</v>
      </c>
      <c r="H890" s="2">
        <v>2388803</v>
      </c>
      <c r="I890" s="2">
        <v>2125</v>
      </c>
      <c r="J890" s="2">
        <v>1119817</v>
      </c>
      <c r="K890" s="2">
        <v>222</v>
      </c>
      <c r="L890" s="2">
        <v>228638</v>
      </c>
      <c r="M890" s="2">
        <v>4082</v>
      </c>
      <c r="N890" s="2">
        <v>600562</v>
      </c>
      <c r="O890" s="2">
        <v>128</v>
      </c>
      <c r="P890" s="2">
        <v>923405</v>
      </c>
      <c r="Q890" s="2">
        <v>145719</v>
      </c>
      <c r="R890" s="2">
        <v>842374</v>
      </c>
      <c r="S890" s="2">
        <v>11060440</v>
      </c>
      <c r="T890" s="10">
        <f t="shared" si="45"/>
        <v>7199925</v>
      </c>
      <c r="U890" s="8">
        <f t="shared" si="46"/>
        <v>0.65096189663340698</v>
      </c>
      <c r="V890" s="9" t="s">
        <v>5268</v>
      </c>
      <c r="W890" s="9" t="str">
        <f t="shared" si="44"/>
        <v>Hendon MB</v>
      </c>
      <c r="X890" s="9" t="str">
        <f>INDEX(Lookup!$A$2:$A$1349, MATCH(W890, Lookup!$B$2:$B$1349,0))</f>
        <v>J04000607</v>
      </c>
      <c r="Y890" s="9" t="str">
        <f>INDEX(Lookup!$F$2:$F$1349, MATCH(W890, Lookup!$B$2:$B$1349,0))</f>
        <v>e140372</v>
      </c>
      <c r="Z890" s="6" t="str">
        <f>INDEX(Lookup!$C$2:$C$1300, MATCH(X890, Lookup!$A$2:$A$1300,0))</f>
        <v>Outer London</v>
      </c>
    </row>
    <row r="891" spans="1:26" ht="28.15" customHeight="1" x14ac:dyDescent="0.2">
      <c r="A891" s="6" t="s">
        <v>790</v>
      </c>
      <c r="B891" s="1" t="s">
        <v>5426</v>
      </c>
      <c r="C891" s="2">
        <v>14437</v>
      </c>
      <c r="D891" s="2">
        <v>1166502</v>
      </c>
      <c r="E891" s="2">
        <v>16063</v>
      </c>
      <c r="F891" s="2">
        <v>1922344</v>
      </c>
      <c r="G891" s="2">
        <v>279</v>
      </c>
      <c r="H891" s="2">
        <v>67486</v>
      </c>
      <c r="I891" s="2">
        <v>1247</v>
      </c>
      <c r="J891" s="2">
        <v>684353</v>
      </c>
      <c r="K891" s="2">
        <v>148</v>
      </c>
      <c r="L891" s="2">
        <v>90032</v>
      </c>
      <c r="M891" s="2">
        <v>2035</v>
      </c>
      <c r="N891" s="2">
        <v>334210</v>
      </c>
      <c r="O891" s="2">
        <v>199</v>
      </c>
      <c r="P891" s="2">
        <v>1506459</v>
      </c>
      <c r="Q891" s="2">
        <v>92656</v>
      </c>
      <c r="R891" s="2">
        <v>806479</v>
      </c>
      <c r="S891" s="2">
        <v>6670521</v>
      </c>
      <c r="T891" s="10">
        <f t="shared" si="45"/>
        <v>3156332</v>
      </c>
      <c r="U891" s="8">
        <f t="shared" si="46"/>
        <v>0.4731762331607981</v>
      </c>
      <c r="V891" s="9" t="s">
        <v>5268</v>
      </c>
      <c r="W891" s="9" t="str">
        <f t="shared" si="44"/>
        <v>Heston and Isleworth MB</v>
      </c>
      <c r="X891" s="9" t="str">
        <f>INDEX(Lookup!$A$2:$A$1349, MATCH(W891, Lookup!$B$2:$B$1349,0))</f>
        <v>J04000616</v>
      </c>
      <c r="Y891" s="9" t="str">
        <f>INDEX(Lookup!$F$2:$F$1349, MATCH(W891, Lookup!$B$2:$B$1349,0))</f>
        <v>e140389</v>
      </c>
      <c r="Z891" s="6" t="str">
        <f>INDEX(Lookup!$C$2:$C$1300, MATCH(X891, Lookup!$A$2:$A$1300,0))</f>
        <v>Outer London</v>
      </c>
    </row>
    <row r="892" spans="1:26" ht="28.15" customHeight="1" x14ac:dyDescent="0.2">
      <c r="A892" s="6" t="s">
        <v>791</v>
      </c>
      <c r="B892" s="1" t="s">
        <v>791</v>
      </c>
      <c r="C892" s="2">
        <v>9316</v>
      </c>
      <c r="D892" s="2">
        <v>662281</v>
      </c>
      <c r="E892" s="2">
        <v>14406</v>
      </c>
      <c r="F892" s="2">
        <v>2008469</v>
      </c>
      <c r="G892" s="2">
        <v>1882</v>
      </c>
      <c r="H892" s="2">
        <v>519344</v>
      </c>
      <c r="I892" s="2">
        <v>1200</v>
      </c>
      <c r="J892" s="2">
        <v>331462</v>
      </c>
      <c r="K892" s="2">
        <v>145</v>
      </c>
      <c r="L892" s="2">
        <v>41496</v>
      </c>
      <c r="M892" s="2">
        <v>2304</v>
      </c>
      <c r="N892" s="2">
        <v>143962</v>
      </c>
      <c r="O892" s="2">
        <v>94</v>
      </c>
      <c r="P892" s="2">
        <v>76905</v>
      </c>
      <c r="Q892" s="2">
        <v>33470</v>
      </c>
      <c r="R892" s="2">
        <v>354694</v>
      </c>
      <c r="S892" s="2">
        <v>4172083</v>
      </c>
      <c r="T892" s="10">
        <f t="shared" si="45"/>
        <v>3190094</v>
      </c>
      <c r="U892" s="8">
        <f t="shared" si="46"/>
        <v>0.76462860398510768</v>
      </c>
      <c r="V892" s="9" t="s">
        <v>5268</v>
      </c>
      <c r="W892" s="9" t="str">
        <f t="shared" si="44"/>
        <v>Hornsey MB</v>
      </c>
      <c r="X892" s="9" t="str">
        <f>INDEX(Lookup!$A$2:$A$1349, MATCH(W892, Lookup!$B$2:$B$1349,0))</f>
        <v>J04000646</v>
      </c>
      <c r="Y892" s="9" t="str">
        <f>INDEX(Lookup!$F$2:$F$1349, MATCH(W892, Lookup!$B$2:$B$1349,0))</f>
        <v>e140385</v>
      </c>
      <c r="Z892" s="6" t="str">
        <f>INDEX(Lookup!$C$2:$C$1300, MATCH(X892, Lookup!$A$2:$A$1300,0))</f>
        <v>Outer London</v>
      </c>
    </row>
    <row r="893" spans="1:26" ht="28.15" customHeight="1" x14ac:dyDescent="0.2">
      <c r="A893" s="6" t="s">
        <v>792</v>
      </c>
      <c r="B893" s="1" t="s">
        <v>792</v>
      </c>
      <c r="C893" s="2">
        <v>11096</v>
      </c>
      <c r="D893" s="2">
        <v>873496</v>
      </c>
      <c r="E893" s="2">
        <v>3629</v>
      </c>
      <c r="F893" s="2">
        <v>422535</v>
      </c>
      <c r="G893" s="2">
        <v>32</v>
      </c>
      <c r="H893" s="2">
        <v>8227</v>
      </c>
      <c r="I893" s="2">
        <v>727</v>
      </c>
      <c r="J893" s="2">
        <v>304266</v>
      </c>
      <c r="K893" s="2">
        <v>68</v>
      </c>
      <c r="L893" s="2">
        <v>23552</v>
      </c>
      <c r="M893" s="2">
        <v>768</v>
      </c>
      <c r="N893" s="2">
        <v>168894</v>
      </c>
      <c r="O893" s="2">
        <v>110</v>
      </c>
      <c r="P893" s="2">
        <v>1196210</v>
      </c>
      <c r="Q893" s="2">
        <v>20520</v>
      </c>
      <c r="R893" s="2">
        <v>279272</v>
      </c>
      <c r="S893" s="2">
        <v>3296972</v>
      </c>
      <c r="T893" s="10">
        <f t="shared" si="45"/>
        <v>1304258</v>
      </c>
      <c r="U893" s="8">
        <f t="shared" si="46"/>
        <v>0.39559268322569924</v>
      </c>
      <c r="V893" s="9" t="s">
        <v>5268</v>
      </c>
      <c r="W893" s="9" t="str">
        <f t="shared" si="44"/>
        <v>Southall MB</v>
      </c>
      <c r="X893" s="9" t="str">
        <f>INDEX(Lookup!$A$2:$A$1349, MATCH(W893, Lookup!$B$2:$B$1349,0))</f>
        <v>J04001162</v>
      </c>
      <c r="Y893" s="9" t="str">
        <f>INDEX(Lookup!$F$2:$F$1349, MATCH(W893, Lookup!$B$2:$B$1349,0))</f>
        <v>e140379</v>
      </c>
      <c r="Z893" s="6" t="str">
        <f>INDEX(Lookup!$C$2:$C$1300, MATCH(X893, Lookup!$A$2:$A$1300,0))</f>
        <v>Outer London</v>
      </c>
    </row>
    <row r="894" spans="1:26" ht="28.15" customHeight="1" x14ac:dyDescent="0.2">
      <c r="A894" s="6" t="s">
        <v>793</v>
      </c>
      <c r="B894" s="1" t="s">
        <v>793</v>
      </c>
      <c r="C894" s="2">
        <v>4099</v>
      </c>
      <c r="D894" s="2">
        <v>315025</v>
      </c>
      <c r="E894" s="2">
        <v>17585</v>
      </c>
      <c r="F894" s="2">
        <v>2528264</v>
      </c>
      <c r="G894" s="2">
        <v>1553</v>
      </c>
      <c r="H894" s="2">
        <v>370206</v>
      </c>
      <c r="I894" s="2">
        <v>1134</v>
      </c>
      <c r="J894" s="2">
        <v>430767</v>
      </c>
      <c r="K894" s="2">
        <v>145</v>
      </c>
      <c r="L894" s="2">
        <v>43051</v>
      </c>
      <c r="M894" s="2">
        <v>2318</v>
      </c>
      <c r="N894" s="2">
        <v>132382</v>
      </c>
      <c r="O894" s="2">
        <v>58</v>
      </c>
      <c r="P894" s="2">
        <v>185728</v>
      </c>
      <c r="Q894" s="2">
        <v>13222</v>
      </c>
      <c r="R894" s="2">
        <v>243957</v>
      </c>
      <c r="S894" s="2">
        <v>4262602</v>
      </c>
      <c r="T894" s="10">
        <f t="shared" si="45"/>
        <v>3213495</v>
      </c>
      <c r="U894" s="8">
        <f t="shared" si="46"/>
        <v>0.75388108014775956</v>
      </c>
      <c r="V894" s="9" t="s">
        <v>5268</v>
      </c>
      <c r="W894" s="9" t="str">
        <f t="shared" si="44"/>
        <v>Southgate MB</v>
      </c>
      <c r="X894" s="9" t="str">
        <f>INDEX(Lookup!$A$2:$A$1349, MATCH(W894, Lookup!$B$2:$B$1349,0))</f>
        <v>J04001167</v>
      </c>
      <c r="Y894" s="9" t="str">
        <f>INDEX(Lookup!$F$2:$F$1349, MATCH(W894, Lookup!$B$2:$B$1349,0))</f>
        <v>e140380</v>
      </c>
      <c r="Z894" s="6" t="str">
        <f>INDEX(Lookup!$C$2:$C$1300, MATCH(X894, Lookup!$A$2:$A$1300,0))</f>
        <v>Outer London</v>
      </c>
    </row>
    <row r="895" spans="1:26" ht="28.15" customHeight="1" x14ac:dyDescent="0.2">
      <c r="A895" s="6" t="s">
        <v>794</v>
      </c>
      <c r="B895" s="1" t="s">
        <v>794</v>
      </c>
      <c r="C895" s="2">
        <v>18874</v>
      </c>
      <c r="D895" s="2">
        <v>1448063</v>
      </c>
      <c r="E895" s="2">
        <v>11432</v>
      </c>
      <c r="F895" s="2">
        <v>1339674</v>
      </c>
      <c r="G895" s="2">
        <v>26</v>
      </c>
      <c r="H895" s="2">
        <v>6277</v>
      </c>
      <c r="I895" s="2">
        <v>1956</v>
      </c>
      <c r="J895" s="2">
        <v>627704</v>
      </c>
      <c r="K895" s="2">
        <v>233</v>
      </c>
      <c r="L895" s="2">
        <v>78881</v>
      </c>
      <c r="M895" s="2">
        <v>2174</v>
      </c>
      <c r="N895" s="2">
        <v>343900</v>
      </c>
      <c r="O895" s="2">
        <v>417</v>
      </c>
      <c r="P895" s="2">
        <v>1945779</v>
      </c>
      <c r="Q895" s="2">
        <v>33279</v>
      </c>
      <c r="R895" s="2">
        <v>544913</v>
      </c>
      <c r="S895" s="2">
        <v>6368470</v>
      </c>
      <c r="T895" s="10">
        <f t="shared" si="45"/>
        <v>2794014</v>
      </c>
      <c r="U895" s="8">
        <f t="shared" si="46"/>
        <v>0.43872609904733789</v>
      </c>
      <c r="V895" s="9" t="s">
        <v>5268</v>
      </c>
      <c r="W895" s="9" t="str">
        <f t="shared" si="44"/>
        <v>Tottenham MB</v>
      </c>
      <c r="X895" s="9" t="str">
        <f>INDEX(Lookup!$A$2:$A$1349, MATCH(W895, Lookup!$B$2:$B$1349,0))</f>
        <v>J04001289</v>
      </c>
      <c r="Y895" s="9" t="str">
        <f>INDEX(Lookup!$F$2:$F$1349, MATCH(W895, Lookup!$B$2:$B$1349,0))</f>
        <v>e140385</v>
      </c>
      <c r="Z895" s="6" t="str">
        <f>INDEX(Lookup!$C$2:$C$1300, MATCH(X895, Lookup!$A$2:$A$1300,0))</f>
        <v>Outer London</v>
      </c>
    </row>
    <row r="896" spans="1:26" ht="28.15" customHeight="1" x14ac:dyDescent="0.2">
      <c r="A896" s="6" t="s">
        <v>795</v>
      </c>
      <c r="B896" s="1" t="s">
        <v>795</v>
      </c>
      <c r="C896" s="2">
        <v>14843</v>
      </c>
      <c r="D896" s="2">
        <v>1125219</v>
      </c>
      <c r="E896" s="2">
        <v>15872</v>
      </c>
      <c r="F896" s="2">
        <v>2048710</v>
      </c>
      <c r="G896" s="2">
        <v>950</v>
      </c>
      <c r="H896" s="2">
        <v>232808</v>
      </c>
      <c r="I896" s="2">
        <v>1575</v>
      </c>
      <c r="J896" s="2">
        <v>365944</v>
      </c>
      <c r="K896" s="2">
        <v>141</v>
      </c>
      <c r="L896" s="2">
        <v>50735</v>
      </c>
      <c r="M896" s="2">
        <v>3258</v>
      </c>
      <c r="N896" s="2">
        <v>243267</v>
      </c>
      <c r="O896" s="2">
        <v>194</v>
      </c>
      <c r="P896" s="2">
        <v>312396</v>
      </c>
      <c r="Q896" s="2">
        <v>65210</v>
      </c>
      <c r="R896" s="2">
        <v>584808</v>
      </c>
      <c r="S896" s="2">
        <v>5029097</v>
      </c>
      <c r="T896" s="10">
        <f t="shared" si="45"/>
        <v>3406737</v>
      </c>
      <c r="U896" s="8">
        <f t="shared" si="46"/>
        <v>0.67740530755322481</v>
      </c>
      <c r="V896" s="9" t="s">
        <v>5268</v>
      </c>
      <c r="W896" s="9" t="str">
        <f t="shared" si="44"/>
        <v>Twickenham MB</v>
      </c>
      <c r="X896" s="9" t="str">
        <f>INDEX(Lookup!$A$2:$A$1349, MATCH(W896, Lookup!$B$2:$B$1349,0))</f>
        <v>J04001303</v>
      </c>
      <c r="Y896" s="9" t="str">
        <f>INDEX(Lookup!$F$2:$F$1349, MATCH(W896, Lookup!$B$2:$B$1349,0))</f>
        <v>e140401</v>
      </c>
      <c r="Z896" s="6" t="str">
        <f>INDEX(Lookup!$C$2:$C$1300, MATCH(X896, Lookup!$A$2:$A$1300,0))</f>
        <v>Outer London</v>
      </c>
    </row>
    <row r="897" spans="1:26" ht="28.15" customHeight="1" x14ac:dyDescent="0.2">
      <c r="A897" s="6" t="s">
        <v>796</v>
      </c>
      <c r="B897" s="1" t="s">
        <v>796</v>
      </c>
      <c r="C897" s="2">
        <v>11659</v>
      </c>
      <c r="D897" s="2">
        <v>916231</v>
      </c>
      <c r="E897" s="2">
        <v>6452</v>
      </c>
      <c r="F897" s="2">
        <v>823456</v>
      </c>
      <c r="G897" s="2">
        <v>264</v>
      </c>
      <c r="H897" s="2">
        <v>63698</v>
      </c>
      <c r="I897" s="2">
        <v>734</v>
      </c>
      <c r="J897" s="2">
        <v>306778</v>
      </c>
      <c r="K897" s="2">
        <v>83</v>
      </c>
      <c r="L897" s="2">
        <v>33388</v>
      </c>
      <c r="M897" s="2">
        <v>1498</v>
      </c>
      <c r="N897" s="2">
        <v>206063</v>
      </c>
      <c r="O897" s="2">
        <v>183</v>
      </c>
      <c r="P897" s="2">
        <v>622986</v>
      </c>
      <c r="Q897" s="2">
        <v>130119</v>
      </c>
      <c r="R897" s="2">
        <v>330954</v>
      </c>
      <c r="S897" s="2">
        <v>3433673</v>
      </c>
      <c r="T897" s="10">
        <f t="shared" si="45"/>
        <v>1803385</v>
      </c>
      <c r="U897" s="8">
        <f t="shared" si="46"/>
        <v>0.52520580730896627</v>
      </c>
      <c r="V897" s="9" t="s">
        <v>5268</v>
      </c>
      <c r="W897" s="9" t="str">
        <f t="shared" si="44"/>
        <v>Uxbridge MB</v>
      </c>
      <c r="X897" s="9" t="str">
        <f>INDEX(Lookup!$A$2:$A$1349, MATCH(W897, Lookup!$B$2:$B$1349,0))</f>
        <v>J04001316</v>
      </c>
      <c r="Y897" s="9" t="str">
        <f>INDEX(Lookup!$F$2:$F$1349, MATCH(W897, Lookup!$B$2:$B$1349,0))</f>
        <v>e140388</v>
      </c>
      <c r="Z897" s="6" t="str">
        <f>INDEX(Lookup!$C$2:$C$1300, MATCH(X897, Lookup!$A$2:$A$1300,0))</f>
        <v>Outer London</v>
      </c>
    </row>
    <row r="898" spans="1:26" ht="28.15" customHeight="1" x14ac:dyDescent="0.2">
      <c r="A898" s="6" t="s">
        <v>797</v>
      </c>
      <c r="B898" s="1" t="s">
        <v>797</v>
      </c>
      <c r="C898" s="2">
        <v>9311</v>
      </c>
      <c r="D898" s="2">
        <v>816896</v>
      </c>
      <c r="E898" s="2">
        <v>29569</v>
      </c>
      <c r="F898" s="2">
        <v>3802497</v>
      </c>
      <c r="G898" s="2">
        <v>759</v>
      </c>
      <c r="H898" s="2">
        <v>166991</v>
      </c>
      <c r="I898" s="2">
        <v>1528</v>
      </c>
      <c r="J898" s="2">
        <v>606392</v>
      </c>
      <c r="K898" s="2">
        <v>171</v>
      </c>
      <c r="L898" s="2">
        <v>197239</v>
      </c>
      <c r="M898" s="2">
        <v>2547</v>
      </c>
      <c r="N898" s="2">
        <v>562103</v>
      </c>
      <c r="O898" s="2">
        <v>261</v>
      </c>
      <c r="P898" s="2">
        <v>2544397</v>
      </c>
      <c r="Q898" s="2">
        <v>81313</v>
      </c>
      <c r="R898" s="2">
        <v>606342</v>
      </c>
      <c r="S898" s="2">
        <v>9384170</v>
      </c>
      <c r="T898" s="10">
        <f t="shared" si="45"/>
        <v>4786384</v>
      </c>
      <c r="U898" s="8">
        <f t="shared" si="46"/>
        <v>0.51004873100124992</v>
      </c>
      <c r="V898" s="9" t="s">
        <v>5268</v>
      </c>
      <c r="W898" s="9" t="str">
        <f t="shared" si="44"/>
        <v>Wembley MB</v>
      </c>
      <c r="X898" s="9" t="str">
        <f>INDEX(Lookup!$A$2:$A$1349, MATCH(W898, Lookup!$B$2:$B$1349,0))</f>
        <v>J04001376</v>
      </c>
      <c r="Y898" s="9" t="str">
        <f>INDEX(Lookup!$F$2:$F$1349, MATCH(W898, Lookup!$B$2:$B$1349,0))</f>
        <v>e140374</v>
      </c>
      <c r="Z898" s="6" t="str">
        <f>INDEX(Lookup!$C$2:$C$1300, MATCH(X898, Lookup!$A$2:$A$1300,0))</f>
        <v>Outer London</v>
      </c>
    </row>
    <row r="899" spans="1:26" ht="28.15" customHeight="1" x14ac:dyDescent="0.2">
      <c r="A899" s="6" t="s">
        <v>798</v>
      </c>
      <c r="B899" s="1" t="s">
        <v>798</v>
      </c>
      <c r="C899" s="2">
        <v>27680</v>
      </c>
      <c r="D899" s="2">
        <v>1733719</v>
      </c>
      <c r="E899" s="2">
        <v>15998</v>
      </c>
      <c r="F899" s="2">
        <v>2090045</v>
      </c>
      <c r="G899" s="2">
        <v>1726</v>
      </c>
      <c r="H899" s="2">
        <v>429183</v>
      </c>
      <c r="I899" s="2">
        <v>2521</v>
      </c>
      <c r="J899" s="2">
        <v>795251</v>
      </c>
      <c r="K899" s="2">
        <v>224</v>
      </c>
      <c r="L899" s="2">
        <v>154578</v>
      </c>
      <c r="M899" s="2">
        <v>2553</v>
      </c>
      <c r="N899" s="2">
        <v>731511</v>
      </c>
      <c r="O899" s="2">
        <v>444</v>
      </c>
      <c r="P899" s="2">
        <v>3022707</v>
      </c>
      <c r="Q899" s="2">
        <v>98573</v>
      </c>
      <c r="R899" s="2">
        <v>678162</v>
      </c>
      <c r="S899" s="2">
        <v>9733729</v>
      </c>
      <c r="T899" s="10">
        <f t="shared" ref="T899:T962" si="47">SUM(D899+F899+H899)</f>
        <v>4252947</v>
      </c>
      <c r="U899" s="8">
        <f t="shared" ref="U899:U962" si="48">T899/S899</f>
        <v>0.4369288481320982</v>
      </c>
      <c r="V899" s="9" t="s">
        <v>5268</v>
      </c>
      <c r="W899" s="9" t="str">
        <f t="shared" ref="W899:W962" si="49">_xlfn.CONCAT(B899," ",V899)</f>
        <v>Willesden MB</v>
      </c>
      <c r="X899" s="9" t="str">
        <f>INDEX(Lookup!$A$2:$A$1349, MATCH(W899, Lookup!$B$2:$B$1349,0))</f>
        <v>J04001414</v>
      </c>
      <c r="Y899" s="9" t="str">
        <f>INDEX(Lookup!$F$2:$F$1349, MATCH(W899, Lookup!$B$2:$B$1349,0))</f>
        <v>e140374</v>
      </c>
      <c r="Z899" s="6" t="str">
        <f>INDEX(Lookup!$C$2:$C$1300, MATCH(X899, Lookup!$A$2:$A$1300,0))</f>
        <v>Outer London</v>
      </c>
    </row>
    <row r="900" spans="1:26" ht="28.15" customHeight="1" x14ac:dyDescent="0.2">
      <c r="A900" s="6" t="s">
        <v>799</v>
      </c>
      <c r="B900" s="1" t="s">
        <v>799</v>
      </c>
      <c r="C900" s="2">
        <v>8233</v>
      </c>
      <c r="D900" s="2">
        <v>618184</v>
      </c>
      <c r="E900" s="2">
        <v>6065</v>
      </c>
      <c r="F900" s="2">
        <v>785015</v>
      </c>
      <c r="G900" s="2">
        <v>155</v>
      </c>
      <c r="H900" s="2">
        <v>35012</v>
      </c>
      <c r="I900" s="2">
        <v>865</v>
      </c>
      <c r="J900" s="2">
        <v>476686</v>
      </c>
      <c r="K900" s="2">
        <v>108</v>
      </c>
      <c r="L900" s="2">
        <v>23348</v>
      </c>
      <c r="M900" s="2">
        <v>1202</v>
      </c>
      <c r="N900" s="2">
        <v>99633</v>
      </c>
      <c r="O900" s="2">
        <v>89</v>
      </c>
      <c r="P900" s="2">
        <v>203124</v>
      </c>
      <c r="Q900" s="2">
        <v>5541</v>
      </c>
      <c r="R900" s="2">
        <v>235700</v>
      </c>
      <c r="S900" s="2">
        <v>2482243</v>
      </c>
      <c r="T900" s="10">
        <f t="shared" si="47"/>
        <v>1438211</v>
      </c>
      <c r="U900" s="8">
        <f t="shared" si="48"/>
        <v>0.57939976061972986</v>
      </c>
      <c r="V900" s="9" t="s">
        <v>5268</v>
      </c>
      <c r="W900" s="9" t="str">
        <f t="shared" si="49"/>
        <v>Wood Green MB</v>
      </c>
      <c r="X900" s="9" t="str">
        <f>INDEX(Lookup!$A$2:$A$1349, MATCH(W900, Lookup!$B$2:$B$1349,0))</f>
        <v>J04001445</v>
      </c>
      <c r="Y900" s="9" t="str">
        <f>INDEX(Lookup!$F$2:$F$1349, MATCH(W900, Lookup!$B$2:$B$1349,0))</f>
        <v>e140385</v>
      </c>
      <c r="Z900" s="6" t="str">
        <f>INDEX(Lookup!$C$2:$C$1300, MATCH(X900, Lookup!$A$2:$A$1300,0))</f>
        <v>Outer London</v>
      </c>
    </row>
    <row r="901" spans="1:26" ht="28.15" customHeight="1" x14ac:dyDescent="0.2">
      <c r="A901" s="6" t="s">
        <v>179</v>
      </c>
      <c r="B901" s="1" t="s">
        <v>179</v>
      </c>
      <c r="T901" s="10"/>
      <c r="W901" s="9" t="str">
        <f t="shared" si="49"/>
        <v xml:space="preserve">Urban Districts-- </v>
      </c>
      <c r="X901" s="9" t="e">
        <f>INDEX(Lookup!$A$2:$A$1349, MATCH(W901, Lookup!$B$2:$B$1349,0))</f>
        <v>#N/A</v>
      </c>
      <c r="Y901" s="9" t="e">
        <f>INDEX(Lookup!$F$2:$F$1349, MATCH(W901, Lookup!$B$2:$B$1349,0))</f>
        <v>#N/A</v>
      </c>
      <c r="Z901" s="6" t="e">
        <f>INDEX(Lookup!$C$2:$C$1300, MATCH(X901, Lookup!$A$2:$A$1300,0))</f>
        <v>#N/A</v>
      </c>
    </row>
    <row r="902" spans="1:26" ht="28.15" customHeight="1" x14ac:dyDescent="0.2">
      <c r="A902" s="6" t="s">
        <v>800</v>
      </c>
      <c r="B902" s="1" t="s">
        <v>800</v>
      </c>
      <c r="C902" s="2">
        <v>13104</v>
      </c>
      <c r="D902" s="2">
        <v>1045292</v>
      </c>
      <c r="E902" s="2">
        <v>2382</v>
      </c>
      <c r="F902" s="2">
        <v>264834</v>
      </c>
      <c r="G902" s="2">
        <v>6</v>
      </c>
      <c r="H902" s="2">
        <v>1444</v>
      </c>
      <c r="I902" s="2">
        <v>431</v>
      </c>
      <c r="J902" s="2">
        <v>117040</v>
      </c>
      <c r="K902" s="2">
        <v>63</v>
      </c>
      <c r="L902" s="2">
        <v>37637</v>
      </c>
      <c r="M902" s="2">
        <v>1498</v>
      </c>
      <c r="N902" s="2">
        <v>180224</v>
      </c>
      <c r="O902" s="2">
        <v>126</v>
      </c>
      <c r="P902" s="2">
        <v>1473361</v>
      </c>
      <c r="Q902" s="2">
        <v>105032</v>
      </c>
      <c r="R902" s="2">
        <v>351689</v>
      </c>
      <c r="S902" s="2">
        <v>3576553</v>
      </c>
      <c r="T902" s="10">
        <f t="shared" si="47"/>
        <v>1311570</v>
      </c>
      <c r="U902" s="8">
        <f t="shared" si="48"/>
        <v>0.36671342490940301</v>
      </c>
      <c r="V902" s="9" t="s">
        <v>5270</v>
      </c>
      <c r="W902" s="9" t="str">
        <f t="shared" si="49"/>
        <v>Feltham UD</v>
      </c>
      <c r="X902" s="9" t="str">
        <f>INDEX(Lookup!$A$2:$A$1349, MATCH(W902, Lookup!$B$2:$B$1349,0))</f>
        <v>J04000500</v>
      </c>
      <c r="Y902" s="9" t="str">
        <f>INDEX(Lookup!$F$2:$F$1349, MATCH(W902, Lookup!$B$2:$B$1349,0))</f>
        <v>e140389</v>
      </c>
      <c r="Z902" s="6" t="str">
        <f>INDEX(Lookup!$C$2:$C$1300, MATCH(X902, Lookup!$A$2:$A$1300,0))</f>
        <v>Outer London</v>
      </c>
    </row>
    <row r="903" spans="1:26" ht="28.15" customHeight="1" x14ac:dyDescent="0.2">
      <c r="A903" s="6" t="s">
        <v>801</v>
      </c>
      <c r="B903" s="1" t="s">
        <v>801</v>
      </c>
      <c r="C903" s="2">
        <v>2819</v>
      </c>
      <c r="D903" s="2">
        <v>231283</v>
      </c>
      <c r="E903" s="2">
        <v>4829</v>
      </c>
      <c r="F903" s="2">
        <v>646346</v>
      </c>
      <c r="G903" s="2">
        <v>616</v>
      </c>
      <c r="H903" s="2">
        <v>142476</v>
      </c>
      <c r="I903" s="2">
        <v>294</v>
      </c>
      <c r="J903" s="2">
        <v>66479</v>
      </c>
      <c r="K903" s="2">
        <v>16</v>
      </c>
      <c r="L903" s="2">
        <v>4954</v>
      </c>
      <c r="M903" s="2">
        <v>852</v>
      </c>
      <c r="N903" s="2">
        <v>39816</v>
      </c>
      <c r="O903" s="2">
        <v>23</v>
      </c>
      <c r="P903" s="2">
        <v>26435</v>
      </c>
      <c r="Q903" s="2">
        <v>20072</v>
      </c>
      <c r="R903" s="2">
        <v>86258</v>
      </c>
      <c r="S903" s="2">
        <v>1264119</v>
      </c>
      <c r="T903" s="10">
        <f t="shared" si="47"/>
        <v>1020105</v>
      </c>
      <c r="U903" s="8">
        <f t="shared" si="48"/>
        <v>0.80696912236901752</v>
      </c>
      <c r="V903" s="9" t="s">
        <v>5270</v>
      </c>
      <c r="W903" s="9" t="str">
        <f t="shared" si="49"/>
        <v>Friern Barnet UD</v>
      </c>
      <c r="X903" s="9" t="str">
        <f>INDEX(Lookup!$A$2:$A$1349, MATCH(W903, Lookup!$B$2:$B$1349,0))</f>
        <v>J04000516</v>
      </c>
      <c r="Y903" s="9" t="str">
        <f>INDEX(Lookup!$F$2:$F$1349, MATCH(W903, Lookup!$B$2:$B$1349,0))</f>
        <v>e140372</v>
      </c>
      <c r="Z903" s="6" t="str">
        <f>INDEX(Lookup!$C$2:$C$1300, MATCH(X903, Lookup!$A$2:$A$1300,0))</f>
        <v>Outer London</v>
      </c>
    </row>
    <row r="904" spans="1:26" ht="28.15" customHeight="1" x14ac:dyDescent="0.2">
      <c r="A904" s="6" t="s">
        <v>802</v>
      </c>
      <c r="B904" s="1" t="s">
        <v>5381</v>
      </c>
      <c r="C904" s="2">
        <v>16416</v>
      </c>
      <c r="D904" s="2">
        <v>1337475</v>
      </c>
      <c r="E904" s="2">
        <v>4087</v>
      </c>
      <c r="F904" s="2">
        <v>445290</v>
      </c>
      <c r="G904" s="2">
        <v>11</v>
      </c>
      <c r="H904" s="2">
        <v>2828</v>
      </c>
      <c r="I904" s="2">
        <v>612</v>
      </c>
      <c r="J904" s="2">
        <v>245680</v>
      </c>
      <c r="K904" s="2">
        <v>124</v>
      </c>
      <c r="L904" s="2">
        <v>67915</v>
      </c>
      <c r="M904" s="2">
        <v>1414</v>
      </c>
      <c r="N904" s="2">
        <v>229804</v>
      </c>
      <c r="O904" s="2">
        <v>101</v>
      </c>
      <c r="P904" s="2">
        <v>1569170</v>
      </c>
      <c r="Q904" s="2">
        <v>104803</v>
      </c>
      <c r="R904" s="2">
        <v>311366</v>
      </c>
      <c r="S904" s="2">
        <v>4314331</v>
      </c>
      <c r="T904" s="10">
        <f t="shared" si="47"/>
        <v>1785593</v>
      </c>
      <c r="U904" s="8">
        <f t="shared" si="48"/>
        <v>0.41387482787018426</v>
      </c>
      <c r="V904" s="9" t="s">
        <v>5270</v>
      </c>
      <c r="W904" s="9" t="str">
        <f t="shared" si="49"/>
        <v>Hayes and Harlington UD</v>
      </c>
      <c r="X904" s="9" t="str">
        <f>INDEX(Lookup!$A$2:$A$1349, MATCH(W904, Lookup!$B$2:$B$1349,0))</f>
        <v>J04000594</v>
      </c>
      <c r="Y904" s="9" t="str">
        <f>INDEX(Lookup!$F$2:$F$1349, MATCH(W904, Lookup!$B$2:$B$1349,0))</f>
        <v>e140388</v>
      </c>
      <c r="Z904" s="6" t="str">
        <f>INDEX(Lookup!$C$2:$C$1300, MATCH(X904, Lookup!$A$2:$A$1300,0))</f>
        <v>Outer London</v>
      </c>
    </row>
    <row r="905" spans="1:26" ht="28.15" customHeight="1" x14ac:dyDescent="0.2">
      <c r="A905" s="6" t="s">
        <v>803</v>
      </c>
      <c r="B905" s="1" t="s">
        <v>803</v>
      </c>
      <c r="C905" s="2">
        <v>2028</v>
      </c>
      <c r="D905" s="2">
        <v>167270</v>
      </c>
      <c r="E905" s="2">
        <v>5371</v>
      </c>
      <c r="F905" s="2">
        <v>656021</v>
      </c>
      <c r="G905" s="2">
        <v>174</v>
      </c>
      <c r="H905" s="2">
        <v>42440</v>
      </c>
      <c r="I905" s="2">
        <v>258</v>
      </c>
      <c r="J905" s="2">
        <v>102432</v>
      </c>
      <c r="K905" s="2">
        <v>37</v>
      </c>
      <c r="L905" s="2">
        <v>11857</v>
      </c>
      <c r="M905" s="2">
        <v>627</v>
      </c>
      <c r="N905" s="2">
        <v>58125</v>
      </c>
      <c r="O905" s="2">
        <v>55</v>
      </c>
      <c r="P905" s="2">
        <v>82245</v>
      </c>
      <c r="Q905" s="2">
        <v>7911</v>
      </c>
      <c r="R905" s="2">
        <v>101040</v>
      </c>
      <c r="S905" s="2">
        <v>1229341</v>
      </c>
      <c r="T905" s="10">
        <f t="shared" si="47"/>
        <v>865731</v>
      </c>
      <c r="U905" s="8">
        <f t="shared" si="48"/>
        <v>0.70422364502607493</v>
      </c>
      <c r="V905" s="9" t="s">
        <v>5270</v>
      </c>
      <c r="W905" s="9" t="str">
        <f t="shared" si="49"/>
        <v>Potters Bar UD</v>
      </c>
      <c r="X905" s="9" t="str">
        <f>INDEX(Lookup!$A$2:$A$1349, MATCH(W905, Lookup!$B$2:$B$1349,0))</f>
        <v>J04001013</v>
      </c>
      <c r="Y905" s="9" t="str">
        <f>INDEX(Lookup!$F$2:$F$1349, MATCH(W905, Lookup!$B$2:$B$1349,0))</f>
        <v>e170467</v>
      </c>
      <c r="Z905" s="6" t="str">
        <f>INDEX(Lookup!$C$2:$C$1300, MATCH(X905, Lookup!$A$2:$A$1300,0))</f>
        <v>Hertfordshire</v>
      </c>
    </row>
    <row r="906" spans="1:26" ht="28.15" customHeight="1" x14ac:dyDescent="0.2">
      <c r="A906" s="6" t="s">
        <v>804</v>
      </c>
      <c r="B906" s="1" t="s">
        <v>5427</v>
      </c>
      <c r="C906" s="2">
        <v>8305</v>
      </c>
      <c r="D906" s="2">
        <v>715374</v>
      </c>
      <c r="E906" s="2">
        <v>13222</v>
      </c>
      <c r="F906" s="2">
        <v>1715956</v>
      </c>
      <c r="G906" s="2">
        <v>1200</v>
      </c>
      <c r="H906" s="2">
        <v>324150</v>
      </c>
      <c r="I906" s="2">
        <v>828</v>
      </c>
      <c r="J906" s="2">
        <v>337893</v>
      </c>
      <c r="K906" s="2">
        <v>75</v>
      </c>
      <c r="L906" s="2">
        <v>180353</v>
      </c>
      <c r="M906" s="2">
        <v>1342</v>
      </c>
      <c r="N906" s="2">
        <v>281676</v>
      </c>
      <c r="O906" s="2">
        <v>48</v>
      </c>
      <c r="P906" s="2">
        <v>225750</v>
      </c>
      <c r="Q906" s="2">
        <v>115978</v>
      </c>
      <c r="R906" s="2">
        <v>301357</v>
      </c>
      <c r="S906" s="2">
        <v>4198487</v>
      </c>
      <c r="T906" s="10">
        <f t="shared" si="47"/>
        <v>2755480</v>
      </c>
      <c r="U906" s="8">
        <f t="shared" si="48"/>
        <v>0.65630309204244286</v>
      </c>
      <c r="V906" s="9" t="s">
        <v>5270</v>
      </c>
      <c r="W906" s="9" t="str">
        <f t="shared" si="49"/>
        <v>Ruislip Northwood UD</v>
      </c>
      <c r="X906" s="9" t="str">
        <f>INDEX(Lookup!$A$2:$A$1349, MATCH(W906, Lookup!$B$2:$B$1349,0))</f>
        <v>J04001080</v>
      </c>
      <c r="Y906" s="9" t="str">
        <f>INDEX(Lookup!$F$2:$F$1349, MATCH(W906, Lookup!$B$2:$B$1349,0))</f>
        <v>e140388</v>
      </c>
      <c r="Z906" s="6" t="str">
        <f>INDEX(Lookup!$C$2:$C$1300, MATCH(X906, Lookup!$A$2:$A$1300,0))</f>
        <v>Outer London</v>
      </c>
    </row>
    <row r="907" spans="1:26" ht="28.15" customHeight="1" x14ac:dyDescent="0.2">
      <c r="A907" s="6" t="s">
        <v>805</v>
      </c>
      <c r="B907" s="1" t="s">
        <v>805</v>
      </c>
      <c r="C907" s="2">
        <v>11186</v>
      </c>
      <c r="D907" s="2">
        <v>879767</v>
      </c>
      <c r="E907" s="2">
        <v>4106</v>
      </c>
      <c r="F907" s="2">
        <v>493222</v>
      </c>
      <c r="G907" s="2">
        <v>158</v>
      </c>
      <c r="H907" s="2">
        <v>38567</v>
      </c>
      <c r="I907" s="2">
        <v>626</v>
      </c>
      <c r="J907" s="2">
        <v>344450</v>
      </c>
      <c r="K907" s="2">
        <v>126</v>
      </c>
      <c r="L907" s="2">
        <v>35765</v>
      </c>
      <c r="M907" s="2">
        <v>1329</v>
      </c>
      <c r="N907" s="2">
        <v>152198</v>
      </c>
      <c r="O907" s="2">
        <v>180</v>
      </c>
      <c r="P907" s="2">
        <v>499510</v>
      </c>
      <c r="Q907" s="2">
        <v>49744</v>
      </c>
      <c r="R907" s="2">
        <v>428993</v>
      </c>
      <c r="S907" s="2">
        <v>2922216</v>
      </c>
      <c r="T907" s="10">
        <f t="shared" si="47"/>
        <v>1411556</v>
      </c>
      <c r="U907" s="8">
        <f t="shared" si="48"/>
        <v>0.48304300571894754</v>
      </c>
      <c r="V907" s="9" t="s">
        <v>5270</v>
      </c>
      <c r="W907" s="9" t="str">
        <f t="shared" si="49"/>
        <v>Staines UD</v>
      </c>
      <c r="X907" s="9" t="str">
        <f>INDEX(Lookup!$A$2:$A$1349, MATCH(W907, Lookup!$B$2:$B$1349,0))</f>
        <v>J04001198</v>
      </c>
      <c r="Y907" s="9" t="str">
        <f>INDEX(Lookup!$F$2:$F$1349, MATCH(W907, Lookup!$B$2:$B$1349,0))</f>
        <v>e361018</v>
      </c>
      <c r="Z907" s="6" t="str">
        <f>INDEX(Lookup!$C$2:$C$1300, MATCH(X907, Lookup!$A$2:$A$1300,0))</f>
        <v>Surrey</v>
      </c>
    </row>
    <row r="908" spans="1:26" ht="28.15" customHeight="1" x14ac:dyDescent="0.2">
      <c r="A908" s="6" t="s">
        <v>806</v>
      </c>
      <c r="B908" s="1" t="s">
        <v>5428</v>
      </c>
      <c r="C908" s="2">
        <v>6651</v>
      </c>
      <c r="D908" s="2">
        <v>499317</v>
      </c>
      <c r="E908" s="2">
        <v>4062</v>
      </c>
      <c r="F908" s="2">
        <v>501671</v>
      </c>
      <c r="G908" s="2">
        <v>95</v>
      </c>
      <c r="H908" s="2">
        <v>23618</v>
      </c>
      <c r="I908" s="2">
        <v>276</v>
      </c>
      <c r="J908" s="2">
        <v>52867</v>
      </c>
      <c r="K908" s="2">
        <v>29</v>
      </c>
      <c r="L908" s="2">
        <v>11832</v>
      </c>
      <c r="M908" s="2">
        <v>869</v>
      </c>
      <c r="N908" s="2">
        <v>64181</v>
      </c>
      <c r="O908" s="2">
        <v>86</v>
      </c>
      <c r="P908" s="2">
        <v>355345</v>
      </c>
      <c r="Q908" s="2">
        <v>6678</v>
      </c>
      <c r="R908" s="2">
        <v>546295</v>
      </c>
      <c r="S908" s="2">
        <v>2061804</v>
      </c>
      <c r="T908" s="10">
        <f t="shared" si="47"/>
        <v>1024606</v>
      </c>
      <c r="U908" s="8">
        <f t="shared" si="48"/>
        <v>0.49694636347586868</v>
      </c>
      <c r="V908" s="9" t="s">
        <v>5270</v>
      </c>
      <c r="W908" s="9" t="str">
        <f t="shared" si="49"/>
        <v>Sunbury on Thames UD</v>
      </c>
      <c r="X908" s="9" t="str">
        <f>INDEX(Lookup!$A$2:$A$1349, MATCH(W908, Lookup!$B$2:$B$1349,0))</f>
        <v>J04001230</v>
      </c>
      <c r="Y908" s="9" t="str">
        <f>INDEX(Lookup!$F$2:$F$1349, MATCH(W908, Lookup!$B$2:$B$1349,0))</f>
        <v>e361019</v>
      </c>
      <c r="Z908" s="6" t="str">
        <f>INDEX(Lookup!$C$2:$C$1300, MATCH(X908, Lookup!$A$2:$A$1300,0))</f>
        <v>Surrey</v>
      </c>
    </row>
    <row r="909" spans="1:26" ht="28.15" customHeight="1" x14ac:dyDescent="0.2">
      <c r="A909" s="6" t="s">
        <v>807</v>
      </c>
      <c r="B909" s="1" t="s">
        <v>807</v>
      </c>
      <c r="C909" s="2">
        <v>5814</v>
      </c>
      <c r="D909" s="2">
        <v>449069</v>
      </c>
      <c r="E909" s="2">
        <v>1022</v>
      </c>
      <c r="F909" s="2">
        <v>120148</v>
      </c>
      <c r="G909" s="2">
        <v>23</v>
      </c>
      <c r="H909" s="2">
        <v>5932</v>
      </c>
      <c r="I909" s="2">
        <v>295</v>
      </c>
      <c r="J909" s="2">
        <v>112271</v>
      </c>
      <c r="K909" s="2">
        <v>176</v>
      </c>
      <c r="L909" s="2">
        <v>223929</v>
      </c>
      <c r="M909" s="2">
        <v>794</v>
      </c>
      <c r="N909" s="2">
        <v>260607</v>
      </c>
      <c r="O909" s="2">
        <v>100</v>
      </c>
      <c r="P909" s="2">
        <v>860080</v>
      </c>
      <c r="Q909" s="2">
        <v>256347</v>
      </c>
      <c r="R909" s="2">
        <v>287464</v>
      </c>
      <c r="S909" s="2">
        <v>2575847</v>
      </c>
      <c r="T909" s="10">
        <f t="shared" si="47"/>
        <v>575149</v>
      </c>
      <c r="U909" s="8">
        <f t="shared" si="48"/>
        <v>0.22328538923313379</v>
      </c>
      <c r="V909" s="9" t="s">
        <v>5270</v>
      </c>
      <c r="W909" s="9" t="str">
        <f t="shared" si="49"/>
        <v>Yiewsley and West Drayton UD</v>
      </c>
      <c r="X909" s="9" t="str">
        <f>INDEX(Lookup!$A$2:$A$1349, MATCH(W909, Lookup!$B$2:$B$1349,0))</f>
        <v>J04001465</v>
      </c>
      <c r="Y909" s="9" t="str">
        <f>INDEX(Lookup!$F$2:$F$1349, MATCH(W909, Lookup!$B$2:$B$1349,0))</f>
        <v>e140388</v>
      </c>
      <c r="Z909" s="6" t="str">
        <f>INDEX(Lookup!$C$2:$C$1300, MATCH(X909, Lookup!$A$2:$A$1300,0))</f>
        <v>Outer London</v>
      </c>
    </row>
    <row r="910" spans="1:26" ht="28.15" customHeight="1" x14ac:dyDescent="0.2">
      <c r="A910" s="6" t="s">
        <v>808</v>
      </c>
      <c r="B910" s="1" t="s">
        <v>808</v>
      </c>
      <c r="T910" s="10"/>
      <c r="W910" s="9" t="str">
        <f t="shared" si="49"/>
        <v xml:space="preserve">NORFOLK: </v>
      </c>
      <c r="X910" s="9" t="e">
        <f>INDEX(Lookup!$A$2:$A$1349, MATCH(W910, Lookup!$B$2:$B$1349,0))</f>
        <v>#N/A</v>
      </c>
      <c r="Y910" s="9" t="e">
        <f>INDEX(Lookup!$F$2:$F$1349, MATCH(W910, Lookup!$B$2:$B$1349,0))</f>
        <v>#N/A</v>
      </c>
      <c r="Z910" s="6" t="e">
        <f>INDEX(Lookup!$C$2:$C$1300, MATCH(X910, Lookup!$A$2:$A$1300,0))</f>
        <v>#N/A</v>
      </c>
    </row>
    <row r="911" spans="1:26" ht="28.15" customHeight="1" x14ac:dyDescent="0.2">
      <c r="A911" s="6" t="s">
        <v>175</v>
      </c>
      <c r="B911" s="1" t="s">
        <v>175</v>
      </c>
      <c r="T911" s="10"/>
      <c r="W911" s="9" t="str">
        <f t="shared" si="49"/>
        <v xml:space="preserve">Non-County Boroughs-- </v>
      </c>
      <c r="X911" s="9" t="e">
        <f>INDEX(Lookup!$A$2:$A$1349, MATCH(W911, Lookup!$B$2:$B$1349,0))</f>
        <v>#N/A</v>
      </c>
      <c r="Y911" s="9" t="e">
        <f>INDEX(Lookup!$F$2:$F$1349, MATCH(W911, Lookup!$B$2:$B$1349,0))</f>
        <v>#N/A</v>
      </c>
      <c r="Z911" s="6" t="e">
        <f>INDEX(Lookup!$C$2:$C$1300, MATCH(X911, Lookup!$A$2:$A$1300,0))</f>
        <v>#N/A</v>
      </c>
    </row>
    <row r="912" spans="1:26" ht="28.15" customHeight="1" x14ac:dyDescent="0.2">
      <c r="A912" s="6" t="s">
        <v>809</v>
      </c>
      <c r="B912" s="1" t="s">
        <v>5410</v>
      </c>
      <c r="C912" s="2">
        <v>8269</v>
      </c>
      <c r="D912" s="2">
        <v>413012</v>
      </c>
      <c r="E912" s="2">
        <v>591</v>
      </c>
      <c r="F912" s="2">
        <v>73250</v>
      </c>
      <c r="G912" s="2">
        <v>20</v>
      </c>
      <c r="H912" s="2">
        <v>5047</v>
      </c>
      <c r="I912" s="2">
        <v>573</v>
      </c>
      <c r="J912" s="2">
        <v>236012</v>
      </c>
      <c r="K912" s="2">
        <v>146</v>
      </c>
      <c r="L912" s="2">
        <v>26595</v>
      </c>
      <c r="M912" s="2">
        <v>570</v>
      </c>
      <c r="N912" s="2">
        <v>112417</v>
      </c>
      <c r="O912" s="2">
        <v>100</v>
      </c>
      <c r="P912" s="2">
        <v>451037</v>
      </c>
      <c r="Q912" s="2">
        <v>13595</v>
      </c>
      <c r="R912" s="2">
        <v>145051</v>
      </c>
      <c r="S912" s="2">
        <v>1476016</v>
      </c>
      <c r="T912" s="10">
        <f t="shared" si="47"/>
        <v>491309</v>
      </c>
      <c r="U912" s="8">
        <f t="shared" si="48"/>
        <v>0.33286156789628296</v>
      </c>
      <c r="V912" s="9" t="s">
        <v>5268</v>
      </c>
      <c r="W912" s="9" t="str">
        <f t="shared" si="49"/>
        <v>Kings Lynn MB</v>
      </c>
      <c r="X912" s="9" t="str">
        <f>INDEX(Lookup!$A$2:$A$1349, MATCH(W912, Lookup!$B$2:$B$1349,0))</f>
        <v>J04000695</v>
      </c>
      <c r="Y912" s="9" t="str">
        <f>INDEX(Lookup!$F$2:$F$1349, MATCH(W912, Lookup!$B$2:$B$1349,0))</f>
        <v>e250765</v>
      </c>
      <c r="Z912" s="6" t="str">
        <f>INDEX(Lookup!$C$2:$C$1300, MATCH(X912, Lookup!$A$2:$A$1300,0))</f>
        <v>Norfolk</v>
      </c>
    </row>
    <row r="913" spans="1:26" ht="28.15" customHeight="1" x14ac:dyDescent="0.2">
      <c r="A913" s="6" t="s">
        <v>810</v>
      </c>
      <c r="B913" s="1" t="s">
        <v>810</v>
      </c>
      <c r="C913" s="2">
        <v>2077</v>
      </c>
      <c r="D913" s="2">
        <v>91521</v>
      </c>
      <c r="E913" s="2">
        <v>49</v>
      </c>
      <c r="F913" s="2">
        <v>5890</v>
      </c>
      <c r="G913" s="2">
        <v>3</v>
      </c>
      <c r="H913" s="2">
        <v>742</v>
      </c>
      <c r="I913" s="2">
        <v>111</v>
      </c>
      <c r="J913" s="2">
        <v>23415</v>
      </c>
      <c r="K913" s="2">
        <v>18</v>
      </c>
      <c r="L913" s="2">
        <v>3651</v>
      </c>
      <c r="M913" s="2">
        <v>406</v>
      </c>
      <c r="N913" s="2">
        <v>25079</v>
      </c>
      <c r="O913" s="2">
        <v>47</v>
      </c>
      <c r="P913" s="2">
        <v>52232</v>
      </c>
      <c r="Q913" s="2">
        <v>7693</v>
      </c>
      <c r="R913" s="2">
        <v>21317</v>
      </c>
      <c r="S913" s="2">
        <v>231540</v>
      </c>
      <c r="T913" s="10">
        <f t="shared" si="47"/>
        <v>98153</v>
      </c>
      <c r="U913" s="8">
        <f t="shared" si="48"/>
        <v>0.42391379459272693</v>
      </c>
      <c r="V913" s="9" t="s">
        <v>5268</v>
      </c>
      <c r="W913" s="9" t="str">
        <f t="shared" si="49"/>
        <v>Thetford MB</v>
      </c>
      <c r="X913" s="9" t="str">
        <f>INDEX(Lookup!$A$2:$A$1349, MATCH(W913, Lookup!$B$2:$B$1349,0))</f>
        <v>J04001267</v>
      </c>
      <c r="Y913" s="9" t="str">
        <f>INDEX(Lookup!$F$2:$F$1349, MATCH(W913, Lookup!$B$2:$B$1349,0))</f>
        <v>e250769</v>
      </c>
      <c r="Z913" s="6" t="str">
        <f>INDEX(Lookup!$C$2:$C$1300, MATCH(X913, Lookup!$A$2:$A$1300,0))</f>
        <v>Norfolk</v>
      </c>
    </row>
    <row r="914" spans="1:26" ht="28.15" customHeight="1" x14ac:dyDescent="0.2">
      <c r="A914" s="6" t="s">
        <v>179</v>
      </c>
      <c r="B914" s="1" t="s">
        <v>179</v>
      </c>
      <c r="T914" s="10"/>
      <c r="W914" s="9" t="str">
        <f t="shared" si="49"/>
        <v xml:space="preserve">Urban Districts-- </v>
      </c>
      <c r="X914" s="9" t="e">
        <f>INDEX(Lookup!$A$2:$A$1349, MATCH(W914, Lookup!$B$2:$B$1349,0))</f>
        <v>#N/A</v>
      </c>
      <c r="Y914" s="9" t="e">
        <f>INDEX(Lookup!$F$2:$F$1349, MATCH(W914, Lookup!$B$2:$B$1349,0))</f>
        <v>#N/A</v>
      </c>
      <c r="Z914" s="6" t="e">
        <f>INDEX(Lookup!$C$2:$C$1300, MATCH(X914, Lookup!$A$2:$A$1300,0))</f>
        <v>#N/A</v>
      </c>
    </row>
    <row r="915" spans="1:26" ht="28.15" customHeight="1" x14ac:dyDescent="0.2">
      <c r="A915" s="6" t="s">
        <v>811</v>
      </c>
      <c r="B915" s="1" t="s">
        <v>5327</v>
      </c>
      <c r="C915" s="2">
        <v>1393</v>
      </c>
      <c r="D915" s="2">
        <v>69308</v>
      </c>
      <c r="E915" s="2">
        <v>263</v>
      </c>
      <c r="F915" s="2">
        <v>32630</v>
      </c>
      <c r="G915" s="2">
        <v>8</v>
      </c>
      <c r="H915" s="2">
        <v>2085</v>
      </c>
      <c r="I915" s="2">
        <v>169</v>
      </c>
      <c r="J915" s="2">
        <v>26831</v>
      </c>
      <c r="K915" s="2">
        <v>22</v>
      </c>
      <c r="L915" s="2">
        <v>1636</v>
      </c>
      <c r="M915" s="2">
        <v>175</v>
      </c>
      <c r="N915" s="2">
        <v>30772</v>
      </c>
      <c r="O915" s="2">
        <v>10</v>
      </c>
      <c r="P915" s="2">
        <v>4335</v>
      </c>
      <c r="Q915" s="2">
        <v>3572</v>
      </c>
      <c r="R915" s="2">
        <v>22948</v>
      </c>
      <c r="S915" s="2">
        <v>194117</v>
      </c>
      <c r="T915" s="10">
        <f t="shared" si="47"/>
        <v>104023</v>
      </c>
      <c r="U915" s="8">
        <f t="shared" si="48"/>
        <v>0.53587784686555018</v>
      </c>
      <c r="V915" s="9" t="s">
        <v>5270</v>
      </c>
      <c r="W915" s="9" t="str">
        <f t="shared" si="49"/>
        <v>Cromer UD</v>
      </c>
      <c r="X915" s="9" t="str">
        <f>INDEX(Lookup!$A$2:$A$1349, MATCH(W915, Lookup!$B$2:$B$1349,0))</f>
        <v>J04000367</v>
      </c>
      <c r="Y915" s="9" t="str">
        <f>INDEX(Lookup!$F$2:$F$1349, MATCH(W915, Lookup!$B$2:$B$1349,0))</f>
        <v>e250760</v>
      </c>
      <c r="Z915" s="6" t="str">
        <f>INDEX(Lookup!$C$2:$C$1300, MATCH(X915, Lookup!$A$2:$A$1300,0))</f>
        <v>Norfolk</v>
      </c>
    </row>
    <row r="916" spans="1:26" ht="28.15" customHeight="1" x14ac:dyDescent="0.2">
      <c r="A916" s="6" t="s">
        <v>812</v>
      </c>
      <c r="B916" s="1" t="s">
        <v>812</v>
      </c>
      <c r="C916" s="2">
        <v>1219</v>
      </c>
      <c r="D916" s="2">
        <v>51029</v>
      </c>
      <c r="E916" s="2">
        <v>67</v>
      </c>
      <c r="F916" s="2">
        <v>7974</v>
      </c>
      <c r="G916" s="2">
        <v>1</v>
      </c>
      <c r="H916" s="2">
        <v>226</v>
      </c>
      <c r="I916" s="2">
        <v>118</v>
      </c>
      <c r="J916" s="2">
        <v>23464</v>
      </c>
      <c r="K916" s="2">
        <v>25</v>
      </c>
      <c r="L916" s="2">
        <v>2339</v>
      </c>
      <c r="M916" s="2">
        <v>141</v>
      </c>
      <c r="N916" s="2">
        <v>12809</v>
      </c>
      <c r="O916" s="2">
        <v>20</v>
      </c>
      <c r="P916" s="2">
        <v>12781</v>
      </c>
      <c r="Q916" s="2">
        <v>1256</v>
      </c>
      <c r="R916" s="2">
        <v>19265</v>
      </c>
      <c r="S916" s="2">
        <v>131143</v>
      </c>
      <c r="T916" s="10">
        <f t="shared" si="47"/>
        <v>59229</v>
      </c>
      <c r="U916" s="8">
        <f t="shared" si="48"/>
        <v>0.45163676292291621</v>
      </c>
      <c r="V916" s="9" t="s">
        <v>5270</v>
      </c>
      <c r="W916" s="9" t="str">
        <f t="shared" si="49"/>
        <v>Diss UD</v>
      </c>
      <c r="X916" s="9" t="str">
        <f>INDEX(Lookup!$A$2:$A$1349, MATCH(W916, Lookup!$B$2:$B$1349,0))</f>
        <v>J04000409</v>
      </c>
      <c r="Y916" s="9" t="str">
        <f>INDEX(Lookup!$F$2:$F$1349, MATCH(W916, Lookup!$B$2:$B$1349,0))</f>
        <v>e250761</v>
      </c>
      <c r="Z916" s="6" t="str">
        <f>INDEX(Lookup!$C$2:$C$1300, MATCH(X916, Lookup!$A$2:$A$1300,0))</f>
        <v>Norfolk</v>
      </c>
    </row>
    <row r="917" spans="1:26" ht="28.15" customHeight="1" x14ac:dyDescent="0.2">
      <c r="A917" s="6" t="s">
        <v>813</v>
      </c>
      <c r="B917" s="1" t="s">
        <v>813</v>
      </c>
      <c r="C917" s="2">
        <v>838</v>
      </c>
      <c r="D917" s="2">
        <v>37993</v>
      </c>
      <c r="E917" s="2">
        <v>81</v>
      </c>
      <c r="F917" s="2">
        <v>10122</v>
      </c>
      <c r="G917" s="2">
        <v>2</v>
      </c>
      <c r="H917" s="2">
        <v>452</v>
      </c>
      <c r="I917" s="2">
        <v>119</v>
      </c>
      <c r="J917" s="2">
        <v>15012</v>
      </c>
      <c r="K917" s="2">
        <v>18</v>
      </c>
      <c r="L917" s="2">
        <v>1502</v>
      </c>
      <c r="M917" s="2">
        <v>76</v>
      </c>
      <c r="N917" s="2">
        <v>6476</v>
      </c>
      <c r="O917" s="2">
        <v>15</v>
      </c>
      <c r="P917" s="2">
        <v>8970</v>
      </c>
      <c r="Q917" s="2">
        <v>493</v>
      </c>
      <c r="R917" s="2">
        <v>27737</v>
      </c>
      <c r="S917" s="2">
        <v>105099</v>
      </c>
      <c r="T917" s="10">
        <f t="shared" si="47"/>
        <v>48567</v>
      </c>
      <c r="U917" s="8">
        <f t="shared" si="48"/>
        <v>0.46210715610995345</v>
      </c>
      <c r="V917" s="9" t="s">
        <v>5270</v>
      </c>
      <c r="W917" s="9" t="str">
        <f t="shared" si="49"/>
        <v>Downham Market UD</v>
      </c>
      <c r="X917" s="9" t="str">
        <f>INDEX(Lookup!$A$2:$A$1349, MATCH(W917, Lookup!$B$2:$B$1349,0))</f>
        <v>J04000423</v>
      </c>
      <c r="Y917" s="9" t="str">
        <f>INDEX(Lookup!$F$2:$F$1349, MATCH(W917, Lookup!$B$2:$B$1349,0))</f>
        <v>e250762</v>
      </c>
      <c r="Z917" s="6" t="str">
        <f>INDEX(Lookup!$C$2:$C$1300, MATCH(X917, Lookup!$A$2:$A$1300,0))</f>
        <v>Norfolk</v>
      </c>
    </row>
    <row r="918" spans="1:26" ht="28.15" customHeight="1" x14ac:dyDescent="0.2">
      <c r="A918" s="6" t="s">
        <v>814</v>
      </c>
      <c r="B918" s="1" t="s">
        <v>814</v>
      </c>
      <c r="C918" s="2">
        <v>2427</v>
      </c>
      <c r="D918" s="2">
        <v>107082</v>
      </c>
      <c r="E918" s="2">
        <v>60</v>
      </c>
      <c r="F918" s="2">
        <v>7212</v>
      </c>
      <c r="G918" s="2">
        <v>2</v>
      </c>
      <c r="H918" s="2">
        <v>432</v>
      </c>
      <c r="I918" s="2">
        <v>145</v>
      </c>
      <c r="J918" s="2">
        <v>25129</v>
      </c>
      <c r="K918" s="2">
        <v>31</v>
      </c>
      <c r="L918" s="2">
        <v>3882</v>
      </c>
      <c r="M918" s="2">
        <v>256</v>
      </c>
      <c r="N918" s="2">
        <v>18015</v>
      </c>
      <c r="O918" s="2">
        <v>18</v>
      </c>
      <c r="P918" s="2">
        <v>50990</v>
      </c>
      <c r="Q918" s="2">
        <v>2132</v>
      </c>
      <c r="R918" s="2">
        <v>23677</v>
      </c>
      <c r="S918" s="2">
        <v>242611</v>
      </c>
      <c r="T918" s="10">
        <f t="shared" si="47"/>
        <v>114726</v>
      </c>
      <c r="U918" s="8">
        <f t="shared" si="48"/>
        <v>0.47288045471969531</v>
      </c>
      <c r="V918" s="9" t="s">
        <v>5270</v>
      </c>
      <c r="W918" s="9" t="str">
        <f t="shared" si="49"/>
        <v>East Dereham UD</v>
      </c>
      <c r="X918" s="9" t="str">
        <f>INDEX(Lookup!$A$2:$A$1349, MATCH(W918, Lookup!$B$2:$B$1349,0))</f>
        <v>J04000448</v>
      </c>
      <c r="Y918" s="9" t="str">
        <f>INDEX(Lookup!$F$2:$F$1349, MATCH(W918, Lookup!$B$2:$B$1349,0))</f>
        <v>e250763</v>
      </c>
      <c r="Z918" s="6" t="str">
        <f>INDEX(Lookup!$C$2:$C$1300, MATCH(X918, Lookup!$A$2:$A$1300,0))</f>
        <v>Norfolk</v>
      </c>
    </row>
    <row r="919" spans="1:26" ht="28.15" customHeight="1" x14ac:dyDescent="0.2">
      <c r="A919" s="6" t="s">
        <v>815</v>
      </c>
      <c r="B919" s="1" t="s">
        <v>815</v>
      </c>
      <c r="C919" s="2">
        <v>1169</v>
      </c>
      <c r="D919" s="2">
        <v>70214</v>
      </c>
      <c r="E919" s="2">
        <v>318</v>
      </c>
      <c r="F919" s="2">
        <v>41632</v>
      </c>
      <c r="G919" s="2">
        <v>56</v>
      </c>
      <c r="H919" s="2">
        <v>11077</v>
      </c>
      <c r="I919" s="2">
        <v>104</v>
      </c>
      <c r="J919" s="2">
        <v>24805</v>
      </c>
      <c r="K919" s="2">
        <v>14</v>
      </c>
      <c r="L919" s="2">
        <v>753</v>
      </c>
      <c r="M919" s="2">
        <v>135</v>
      </c>
      <c r="N919" s="2">
        <v>32673</v>
      </c>
      <c r="O919" s="2">
        <v>3</v>
      </c>
      <c r="P919" s="2">
        <v>520</v>
      </c>
      <c r="Q919" s="2">
        <v>911</v>
      </c>
      <c r="R919" s="2">
        <v>25793</v>
      </c>
      <c r="S919" s="2">
        <v>206262</v>
      </c>
      <c r="T919" s="10">
        <f t="shared" si="47"/>
        <v>122923</v>
      </c>
      <c r="U919" s="8">
        <f t="shared" si="48"/>
        <v>0.59595562924823764</v>
      </c>
      <c r="V919" s="9" t="s">
        <v>5270</v>
      </c>
      <c r="W919" s="9" t="str">
        <f t="shared" si="49"/>
        <v>Hunstanton UD</v>
      </c>
      <c r="X919" s="9" t="str">
        <f>INDEX(Lookup!$A$2:$A$1349, MATCH(W919, Lookup!$B$2:$B$1349,0))</f>
        <v>J04000659</v>
      </c>
      <c r="Y919" s="9" t="str">
        <f>INDEX(Lookup!$F$2:$F$1349, MATCH(W919, Lookup!$B$2:$B$1349,0))</f>
        <v>e250764</v>
      </c>
      <c r="Z919" s="6" t="str">
        <f>INDEX(Lookup!$C$2:$C$1300, MATCH(X919, Lookup!$A$2:$A$1300,0))</f>
        <v>Norfolk</v>
      </c>
    </row>
    <row r="920" spans="1:26" ht="28.15" customHeight="1" x14ac:dyDescent="0.2">
      <c r="A920" s="6" t="s">
        <v>816</v>
      </c>
      <c r="B920" s="1" t="s">
        <v>816</v>
      </c>
      <c r="C920" s="2">
        <v>1733</v>
      </c>
      <c r="D920" s="2">
        <v>76205</v>
      </c>
      <c r="E920" s="2">
        <v>71</v>
      </c>
      <c r="F920" s="2">
        <v>8410</v>
      </c>
      <c r="G920" s="2">
        <v>3</v>
      </c>
      <c r="H920" s="2">
        <v>702</v>
      </c>
      <c r="I920" s="2">
        <v>125</v>
      </c>
      <c r="J920" s="2">
        <v>15827</v>
      </c>
      <c r="K920" s="2">
        <v>35</v>
      </c>
      <c r="L920" s="2">
        <v>1932</v>
      </c>
      <c r="M920" s="2">
        <v>177</v>
      </c>
      <c r="N920" s="2">
        <v>8954</v>
      </c>
      <c r="O920" s="2">
        <v>19</v>
      </c>
      <c r="P920" s="2">
        <v>25775</v>
      </c>
      <c r="Q920" s="2">
        <v>961</v>
      </c>
      <c r="R920" s="2">
        <v>25793</v>
      </c>
      <c r="S920" s="2">
        <v>164559</v>
      </c>
      <c r="T920" s="10">
        <f t="shared" si="47"/>
        <v>85317</v>
      </c>
      <c r="U920" s="8">
        <f t="shared" si="48"/>
        <v>0.51845842524565655</v>
      </c>
      <c r="V920" s="9" t="s">
        <v>5270</v>
      </c>
      <c r="W920" s="9" t="str">
        <f t="shared" si="49"/>
        <v>North Walsham UD</v>
      </c>
      <c r="X920" s="9" t="str">
        <f>INDEX(Lookup!$A$2:$A$1349, MATCH(W920, Lookup!$B$2:$B$1349,0))</f>
        <v>J04000926</v>
      </c>
      <c r="Y920" s="9" t="str">
        <f>INDEX(Lookup!$F$2:$F$1349, MATCH(W920, Lookup!$B$2:$B$1349,0))</f>
        <v>e250766</v>
      </c>
      <c r="Z920" s="6" t="str">
        <f>INDEX(Lookup!$C$2:$C$1300, MATCH(X920, Lookup!$A$2:$A$1300,0))</f>
        <v>Norfolk</v>
      </c>
    </row>
    <row r="921" spans="1:26" ht="28.15" customHeight="1" x14ac:dyDescent="0.2">
      <c r="A921" s="6" t="s">
        <v>817</v>
      </c>
      <c r="B921" s="1" t="s">
        <v>817</v>
      </c>
      <c r="C921" s="2">
        <v>1541</v>
      </c>
      <c r="D921" s="2">
        <v>83971</v>
      </c>
      <c r="E921" s="2">
        <v>255</v>
      </c>
      <c r="F921" s="2">
        <v>31874</v>
      </c>
      <c r="G921" s="2">
        <v>3</v>
      </c>
      <c r="H921" s="2">
        <v>718</v>
      </c>
      <c r="I921" s="2">
        <v>148</v>
      </c>
      <c r="J921" s="2">
        <v>22305</v>
      </c>
      <c r="K921" s="2">
        <v>25</v>
      </c>
      <c r="L921" s="2">
        <v>2058</v>
      </c>
      <c r="M921" s="2">
        <v>183</v>
      </c>
      <c r="N921" s="2">
        <v>14558</v>
      </c>
      <c r="O921" s="2">
        <v>3</v>
      </c>
      <c r="P921" s="2">
        <v>1775</v>
      </c>
      <c r="Q921" s="2">
        <v>341</v>
      </c>
      <c r="R921" s="2">
        <v>23063</v>
      </c>
      <c r="S921" s="2">
        <v>180663</v>
      </c>
      <c r="T921" s="10">
        <f t="shared" si="47"/>
        <v>116563</v>
      </c>
      <c r="U921" s="8">
        <f t="shared" si="48"/>
        <v>0.64519575120528272</v>
      </c>
      <c r="V921" s="9" t="s">
        <v>5270</v>
      </c>
      <c r="W921" s="9" t="str">
        <f t="shared" si="49"/>
        <v>Sheringham UD</v>
      </c>
      <c r="X921" s="9" t="str">
        <f>INDEX(Lookup!$A$2:$A$1349, MATCH(W921, Lookup!$B$2:$B$1349,0))</f>
        <v>J04001133</v>
      </c>
      <c r="Y921" s="9" t="str">
        <f>INDEX(Lookup!$F$2:$F$1349, MATCH(W921, Lookup!$B$2:$B$1349,0))</f>
        <v>e250767</v>
      </c>
      <c r="Z921" s="6" t="str">
        <f>INDEX(Lookup!$C$2:$C$1300, MATCH(X921, Lookup!$A$2:$A$1300,0))</f>
        <v>Norfolk</v>
      </c>
    </row>
    <row r="922" spans="1:26" ht="28.15" customHeight="1" x14ac:dyDescent="0.2">
      <c r="A922" s="6" t="s">
        <v>818</v>
      </c>
      <c r="B922" s="1" t="s">
        <v>818</v>
      </c>
      <c r="C922" s="2">
        <v>989</v>
      </c>
      <c r="D922" s="2">
        <v>40910</v>
      </c>
      <c r="E922" s="2">
        <v>66</v>
      </c>
      <c r="F922" s="2">
        <v>8088</v>
      </c>
      <c r="G922" s="2">
        <v>1</v>
      </c>
      <c r="H922" s="2">
        <v>226</v>
      </c>
      <c r="I922" s="2">
        <v>81</v>
      </c>
      <c r="J922" s="2">
        <v>11346</v>
      </c>
      <c r="K922" s="2">
        <v>10</v>
      </c>
      <c r="L922" s="2">
        <v>973</v>
      </c>
      <c r="M922" s="2">
        <v>100</v>
      </c>
      <c r="N922" s="2">
        <v>8518</v>
      </c>
      <c r="O922" s="2">
        <v>6</v>
      </c>
      <c r="P922" s="2">
        <v>4095</v>
      </c>
      <c r="Q922" s="2">
        <v>2079</v>
      </c>
      <c r="R922" s="2">
        <v>19963</v>
      </c>
      <c r="S922" s="2">
        <v>96198</v>
      </c>
      <c r="T922" s="10">
        <f t="shared" si="47"/>
        <v>49224</v>
      </c>
      <c r="U922" s="8">
        <f t="shared" si="48"/>
        <v>0.5116946298259839</v>
      </c>
      <c r="V922" s="9" t="s">
        <v>5270</v>
      </c>
      <c r="W922" s="9" t="str">
        <f t="shared" si="49"/>
        <v>Swaffham UD</v>
      </c>
      <c r="X922" s="9" t="str">
        <f>INDEX(Lookup!$A$2:$A$1349, MATCH(W922, Lookup!$B$2:$B$1349,0))</f>
        <v>J04001239</v>
      </c>
      <c r="Y922" s="9" t="str">
        <f>INDEX(Lookup!$F$2:$F$1349, MATCH(W922, Lookup!$B$2:$B$1349,0))</f>
        <v>e250768</v>
      </c>
      <c r="Z922" s="6" t="str">
        <f>INDEX(Lookup!$C$2:$C$1300, MATCH(X922, Lookup!$A$2:$A$1300,0))</f>
        <v>Norfolk</v>
      </c>
    </row>
    <row r="923" spans="1:26" ht="28.15" customHeight="1" x14ac:dyDescent="0.2">
      <c r="A923" s="6" t="s">
        <v>819</v>
      </c>
      <c r="B923" s="1" t="s">
        <v>5429</v>
      </c>
      <c r="C923" s="2">
        <v>861</v>
      </c>
      <c r="D923" s="2">
        <v>29919</v>
      </c>
      <c r="E923" s="2">
        <v>32</v>
      </c>
      <c r="F923" s="2">
        <v>3832</v>
      </c>
      <c r="G923" s="2">
        <v>1</v>
      </c>
      <c r="H923" s="2">
        <v>234</v>
      </c>
      <c r="I923" s="2">
        <v>74</v>
      </c>
      <c r="J923" s="2">
        <v>8388</v>
      </c>
      <c r="K923" s="2">
        <v>7</v>
      </c>
      <c r="L923" s="2">
        <v>236</v>
      </c>
      <c r="M923" s="2">
        <v>136</v>
      </c>
      <c r="N923" s="2">
        <v>11302</v>
      </c>
      <c r="O923" s="2">
        <v>9</v>
      </c>
      <c r="P923" s="2">
        <v>4835</v>
      </c>
      <c r="Q923" s="2">
        <v>548</v>
      </c>
      <c r="R923" s="2">
        <v>7231</v>
      </c>
      <c r="S923" s="2">
        <v>66525</v>
      </c>
      <c r="T923" s="10">
        <f t="shared" si="47"/>
        <v>33985</v>
      </c>
      <c r="U923" s="8">
        <f t="shared" si="48"/>
        <v>0.51086057872980084</v>
      </c>
      <c r="V923" s="9" t="s">
        <v>5270</v>
      </c>
      <c r="W923" s="9" t="str">
        <f t="shared" si="49"/>
        <v>Wells Next the Sea UD</v>
      </c>
      <c r="X923" s="9" t="str">
        <f>INDEX(Lookup!$A$2:$A$1349, MATCH(W923, Lookup!$B$2:$B$1349,0))</f>
        <v>J04001367</v>
      </c>
      <c r="Y923" s="9" t="str">
        <f>INDEX(Lookup!$F$2:$F$1349, MATCH(W923, Lookup!$B$2:$B$1349,0))</f>
        <v>e250770</v>
      </c>
      <c r="Z923" s="6" t="str">
        <f>INDEX(Lookup!$C$2:$C$1300, MATCH(X923, Lookup!$A$2:$A$1300,0))</f>
        <v>Norfolk</v>
      </c>
    </row>
    <row r="924" spans="1:26" ht="28.15" customHeight="1" x14ac:dyDescent="0.2">
      <c r="A924" s="6" t="s">
        <v>820</v>
      </c>
      <c r="B924" s="1" t="s">
        <v>820</v>
      </c>
      <c r="C924" s="2">
        <v>1780</v>
      </c>
      <c r="D924" s="2">
        <v>73384</v>
      </c>
      <c r="E924" s="2">
        <v>53</v>
      </c>
      <c r="F924" s="2">
        <v>6202</v>
      </c>
      <c r="G924" s="2">
        <v>2</v>
      </c>
      <c r="H924" s="2">
        <v>492</v>
      </c>
      <c r="I924" s="2">
        <v>101</v>
      </c>
      <c r="J924" s="2">
        <v>14385</v>
      </c>
      <c r="K924" s="2">
        <v>8</v>
      </c>
      <c r="L924" s="2">
        <v>972</v>
      </c>
      <c r="M924" s="2">
        <v>170</v>
      </c>
      <c r="N924" s="2">
        <v>11899</v>
      </c>
      <c r="O924" s="2">
        <v>17</v>
      </c>
      <c r="P924" s="2">
        <v>28445</v>
      </c>
      <c r="Q924" s="2">
        <v>570</v>
      </c>
      <c r="R924" s="2">
        <v>28076</v>
      </c>
      <c r="S924" s="2">
        <v>164425</v>
      </c>
      <c r="T924" s="10">
        <f t="shared" si="47"/>
        <v>80078</v>
      </c>
      <c r="U924" s="8">
        <f t="shared" si="48"/>
        <v>0.4870183974456439</v>
      </c>
      <c r="V924" s="9" t="s">
        <v>5270</v>
      </c>
      <c r="W924" s="9" t="str">
        <f t="shared" si="49"/>
        <v>Wymondham UD</v>
      </c>
      <c r="X924" s="9" t="str">
        <f>INDEX(Lookup!$A$2:$A$1349, MATCH(W924, Lookup!$B$2:$B$1349,0))</f>
        <v>J04001462</v>
      </c>
      <c r="Y924" s="9" t="str">
        <f>INDEX(Lookup!$F$2:$F$1349, MATCH(W924, Lookup!$B$2:$B$1349,0))</f>
        <v>e250771</v>
      </c>
      <c r="Z924" s="6" t="str">
        <f>INDEX(Lookup!$C$2:$C$1300, MATCH(X924, Lookup!$A$2:$A$1300,0))</f>
        <v>Norfolk</v>
      </c>
    </row>
    <row r="925" spans="1:26" ht="28.15" customHeight="1" x14ac:dyDescent="0.2">
      <c r="A925" s="6" t="s">
        <v>212</v>
      </c>
      <c r="B925" s="1" t="s">
        <v>212</v>
      </c>
      <c r="T925" s="10"/>
      <c r="W925" s="9" t="str">
        <f t="shared" si="49"/>
        <v xml:space="preserve">Rural Districts-- </v>
      </c>
      <c r="X925" s="9" t="e">
        <f>INDEX(Lookup!$A$2:$A$1349, MATCH(W925, Lookup!$B$2:$B$1349,0))</f>
        <v>#N/A</v>
      </c>
      <c r="Y925" s="9" t="e">
        <f>INDEX(Lookup!$F$2:$F$1349, MATCH(W925, Lookup!$B$2:$B$1349,0))</f>
        <v>#N/A</v>
      </c>
      <c r="Z925" s="6" t="e">
        <f>INDEX(Lookup!$C$2:$C$1300, MATCH(X925, Lookup!$A$2:$A$1300,0))</f>
        <v>#N/A</v>
      </c>
    </row>
    <row r="926" spans="1:26" ht="28.15" customHeight="1" x14ac:dyDescent="0.2">
      <c r="A926" s="6" t="s">
        <v>821</v>
      </c>
      <c r="B926" s="1" t="s">
        <v>5382</v>
      </c>
      <c r="C926" s="2">
        <v>10905</v>
      </c>
      <c r="D926" s="2">
        <v>511361</v>
      </c>
      <c r="E926" s="2">
        <v>520</v>
      </c>
      <c r="F926" s="2">
        <v>63771</v>
      </c>
      <c r="G926" s="2">
        <v>21</v>
      </c>
      <c r="H926" s="2">
        <v>5277</v>
      </c>
      <c r="I926" s="2">
        <v>348</v>
      </c>
      <c r="J926" s="2">
        <v>32214</v>
      </c>
      <c r="K926" s="2">
        <v>17</v>
      </c>
      <c r="L926" s="2">
        <v>2266</v>
      </c>
      <c r="M926" s="2">
        <v>526</v>
      </c>
      <c r="N926" s="2">
        <v>88549</v>
      </c>
      <c r="O926" s="2">
        <v>26</v>
      </c>
      <c r="P926" s="2">
        <v>83294</v>
      </c>
      <c r="Q926" s="2">
        <v>19214</v>
      </c>
      <c r="R926" s="2">
        <v>169901</v>
      </c>
      <c r="S926" s="2">
        <v>975847</v>
      </c>
      <c r="T926" s="10">
        <f t="shared" si="47"/>
        <v>580409</v>
      </c>
      <c r="U926" s="8">
        <f t="shared" si="48"/>
        <v>0.59477459068890925</v>
      </c>
      <c r="V926" s="9" t="s">
        <v>5271</v>
      </c>
      <c r="W926" s="9" t="str">
        <f t="shared" si="49"/>
        <v>Blofield and Flegg RD</v>
      </c>
      <c r="X926" s="9" t="str">
        <f>INDEX(Lookup!$A$2:$A$1349, MATCH(W926, Lookup!$B$2:$B$1349,0))</f>
        <v>J04000165</v>
      </c>
      <c r="Y926" s="9" t="str">
        <f>INDEX(Lookup!$F$2:$F$1349, MATCH(W926, Lookup!$B$2:$B$1349,0))</f>
        <v>e250772</v>
      </c>
      <c r="Z926" s="6" t="str">
        <f>INDEX(Lookup!$C$2:$C$1300, MATCH(X926, Lookup!$A$2:$A$1300,0))</f>
        <v>Norfolk</v>
      </c>
    </row>
    <row r="927" spans="1:26" ht="28.15" customHeight="1" x14ac:dyDescent="0.2">
      <c r="A927" s="6" t="s">
        <v>822</v>
      </c>
      <c r="B927" s="1" t="s">
        <v>822</v>
      </c>
      <c r="C927" s="2">
        <v>4793</v>
      </c>
      <c r="D927" s="2">
        <v>156180</v>
      </c>
      <c r="E927" s="2">
        <v>101</v>
      </c>
      <c r="F927" s="2">
        <v>12722</v>
      </c>
      <c r="G927" s="2">
        <v>3</v>
      </c>
      <c r="H927" s="2">
        <v>796</v>
      </c>
      <c r="I927" s="2">
        <v>195</v>
      </c>
      <c r="J927" s="2">
        <v>18329</v>
      </c>
      <c r="K927" s="2">
        <v>17</v>
      </c>
      <c r="L927" s="2">
        <v>2379</v>
      </c>
      <c r="M927" s="2">
        <v>329</v>
      </c>
      <c r="N927" s="2">
        <v>18334</v>
      </c>
      <c r="O927" s="2">
        <v>26</v>
      </c>
      <c r="P927" s="2">
        <v>37485</v>
      </c>
      <c r="Q927" s="2">
        <v>634</v>
      </c>
      <c r="R927" s="2">
        <v>78685</v>
      </c>
      <c r="S927" s="2">
        <v>325544</v>
      </c>
      <c r="T927" s="10">
        <f t="shared" si="47"/>
        <v>169698</v>
      </c>
      <c r="U927" s="8">
        <f t="shared" si="48"/>
        <v>0.52127515788956336</v>
      </c>
      <c r="V927" s="9" t="s">
        <v>5271</v>
      </c>
      <c r="W927" s="9" t="str">
        <f t="shared" si="49"/>
        <v>Depwade RD</v>
      </c>
      <c r="X927" s="9" t="str">
        <f>INDEX(Lookup!$A$2:$A$1349, MATCH(W927, Lookup!$B$2:$B$1349,0))</f>
        <v>J04000400</v>
      </c>
      <c r="Y927" s="9" t="str">
        <f>INDEX(Lookup!$F$2:$F$1349, MATCH(W927, Lookup!$B$2:$B$1349,0))</f>
        <v>e250773</v>
      </c>
      <c r="Z927" s="6" t="str">
        <f>INDEX(Lookup!$C$2:$C$1300, MATCH(X927, Lookup!$A$2:$A$1300,0))</f>
        <v>Norfolk</v>
      </c>
    </row>
    <row r="928" spans="1:26" ht="28.15" customHeight="1" x14ac:dyDescent="0.2">
      <c r="A928" s="6" t="s">
        <v>823</v>
      </c>
      <c r="B928" s="1" t="s">
        <v>823</v>
      </c>
      <c r="C928" s="2">
        <v>5055</v>
      </c>
      <c r="D928" s="2">
        <v>194296</v>
      </c>
      <c r="E928" s="2">
        <v>261</v>
      </c>
      <c r="F928" s="2">
        <v>34790</v>
      </c>
      <c r="G928" s="2">
        <v>39</v>
      </c>
      <c r="H928" s="2">
        <v>9933</v>
      </c>
      <c r="I928" s="2">
        <v>224</v>
      </c>
      <c r="J928" s="2">
        <v>18898</v>
      </c>
      <c r="K928" s="2">
        <v>6</v>
      </c>
      <c r="L928" s="2">
        <v>80</v>
      </c>
      <c r="M928" s="2">
        <v>383</v>
      </c>
      <c r="N928" s="2">
        <v>40432</v>
      </c>
      <c r="O928" s="2">
        <v>6</v>
      </c>
      <c r="P928" s="2">
        <v>9385</v>
      </c>
      <c r="Q928" s="2">
        <v>5021</v>
      </c>
      <c r="R928" s="2">
        <v>73056</v>
      </c>
      <c r="S928" s="2">
        <v>385891</v>
      </c>
      <c r="T928" s="10">
        <f t="shared" si="47"/>
        <v>239019</v>
      </c>
      <c r="U928" s="8">
        <f t="shared" si="48"/>
        <v>0.61939511416436244</v>
      </c>
      <c r="V928" s="9" t="s">
        <v>5271</v>
      </c>
      <c r="W928" s="9" t="str">
        <f t="shared" si="49"/>
        <v>Docking RD</v>
      </c>
      <c r="X928" s="9" t="str">
        <f>INDEX(Lookup!$A$2:$A$1349, MATCH(W928, Lookup!$B$2:$B$1349,0))</f>
        <v>J04000410</v>
      </c>
      <c r="Y928" s="9" t="str">
        <f>INDEX(Lookup!$F$2:$F$1349, MATCH(W928, Lookup!$B$2:$B$1349,0))</f>
        <v>e250774</v>
      </c>
      <c r="Z928" s="6" t="str">
        <f>INDEX(Lookup!$C$2:$C$1300, MATCH(X928, Lookup!$A$2:$A$1300,0))</f>
        <v>Norfolk</v>
      </c>
    </row>
    <row r="929" spans="1:26" ht="28.15" customHeight="1" x14ac:dyDescent="0.2">
      <c r="A929" s="6" t="s">
        <v>824</v>
      </c>
      <c r="B929" s="1" t="s">
        <v>824</v>
      </c>
      <c r="C929" s="2">
        <v>5055</v>
      </c>
      <c r="D929" s="2">
        <v>180346</v>
      </c>
      <c r="E929" s="2">
        <v>82</v>
      </c>
      <c r="F929" s="2">
        <v>10620</v>
      </c>
      <c r="G929" s="2">
        <v>4</v>
      </c>
      <c r="H929" s="2">
        <v>964</v>
      </c>
      <c r="I929" s="2">
        <v>192</v>
      </c>
      <c r="J929" s="2">
        <v>15063</v>
      </c>
      <c r="K929" s="2">
        <v>17</v>
      </c>
      <c r="L929" s="2">
        <v>1081</v>
      </c>
      <c r="M929" s="2">
        <v>397</v>
      </c>
      <c r="N929" s="2">
        <v>23868</v>
      </c>
      <c r="O929" s="2">
        <v>12</v>
      </c>
      <c r="P929" s="2">
        <v>53470</v>
      </c>
      <c r="Q929" s="2">
        <v>81695</v>
      </c>
      <c r="R929" s="2">
        <v>106909</v>
      </c>
      <c r="S929" s="2">
        <v>474016</v>
      </c>
      <c r="T929" s="10">
        <f t="shared" si="47"/>
        <v>191930</v>
      </c>
      <c r="U929" s="8">
        <f t="shared" si="48"/>
        <v>0.40490194423816916</v>
      </c>
      <c r="V929" s="9" t="s">
        <v>5271</v>
      </c>
      <c r="W929" s="9" t="str">
        <f t="shared" si="49"/>
        <v>Downham RD</v>
      </c>
      <c r="X929" s="9" t="str">
        <f>INDEX(Lookup!$A$2:$A$1349, MATCH(W929, Lookup!$B$2:$B$1349,0))</f>
        <v>J04000424</v>
      </c>
      <c r="Y929" s="9" t="str">
        <f>INDEX(Lookup!$F$2:$F$1349, MATCH(W929, Lookup!$B$2:$B$1349,0))</f>
        <v>e250775</v>
      </c>
      <c r="Z929" s="6" t="str">
        <f>INDEX(Lookup!$C$2:$C$1300, MATCH(X929, Lookup!$A$2:$A$1300,0))</f>
        <v>Norfolk</v>
      </c>
    </row>
    <row r="930" spans="1:26" ht="28.15" customHeight="1" x14ac:dyDescent="0.2">
      <c r="A930" s="6" t="s">
        <v>825</v>
      </c>
      <c r="B930" s="1" t="s">
        <v>825</v>
      </c>
      <c r="C930" s="2">
        <v>5553</v>
      </c>
      <c r="D930" s="2">
        <v>201786</v>
      </c>
      <c r="E930" s="2">
        <v>347</v>
      </c>
      <c r="F930" s="2">
        <v>43974</v>
      </c>
      <c r="G930" s="2">
        <v>15</v>
      </c>
      <c r="H930" s="2">
        <v>4806</v>
      </c>
      <c r="I930" s="2">
        <v>233</v>
      </c>
      <c r="J930" s="2">
        <v>24117</v>
      </c>
      <c r="K930" s="2">
        <v>26</v>
      </c>
      <c r="L930" s="2">
        <v>1317</v>
      </c>
      <c r="M930" s="2">
        <v>364</v>
      </c>
      <c r="N930" s="2">
        <v>41904</v>
      </c>
      <c r="O930" s="2">
        <v>15</v>
      </c>
      <c r="P930" s="2">
        <v>5810</v>
      </c>
      <c r="Q930" s="2">
        <v>6307</v>
      </c>
      <c r="R930" s="2">
        <v>85169</v>
      </c>
      <c r="S930" s="2">
        <v>415190</v>
      </c>
      <c r="T930" s="10">
        <f t="shared" si="47"/>
        <v>250566</v>
      </c>
      <c r="U930" s="8">
        <f t="shared" si="48"/>
        <v>0.60349719405573354</v>
      </c>
      <c r="V930" s="9" t="s">
        <v>5271</v>
      </c>
      <c r="W930" s="9" t="str">
        <f t="shared" si="49"/>
        <v>Erpingham RD</v>
      </c>
      <c r="X930" s="9" t="str">
        <f>INDEX(Lookup!$A$2:$A$1349, MATCH(W930, Lookup!$B$2:$B$1349,0))</f>
        <v>J04000479</v>
      </c>
      <c r="Y930" s="9" t="str">
        <f>INDEX(Lookup!$F$2:$F$1349, MATCH(W930, Lookup!$B$2:$B$1349,0))</f>
        <v>e250776</v>
      </c>
      <c r="Z930" s="6" t="str">
        <f>INDEX(Lookup!$C$2:$C$1300, MATCH(X930, Lookup!$A$2:$A$1300,0))</f>
        <v>Norfolk</v>
      </c>
    </row>
    <row r="931" spans="1:26" ht="28.15" customHeight="1" x14ac:dyDescent="0.2">
      <c r="A931" s="6" t="s">
        <v>826</v>
      </c>
      <c r="B931" s="1" t="s">
        <v>5383</v>
      </c>
      <c r="C931" s="2">
        <v>8055</v>
      </c>
      <c r="D931" s="2">
        <v>350908</v>
      </c>
      <c r="E931" s="2">
        <v>486</v>
      </c>
      <c r="F931" s="2">
        <v>61623</v>
      </c>
      <c r="G931" s="2">
        <v>42</v>
      </c>
      <c r="H931" s="2">
        <v>11127</v>
      </c>
      <c r="I931" s="2">
        <v>164</v>
      </c>
      <c r="J931" s="2">
        <v>17215</v>
      </c>
      <c r="K931" s="2">
        <v>6</v>
      </c>
      <c r="L931" s="2">
        <v>597</v>
      </c>
      <c r="M931" s="2">
        <v>265</v>
      </c>
      <c r="N931" s="2">
        <v>28984</v>
      </c>
      <c r="O931" s="2">
        <v>27</v>
      </c>
      <c r="P931" s="2">
        <v>19237</v>
      </c>
      <c r="Q931" s="2">
        <v>6143</v>
      </c>
      <c r="R931" s="2">
        <v>111698</v>
      </c>
      <c r="S931" s="2">
        <v>607532</v>
      </c>
      <c r="T931" s="10">
        <f t="shared" si="47"/>
        <v>423658</v>
      </c>
      <c r="U931" s="8">
        <f t="shared" si="48"/>
        <v>0.69734269141378558</v>
      </c>
      <c r="V931" s="9" t="s">
        <v>5271</v>
      </c>
      <c r="W931" s="9" t="str">
        <f t="shared" si="49"/>
        <v>Forehoe and Henstead RD</v>
      </c>
      <c r="X931" s="9" t="str">
        <f>INDEX(Lookup!$A$2:$A$1349, MATCH(W931, Lookup!$B$2:$B$1349,0))</f>
        <v>J04000512</v>
      </c>
      <c r="Y931" s="9" t="str">
        <f>INDEX(Lookup!$F$2:$F$1349, MATCH(W931, Lookup!$B$2:$B$1349,0))</f>
        <v>e250777</v>
      </c>
      <c r="Z931" s="6" t="str">
        <f>INDEX(Lookup!$C$2:$C$1300, MATCH(X931, Lookup!$A$2:$A$1300,0))</f>
        <v>Norfolk</v>
      </c>
    </row>
    <row r="932" spans="1:26" ht="28.15" customHeight="1" x14ac:dyDescent="0.2">
      <c r="A932" s="6" t="s">
        <v>827</v>
      </c>
      <c r="B932" s="1" t="s">
        <v>827</v>
      </c>
      <c r="C932" s="2">
        <v>3185</v>
      </c>
      <c r="D932" s="2">
        <v>129400</v>
      </c>
      <c r="E932" s="2">
        <v>270</v>
      </c>
      <c r="F932" s="2">
        <v>36621</v>
      </c>
      <c r="G932" s="2">
        <v>34</v>
      </c>
      <c r="H932" s="2">
        <v>8798</v>
      </c>
      <c r="I932" s="2">
        <v>76</v>
      </c>
      <c r="J932" s="2">
        <v>5833</v>
      </c>
      <c r="K932" s="2">
        <v>4</v>
      </c>
      <c r="L932" s="2">
        <v>145</v>
      </c>
      <c r="M932" s="2">
        <v>230</v>
      </c>
      <c r="N932" s="2">
        <v>14174</v>
      </c>
      <c r="O932" s="2">
        <v>8</v>
      </c>
      <c r="P932" s="2">
        <v>16950</v>
      </c>
      <c r="Q932" s="2">
        <v>1675</v>
      </c>
      <c r="R932" s="2">
        <v>76640</v>
      </c>
      <c r="S932" s="2">
        <v>290236</v>
      </c>
      <c r="T932" s="10">
        <f t="shared" si="47"/>
        <v>174819</v>
      </c>
      <c r="U932" s="8">
        <f t="shared" si="48"/>
        <v>0.60233396270621153</v>
      </c>
      <c r="V932" s="9" t="s">
        <v>5271</v>
      </c>
      <c r="W932" s="9" t="str">
        <f t="shared" si="49"/>
        <v>Freebridge Lynn RD</v>
      </c>
      <c r="X932" s="9" t="str">
        <f>INDEX(Lookup!$A$2:$A$1349, MATCH(W932, Lookup!$B$2:$B$1349,0))</f>
        <v>J04000515</v>
      </c>
      <c r="Y932" s="9" t="str">
        <f>INDEX(Lookup!$F$2:$F$1349, MATCH(W932, Lookup!$B$2:$B$1349,0))</f>
        <v>e250778</v>
      </c>
      <c r="Z932" s="6" t="str">
        <f>INDEX(Lookup!$C$2:$C$1300, MATCH(X932, Lookup!$A$2:$A$1300,0))</f>
        <v>Norfolk</v>
      </c>
    </row>
    <row r="933" spans="1:26" ht="28.15" customHeight="1" x14ac:dyDescent="0.2">
      <c r="A933" s="6" t="s">
        <v>828</v>
      </c>
      <c r="B933" s="1" t="s">
        <v>828</v>
      </c>
      <c r="C933" s="2">
        <v>3133</v>
      </c>
      <c r="D933" s="2">
        <v>115517</v>
      </c>
      <c r="E933" s="2">
        <v>82</v>
      </c>
      <c r="F933" s="2">
        <v>10237</v>
      </c>
      <c r="G933" s="2">
        <v>10</v>
      </c>
      <c r="H933" s="2">
        <v>2972</v>
      </c>
      <c r="I933" s="2">
        <v>85</v>
      </c>
      <c r="J933" s="2">
        <v>6984</v>
      </c>
      <c r="K933" s="2">
        <v>5</v>
      </c>
      <c r="L933" s="2">
        <v>409</v>
      </c>
      <c r="M933" s="2">
        <v>256</v>
      </c>
      <c r="N933" s="2">
        <v>12422</v>
      </c>
      <c r="O933" s="2">
        <v>15</v>
      </c>
      <c r="P933" s="2">
        <v>17000</v>
      </c>
      <c r="Q933" s="2">
        <v>1609</v>
      </c>
      <c r="R933" s="2">
        <v>70474</v>
      </c>
      <c r="S933" s="2">
        <v>237624</v>
      </c>
      <c r="T933" s="10">
        <f t="shared" si="47"/>
        <v>128726</v>
      </c>
      <c r="U933" s="8">
        <f t="shared" si="48"/>
        <v>0.54172137494529171</v>
      </c>
      <c r="V933" s="9" t="s">
        <v>5271</v>
      </c>
      <c r="W933" s="9" t="str">
        <f t="shared" si="49"/>
        <v>Loddon RD</v>
      </c>
      <c r="X933" s="9" t="str">
        <f>INDEX(Lookup!$A$2:$A$1349, MATCH(W933, Lookup!$B$2:$B$1349,0))</f>
        <v>J04000773</v>
      </c>
      <c r="Y933" s="9" t="str">
        <f>INDEX(Lookup!$F$2:$F$1349, MATCH(W933, Lookup!$B$2:$B$1349,0))</f>
        <v>e250779</v>
      </c>
      <c r="Z933" s="6" t="str">
        <f>INDEX(Lookup!$C$2:$C$1300, MATCH(X933, Lookup!$A$2:$A$1300,0))</f>
        <v>Norfolk</v>
      </c>
    </row>
    <row r="934" spans="1:26" ht="28.15" customHeight="1" x14ac:dyDescent="0.2">
      <c r="A934" s="6" t="s">
        <v>829</v>
      </c>
      <c r="B934" s="1" t="s">
        <v>829</v>
      </c>
      <c r="C934" s="2">
        <v>3985</v>
      </c>
      <c r="D934" s="2">
        <v>182011</v>
      </c>
      <c r="E934" s="2">
        <v>61</v>
      </c>
      <c r="F934" s="2">
        <v>8380</v>
      </c>
      <c r="G934" s="2">
        <v>4</v>
      </c>
      <c r="H934" s="2">
        <v>1004</v>
      </c>
      <c r="I934" s="2">
        <v>116</v>
      </c>
      <c r="J934" s="2">
        <v>9808</v>
      </c>
      <c r="K934" s="2">
        <v>6</v>
      </c>
      <c r="L934" s="2">
        <v>617</v>
      </c>
      <c r="M934" s="2">
        <v>280</v>
      </c>
      <c r="N934" s="2">
        <v>21623</v>
      </c>
      <c r="O934" s="2">
        <v>15</v>
      </c>
      <c r="P934" s="2">
        <v>9745</v>
      </c>
      <c r="Q934" s="2">
        <v>412</v>
      </c>
      <c r="R934" s="2">
        <v>91002</v>
      </c>
      <c r="S934" s="2">
        <v>324602</v>
      </c>
      <c r="T934" s="10">
        <f t="shared" si="47"/>
        <v>191395</v>
      </c>
      <c r="U934" s="8">
        <f t="shared" si="48"/>
        <v>0.58962976198544681</v>
      </c>
      <c r="V934" s="9" t="s">
        <v>5271</v>
      </c>
      <c r="W934" s="9" t="str">
        <f t="shared" si="49"/>
        <v>Marshland RD</v>
      </c>
      <c r="X934" s="9" t="str">
        <f>INDEX(Lookup!$A$2:$A$1349, MATCH(W934, Lookup!$B$2:$B$1349,0))</f>
        <v>J04000836</v>
      </c>
      <c r="Y934" s="9" t="str">
        <f>INDEX(Lookup!$F$2:$F$1349, MATCH(W934, Lookup!$B$2:$B$1349,0))</f>
        <v>e250780</v>
      </c>
      <c r="Z934" s="6" t="str">
        <f>INDEX(Lookup!$C$2:$C$1300, MATCH(X934, Lookup!$A$2:$A$1300,0))</f>
        <v>Norfolk</v>
      </c>
    </row>
    <row r="935" spans="1:26" ht="28.15" customHeight="1" x14ac:dyDescent="0.2">
      <c r="A935" s="6" t="s">
        <v>830</v>
      </c>
      <c r="B935" s="1" t="s">
        <v>5384</v>
      </c>
      <c r="C935" s="2">
        <v>4228</v>
      </c>
      <c r="D935" s="2">
        <v>123180</v>
      </c>
      <c r="E935" s="2">
        <v>76</v>
      </c>
      <c r="F935" s="2">
        <v>9567</v>
      </c>
      <c r="G935" s="2">
        <v>6</v>
      </c>
      <c r="H935" s="2">
        <v>1617</v>
      </c>
      <c r="I935" s="2">
        <v>139</v>
      </c>
      <c r="J935" s="2">
        <v>9179</v>
      </c>
      <c r="K935" s="2">
        <v>5</v>
      </c>
      <c r="L935" s="2">
        <v>601</v>
      </c>
      <c r="M935" s="2">
        <v>199</v>
      </c>
      <c r="N935" s="2">
        <v>12687</v>
      </c>
      <c r="O935" s="2">
        <v>15</v>
      </c>
      <c r="P935" s="2">
        <v>9525</v>
      </c>
      <c r="Q935" s="2">
        <v>20195</v>
      </c>
      <c r="R935" s="2">
        <v>68316</v>
      </c>
      <c r="S935" s="2">
        <v>254867</v>
      </c>
      <c r="T935" s="10">
        <f t="shared" si="47"/>
        <v>134364</v>
      </c>
      <c r="U935" s="8">
        <f t="shared" si="48"/>
        <v>0.52719261418700736</v>
      </c>
      <c r="V935" s="9" t="s">
        <v>5271</v>
      </c>
      <c r="W935" s="9" t="str">
        <f t="shared" si="49"/>
        <v>Mitford and Launditch RD</v>
      </c>
      <c r="X935" s="9" t="str">
        <f>INDEX(Lookup!$A$2:$A$1349, MATCH(W935, Lookup!$B$2:$B$1349,0))</f>
        <v>J04000863</v>
      </c>
      <c r="Y935" s="9" t="str">
        <f>INDEX(Lookup!$F$2:$F$1349, MATCH(W935, Lookup!$B$2:$B$1349,0))</f>
        <v>e250781</v>
      </c>
      <c r="Z935" s="6" t="str">
        <f>INDEX(Lookup!$C$2:$C$1300, MATCH(X935, Lookup!$A$2:$A$1300,0))</f>
        <v>Norfolk</v>
      </c>
    </row>
    <row r="936" spans="1:26" ht="28.15" customHeight="1" x14ac:dyDescent="0.2">
      <c r="A936" s="6" t="s">
        <v>831</v>
      </c>
      <c r="B936" s="1" t="s">
        <v>5411</v>
      </c>
      <c r="C936" s="2">
        <v>14215</v>
      </c>
      <c r="D936" s="2">
        <v>754686</v>
      </c>
      <c r="E936" s="2">
        <v>772</v>
      </c>
      <c r="F936" s="2">
        <v>93772</v>
      </c>
      <c r="G936" s="2">
        <v>33</v>
      </c>
      <c r="H936" s="2">
        <v>8490</v>
      </c>
      <c r="I936" s="2">
        <v>381</v>
      </c>
      <c r="J936" s="2">
        <v>43150</v>
      </c>
      <c r="K936" s="2">
        <v>40</v>
      </c>
      <c r="L936" s="2">
        <v>5062</v>
      </c>
      <c r="M936" s="2">
        <v>597</v>
      </c>
      <c r="N936" s="2">
        <v>63066</v>
      </c>
      <c r="O936" s="2">
        <v>70</v>
      </c>
      <c r="P936" s="2">
        <v>184045</v>
      </c>
      <c r="Q936" s="2">
        <v>54369</v>
      </c>
      <c r="R936" s="2">
        <v>144230</v>
      </c>
      <c r="S936" s="2">
        <v>1350870</v>
      </c>
      <c r="T936" s="10">
        <f t="shared" si="47"/>
        <v>856948</v>
      </c>
      <c r="U936" s="8">
        <f t="shared" si="48"/>
        <v>0.63436748169698043</v>
      </c>
      <c r="V936" s="9" t="s">
        <v>5271</v>
      </c>
      <c r="W936" s="9" t="str">
        <f t="shared" si="49"/>
        <v>St. Faiths and Aylsham RD</v>
      </c>
      <c r="X936" s="9" t="str">
        <f>INDEX(Lookup!$A$2:$A$1349, MATCH(W936, Lookup!$B$2:$B$1349,0))</f>
        <v>J04001184</v>
      </c>
      <c r="Y936" s="9" t="str">
        <f>INDEX(Lookup!$F$2:$F$1349, MATCH(W936, Lookup!$B$2:$B$1349,0))</f>
        <v>e250782</v>
      </c>
      <c r="Z936" s="6" t="str">
        <f>INDEX(Lookup!$C$2:$C$1300, MATCH(X936, Lookup!$A$2:$A$1300,0))</f>
        <v>Norfolk</v>
      </c>
    </row>
    <row r="937" spans="1:26" ht="28.15" customHeight="1" x14ac:dyDescent="0.2">
      <c r="A937" s="6" t="s">
        <v>832</v>
      </c>
      <c r="B937" s="1" t="s">
        <v>832</v>
      </c>
      <c r="C937" s="2">
        <v>5250</v>
      </c>
      <c r="D937" s="2">
        <v>185754</v>
      </c>
      <c r="E937" s="2">
        <v>159</v>
      </c>
      <c r="F937" s="2">
        <v>20275</v>
      </c>
      <c r="G937" s="2">
        <v>26</v>
      </c>
      <c r="H937" s="2">
        <v>7587</v>
      </c>
      <c r="I937" s="2">
        <v>218</v>
      </c>
      <c r="J937" s="2">
        <v>20826</v>
      </c>
      <c r="K937" s="2">
        <v>10</v>
      </c>
      <c r="L937" s="2">
        <v>551</v>
      </c>
      <c r="M937" s="2">
        <v>300</v>
      </c>
      <c r="N937" s="2">
        <v>28619</v>
      </c>
      <c r="O937" s="2">
        <v>34</v>
      </c>
      <c r="P937" s="2">
        <v>37527</v>
      </c>
      <c r="Q937" s="2">
        <v>27655</v>
      </c>
      <c r="R937" s="2">
        <v>97844</v>
      </c>
      <c r="S937" s="2">
        <v>426638</v>
      </c>
      <c r="T937" s="10">
        <f t="shared" si="47"/>
        <v>213616</v>
      </c>
      <c r="U937" s="8">
        <f t="shared" si="48"/>
        <v>0.50069614052194134</v>
      </c>
      <c r="V937" s="9" t="s">
        <v>5271</v>
      </c>
      <c r="W937" s="9" t="str">
        <f t="shared" si="49"/>
        <v>Smallburgh RD</v>
      </c>
      <c r="X937" s="9" t="str">
        <f>INDEX(Lookup!$A$2:$A$1349, MATCH(W937, Lookup!$B$2:$B$1349,0))</f>
        <v>J04001151</v>
      </c>
      <c r="Y937" s="9" t="str">
        <f>INDEX(Lookup!$F$2:$F$1349, MATCH(W937, Lookup!$B$2:$B$1349,0))</f>
        <v>e250783</v>
      </c>
      <c r="Z937" s="6" t="str">
        <f>INDEX(Lookup!$C$2:$C$1300, MATCH(X937, Lookup!$A$2:$A$1300,0))</f>
        <v>Norfolk</v>
      </c>
    </row>
    <row r="938" spans="1:26" ht="28.15" customHeight="1" x14ac:dyDescent="0.2">
      <c r="A938" s="6" t="s">
        <v>818</v>
      </c>
      <c r="B938" s="1" t="s">
        <v>818</v>
      </c>
      <c r="C938" s="2">
        <v>2350</v>
      </c>
      <c r="D938" s="2">
        <v>91070</v>
      </c>
      <c r="E938" s="2">
        <v>43</v>
      </c>
      <c r="F938" s="2">
        <v>5134</v>
      </c>
      <c r="G938" s="2">
        <v>7</v>
      </c>
      <c r="H938" s="2">
        <v>1742</v>
      </c>
      <c r="I938" s="2">
        <v>66</v>
      </c>
      <c r="J938" s="2">
        <v>5165</v>
      </c>
      <c r="M938" s="2">
        <v>135</v>
      </c>
      <c r="N938" s="2">
        <v>5359</v>
      </c>
      <c r="O938" s="2">
        <v>5</v>
      </c>
      <c r="P938" s="2">
        <v>5959</v>
      </c>
      <c r="Q938" s="2">
        <v>9470</v>
      </c>
      <c r="R938" s="2">
        <v>45974</v>
      </c>
      <c r="S938" s="2">
        <v>169873</v>
      </c>
      <c r="T938" s="10">
        <f t="shared" si="47"/>
        <v>97946</v>
      </c>
      <c r="U938" s="8">
        <f t="shared" si="48"/>
        <v>0.57658368310443686</v>
      </c>
      <c r="V938" s="9" t="s">
        <v>5271</v>
      </c>
      <c r="W938" s="9" t="str">
        <f t="shared" si="49"/>
        <v>Swaffham RD</v>
      </c>
      <c r="X938" s="9" t="str">
        <f>INDEX(Lookup!$A$2:$A$1349, MATCH(W938, Lookup!$B$2:$B$1349,0))</f>
        <v>J04001238</v>
      </c>
      <c r="Y938" s="9" t="str">
        <f>INDEX(Lookup!$F$2:$F$1349, MATCH(W938, Lookup!$B$2:$B$1349,0))</f>
        <v>e250784</v>
      </c>
      <c r="Z938" s="6" t="str">
        <f>INDEX(Lookup!$C$2:$C$1300, MATCH(X938, Lookup!$A$2:$A$1300,0))</f>
        <v>Norfolk</v>
      </c>
    </row>
    <row r="939" spans="1:26" ht="28.15" customHeight="1" x14ac:dyDescent="0.2">
      <c r="A939" s="6" t="s">
        <v>833</v>
      </c>
      <c r="B939" s="1" t="s">
        <v>833</v>
      </c>
      <c r="C939" s="2">
        <v>4938</v>
      </c>
      <c r="D939" s="2">
        <v>165985</v>
      </c>
      <c r="E939" s="2">
        <v>190</v>
      </c>
      <c r="F939" s="2">
        <v>24048</v>
      </c>
      <c r="G939" s="2">
        <v>19</v>
      </c>
      <c r="H939" s="2">
        <v>4696</v>
      </c>
      <c r="I939" s="2">
        <v>247</v>
      </c>
      <c r="J939" s="2">
        <v>29186</v>
      </c>
      <c r="K939" s="2">
        <v>30</v>
      </c>
      <c r="L939" s="2">
        <v>2853</v>
      </c>
      <c r="M939" s="2">
        <v>366</v>
      </c>
      <c r="N939" s="2">
        <v>35040</v>
      </c>
      <c r="O939" s="2">
        <v>23</v>
      </c>
      <c r="P939" s="2">
        <v>29565</v>
      </c>
      <c r="Q939" s="2">
        <v>76838</v>
      </c>
      <c r="R939" s="2">
        <v>82122</v>
      </c>
      <c r="S939" s="2">
        <v>450333</v>
      </c>
      <c r="T939" s="10">
        <f t="shared" si="47"/>
        <v>194729</v>
      </c>
      <c r="U939" s="8">
        <f t="shared" si="48"/>
        <v>0.43241112687722194</v>
      </c>
      <c r="V939" s="9" t="s">
        <v>5271</v>
      </c>
      <c r="W939" s="9" t="str">
        <f t="shared" si="49"/>
        <v>Walsingham RD</v>
      </c>
      <c r="X939" s="9" t="str">
        <f>INDEX(Lookup!$A$2:$A$1349, MATCH(W939, Lookup!$B$2:$B$1349,0))</f>
        <v>J04001329</v>
      </c>
      <c r="Y939" s="9" t="str">
        <f>INDEX(Lookup!$F$2:$F$1349, MATCH(W939, Lookup!$B$2:$B$1349,0))</f>
        <v>e250785</v>
      </c>
      <c r="Z939" s="6" t="str">
        <f>INDEX(Lookup!$C$2:$C$1300, MATCH(X939, Lookup!$A$2:$A$1300,0))</f>
        <v>Norfolk</v>
      </c>
    </row>
    <row r="940" spans="1:26" ht="28.15" customHeight="1" x14ac:dyDescent="0.2">
      <c r="A940" s="6" t="s">
        <v>834</v>
      </c>
      <c r="B940" s="1" t="s">
        <v>834</v>
      </c>
      <c r="C940" s="2">
        <v>5039</v>
      </c>
      <c r="D940" s="2">
        <v>160189</v>
      </c>
      <c r="E940" s="2">
        <v>113</v>
      </c>
      <c r="F940" s="2">
        <v>14398</v>
      </c>
      <c r="G940" s="2">
        <v>6</v>
      </c>
      <c r="H940" s="2">
        <v>2003</v>
      </c>
      <c r="I940" s="2">
        <v>256</v>
      </c>
      <c r="J940" s="2">
        <v>27211</v>
      </c>
      <c r="K940" s="2">
        <v>21</v>
      </c>
      <c r="L940" s="2">
        <v>1720</v>
      </c>
      <c r="M940" s="2">
        <v>276</v>
      </c>
      <c r="N940" s="2">
        <v>22374</v>
      </c>
      <c r="O940" s="2">
        <v>25</v>
      </c>
      <c r="P940" s="2">
        <v>26081</v>
      </c>
      <c r="Q940" s="2">
        <v>45062</v>
      </c>
      <c r="R940" s="2">
        <v>78264</v>
      </c>
      <c r="S940" s="2">
        <v>377302</v>
      </c>
      <c r="T940" s="10">
        <f t="shared" si="47"/>
        <v>176590</v>
      </c>
      <c r="U940" s="8">
        <f t="shared" si="48"/>
        <v>0.46803356462462431</v>
      </c>
      <c r="V940" s="9" t="s">
        <v>5271</v>
      </c>
      <c r="W940" s="9" t="str">
        <f t="shared" si="49"/>
        <v>Wayland RD</v>
      </c>
      <c r="X940" s="9" t="str">
        <f>INDEX(Lookup!$A$2:$A$1349, MATCH(W940, Lookup!$B$2:$B$1349,0))</f>
        <v>J04001357</v>
      </c>
      <c r="Y940" s="9" t="str">
        <f>INDEX(Lookup!$F$2:$F$1349, MATCH(W940, Lookup!$B$2:$B$1349,0))</f>
        <v>e250786</v>
      </c>
      <c r="Z940" s="6" t="str">
        <f>INDEX(Lookup!$C$2:$C$1300, MATCH(X940, Lookup!$A$2:$A$1300,0))</f>
        <v>Norfolk</v>
      </c>
    </row>
    <row r="941" spans="1:26" ht="28.15" customHeight="1" x14ac:dyDescent="0.2">
      <c r="A941" s="6" t="s">
        <v>835</v>
      </c>
      <c r="B941" s="1" t="s">
        <v>835</v>
      </c>
      <c r="T941" s="10"/>
      <c r="W941" s="9" t="str">
        <f t="shared" si="49"/>
        <v xml:space="preserve">NORTHAMPTON </v>
      </c>
      <c r="X941" s="9" t="e">
        <f>INDEX(Lookup!$A$2:$A$1349, MATCH(W941, Lookup!$B$2:$B$1349,0))</f>
        <v>#N/A</v>
      </c>
      <c r="Y941" s="9" t="e">
        <f>INDEX(Lookup!$F$2:$F$1349, MATCH(W941, Lookup!$B$2:$B$1349,0))</f>
        <v>#N/A</v>
      </c>
      <c r="Z941" s="6" t="e">
        <f>INDEX(Lookup!$C$2:$C$1300, MATCH(X941, Lookup!$A$2:$A$1300,0))</f>
        <v>#N/A</v>
      </c>
    </row>
    <row r="942" spans="1:26" ht="28.15" customHeight="1" x14ac:dyDescent="0.2">
      <c r="A942" s="6" t="s">
        <v>175</v>
      </c>
      <c r="B942" s="1" t="s">
        <v>175</v>
      </c>
      <c r="T942" s="10"/>
      <c r="W942" s="9" t="str">
        <f t="shared" si="49"/>
        <v xml:space="preserve">Non-County Boroughs-- </v>
      </c>
      <c r="X942" s="9" t="e">
        <f>INDEX(Lookup!$A$2:$A$1349, MATCH(W942, Lookup!$B$2:$B$1349,0))</f>
        <v>#N/A</v>
      </c>
      <c r="Y942" s="9" t="e">
        <f>INDEX(Lookup!$F$2:$F$1349, MATCH(W942, Lookup!$B$2:$B$1349,0))</f>
        <v>#N/A</v>
      </c>
      <c r="Z942" s="6" t="e">
        <f>INDEX(Lookup!$C$2:$C$1300, MATCH(X942, Lookup!$A$2:$A$1300,0))</f>
        <v>#N/A</v>
      </c>
    </row>
    <row r="943" spans="1:26" ht="28.15" customHeight="1" x14ac:dyDescent="0.2">
      <c r="A943" s="6" t="s">
        <v>836</v>
      </c>
      <c r="B943" s="1" t="s">
        <v>836</v>
      </c>
      <c r="C943" s="2">
        <v>955</v>
      </c>
      <c r="D943" s="2">
        <v>45580</v>
      </c>
      <c r="E943" s="2">
        <v>36</v>
      </c>
      <c r="F943" s="2">
        <v>4312</v>
      </c>
      <c r="G943" s="2">
        <v>2</v>
      </c>
      <c r="H943" s="2">
        <v>412</v>
      </c>
      <c r="I943" s="2">
        <v>63</v>
      </c>
      <c r="J943" s="2">
        <v>8391</v>
      </c>
      <c r="K943" s="2">
        <v>12</v>
      </c>
      <c r="L943" s="2">
        <v>799</v>
      </c>
      <c r="M943" s="2">
        <v>193</v>
      </c>
      <c r="N943" s="2">
        <v>6242</v>
      </c>
      <c r="O943" s="2">
        <v>11</v>
      </c>
      <c r="P943" s="2">
        <v>11715</v>
      </c>
      <c r="Q943" s="2">
        <v>686</v>
      </c>
      <c r="R943" s="2">
        <v>26934</v>
      </c>
      <c r="S943" s="2">
        <v>105071</v>
      </c>
      <c r="T943" s="10">
        <f t="shared" si="47"/>
        <v>50304</v>
      </c>
      <c r="U943" s="8">
        <f t="shared" si="48"/>
        <v>0.47876197999447995</v>
      </c>
      <c r="V943" s="9" t="s">
        <v>5268</v>
      </c>
      <c r="W943" s="9" t="str">
        <f t="shared" si="49"/>
        <v>Brackley MB</v>
      </c>
      <c r="X943" s="9" t="str">
        <f>INDEX(Lookup!$A$2:$A$1349, MATCH(W943, Lookup!$B$2:$B$1349,0))</f>
        <v>J04000182</v>
      </c>
      <c r="Y943" s="9" t="str">
        <f>INDEX(Lookup!$F$2:$F$1349, MATCH(W943, Lookup!$B$2:$B$1349,0))</f>
        <v>e260789</v>
      </c>
      <c r="Z943" s="6" t="str">
        <f>INDEX(Lookup!$C$2:$C$1300, MATCH(X943, Lookup!$A$2:$A$1300,0))</f>
        <v>Northamptonshire</v>
      </c>
    </row>
    <row r="944" spans="1:26" ht="28.15" customHeight="1" x14ac:dyDescent="0.2">
      <c r="A944" s="6" t="s">
        <v>837</v>
      </c>
      <c r="B944" s="1" t="s">
        <v>837</v>
      </c>
      <c r="C944" s="2">
        <v>1763</v>
      </c>
      <c r="D944" s="2">
        <v>94376</v>
      </c>
      <c r="E944" s="2">
        <v>84</v>
      </c>
      <c r="F944" s="2">
        <v>10007</v>
      </c>
      <c r="G944" s="2">
        <v>1</v>
      </c>
      <c r="H944" s="2">
        <v>226</v>
      </c>
      <c r="I944" s="2">
        <v>108</v>
      </c>
      <c r="J944" s="2">
        <v>20283</v>
      </c>
      <c r="K944" s="2">
        <v>31</v>
      </c>
      <c r="L944" s="2">
        <v>1706</v>
      </c>
      <c r="M944" s="2">
        <v>295</v>
      </c>
      <c r="N944" s="2">
        <v>9779</v>
      </c>
      <c r="O944" s="2">
        <v>15</v>
      </c>
      <c r="P944" s="2">
        <v>69795</v>
      </c>
      <c r="Q944" s="2">
        <v>3552</v>
      </c>
      <c r="R944" s="2">
        <v>57835</v>
      </c>
      <c r="S944" s="2">
        <v>267559</v>
      </c>
      <c r="T944" s="10">
        <f t="shared" si="47"/>
        <v>104609</v>
      </c>
      <c r="U944" s="8">
        <f t="shared" si="48"/>
        <v>0.3909754484057722</v>
      </c>
      <c r="V944" s="9" t="s">
        <v>5268</v>
      </c>
      <c r="W944" s="9" t="str">
        <f t="shared" si="49"/>
        <v>Daventry MB</v>
      </c>
      <c r="X944" s="9" t="str">
        <f>INDEX(Lookup!$A$2:$A$1349, MATCH(W944, Lookup!$B$2:$B$1349,0))</f>
        <v>J04000388</v>
      </c>
      <c r="Y944" s="9" t="str">
        <f>INDEX(Lookup!$F$2:$F$1349, MATCH(W944, Lookup!$B$2:$B$1349,0))</f>
        <v>e260793</v>
      </c>
      <c r="Z944" s="6" t="str">
        <f>INDEX(Lookup!$C$2:$C$1300, MATCH(X944, Lookup!$A$2:$A$1300,0))</f>
        <v>Northamptonshire</v>
      </c>
    </row>
    <row r="945" spans="1:26" ht="28.15" customHeight="1" x14ac:dyDescent="0.2">
      <c r="A945" s="6" t="s">
        <v>838</v>
      </c>
      <c r="B945" s="1" t="s">
        <v>838</v>
      </c>
      <c r="C945" s="2">
        <v>1265</v>
      </c>
      <c r="D945" s="2">
        <v>70121</v>
      </c>
      <c r="E945" s="2">
        <v>41</v>
      </c>
      <c r="F945" s="2">
        <v>5073</v>
      </c>
      <c r="G945" s="2">
        <v>2</v>
      </c>
      <c r="H945" s="2">
        <v>412</v>
      </c>
      <c r="I945" s="2">
        <v>56</v>
      </c>
      <c r="J945" s="2">
        <v>5704</v>
      </c>
      <c r="K945" s="2">
        <v>4</v>
      </c>
      <c r="L945" s="2">
        <v>171</v>
      </c>
      <c r="M945" s="2">
        <v>184</v>
      </c>
      <c r="N945" s="2">
        <v>4455</v>
      </c>
      <c r="O945" s="2">
        <v>29</v>
      </c>
      <c r="P945" s="2">
        <v>41000</v>
      </c>
      <c r="Q945" s="2">
        <v>159</v>
      </c>
      <c r="R945" s="2">
        <v>8002</v>
      </c>
      <c r="S945" s="2">
        <v>135097</v>
      </c>
      <c r="T945" s="10">
        <f t="shared" si="47"/>
        <v>75606</v>
      </c>
      <c r="U945" s="8">
        <f t="shared" si="48"/>
        <v>0.55964233106582673</v>
      </c>
      <c r="V945" s="9" t="s">
        <v>5268</v>
      </c>
      <c r="W945" s="9" t="str">
        <f t="shared" si="49"/>
        <v>Higham Ferrers MB</v>
      </c>
      <c r="X945" s="9" t="str">
        <f>INDEX(Lookup!$A$2:$A$1349, MATCH(W945, Lookup!$B$2:$B$1349,0))</f>
        <v>J04000622</v>
      </c>
      <c r="Y945" s="9" t="str">
        <f>INDEX(Lookup!$F$2:$F$1349, MATCH(W945, Lookup!$B$2:$B$1349,0))</f>
        <v>e260795</v>
      </c>
      <c r="Z945" s="6" t="str">
        <f>INDEX(Lookup!$C$2:$C$1300, MATCH(X945, Lookup!$A$2:$A$1300,0))</f>
        <v>Northamptonshire</v>
      </c>
    </row>
    <row r="946" spans="1:26" ht="28.15" customHeight="1" x14ac:dyDescent="0.2">
      <c r="A946" s="6" t="s">
        <v>839</v>
      </c>
      <c r="B946" s="1" t="s">
        <v>839</v>
      </c>
      <c r="C946" s="2">
        <v>12146</v>
      </c>
      <c r="D946" s="2">
        <v>702265</v>
      </c>
      <c r="E946" s="2">
        <v>981</v>
      </c>
      <c r="F946" s="2">
        <v>121386</v>
      </c>
      <c r="G946" s="2">
        <v>37</v>
      </c>
      <c r="H946" s="2">
        <v>8728</v>
      </c>
      <c r="I946" s="2">
        <v>642</v>
      </c>
      <c r="J946" s="2">
        <v>165634</v>
      </c>
      <c r="K946" s="2">
        <v>109</v>
      </c>
      <c r="L946" s="2">
        <v>16947</v>
      </c>
      <c r="M946" s="2">
        <v>1710</v>
      </c>
      <c r="N946" s="2">
        <v>84778</v>
      </c>
      <c r="O946" s="2">
        <v>182</v>
      </c>
      <c r="P946" s="2">
        <v>186587</v>
      </c>
      <c r="Q946" s="2">
        <v>11883</v>
      </c>
      <c r="R946" s="2">
        <v>134841</v>
      </c>
      <c r="S946" s="2">
        <v>1433049</v>
      </c>
      <c r="T946" s="10">
        <f t="shared" si="47"/>
        <v>832379</v>
      </c>
      <c r="U946" s="8">
        <f t="shared" si="48"/>
        <v>0.58084475827414139</v>
      </c>
      <c r="V946" s="9" t="s">
        <v>5268</v>
      </c>
      <c r="W946" s="9" t="str">
        <f t="shared" si="49"/>
        <v>Kettering MB</v>
      </c>
      <c r="X946" s="9" t="str">
        <f>INDEX(Lookup!$A$2:$A$1349, MATCH(W946, Lookup!$B$2:$B$1349,0))</f>
        <v>J04000687</v>
      </c>
      <c r="Y946" s="9" t="str">
        <f>INDEX(Lookup!$F$2:$F$1349, MATCH(W946, Lookup!$B$2:$B$1349,0))</f>
        <v>e260797</v>
      </c>
      <c r="Z946" s="6" t="str">
        <f>INDEX(Lookup!$C$2:$C$1300, MATCH(X946, Lookup!$A$2:$A$1300,0))</f>
        <v>Northamptonshire</v>
      </c>
    </row>
    <row r="947" spans="1:26" ht="28.15" customHeight="1" x14ac:dyDescent="0.2">
      <c r="A947" s="6" t="s">
        <v>179</v>
      </c>
      <c r="B947" s="1" t="s">
        <v>179</v>
      </c>
      <c r="T947" s="10"/>
      <c r="W947" s="9" t="str">
        <f t="shared" si="49"/>
        <v xml:space="preserve">Urban Districts-- </v>
      </c>
      <c r="X947" s="9" t="e">
        <f>INDEX(Lookup!$A$2:$A$1349, MATCH(W947, Lookup!$B$2:$B$1349,0))</f>
        <v>#N/A</v>
      </c>
      <c r="Y947" s="9" t="e">
        <f>INDEX(Lookup!$F$2:$F$1349, MATCH(W947, Lookup!$B$2:$B$1349,0))</f>
        <v>#N/A</v>
      </c>
      <c r="Z947" s="6" t="e">
        <f>INDEX(Lookup!$C$2:$C$1300, MATCH(X947, Lookup!$A$2:$A$1300,0))</f>
        <v>#N/A</v>
      </c>
    </row>
    <row r="948" spans="1:26" ht="28.15" customHeight="1" x14ac:dyDescent="0.2">
      <c r="A948" s="6" t="s">
        <v>840</v>
      </c>
      <c r="B948" s="1" t="s">
        <v>840</v>
      </c>
      <c r="C948" s="2">
        <v>1442</v>
      </c>
      <c r="D948" s="2">
        <v>76107</v>
      </c>
      <c r="E948" s="2">
        <v>40</v>
      </c>
      <c r="F948" s="2">
        <v>5171</v>
      </c>
      <c r="I948" s="2">
        <v>54</v>
      </c>
      <c r="J948" s="2">
        <v>6942</v>
      </c>
      <c r="K948" s="2">
        <v>2</v>
      </c>
      <c r="L948" s="2">
        <v>18</v>
      </c>
      <c r="M948" s="2">
        <v>211</v>
      </c>
      <c r="N948" s="2">
        <v>5611</v>
      </c>
      <c r="O948" s="2">
        <v>14</v>
      </c>
      <c r="P948" s="2">
        <v>44490</v>
      </c>
      <c r="Q948" s="2">
        <v>43</v>
      </c>
      <c r="R948" s="2">
        <v>11964</v>
      </c>
      <c r="S948" s="2">
        <v>150346</v>
      </c>
      <c r="T948" s="10">
        <f>SUM(D948+F948)</f>
        <v>81278</v>
      </c>
      <c r="U948" s="8">
        <f t="shared" si="48"/>
        <v>0.54060633472124298</v>
      </c>
      <c r="V948" s="9" t="s">
        <v>5270</v>
      </c>
      <c r="W948" s="9" t="str">
        <f t="shared" si="49"/>
        <v>Burton Latimer UD</v>
      </c>
      <c r="X948" s="9" t="str">
        <f>INDEX(Lookup!$A$2:$A$1349, MATCH(W948, Lookup!$B$2:$B$1349,0))</f>
        <v>J04000242</v>
      </c>
      <c r="Y948" s="9" t="str">
        <f>INDEX(Lookup!$F$2:$F$1349, MATCH(W948, Lookup!$B$2:$B$1349,0))</f>
        <v>e260790</v>
      </c>
      <c r="Z948" s="6" t="str">
        <f>INDEX(Lookup!$C$2:$C$1300, MATCH(X948, Lookup!$A$2:$A$1300,0))</f>
        <v>Northamptonshire</v>
      </c>
    </row>
    <row r="949" spans="1:26" ht="28.15" customHeight="1" x14ac:dyDescent="0.2">
      <c r="A949" s="6" t="s">
        <v>841</v>
      </c>
      <c r="B949" s="1" t="s">
        <v>841</v>
      </c>
      <c r="C949" s="2">
        <v>10663</v>
      </c>
      <c r="D949" s="2">
        <v>663616</v>
      </c>
      <c r="E949" s="2">
        <v>133</v>
      </c>
      <c r="F949" s="2">
        <v>15671</v>
      </c>
      <c r="G949" s="2">
        <v>1</v>
      </c>
      <c r="H949" s="2">
        <v>226</v>
      </c>
      <c r="I949" s="2">
        <v>262</v>
      </c>
      <c r="J949" s="2">
        <v>110120</v>
      </c>
      <c r="K949" s="2">
        <v>55</v>
      </c>
      <c r="L949" s="2">
        <v>9421</v>
      </c>
      <c r="M949" s="2">
        <v>2350</v>
      </c>
      <c r="N949" s="2">
        <v>61966</v>
      </c>
      <c r="O949" s="2">
        <v>30</v>
      </c>
      <c r="P949" s="2">
        <v>941422</v>
      </c>
      <c r="Q949" s="2">
        <v>5368</v>
      </c>
      <c r="R949" s="2">
        <v>193879</v>
      </c>
      <c r="S949" s="2">
        <v>2001689</v>
      </c>
      <c r="T949" s="10">
        <f t="shared" si="47"/>
        <v>679513</v>
      </c>
      <c r="U949" s="8">
        <f t="shared" si="48"/>
        <v>0.33946981773891949</v>
      </c>
      <c r="V949" s="9" t="s">
        <v>5270</v>
      </c>
      <c r="W949" s="9" t="str">
        <f t="shared" si="49"/>
        <v>Corby UD</v>
      </c>
      <c r="X949" s="9" t="str">
        <f>INDEX(Lookup!$A$2:$A$1349, MATCH(W949, Lookup!$B$2:$B$1349,0))</f>
        <v>J04000348</v>
      </c>
      <c r="Y949" s="9" t="str">
        <f>INDEX(Lookup!$F$2:$F$1349, MATCH(W949, Lookup!$B$2:$B$1349,0))</f>
        <v>e260791</v>
      </c>
      <c r="Z949" s="6" t="str">
        <f>INDEX(Lookup!$C$2:$C$1300, MATCH(X949, Lookup!$A$2:$A$1300,0))</f>
        <v>Northamptonshire</v>
      </c>
    </row>
    <row r="950" spans="1:26" ht="28.15" customHeight="1" x14ac:dyDescent="0.2">
      <c r="A950" s="6" t="s">
        <v>842</v>
      </c>
      <c r="B950" s="1" t="s">
        <v>842</v>
      </c>
      <c r="C950" s="2">
        <v>1591</v>
      </c>
      <c r="D950" s="2">
        <v>81651</v>
      </c>
      <c r="E950" s="2">
        <v>34</v>
      </c>
      <c r="F950" s="2">
        <v>3978</v>
      </c>
      <c r="G950" s="2">
        <v>1</v>
      </c>
      <c r="H950" s="2">
        <v>226</v>
      </c>
      <c r="I950" s="2">
        <v>78</v>
      </c>
      <c r="J950" s="2">
        <v>6664</v>
      </c>
      <c r="K950" s="2">
        <v>6</v>
      </c>
      <c r="L950" s="2">
        <v>234</v>
      </c>
      <c r="M950" s="2">
        <v>215</v>
      </c>
      <c r="N950" s="2">
        <v>6686</v>
      </c>
      <c r="O950" s="2">
        <v>19</v>
      </c>
      <c r="P950" s="2">
        <v>43406</v>
      </c>
      <c r="Q950" s="2">
        <v>36</v>
      </c>
      <c r="R950" s="2">
        <v>11191</v>
      </c>
      <c r="S950" s="2">
        <v>154072</v>
      </c>
      <c r="T950" s="10">
        <f t="shared" si="47"/>
        <v>85855</v>
      </c>
      <c r="U950" s="8">
        <f t="shared" si="48"/>
        <v>0.55723947245443683</v>
      </c>
      <c r="V950" s="9" t="s">
        <v>5270</v>
      </c>
      <c r="W950" s="9" t="str">
        <f t="shared" si="49"/>
        <v>Desborough UD</v>
      </c>
      <c r="X950" s="9" t="str">
        <f>INDEX(Lookup!$A$2:$A$1349, MATCH(W950, Lookup!$B$2:$B$1349,0))</f>
        <v>J04000403</v>
      </c>
      <c r="Y950" s="9" t="str">
        <f>INDEX(Lookup!$F$2:$F$1349, MATCH(W950, Lookup!$B$2:$B$1349,0))</f>
        <v>e260794</v>
      </c>
      <c r="Z950" s="6" t="str">
        <f>INDEX(Lookup!$C$2:$C$1300, MATCH(X950, Lookup!$A$2:$A$1300,0))</f>
        <v>Northamptonshire</v>
      </c>
    </row>
    <row r="951" spans="1:26" ht="28.15" customHeight="1" x14ac:dyDescent="0.2">
      <c r="A951" s="6" t="s">
        <v>843</v>
      </c>
      <c r="B951" s="1" t="s">
        <v>843</v>
      </c>
      <c r="C951" s="2">
        <v>1755</v>
      </c>
      <c r="D951" s="2">
        <v>83527</v>
      </c>
      <c r="E951" s="2">
        <v>28</v>
      </c>
      <c r="F951" s="2">
        <v>3628</v>
      </c>
      <c r="G951" s="2">
        <v>1</v>
      </c>
      <c r="H951" s="2">
        <v>222</v>
      </c>
      <c r="I951" s="2">
        <v>92</v>
      </c>
      <c r="J951" s="2">
        <v>8468</v>
      </c>
      <c r="K951" s="2">
        <v>4</v>
      </c>
      <c r="L951" s="2">
        <v>176</v>
      </c>
      <c r="M951" s="2">
        <v>221</v>
      </c>
      <c r="N951" s="2">
        <v>5028</v>
      </c>
      <c r="O951" s="2">
        <v>26</v>
      </c>
      <c r="P951" s="2">
        <v>52745</v>
      </c>
      <c r="Q951" s="2">
        <v>208</v>
      </c>
      <c r="R951" s="2">
        <v>34619</v>
      </c>
      <c r="S951" s="2">
        <v>188621</v>
      </c>
      <c r="T951" s="10">
        <f t="shared" si="47"/>
        <v>87377</v>
      </c>
      <c r="U951" s="8">
        <f t="shared" si="48"/>
        <v>0.46324110252835049</v>
      </c>
      <c r="V951" s="9" t="s">
        <v>5270</v>
      </c>
      <c r="W951" s="9" t="str">
        <f t="shared" si="49"/>
        <v>Irthlingborough UD</v>
      </c>
      <c r="X951" s="9" t="str">
        <f>INDEX(Lookup!$A$2:$A$1349, MATCH(W951, Lookup!$B$2:$B$1349,0))</f>
        <v>J04000673</v>
      </c>
      <c r="Y951" s="9" t="str">
        <f>INDEX(Lookup!$F$2:$F$1349, MATCH(W951, Lookup!$B$2:$B$1349,0))</f>
        <v>e260796</v>
      </c>
      <c r="Z951" s="6" t="str">
        <f>INDEX(Lookup!$C$2:$C$1300, MATCH(X951, Lookup!$A$2:$A$1300,0))</f>
        <v>Northamptonshire</v>
      </c>
    </row>
    <row r="952" spans="1:26" ht="28.15" customHeight="1" x14ac:dyDescent="0.2">
      <c r="A952" s="6" t="s">
        <v>844</v>
      </c>
      <c r="B952" s="1" t="s">
        <v>844</v>
      </c>
      <c r="C952" s="2">
        <v>704</v>
      </c>
      <c r="D952" s="2">
        <v>32099</v>
      </c>
      <c r="E952" s="2">
        <v>65</v>
      </c>
      <c r="F952" s="2">
        <v>8204</v>
      </c>
      <c r="G952" s="2">
        <v>2</v>
      </c>
      <c r="H952" s="2">
        <v>552</v>
      </c>
      <c r="I952" s="2">
        <v>73</v>
      </c>
      <c r="J952" s="2">
        <v>7432</v>
      </c>
      <c r="K952" s="2">
        <v>5</v>
      </c>
      <c r="L952" s="2">
        <v>531</v>
      </c>
      <c r="M952" s="2">
        <v>143</v>
      </c>
      <c r="N952" s="2">
        <v>5708</v>
      </c>
      <c r="O952" s="2">
        <v>6</v>
      </c>
      <c r="P952" s="2">
        <v>2155</v>
      </c>
      <c r="Q952" s="2">
        <v>458</v>
      </c>
      <c r="R952" s="2">
        <v>32306</v>
      </c>
      <c r="S952" s="2">
        <v>89445</v>
      </c>
      <c r="T952" s="10">
        <f t="shared" si="47"/>
        <v>40855</v>
      </c>
      <c r="U952" s="8">
        <f t="shared" si="48"/>
        <v>0.45676113812957686</v>
      </c>
      <c r="V952" s="9" t="s">
        <v>5270</v>
      </c>
      <c r="W952" s="9" t="str">
        <f t="shared" si="49"/>
        <v>Oundle UD</v>
      </c>
      <c r="X952" s="9" t="str">
        <f>INDEX(Lookup!$A$2:$A$1349, MATCH(W952, Lookup!$B$2:$B$1349,0))</f>
        <v>J04000966</v>
      </c>
      <c r="Y952" s="9" t="str">
        <f>INDEX(Lookup!$F$2:$F$1349, MATCH(W952, Lookup!$B$2:$B$1349,0))</f>
        <v>e260798</v>
      </c>
      <c r="Z952" s="6" t="str">
        <f>INDEX(Lookup!$C$2:$C$1300, MATCH(X952, Lookup!$A$2:$A$1300,0))</f>
        <v>Northamptonshire</v>
      </c>
    </row>
    <row r="953" spans="1:26" ht="28.15" customHeight="1" x14ac:dyDescent="0.2">
      <c r="A953" s="6" t="s">
        <v>845</v>
      </c>
      <c r="B953" s="1" t="s">
        <v>845</v>
      </c>
      <c r="C953" s="2">
        <v>1539</v>
      </c>
      <c r="D953" s="2">
        <v>66005</v>
      </c>
      <c r="E953" s="2">
        <v>43</v>
      </c>
      <c r="F953" s="2">
        <v>5548</v>
      </c>
      <c r="G953" s="2">
        <v>1</v>
      </c>
      <c r="H953" s="2">
        <v>286</v>
      </c>
      <c r="I953" s="2">
        <v>72</v>
      </c>
      <c r="J953" s="2">
        <v>6497</v>
      </c>
      <c r="K953" s="2">
        <v>10</v>
      </c>
      <c r="L953" s="2">
        <v>616</v>
      </c>
      <c r="M953" s="2">
        <v>184</v>
      </c>
      <c r="N953" s="2">
        <v>3992</v>
      </c>
      <c r="O953" s="2">
        <v>30</v>
      </c>
      <c r="P953" s="2">
        <v>21425</v>
      </c>
      <c r="Q953" s="2">
        <v>60</v>
      </c>
      <c r="R953" s="2">
        <v>12200</v>
      </c>
      <c r="S953" s="2">
        <v>116629</v>
      </c>
      <c r="T953" s="10">
        <f t="shared" si="47"/>
        <v>71839</v>
      </c>
      <c r="U953" s="8">
        <f t="shared" si="48"/>
        <v>0.61596172478543076</v>
      </c>
      <c r="V953" s="9" t="s">
        <v>5270</v>
      </c>
      <c r="W953" s="9" t="str">
        <f t="shared" si="49"/>
        <v>Raunds UD</v>
      </c>
      <c r="X953" s="9" t="str">
        <f>INDEX(Lookup!$A$2:$A$1349, MATCH(W953, Lookup!$B$2:$B$1349,0))</f>
        <v>J04001032</v>
      </c>
      <c r="Y953" s="9" t="str">
        <f>INDEX(Lookup!$F$2:$F$1349, MATCH(W953, Lookup!$B$2:$B$1349,0))</f>
        <v>e260799</v>
      </c>
      <c r="Z953" s="6" t="str">
        <f>INDEX(Lookup!$C$2:$C$1300, MATCH(X953, Lookup!$A$2:$A$1300,0))</f>
        <v>Northamptonshire</v>
      </c>
    </row>
    <row r="954" spans="1:26" ht="28.15" customHeight="1" x14ac:dyDescent="0.2">
      <c r="A954" s="6" t="s">
        <v>846</v>
      </c>
      <c r="B954" s="1" t="s">
        <v>846</v>
      </c>
      <c r="C954" s="2">
        <v>1630</v>
      </c>
      <c r="D954" s="2">
        <v>78698</v>
      </c>
      <c r="E954" s="2">
        <v>39</v>
      </c>
      <c r="F954" s="2">
        <v>4728</v>
      </c>
      <c r="G954" s="2">
        <v>1</v>
      </c>
      <c r="H954" s="2">
        <v>226</v>
      </c>
      <c r="I954" s="2">
        <v>68</v>
      </c>
      <c r="J954" s="2">
        <v>6487</v>
      </c>
      <c r="K954" s="2">
        <v>1</v>
      </c>
      <c r="L954" s="2">
        <v>5</v>
      </c>
      <c r="M954" s="2">
        <v>273</v>
      </c>
      <c r="N954" s="2">
        <v>5095</v>
      </c>
      <c r="O954" s="2">
        <v>22</v>
      </c>
      <c r="P954" s="2">
        <v>16780</v>
      </c>
      <c r="Q954" s="2">
        <v>25</v>
      </c>
      <c r="R954" s="2">
        <v>25672</v>
      </c>
      <c r="S954" s="2">
        <v>137716</v>
      </c>
      <c r="T954" s="10">
        <f t="shared" si="47"/>
        <v>83652</v>
      </c>
      <c r="U954" s="8">
        <f t="shared" si="48"/>
        <v>0.60742397397542769</v>
      </c>
      <c r="V954" s="9" t="s">
        <v>5270</v>
      </c>
      <c r="W954" s="9" t="str">
        <f t="shared" si="49"/>
        <v>Rothwell UD</v>
      </c>
      <c r="X954" s="9" t="str">
        <f>INDEX(Lookup!$A$2:$A$1349, MATCH(W954, Lookup!$B$2:$B$1349,0))</f>
        <v>J04001069</v>
      </c>
      <c r="Y954" s="9" t="str">
        <f>INDEX(Lookup!$F$2:$F$1349, MATCH(W954, Lookup!$B$2:$B$1349,0))</f>
        <v>e260800</v>
      </c>
      <c r="Z954" s="6" t="str">
        <f>INDEX(Lookup!$C$2:$C$1300, MATCH(X954, Lookup!$A$2:$A$1300,0))</f>
        <v>Northamptonshire</v>
      </c>
    </row>
    <row r="955" spans="1:26" ht="28.15" customHeight="1" x14ac:dyDescent="0.2">
      <c r="A955" s="6" t="s">
        <v>847</v>
      </c>
      <c r="B955" s="1" t="s">
        <v>847</v>
      </c>
      <c r="C955" s="2">
        <v>5963</v>
      </c>
      <c r="D955" s="2">
        <v>317179</v>
      </c>
      <c r="E955" s="2">
        <v>190</v>
      </c>
      <c r="F955" s="2">
        <v>22831</v>
      </c>
      <c r="G955" s="2">
        <v>7</v>
      </c>
      <c r="H955" s="2">
        <v>1755</v>
      </c>
      <c r="I955" s="2">
        <v>328</v>
      </c>
      <c r="J955" s="2">
        <v>69810</v>
      </c>
      <c r="K955" s="2">
        <v>38</v>
      </c>
      <c r="L955" s="2">
        <v>4561</v>
      </c>
      <c r="M955" s="2">
        <v>723</v>
      </c>
      <c r="N955" s="2">
        <v>30060</v>
      </c>
      <c r="O955" s="2">
        <v>102</v>
      </c>
      <c r="P955" s="2">
        <v>138565</v>
      </c>
      <c r="Q955" s="2">
        <v>2756</v>
      </c>
      <c r="R955" s="2">
        <v>47185</v>
      </c>
      <c r="S955" s="2">
        <v>634702</v>
      </c>
      <c r="T955" s="10">
        <f t="shared" si="47"/>
        <v>341765</v>
      </c>
      <c r="U955" s="8">
        <f t="shared" si="48"/>
        <v>0.53846529552451383</v>
      </c>
      <c r="V955" s="9" t="s">
        <v>5270</v>
      </c>
      <c r="W955" s="9" t="str">
        <f t="shared" si="49"/>
        <v>Rushden UD</v>
      </c>
      <c r="X955" s="9" t="str">
        <f>INDEX(Lookup!$A$2:$A$1349, MATCH(W955, Lookup!$B$2:$B$1349,0))</f>
        <v>J04001083</v>
      </c>
      <c r="Y955" s="9" t="str">
        <f>INDEX(Lookup!$F$2:$F$1349, MATCH(W955, Lookup!$B$2:$B$1349,0))</f>
        <v>e260801</v>
      </c>
      <c r="Z955" s="6" t="str">
        <f>INDEX(Lookup!$C$2:$C$1300, MATCH(X955, Lookup!$A$2:$A$1300,0))</f>
        <v>Northamptonshire</v>
      </c>
    </row>
    <row r="956" spans="1:26" ht="28.15" customHeight="1" x14ac:dyDescent="0.2">
      <c r="A956" s="6" t="s">
        <v>848</v>
      </c>
      <c r="B956" s="1" t="s">
        <v>848</v>
      </c>
      <c r="C956" s="2">
        <v>9704</v>
      </c>
      <c r="D956" s="2">
        <v>553881</v>
      </c>
      <c r="E956" s="2">
        <v>465</v>
      </c>
      <c r="F956" s="2">
        <v>58078</v>
      </c>
      <c r="G956" s="2">
        <v>17</v>
      </c>
      <c r="H956" s="2">
        <v>4052</v>
      </c>
      <c r="I956" s="2">
        <v>546</v>
      </c>
      <c r="J956" s="2">
        <v>119565</v>
      </c>
      <c r="K956" s="2">
        <v>75</v>
      </c>
      <c r="L956" s="2">
        <v>10047</v>
      </c>
      <c r="M956" s="2">
        <v>1303</v>
      </c>
      <c r="N956" s="2">
        <v>52259</v>
      </c>
      <c r="O956" s="2">
        <v>145</v>
      </c>
      <c r="P956" s="2">
        <v>154327</v>
      </c>
      <c r="Q956" s="2">
        <v>7032</v>
      </c>
      <c r="R956" s="2">
        <v>113402</v>
      </c>
      <c r="S956" s="2">
        <v>1072643</v>
      </c>
      <c r="T956" s="10">
        <f t="shared" si="47"/>
        <v>616011</v>
      </c>
      <c r="U956" s="8">
        <f t="shared" si="48"/>
        <v>0.5742926584147755</v>
      </c>
      <c r="V956" s="9" t="s">
        <v>5270</v>
      </c>
      <c r="W956" s="9" t="str">
        <f t="shared" si="49"/>
        <v>Wellingborough UD</v>
      </c>
      <c r="X956" s="9" t="str">
        <f>INDEX(Lookup!$A$2:$A$1349, MATCH(W956, Lookup!$B$2:$B$1349,0))</f>
        <v>J04001362</v>
      </c>
      <c r="Y956" s="9" t="str">
        <f>INDEX(Lookup!$F$2:$F$1349, MATCH(W956, Lookup!$B$2:$B$1349,0))</f>
        <v>e260802</v>
      </c>
      <c r="Z956" s="6" t="str">
        <f>INDEX(Lookup!$C$2:$C$1300, MATCH(X956, Lookup!$A$2:$A$1300,0))</f>
        <v>Northamptonshire</v>
      </c>
    </row>
    <row r="957" spans="1:26" ht="28.15" customHeight="1" x14ac:dyDescent="0.2">
      <c r="A957" s="6" t="s">
        <v>212</v>
      </c>
      <c r="B957" s="1" t="s">
        <v>212</v>
      </c>
      <c r="T957" s="10"/>
      <c r="W957" s="9" t="str">
        <f t="shared" si="49"/>
        <v xml:space="preserve">Rural Districts-- </v>
      </c>
      <c r="X957" s="9" t="e">
        <f>INDEX(Lookup!$A$2:$A$1349, MATCH(W957, Lookup!$B$2:$B$1349,0))</f>
        <v>#N/A</v>
      </c>
      <c r="Y957" s="9" t="e">
        <f>INDEX(Lookup!$F$2:$F$1349, MATCH(W957, Lookup!$B$2:$B$1349,0))</f>
        <v>#N/A</v>
      </c>
      <c r="Z957" s="6" t="e">
        <f>INDEX(Lookup!$C$2:$C$1300, MATCH(X957, Lookup!$A$2:$A$1300,0))</f>
        <v>#N/A</v>
      </c>
    </row>
    <row r="958" spans="1:26" ht="28.15" customHeight="1" x14ac:dyDescent="0.2">
      <c r="A958" s="6" t="s">
        <v>836</v>
      </c>
      <c r="B958" s="1" t="s">
        <v>836</v>
      </c>
      <c r="C958" s="2">
        <v>2793</v>
      </c>
      <c r="D958" s="2">
        <v>116421</v>
      </c>
      <c r="E958" s="2">
        <v>99</v>
      </c>
      <c r="F958" s="2">
        <v>12798</v>
      </c>
      <c r="G958" s="2">
        <v>32</v>
      </c>
      <c r="H958" s="2">
        <v>10535</v>
      </c>
      <c r="I958" s="2">
        <v>76</v>
      </c>
      <c r="J958" s="2">
        <v>5570</v>
      </c>
      <c r="K958" s="2">
        <v>3</v>
      </c>
      <c r="L958" s="2">
        <v>60</v>
      </c>
      <c r="M958" s="2">
        <v>307</v>
      </c>
      <c r="N958" s="2">
        <v>9986</v>
      </c>
      <c r="O958" s="2">
        <v>5</v>
      </c>
      <c r="P958" s="2">
        <v>14140</v>
      </c>
      <c r="Q958" s="2">
        <v>21359</v>
      </c>
      <c r="R958" s="2">
        <v>39659</v>
      </c>
      <c r="S958" s="2">
        <v>230528</v>
      </c>
      <c r="T958" s="10">
        <f t="shared" si="47"/>
        <v>139754</v>
      </c>
      <c r="U958" s="8">
        <f t="shared" si="48"/>
        <v>0.60623438367573568</v>
      </c>
      <c r="V958" s="9" t="s">
        <v>5271</v>
      </c>
      <c r="W958" s="9" t="str">
        <f t="shared" si="49"/>
        <v>Brackley RD</v>
      </c>
      <c r="X958" s="9" t="str">
        <f>INDEX(Lookup!$A$2:$A$1349, MATCH(W958, Lookup!$B$2:$B$1349,0))</f>
        <v>J04000183</v>
      </c>
      <c r="Y958" s="9" t="str">
        <f>INDEX(Lookup!$F$2:$F$1349, MATCH(W958, Lookup!$B$2:$B$1349,0))</f>
        <v>e260803</v>
      </c>
      <c r="Z958" s="6" t="str">
        <f>INDEX(Lookup!$C$2:$C$1300, MATCH(X958, Lookup!$A$2:$A$1300,0))</f>
        <v>Northamptonshire</v>
      </c>
    </row>
    <row r="959" spans="1:26" ht="28.15" customHeight="1" x14ac:dyDescent="0.2">
      <c r="A959" s="6" t="s">
        <v>849</v>
      </c>
      <c r="B959" s="1" t="s">
        <v>849</v>
      </c>
      <c r="C959" s="2">
        <v>5002</v>
      </c>
      <c r="D959" s="2">
        <v>248107</v>
      </c>
      <c r="E959" s="2">
        <v>494</v>
      </c>
      <c r="F959" s="2">
        <v>64080</v>
      </c>
      <c r="G959" s="2">
        <v>94</v>
      </c>
      <c r="H959" s="2">
        <v>25854</v>
      </c>
      <c r="I959" s="2">
        <v>102</v>
      </c>
      <c r="J959" s="2">
        <v>8888</v>
      </c>
      <c r="K959" s="2">
        <v>6</v>
      </c>
      <c r="L959" s="2">
        <v>84</v>
      </c>
      <c r="M959" s="2">
        <v>329</v>
      </c>
      <c r="N959" s="2">
        <v>19460</v>
      </c>
      <c r="O959" s="2">
        <v>15</v>
      </c>
      <c r="P959" s="2">
        <v>15561</v>
      </c>
      <c r="Q959" s="2">
        <v>8065</v>
      </c>
      <c r="R959" s="2">
        <v>146309</v>
      </c>
      <c r="S959" s="2">
        <v>536408</v>
      </c>
      <c r="T959" s="10">
        <f t="shared" si="47"/>
        <v>338041</v>
      </c>
      <c r="U959" s="8">
        <f t="shared" si="48"/>
        <v>0.63019380769861744</v>
      </c>
      <c r="V959" s="9" t="s">
        <v>5271</v>
      </c>
      <c r="W959" s="9" t="str">
        <f t="shared" si="49"/>
        <v>Brixworth RD</v>
      </c>
      <c r="X959" s="9" t="str">
        <f>INDEX(Lookup!$A$2:$A$1349, MATCH(W959, Lookup!$B$2:$B$1349,0))</f>
        <v>J04000215</v>
      </c>
      <c r="Y959" s="9" t="str">
        <f>INDEX(Lookup!$F$2:$F$1349, MATCH(W959, Lookup!$B$2:$B$1349,0))</f>
        <v>e260804</v>
      </c>
      <c r="Z959" s="6" t="str">
        <f>INDEX(Lookup!$C$2:$C$1300, MATCH(X959, Lookup!$A$2:$A$1300,0))</f>
        <v>Northamptonshire</v>
      </c>
    </row>
    <row r="960" spans="1:26" ht="28.15" customHeight="1" x14ac:dyDescent="0.2">
      <c r="A960" s="6" t="s">
        <v>837</v>
      </c>
      <c r="B960" s="1" t="s">
        <v>837</v>
      </c>
      <c r="C960" s="2">
        <v>4827</v>
      </c>
      <c r="D960" s="2">
        <v>203409</v>
      </c>
      <c r="E960" s="2">
        <v>193</v>
      </c>
      <c r="F960" s="2">
        <v>25316</v>
      </c>
      <c r="G960" s="2">
        <v>25</v>
      </c>
      <c r="H960" s="2">
        <v>8010</v>
      </c>
      <c r="I960" s="2">
        <v>152</v>
      </c>
      <c r="J960" s="2">
        <v>11505</v>
      </c>
      <c r="K960" s="2">
        <v>11</v>
      </c>
      <c r="L960" s="2">
        <v>1474</v>
      </c>
      <c r="M960" s="2">
        <v>370</v>
      </c>
      <c r="N960" s="2">
        <v>38482</v>
      </c>
      <c r="O960" s="2">
        <v>31</v>
      </c>
      <c r="P960" s="2">
        <v>16882</v>
      </c>
      <c r="Q960" s="2">
        <v>19473</v>
      </c>
      <c r="R960" s="2">
        <v>61836</v>
      </c>
      <c r="S960" s="2">
        <v>386387</v>
      </c>
      <c r="T960" s="10">
        <f t="shared" si="47"/>
        <v>236735</v>
      </c>
      <c r="U960" s="8">
        <f t="shared" si="48"/>
        <v>0.61268883269882268</v>
      </c>
      <c r="V960" s="9" t="s">
        <v>5271</v>
      </c>
      <c r="W960" s="9" t="str">
        <f t="shared" si="49"/>
        <v>Daventry RD</v>
      </c>
      <c r="X960" s="9" t="str">
        <f>INDEX(Lookup!$A$2:$A$1349, MATCH(W960, Lookup!$B$2:$B$1349,0))</f>
        <v>J04000389</v>
      </c>
      <c r="Y960" s="9" t="str">
        <f>INDEX(Lookup!$F$2:$F$1349, MATCH(W960, Lookup!$B$2:$B$1349,0))</f>
        <v>e260805</v>
      </c>
      <c r="Z960" s="6" t="str">
        <f>INDEX(Lookup!$C$2:$C$1300, MATCH(X960, Lookup!$A$2:$A$1300,0))</f>
        <v>Northamptonshire</v>
      </c>
    </row>
    <row r="961" spans="1:26" ht="28.15" customHeight="1" x14ac:dyDescent="0.2">
      <c r="A961" s="6" t="s">
        <v>850</v>
      </c>
      <c r="B961" s="1" t="s">
        <v>850</v>
      </c>
      <c r="C961" s="2">
        <v>3430</v>
      </c>
      <c r="D961" s="2">
        <v>161208</v>
      </c>
      <c r="E961" s="2">
        <v>182</v>
      </c>
      <c r="F961" s="2">
        <v>22966</v>
      </c>
      <c r="G961" s="2">
        <v>21</v>
      </c>
      <c r="H961" s="2">
        <v>6135</v>
      </c>
      <c r="I961" s="2">
        <v>73</v>
      </c>
      <c r="J961" s="2">
        <v>5591</v>
      </c>
      <c r="K961" s="2">
        <v>9</v>
      </c>
      <c r="L961" s="2">
        <v>636</v>
      </c>
      <c r="M961" s="2">
        <v>461</v>
      </c>
      <c r="N961" s="2">
        <v>15377</v>
      </c>
      <c r="O961" s="2">
        <v>23</v>
      </c>
      <c r="P961" s="2">
        <v>168304</v>
      </c>
      <c r="Q961" s="2">
        <v>2736</v>
      </c>
      <c r="R961" s="2">
        <v>151048</v>
      </c>
      <c r="S961" s="2">
        <v>534001</v>
      </c>
      <c r="T961" s="10">
        <f t="shared" si="47"/>
        <v>190309</v>
      </c>
      <c r="U961" s="8">
        <f t="shared" si="48"/>
        <v>0.35638322774676451</v>
      </c>
      <c r="V961" s="9" t="s">
        <v>5271</v>
      </c>
      <c r="W961" s="9" t="str">
        <f t="shared" si="49"/>
        <v>kettering RD</v>
      </c>
      <c r="X961" s="9" t="str">
        <f>INDEX(Lookup!$A$2:$A$1349, MATCH(W961, Lookup!$B$2:$B$1349,0))</f>
        <v>J04000688</v>
      </c>
      <c r="Y961" s="9" t="str">
        <f>INDEX(Lookup!$F$2:$F$1349, MATCH(W961, Lookup!$B$2:$B$1349,0))</f>
        <v>e260807</v>
      </c>
      <c r="Z961" s="6" t="str">
        <f>INDEX(Lookup!$C$2:$C$1300, MATCH(X961, Lookup!$A$2:$A$1300,0))</f>
        <v>Northamptonshire</v>
      </c>
    </row>
    <row r="962" spans="1:26" ht="28.15" customHeight="1" x14ac:dyDescent="0.2">
      <c r="A962" s="6" t="s">
        <v>140</v>
      </c>
      <c r="B962" s="1" t="s">
        <v>140</v>
      </c>
      <c r="C962" s="2">
        <v>8201</v>
      </c>
      <c r="D962" s="2">
        <v>478925</v>
      </c>
      <c r="E962" s="2">
        <v>1009</v>
      </c>
      <c r="F962" s="2">
        <v>117451</v>
      </c>
      <c r="G962" s="2">
        <v>32</v>
      </c>
      <c r="H962" s="2">
        <v>8266</v>
      </c>
      <c r="I962" s="2">
        <v>147</v>
      </c>
      <c r="J962" s="2">
        <v>16050</v>
      </c>
      <c r="K962" s="2">
        <v>14</v>
      </c>
      <c r="L962" s="2">
        <v>598</v>
      </c>
      <c r="M962" s="2">
        <v>640</v>
      </c>
      <c r="N962" s="2">
        <v>32628</v>
      </c>
      <c r="O962" s="2">
        <v>40</v>
      </c>
      <c r="P962" s="2">
        <v>215810</v>
      </c>
      <c r="Q962" s="2">
        <v>24710</v>
      </c>
      <c r="R962" s="2">
        <v>182663</v>
      </c>
      <c r="S962" s="2">
        <v>1077101</v>
      </c>
      <c r="T962" s="10">
        <f t="shared" si="47"/>
        <v>604642</v>
      </c>
      <c r="U962" s="8">
        <f t="shared" si="48"/>
        <v>0.5613605409334872</v>
      </c>
      <c r="V962" s="9" t="s">
        <v>5271</v>
      </c>
      <c r="W962" s="9" t="str">
        <f t="shared" si="49"/>
        <v>Northampton RD</v>
      </c>
      <c r="X962" s="9" t="str">
        <f>INDEX(Lookup!$A$2:$A$1349, MATCH(W962, Lookup!$B$2:$B$1349,0))</f>
        <v>J04000933</v>
      </c>
      <c r="Y962" s="9" t="str">
        <f>INDEX(Lookup!$F$2:$F$1349, MATCH(W962, Lookup!$B$2:$B$1349,0))</f>
        <v>e260787</v>
      </c>
      <c r="Z962" s="6" t="str">
        <f>INDEX(Lookup!$C$2:$C$1300, MATCH(X962, Lookup!$A$2:$A$1300,0))</f>
        <v>Northamptonshire</v>
      </c>
    </row>
    <row r="963" spans="1:26" ht="28.15" customHeight="1" x14ac:dyDescent="0.2">
      <c r="A963" s="6" t="s">
        <v>851</v>
      </c>
      <c r="B963" s="1" t="s">
        <v>5385</v>
      </c>
      <c r="C963" s="2">
        <v>4725</v>
      </c>
      <c r="D963" s="2">
        <v>177165</v>
      </c>
      <c r="E963" s="2">
        <v>144</v>
      </c>
      <c r="F963" s="2">
        <v>18060</v>
      </c>
      <c r="G963" s="2">
        <v>26</v>
      </c>
      <c r="H963" s="2">
        <v>7131</v>
      </c>
      <c r="I963" s="2">
        <v>170</v>
      </c>
      <c r="J963" s="2">
        <v>13932</v>
      </c>
      <c r="K963" s="2">
        <v>18</v>
      </c>
      <c r="L963" s="2">
        <v>795</v>
      </c>
      <c r="M963" s="2">
        <v>522</v>
      </c>
      <c r="N963" s="2">
        <v>26634</v>
      </c>
      <c r="O963" s="2">
        <v>35</v>
      </c>
      <c r="P963" s="2">
        <v>23355</v>
      </c>
      <c r="Q963" s="2">
        <v>17611</v>
      </c>
      <c r="R963" s="2">
        <v>116186</v>
      </c>
      <c r="S963" s="2">
        <v>400866</v>
      </c>
      <c r="T963" s="10">
        <f t="shared" ref="T963:T1025" si="50">SUM(D963+F963+H963)</f>
        <v>202356</v>
      </c>
      <c r="U963" s="8">
        <f t="shared" ref="U963:U1025" si="51">T963/S963</f>
        <v>0.50479711424765383</v>
      </c>
      <c r="V963" s="9" t="s">
        <v>5271</v>
      </c>
      <c r="W963" s="9" t="str">
        <f t="shared" ref="W963:W1026" si="52">_xlfn.CONCAT(B963," ",V963)</f>
        <v>Oundle and Thrapston RD</v>
      </c>
      <c r="X963" s="9" t="str">
        <f>INDEX(Lookup!$A$2:$A$1349, MATCH(W963, Lookup!$B$2:$B$1349,0))</f>
        <v>J04000965</v>
      </c>
      <c r="Y963" s="9" t="str">
        <f>INDEX(Lookup!$F$2:$F$1349, MATCH(W963, Lookup!$B$2:$B$1349,0))</f>
        <v>e260810</v>
      </c>
      <c r="Z963" s="6" t="str">
        <f>INDEX(Lookup!$C$2:$C$1300, MATCH(X963, Lookup!$A$2:$A$1300,0))</f>
        <v>Northamptonshire</v>
      </c>
    </row>
    <row r="964" spans="1:26" ht="28.15" customHeight="1" x14ac:dyDescent="0.2">
      <c r="A964" s="6" t="s">
        <v>852</v>
      </c>
      <c r="B964" s="1" t="s">
        <v>852</v>
      </c>
      <c r="C964" s="2">
        <v>4617</v>
      </c>
      <c r="D964" s="2">
        <v>196670</v>
      </c>
      <c r="E964" s="2">
        <v>124</v>
      </c>
      <c r="F964" s="2">
        <v>15673</v>
      </c>
      <c r="G964" s="2">
        <v>15</v>
      </c>
      <c r="H964" s="2">
        <v>4750</v>
      </c>
      <c r="I964" s="2">
        <v>145</v>
      </c>
      <c r="J964" s="2">
        <v>13509</v>
      </c>
      <c r="K964" s="2">
        <v>10</v>
      </c>
      <c r="L964" s="2">
        <v>1081</v>
      </c>
      <c r="M964" s="2">
        <v>493</v>
      </c>
      <c r="N964" s="2">
        <v>24232</v>
      </c>
      <c r="O964" s="2">
        <v>29</v>
      </c>
      <c r="P964" s="2">
        <v>46481</v>
      </c>
      <c r="Q964" s="2">
        <v>1095</v>
      </c>
      <c r="R964" s="2">
        <v>68970</v>
      </c>
      <c r="S964" s="2">
        <v>372461</v>
      </c>
      <c r="T964" s="10">
        <f t="shared" si="50"/>
        <v>217093</v>
      </c>
      <c r="U964" s="8">
        <f t="shared" si="51"/>
        <v>0.58286102437570642</v>
      </c>
      <c r="V964" s="9" t="s">
        <v>5271</v>
      </c>
      <c r="W964" s="9" t="str">
        <f t="shared" si="52"/>
        <v>Towcester RD</v>
      </c>
      <c r="X964" s="9" t="str">
        <f>INDEX(Lookup!$A$2:$A$1349, MATCH(W964, Lookup!$B$2:$B$1349,0))</f>
        <v>J04001292</v>
      </c>
      <c r="Y964" s="9" t="str">
        <f>INDEX(Lookup!$F$2:$F$1349, MATCH(W964, Lookup!$B$2:$B$1349,0))</f>
        <v>e260811</v>
      </c>
      <c r="Z964" s="6" t="str">
        <f>INDEX(Lookup!$C$2:$C$1300, MATCH(X964, Lookup!$A$2:$A$1300,0))</f>
        <v>Northamptonshire</v>
      </c>
    </row>
    <row r="965" spans="1:26" ht="28.15" customHeight="1" x14ac:dyDescent="0.2">
      <c r="A965" s="6" t="s">
        <v>848</v>
      </c>
      <c r="B965" s="1" t="s">
        <v>848</v>
      </c>
      <c r="C965" s="2">
        <v>4462</v>
      </c>
      <c r="D965" s="2">
        <v>206371</v>
      </c>
      <c r="E965" s="2">
        <v>227</v>
      </c>
      <c r="F965" s="2">
        <v>29177</v>
      </c>
      <c r="G965" s="2">
        <v>10</v>
      </c>
      <c r="H965" s="2">
        <v>2421</v>
      </c>
      <c r="I965" s="2">
        <v>128</v>
      </c>
      <c r="J965" s="2">
        <v>10307</v>
      </c>
      <c r="K965" s="2">
        <v>9</v>
      </c>
      <c r="L965" s="2">
        <v>545</v>
      </c>
      <c r="M965" s="2">
        <v>598</v>
      </c>
      <c r="N965" s="2">
        <v>66355</v>
      </c>
      <c r="O965" s="2">
        <v>75</v>
      </c>
      <c r="P965" s="2">
        <v>68334</v>
      </c>
      <c r="Q965" s="2">
        <v>1320</v>
      </c>
      <c r="R965" s="2">
        <v>71328</v>
      </c>
      <c r="S965" s="2">
        <v>456158</v>
      </c>
      <c r="T965" s="10">
        <f t="shared" si="50"/>
        <v>237969</v>
      </c>
      <c r="U965" s="8">
        <f t="shared" si="51"/>
        <v>0.52168108418574266</v>
      </c>
      <c r="V965" s="9" t="s">
        <v>5271</v>
      </c>
      <c r="W965" s="9" t="str">
        <f t="shared" si="52"/>
        <v>Wellingborough RD</v>
      </c>
      <c r="X965" s="9" t="str">
        <f>INDEX(Lookup!$A$2:$A$1349, MATCH(W965, Lookup!$B$2:$B$1349,0))</f>
        <v>J04001361</v>
      </c>
      <c r="Y965" s="9" t="str">
        <f>INDEX(Lookup!$F$2:$F$1349, MATCH(W965, Lookup!$B$2:$B$1349,0))</f>
        <v>e260812</v>
      </c>
      <c r="Z965" s="6" t="str">
        <f>INDEX(Lookup!$C$2:$C$1300, MATCH(X965, Lookup!$A$2:$A$1300,0))</f>
        <v>Northamptonshire</v>
      </c>
    </row>
    <row r="966" spans="1:26" ht="28.15" customHeight="1" x14ac:dyDescent="0.2">
      <c r="A966" s="6" t="s">
        <v>853</v>
      </c>
      <c r="B966" s="1" t="s">
        <v>853</v>
      </c>
      <c r="T966" s="10"/>
      <c r="W966" s="9" t="str">
        <f t="shared" si="52"/>
        <v xml:space="preserve">NORTHUMBERLAND: </v>
      </c>
      <c r="X966" s="9" t="e">
        <f>INDEX(Lookup!$A$2:$A$1349, MATCH(W966, Lookup!$B$2:$B$1349,0))</f>
        <v>#N/A</v>
      </c>
      <c r="Y966" s="9" t="e">
        <f>INDEX(Lookup!$F$2:$F$1349, MATCH(W966, Lookup!$B$2:$B$1349,0))</f>
        <v>#N/A</v>
      </c>
      <c r="Z966" s="6" t="e">
        <f>INDEX(Lookup!$C$2:$C$1300, MATCH(X966, Lookup!$A$2:$A$1300,0))</f>
        <v>#N/A</v>
      </c>
    </row>
    <row r="967" spans="1:26" ht="28.15" customHeight="1" x14ac:dyDescent="0.2">
      <c r="A967" s="6" t="s">
        <v>175</v>
      </c>
      <c r="B967" s="1" t="s">
        <v>175</v>
      </c>
      <c r="T967" s="10"/>
      <c r="W967" s="9" t="str">
        <f t="shared" si="52"/>
        <v xml:space="preserve">Non-County Boroughs-- </v>
      </c>
      <c r="X967" s="9" t="e">
        <f>INDEX(Lookup!$A$2:$A$1349, MATCH(W967, Lookup!$B$2:$B$1349,0))</f>
        <v>#N/A</v>
      </c>
      <c r="Y967" s="9" t="e">
        <f>INDEX(Lookup!$F$2:$F$1349, MATCH(W967, Lookup!$B$2:$B$1349,0))</f>
        <v>#N/A</v>
      </c>
      <c r="Z967" s="6" t="e">
        <f>INDEX(Lookup!$C$2:$C$1300, MATCH(X967, Lookup!$A$2:$A$1300,0))</f>
        <v>#N/A</v>
      </c>
    </row>
    <row r="968" spans="1:26" ht="28.15" customHeight="1" x14ac:dyDescent="0.2">
      <c r="A968" s="6" t="s">
        <v>854</v>
      </c>
      <c r="B968" s="1" t="s">
        <v>3993</v>
      </c>
      <c r="C968" s="2">
        <v>3911</v>
      </c>
      <c r="D968" s="2">
        <v>163613</v>
      </c>
      <c r="E968" s="2">
        <v>195</v>
      </c>
      <c r="F968" s="2">
        <v>23862</v>
      </c>
      <c r="G968" s="2">
        <v>1</v>
      </c>
      <c r="H968" s="2">
        <v>242</v>
      </c>
      <c r="I968" s="2">
        <v>236</v>
      </c>
      <c r="J968" s="2">
        <v>44659</v>
      </c>
      <c r="K968" s="2">
        <v>62</v>
      </c>
      <c r="L968" s="2">
        <v>7122</v>
      </c>
      <c r="M968" s="2">
        <v>376</v>
      </c>
      <c r="N968" s="2">
        <v>33987</v>
      </c>
      <c r="O968" s="2">
        <v>34</v>
      </c>
      <c r="P968" s="2">
        <v>24133</v>
      </c>
      <c r="Q968" s="2">
        <v>6311</v>
      </c>
      <c r="R968" s="2">
        <v>51326</v>
      </c>
      <c r="S968" s="2">
        <v>355255</v>
      </c>
      <c r="T968" s="10">
        <f t="shared" si="50"/>
        <v>187717</v>
      </c>
      <c r="U968" s="8">
        <f t="shared" si="51"/>
        <v>0.52840072623889878</v>
      </c>
      <c r="V968" s="9" t="s">
        <v>5268</v>
      </c>
      <c r="W968" s="9" t="str">
        <f t="shared" si="52"/>
        <v>Berwick upon Tweed MB</v>
      </c>
      <c r="X968" s="9" t="str">
        <f>INDEX(Lookup!$A$2:$A$1349, MATCH(W968, Lookup!$B$2:$B$1349,0))</f>
        <v>J04000128</v>
      </c>
      <c r="Y968" s="9" t="str">
        <f>INDEX(Lookup!$F$2:$F$1349, MATCH(W968, Lookup!$B$2:$B$1349,0))</f>
        <v>e270820</v>
      </c>
      <c r="Z968" s="6" t="str">
        <f>INDEX(Lookup!$C$2:$C$1300, MATCH(X968, Lookup!$A$2:$A$1300,0))</f>
        <v>Northumberland</v>
      </c>
    </row>
    <row r="969" spans="1:26" ht="28.15" customHeight="1" x14ac:dyDescent="0.2">
      <c r="A969" s="6" t="s">
        <v>855</v>
      </c>
      <c r="B969" s="1" t="s">
        <v>855</v>
      </c>
      <c r="C969" s="2">
        <v>11237</v>
      </c>
      <c r="D969" s="2">
        <v>513609</v>
      </c>
      <c r="E969" s="2">
        <v>137</v>
      </c>
      <c r="F969" s="2">
        <v>14977</v>
      </c>
      <c r="I969" s="2">
        <v>441</v>
      </c>
      <c r="J969" s="2">
        <v>94437</v>
      </c>
      <c r="K969" s="2">
        <v>95</v>
      </c>
      <c r="L969" s="2">
        <v>8019</v>
      </c>
      <c r="M969" s="2">
        <v>1327</v>
      </c>
      <c r="N969" s="2">
        <v>46051</v>
      </c>
      <c r="O969" s="2">
        <v>32</v>
      </c>
      <c r="P969" s="2">
        <v>73116</v>
      </c>
      <c r="Q969" s="2">
        <v>3270</v>
      </c>
      <c r="R969" s="2">
        <v>184094</v>
      </c>
      <c r="S969" s="2">
        <v>937573</v>
      </c>
      <c r="T969" s="10">
        <f>SUM(D969+F969)</f>
        <v>528586</v>
      </c>
      <c r="U969" s="8">
        <f t="shared" si="51"/>
        <v>0.56378116690647018</v>
      </c>
      <c r="V969" s="9" t="s">
        <v>5268</v>
      </c>
      <c r="W969" s="9" t="str">
        <f t="shared" si="52"/>
        <v>Blyth MB</v>
      </c>
      <c r="X969" s="9" t="str">
        <f>INDEX(Lookup!$A$2:$A$1349, MATCH(W969, Lookup!$B$2:$B$1349,0))</f>
        <v>J04000166</v>
      </c>
      <c r="Y969" s="9" t="str">
        <f>INDEX(Lookup!$F$2:$F$1349, MATCH(W969, Lookup!$B$2:$B$1349,0))</f>
        <v>e270821</v>
      </c>
      <c r="Z969" s="6" t="str">
        <f>INDEX(Lookup!$C$2:$C$1300, MATCH(X969, Lookup!$A$2:$A$1300,0))</f>
        <v>Northumberland</v>
      </c>
    </row>
    <row r="970" spans="1:26" ht="28.15" customHeight="1" x14ac:dyDescent="0.2">
      <c r="A970" s="6" t="s">
        <v>856</v>
      </c>
      <c r="B970" s="1" t="s">
        <v>856</v>
      </c>
      <c r="C970" s="2">
        <v>3699</v>
      </c>
      <c r="D970" s="2">
        <v>210585</v>
      </c>
      <c r="E970" s="2">
        <v>215</v>
      </c>
      <c r="F970" s="2">
        <v>27014</v>
      </c>
      <c r="G970" s="2">
        <v>3</v>
      </c>
      <c r="H970" s="2">
        <v>678</v>
      </c>
      <c r="I970" s="2">
        <v>196</v>
      </c>
      <c r="J970" s="2">
        <v>57519</v>
      </c>
      <c r="K970" s="2">
        <v>57</v>
      </c>
      <c r="L970" s="2">
        <v>6163</v>
      </c>
      <c r="M970" s="2">
        <v>393</v>
      </c>
      <c r="N970" s="2">
        <v>25931</v>
      </c>
      <c r="O970" s="2">
        <v>9</v>
      </c>
      <c r="P970" s="2">
        <v>6529</v>
      </c>
      <c r="Q970" s="2">
        <v>15247</v>
      </c>
      <c r="R970" s="2">
        <v>46977</v>
      </c>
      <c r="S970" s="2">
        <v>396643</v>
      </c>
      <c r="T970" s="10">
        <f t="shared" si="50"/>
        <v>238277</v>
      </c>
      <c r="U970" s="8">
        <f t="shared" si="51"/>
        <v>0.60073416144996883</v>
      </c>
      <c r="V970" s="9" t="s">
        <v>5268</v>
      </c>
      <c r="W970" s="9" t="str">
        <f t="shared" si="52"/>
        <v>Morpeth MB</v>
      </c>
      <c r="X970" s="9" t="str">
        <f>INDEX(Lookup!$A$2:$A$1349, MATCH(W970, Lookup!$B$2:$B$1349,0))</f>
        <v>J04000870</v>
      </c>
      <c r="Y970" s="9" t="str">
        <f>INDEX(Lookup!$F$2:$F$1349, MATCH(W970, Lookup!$B$2:$B$1349,0))</f>
        <v>e270825</v>
      </c>
      <c r="Z970" s="6" t="str">
        <f>INDEX(Lookup!$C$2:$C$1300, MATCH(X970, Lookup!$A$2:$A$1300,0))</f>
        <v>Northumberland</v>
      </c>
    </row>
    <row r="971" spans="1:26" ht="28.15" customHeight="1" x14ac:dyDescent="0.2">
      <c r="A971" s="6" t="s">
        <v>857</v>
      </c>
      <c r="B971" s="1" t="s">
        <v>857</v>
      </c>
      <c r="C971" s="2">
        <v>15526</v>
      </c>
      <c r="D971" s="2">
        <v>670506</v>
      </c>
      <c r="E971" s="2">
        <v>78</v>
      </c>
      <c r="F971" s="2">
        <v>7936</v>
      </c>
      <c r="I971" s="2">
        <v>512</v>
      </c>
      <c r="J971" s="2">
        <v>85566</v>
      </c>
      <c r="K971" s="2">
        <v>63</v>
      </c>
      <c r="L971" s="2">
        <v>6710</v>
      </c>
      <c r="M971" s="2">
        <v>960</v>
      </c>
      <c r="N971" s="2">
        <v>44771</v>
      </c>
      <c r="O971" s="2">
        <v>44</v>
      </c>
      <c r="P971" s="2">
        <v>628044</v>
      </c>
      <c r="Q971" s="2">
        <v>7306</v>
      </c>
      <c r="R971" s="2">
        <v>257287</v>
      </c>
      <c r="S971" s="2">
        <v>1708126</v>
      </c>
      <c r="T971" s="10">
        <f>SUM(D971+F971)</f>
        <v>678442</v>
      </c>
      <c r="U971" s="8">
        <f t="shared" si="51"/>
        <v>0.39718498518259193</v>
      </c>
      <c r="V971" s="9" t="s">
        <v>5268</v>
      </c>
      <c r="W971" s="9" t="str">
        <f t="shared" si="52"/>
        <v>Wallsend MB</v>
      </c>
      <c r="X971" s="9" t="str">
        <f>INDEX(Lookup!$A$2:$A$1349, MATCH(W971, Lookup!$B$2:$B$1349,0))</f>
        <v>J04001327</v>
      </c>
      <c r="Y971" s="9" t="str">
        <f>INDEX(Lookup!$F$2:$F$1349, MATCH(W971, Lookup!$B$2:$B$1349,0))</f>
        <v>e270830</v>
      </c>
      <c r="Z971" s="6" t="str">
        <f>INDEX(Lookup!$C$2:$C$1300, MATCH(X971, Lookup!$A$2:$A$1300,0))</f>
        <v>Tyne And Wear</v>
      </c>
    </row>
    <row r="972" spans="1:26" ht="28.15" customHeight="1" x14ac:dyDescent="0.2">
      <c r="A972" s="6" t="s">
        <v>858</v>
      </c>
      <c r="B972" s="1" t="s">
        <v>858</v>
      </c>
      <c r="C972" s="2">
        <v>9617</v>
      </c>
      <c r="D972" s="2">
        <v>685350</v>
      </c>
      <c r="E972" s="2">
        <v>2826</v>
      </c>
      <c r="F972" s="2">
        <v>340335</v>
      </c>
      <c r="G972" s="2">
        <v>40</v>
      </c>
      <c r="H972" s="2">
        <v>8920</v>
      </c>
      <c r="I972" s="2">
        <v>625</v>
      </c>
      <c r="J972" s="2">
        <v>136304</v>
      </c>
      <c r="K972" s="2">
        <v>72</v>
      </c>
      <c r="L972" s="2">
        <v>8886</v>
      </c>
      <c r="M972" s="2">
        <v>672</v>
      </c>
      <c r="N972" s="2">
        <v>71967</v>
      </c>
      <c r="O972" s="2">
        <v>19</v>
      </c>
      <c r="P972" s="2">
        <v>12595</v>
      </c>
      <c r="Q972" s="2">
        <v>2269</v>
      </c>
      <c r="R972" s="2">
        <v>120974</v>
      </c>
      <c r="S972" s="2">
        <v>1387600</v>
      </c>
      <c r="T972" s="10">
        <f t="shared" si="50"/>
        <v>1034605</v>
      </c>
      <c r="U972" s="8">
        <f t="shared" si="51"/>
        <v>0.74560752378206974</v>
      </c>
      <c r="V972" s="9" t="s">
        <v>5268</v>
      </c>
      <c r="W972" s="9" t="str">
        <f t="shared" si="52"/>
        <v>Whitley Bay MB</v>
      </c>
      <c r="X972" s="9" t="str">
        <f>INDEX(Lookup!$A$2:$A$1349, MATCH(W972, Lookup!$B$2:$B$1349,0))</f>
        <v>J04001404</v>
      </c>
      <c r="Y972" s="9" t="str">
        <f>INDEX(Lookup!$F$2:$F$1349, MATCH(W972, Lookup!$B$2:$B$1349,0))</f>
        <v>e270831</v>
      </c>
      <c r="Z972" s="6" t="str">
        <f>INDEX(Lookup!$C$2:$C$1300, MATCH(X972, Lookup!$A$2:$A$1300,0))</f>
        <v>Tyne And Wear</v>
      </c>
    </row>
    <row r="973" spans="1:26" ht="28.15" customHeight="1" x14ac:dyDescent="0.2">
      <c r="A973" s="6" t="s">
        <v>179</v>
      </c>
      <c r="B973" s="1" t="s">
        <v>179</v>
      </c>
      <c r="T973" s="10"/>
      <c r="W973" s="9" t="str">
        <f t="shared" si="52"/>
        <v xml:space="preserve">Urban Districts-- </v>
      </c>
      <c r="X973" s="9" t="e">
        <f>INDEX(Lookup!$A$2:$A$1349, MATCH(W973, Lookup!$B$2:$B$1349,0))</f>
        <v>#N/A</v>
      </c>
      <c r="Y973" s="9" t="e">
        <f>INDEX(Lookup!$F$2:$F$1349, MATCH(W973, Lookup!$B$2:$B$1349,0))</f>
        <v>#N/A</v>
      </c>
      <c r="Z973" s="6" t="e">
        <f>INDEX(Lookup!$C$2:$C$1300, MATCH(X973, Lookup!$A$2:$A$1300,0))</f>
        <v>#N/A</v>
      </c>
    </row>
    <row r="974" spans="1:26" ht="28.15" customHeight="1" x14ac:dyDescent="0.2">
      <c r="A974" s="6" t="s">
        <v>859</v>
      </c>
      <c r="B974" s="1" t="s">
        <v>859</v>
      </c>
      <c r="C974" s="2">
        <v>2156</v>
      </c>
      <c r="D974" s="2">
        <v>95931</v>
      </c>
      <c r="E974" s="2">
        <v>232</v>
      </c>
      <c r="F974" s="2">
        <v>27421</v>
      </c>
      <c r="G974" s="2">
        <v>4</v>
      </c>
      <c r="H974" s="2">
        <v>856</v>
      </c>
      <c r="I974" s="2">
        <v>167</v>
      </c>
      <c r="J974" s="2">
        <v>26181</v>
      </c>
      <c r="K974" s="2">
        <v>56</v>
      </c>
      <c r="L974" s="2">
        <v>7951</v>
      </c>
      <c r="M974" s="2">
        <v>209</v>
      </c>
      <c r="N974" s="2">
        <v>20299</v>
      </c>
      <c r="O974" s="2">
        <v>19</v>
      </c>
      <c r="P974" s="2">
        <v>10435</v>
      </c>
      <c r="Q974" s="2">
        <v>2837</v>
      </c>
      <c r="R974" s="2">
        <v>33325</v>
      </c>
      <c r="S974" s="2">
        <v>225236</v>
      </c>
      <c r="T974" s="10">
        <f t="shared" si="50"/>
        <v>124208</v>
      </c>
      <c r="U974" s="8">
        <f t="shared" si="51"/>
        <v>0.55145713829050413</v>
      </c>
      <c r="V974" s="9" t="s">
        <v>5270</v>
      </c>
      <c r="W974" s="9" t="str">
        <f t="shared" si="52"/>
        <v>Alnwick UD</v>
      </c>
      <c r="X974" s="9" t="str">
        <f>INDEX(Lookup!$A$2:$A$1349, MATCH(W974, Lookup!$B$2:$B$1349,0))</f>
        <v>J04000029</v>
      </c>
      <c r="Y974" s="9" t="str">
        <f>INDEX(Lookup!$F$2:$F$1349, MATCH(W974, Lookup!$B$2:$B$1349,0))</f>
        <v>e270816</v>
      </c>
      <c r="Z974" s="6" t="str">
        <f>INDEX(Lookup!$C$2:$C$1300, MATCH(X974, Lookup!$A$2:$A$1300,0))</f>
        <v>Northumberland</v>
      </c>
    </row>
    <row r="975" spans="1:26" ht="28.15" customHeight="1" x14ac:dyDescent="0.2">
      <c r="A975" s="6" t="s">
        <v>860</v>
      </c>
      <c r="B975" s="1" t="s">
        <v>860</v>
      </c>
      <c r="C975" s="2">
        <v>1594</v>
      </c>
      <c r="D975" s="2">
        <v>70189</v>
      </c>
      <c r="E975" s="2">
        <v>10</v>
      </c>
      <c r="F975" s="2">
        <v>1201</v>
      </c>
      <c r="I975" s="2">
        <v>92</v>
      </c>
      <c r="J975" s="2">
        <v>11956</v>
      </c>
      <c r="K975" s="2">
        <v>9</v>
      </c>
      <c r="L975" s="2">
        <v>634</v>
      </c>
      <c r="M975" s="2">
        <v>191</v>
      </c>
      <c r="N975" s="2">
        <v>7998</v>
      </c>
      <c r="O975" s="2">
        <v>6</v>
      </c>
      <c r="P975" s="2">
        <v>1810</v>
      </c>
      <c r="Q975" s="2">
        <v>335</v>
      </c>
      <c r="R975" s="2">
        <v>17405</v>
      </c>
      <c r="S975" s="2">
        <v>111528</v>
      </c>
      <c r="T975" s="10">
        <f>SUM(D975+F975)</f>
        <v>71390</v>
      </c>
      <c r="U975" s="8">
        <f t="shared" si="51"/>
        <v>0.64010831360734521</v>
      </c>
      <c r="V975" s="9" t="s">
        <v>5270</v>
      </c>
      <c r="W975" s="9" t="str">
        <f t="shared" si="52"/>
        <v>Amble UD</v>
      </c>
      <c r="X975" s="9" t="str">
        <f>INDEX(Lookup!$A$2:$A$1349, MATCH(W975, Lookup!$B$2:$B$1349,0))</f>
        <v>J04000035</v>
      </c>
      <c r="Y975" s="9" t="str">
        <f>INDEX(Lookup!$F$2:$F$1349, MATCH(W975, Lookup!$B$2:$B$1349,0))</f>
        <v>e270817</v>
      </c>
      <c r="Z975" s="6" t="str">
        <f>INDEX(Lookup!$C$2:$C$1300, MATCH(X975, Lookup!$A$2:$A$1300,0))</f>
        <v>Northumberland</v>
      </c>
    </row>
    <row r="976" spans="1:26" ht="28.15" customHeight="1" x14ac:dyDescent="0.2">
      <c r="A976" s="6" t="s">
        <v>861</v>
      </c>
      <c r="B976" s="1" t="s">
        <v>861</v>
      </c>
      <c r="C976" s="2">
        <v>8550</v>
      </c>
      <c r="D976" s="2">
        <v>334537</v>
      </c>
      <c r="E976" s="2">
        <v>58</v>
      </c>
      <c r="F976" s="2">
        <v>7026</v>
      </c>
      <c r="I976" s="2">
        <v>373</v>
      </c>
      <c r="J976" s="2">
        <v>90931</v>
      </c>
      <c r="K976" s="2">
        <v>53</v>
      </c>
      <c r="L976" s="2">
        <v>6548</v>
      </c>
      <c r="M976" s="2">
        <v>1047</v>
      </c>
      <c r="N976" s="2">
        <v>24274</v>
      </c>
      <c r="O976" s="2">
        <v>14</v>
      </c>
      <c r="P976" s="2">
        <v>26662</v>
      </c>
      <c r="Q976" s="2">
        <v>3616</v>
      </c>
      <c r="R976" s="2">
        <v>199620</v>
      </c>
      <c r="S976" s="2">
        <v>693214</v>
      </c>
      <c r="T976" s="10">
        <f t="shared" ref="T976:T977" si="53">SUM(D976+F976)</f>
        <v>341563</v>
      </c>
      <c r="U976" s="8">
        <f t="shared" si="51"/>
        <v>0.49272374764502735</v>
      </c>
      <c r="V976" s="9" t="s">
        <v>5270</v>
      </c>
      <c r="W976" s="9" t="str">
        <f t="shared" si="52"/>
        <v>Ashington UD</v>
      </c>
      <c r="X976" s="9" t="str">
        <f>INDEX(Lookup!$A$2:$A$1349, MATCH(W976, Lookup!$B$2:$B$1349,0))</f>
        <v>J04000055</v>
      </c>
      <c r="Y976" s="9" t="str">
        <f>INDEX(Lookup!$F$2:$F$1349, MATCH(W976, Lookup!$B$2:$B$1349,0))</f>
        <v>e270818</v>
      </c>
      <c r="Z976" s="6" t="str">
        <f>INDEX(Lookup!$C$2:$C$1300, MATCH(X976, Lookup!$A$2:$A$1300,0))</f>
        <v>Northumberland</v>
      </c>
    </row>
    <row r="977" spans="1:26" ht="28.15" customHeight="1" x14ac:dyDescent="0.2">
      <c r="A977" s="6" t="s">
        <v>862</v>
      </c>
      <c r="B977" s="1" t="s">
        <v>862</v>
      </c>
      <c r="C977" s="2">
        <v>9379</v>
      </c>
      <c r="D977" s="2">
        <v>407891</v>
      </c>
      <c r="E977" s="2">
        <v>63</v>
      </c>
      <c r="F977" s="2">
        <v>7421</v>
      </c>
      <c r="I977" s="2">
        <v>284</v>
      </c>
      <c r="J977" s="2">
        <v>38510</v>
      </c>
      <c r="K977" s="2">
        <v>23</v>
      </c>
      <c r="L977" s="2">
        <v>3940</v>
      </c>
      <c r="M977" s="2">
        <v>1038</v>
      </c>
      <c r="N977" s="2">
        <v>28305</v>
      </c>
      <c r="O977" s="2">
        <v>19</v>
      </c>
      <c r="P977" s="2">
        <v>40191</v>
      </c>
      <c r="Q977" s="2">
        <v>1470</v>
      </c>
      <c r="R977" s="2">
        <v>415144</v>
      </c>
      <c r="S977" s="2">
        <v>964897</v>
      </c>
      <c r="T977" s="10">
        <f t="shared" si="53"/>
        <v>415312</v>
      </c>
      <c r="U977" s="8">
        <f t="shared" si="51"/>
        <v>0.43042107085004927</v>
      </c>
      <c r="V977" s="9" t="s">
        <v>5270</v>
      </c>
      <c r="W977" s="9" t="str">
        <f t="shared" si="52"/>
        <v>Bedlingtonshire UD</v>
      </c>
      <c r="X977" s="9" t="str">
        <f>INDEX(Lookup!$A$2:$A$1349, MATCH(W977, Lookup!$B$2:$B$1349,0))</f>
        <v>J04000114</v>
      </c>
      <c r="Y977" s="9" t="str">
        <f>INDEX(Lookup!$F$2:$F$1349, MATCH(W977, Lookup!$B$2:$B$1349,0))</f>
        <v>e270819</v>
      </c>
      <c r="Z977" s="6" t="str">
        <f>INDEX(Lookup!$C$2:$C$1300, MATCH(X977, Lookup!$A$2:$A$1300,0))</f>
        <v>Northumberland</v>
      </c>
    </row>
    <row r="978" spans="1:26" ht="28.15" customHeight="1" x14ac:dyDescent="0.2">
      <c r="A978" s="6" t="s">
        <v>863</v>
      </c>
      <c r="B978" s="1" t="s">
        <v>863</v>
      </c>
      <c r="C978" s="2">
        <v>6807</v>
      </c>
      <c r="D978" s="2">
        <v>417897</v>
      </c>
      <c r="E978" s="2">
        <v>1820</v>
      </c>
      <c r="F978" s="2">
        <v>236482</v>
      </c>
      <c r="G978" s="2">
        <v>193</v>
      </c>
      <c r="H978" s="2">
        <v>47100</v>
      </c>
      <c r="I978" s="2">
        <v>255</v>
      </c>
      <c r="J978" s="2">
        <v>73148</v>
      </c>
      <c r="K978" s="2">
        <v>65</v>
      </c>
      <c r="L978" s="2">
        <v>22048</v>
      </c>
      <c r="M978" s="2">
        <v>589</v>
      </c>
      <c r="N978" s="2">
        <v>47359</v>
      </c>
      <c r="O978" s="2">
        <v>11</v>
      </c>
      <c r="P978" s="2">
        <v>5795</v>
      </c>
      <c r="Q978" s="2">
        <v>18197</v>
      </c>
      <c r="R978" s="2">
        <v>96871</v>
      </c>
      <c r="S978" s="2">
        <v>363901</v>
      </c>
      <c r="T978" s="10">
        <f t="shared" si="50"/>
        <v>701479</v>
      </c>
      <c r="U978" s="8">
        <f t="shared" si="51"/>
        <v>1.9276643922385484</v>
      </c>
      <c r="V978" s="9" t="s">
        <v>5270</v>
      </c>
      <c r="W978" s="9" t="str">
        <f t="shared" si="52"/>
        <v>Gosforth UD</v>
      </c>
      <c r="X978" s="9" t="str">
        <f>INDEX(Lookup!$A$2:$A$1349, MATCH(W978, Lookup!$B$2:$B$1349,0))</f>
        <v>J04000544</v>
      </c>
      <c r="Y978" s="9" t="str">
        <f>INDEX(Lookup!$F$2:$F$1349, MATCH(W978, Lookup!$B$2:$B$1349,0))</f>
        <v>e270822</v>
      </c>
      <c r="Z978" s="6" t="str">
        <f>INDEX(Lookup!$C$2:$C$1300, MATCH(X978, Lookup!$A$2:$A$1300,0))</f>
        <v>Tyne And Wear</v>
      </c>
    </row>
    <row r="979" spans="1:26" ht="28.15" customHeight="1" x14ac:dyDescent="0.2">
      <c r="A979" s="6" t="s">
        <v>864</v>
      </c>
      <c r="B979" s="1" t="s">
        <v>864</v>
      </c>
      <c r="C979" s="2">
        <v>2722</v>
      </c>
      <c r="D979" s="2">
        <v>146856</v>
      </c>
      <c r="E979" s="2">
        <v>336</v>
      </c>
      <c r="F979" s="2">
        <v>42580</v>
      </c>
      <c r="G979" s="2">
        <v>25</v>
      </c>
      <c r="H979" s="2">
        <v>6339</v>
      </c>
      <c r="I979" s="2">
        <v>213</v>
      </c>
      <c r="J979" s="2">
        <v>69083</v>
      </c>
      <c r="K979" s="2">
        <v>83</v>
      </c>
      <c r="L979" s="2">
        <v>6295</v>
      </c>
      <c r="M979" s="2">
        <v>280</v>
      </c>
      <c r="N979" s="2">
        <v>25436</v>
      </c>
      <c r="O979" s="2">
        <v>31</v>
      </c>
      <c r="P979" s="2">
        <v>16399</v>
      </c>
      <c r="Q979" s="2">
        <v>7565</v>
      </c>
      <c r="R979" s="2">
        <v>43348</v>
      </c>
      <c r="S979" s="2">
        <v>363901</v>
      </c>
      <c r="T979" s="10">
        <f t="shared" si="50"/>
        <v>195775</v>
      </c>
      <c r="U979" s="8">
        <f t="shared" si="51"/>
        <v>0.53798972797546585</v>
      </c>
      <c r="V979" s="9" t="s">
        <v>5270</v>
      </c>
      <c r="W979" s="9" t="str">
        <f t="shared" si="52"/>
        <v>Hexham UD</v>
      </c>
      <c r="X979" s="9" t="str">
        <f>INDEX(Lookup!$A$2:$A$1349, MATCH(W979, Lookup!$B$2:$B$1349,0))</f>
        <v>J04000619</v>
      </c>
      <c r="Y979" s="9" t="str">
        <f>INDEX(Lookup!$F$2:$F$1349, MATCH(W979, Lookup!$B$2:$B$1349,0))</f>
        <v>e270823</v>
      </c>
      <c r="Z979" s="6" t="str">
        <f>INDEX(Lookup!$C$2:$C$1300, MATCH(X979, Lookup!$A$2:$A$1300,0))</f>
        <v>Northumberland</v>
      </c>
    </row>
    <row r="980" spans="1:26" ht="28.15" customHeight="1" x14ac:dyDescent="0.2">
      <c r="A980" s="6" t="s">
        <v>865</v>
      </c>
      <c r="B980" s="1" t="s">
        <v>865</v>
      </c>
      <c r="C980" s="2">
        <v>13957</v>
      </c>
      <c r="D980" s="2">
        <v>747329</v>
      </c>
      <c r="E980" s="2">
        <v>501</v>
      </c>
      <c r="F980" s="2">
        <v>57314</v>
      </c>
      <c r="G980" s="2">
        <v>6</v>
      </c>
      <c r="H980" s="2">
        <v>1315</v>
      </c>
      <c r="I980" s="2">
        <v>251</v>
      </c>
      <c r="J980" s="2">
        <v>52531</v>
      </c>
      <c r="K980" s="2">
        <v>35</v>
      </c>
      <c r="L980" s="2">
        <v>27337</v>
      </c>
      <c r="M980" s="2">
        <v>981</v>
      </c>
      <c r="N980" s="2">
        <v>33131</v>
      </c>
      <c r="O980" s="2">
        <v>14</v>
      </c>
      <c r="P980" s="2">
        <v>12035</v>
      </c>
      <c r="Q980" s="2">
        <v>4069</v>
      </c>
      <c r="R980" s="2">
        <v>183509</v>
      </c>
      <c r="S980" s="2">
        <v>1118570</v>
      </c>
      <c r="T980" s="10">
        <f t="shared" si="50"/>
        <v>805958</v>
      </c>
      <c r="U980" s="8">
        <f t="shared" si="51"/>
        <v>0.7205253135700046</v>
      </c>
      <c r="V980" s="9" t="s">
        <v>5270</v>
      </c>
      <c r="W980" s="9" t="str">
        <f t="shared" si="52"/>
        <v>Longbenton UD</v>
      </c>
      <c r="X980" s="9" t="str">
        <f>INDEX(Lookup!$A$2:$A$1349, MATCH(W980, Lookup!$B$2:$B$1349,0))</f>
        <v>J04000777</v>
      </c>
      <c r="Y980" s="9" t="str">
        <f>INDEX(Lookup!$F$2:$F$1349, MATCH(W980, Lookup!$B$2:$B$1349,0))</f>
        <v>e270824</v>
      </c>
      <c r="Z980" s="6" t="str">
        <f>INDEX(Lookup!$C$2:$C$1300, MATCH(X980, Lookup!$A$2:$A$1300,0))</f>
        <v>Tyne And Wear</v>
      </c>
    </row>
    <row r="981" spans="1:26" ht="28.15" customHeight="1" x14ac:dyDescent="0.2">
      <c r="A981" s="6" t="s">
        <v>866</v>
      </c>
      <c r="B981" s="1" t="s">
        <v>5430</v>
      </c>
      <c r="C981" s="2">
        <v>3004</v>
      </c>
      <c r="D981" s="2">
        <v>133666</v>
      </c>
      <c r="E981" s="2">
        <v>38</v>
      </c>
      <c r="F981" s="2">
        <v>4636</v>
      </c>
      <c r="I981" s="2">
        <v>111</v>
      </c>
      <c r="J981" s="2">
        <v>13869</v>
      </c>
      <c r="K981" s="2">
        <v>14</v>
      </c>
      <c r="L981" s="2">
        <v>780</v>
      </c>
      <c r="M981" s="2">
        <v>201</v>
      </c>
      <c r="N981" s="2">
        <v>7818</v>
      </c>
      <c r="O981" s="2">
        <v>5</v>
      </c>
      <c r="P981" s="2">
        <v>1240</v>
      </c>
      <c r="Q981" s="2">
        <v>99</v>
      </c>
      <c r="R981" s="2">
        <v>33342</v>
      </c>
      <c r="S981" s="2">
        <v>195450</v>
      </c>
      <c r="T981" s="10">
        <f>SUM(D981+F981)</f>
        <v>138302</v>
      </c>
      <c r="U981" s="8">
        <f t="shared" si="51"/>
        <v>0.70760808390892815</v>
      </c>
      <c r="V981" s="9" t="s">
        <v>5270</v>
      </c>
      <c r="W981" s="9" t="str">
        <f t="shared" si="52"/>
        <v>Newbiggin by the Sea UD</v>
      </c>
      <c r="X981" s="9" t="str">
        <f>INDEX(Lookup!$A$2:$A$1349, MATCH(W981, Lookup!$B$2:$B$1349,0))</f>
        <v>J04000894</v>
      </c>
      <c r="Y981" s="9" t="str">
        <f>INDEX(Lookup!$F$2:$F$1349, MATCH(W981, Lookup!$B$2:$B$1349,0))</f>
        <v>e270826</v>
      </c>
      <c r="Z981" s="6" t="str">
        <f>INDEX(Lookup!$C$2:$C$1300, MATCH(X981, Lookup!$A$2:$A$1300,0))</f>
        <v>Northumberland</v>
      </c>
    </row>
    <row r="982" spans="1:26" ht="28.15" customHeight="1" x14ac:dyDescent="0.2">
      <c r="A982" s="6" t="s">
        <v>867</v>
      </c>
      <c r="B982" s="1" t="s">
        <v>867</v>
      </c>
      <c r="C982" s="2">
        <v>9061</v>
      </c>
      <c r="D982" s="2">
        <v>479007</v>
      </c>
      <c r="E982" s="2">
        <v>169</v>
      </c>
      <c r="F982" s="2">
        <v>18645</v>
      </c>
      <c r="G982" s="2">
        <v>1</v>
      </c>
      <c r="H982" s="2">
        <v>206</v>
      </c>
      <c r="I982" s="2">
        <v>193</v>
      </c>
      <c r="J982" s="2">
        <v>31906</v>
      </c>
      <c r="K982" s="2">
        <v>15</v>
      </c>
      <c r="L982" s="2">
        <v>2371</v>
      </c>
      <c r="M982" s="2">
        <v>513</v>
      </c>
      <c r="N982" s="2">
        <v>31047</v>
      </c>
      <c r="O982" s="2">
        <v>25</v>
      </c>
      <c r="P982" s="2">
        <v>106890</v>
      </c>
      <c r="Q982" s="2">
        <v>979</v>
      </c>
      <c r="R982" s="2">
        <v>220832</v>
      </c>
      <c r="S982" s="2">
        <v>891883</v>
      </c>
      <c r="T982" s="10">
        <f t="shared" si="50"/>
        <v>497858</v>
      </c>
      <c r="U982" s="8">
        <f t="shared" si="51"/>
        <v>0.55820998942686428</v>
      </c>
      <c r="V982" s="9" t="s">
        <v>5270</v>
      </c>
      <c r="W982" s="9" t="str">
        <f t="shared" si="52"/>
        <v>Newburn UD</v>
      </c>
      <c r="X982" s="9" t="str">
        <f>INDEX(Lookup!$A$2:$A$1349, MATCH(W982, Lookup!$B$2:$B$1349,0))</f>
        <v>J04000895</v>
      </c>
      <c r="Y982" s="9" t="str">
        <f>INDEX(Lookup!$F$2:$F$1349, MATCH(W982, Lookup!$B$2:$B$1349,0))</f>
        <v>e270827</v>
      </c>
      <c r="Z982" s="6" t="str">
        <f>INDEX(Lookup!$C$2:$C$1300, MATCH(X982, Lookup!$A$2:$A$1300,0))</f>
        <v>Tyne And Wear</v>
      </c>
    </row>
    <row r="983" spans="1:26" ht="28.15" customHeight="1" x14ac:dyDescent="0.2">
      <c r="A983" s="6" t="s">
        <v>868</v>
      </c>
      <c r="B983" s="1" t="s">
        <v>868</v>
      </c>
      <c r="C983" s="2">
        <v>2919</v>
      </c>
      <c r="D983" s="2">
        <v>128998</v>
      </c>
      <c r="E983" s="2">
        <v>40</v>
      </c>
      <c r="F983" s="2">
        <v>4733</v>
      </c>
      <c r="I983" s="2">
        <v>92</v>
      </c>
      <c r="J983" s="2">
        <v>13703</v>
      </c>
      <c r="K983" s="2">
        <v>13</v>
      </c>
      <c r="L983" s="2">
        <v>1027</v>
      </c>
      <c r="M983" s="2">
        <v>205</v>
      </c>
      <c r="N983" s="2">
        <v>7251</v>
      </c>
      <c r="O983" s="2">
        <v>4</v>
      </c>
      <c r="P983" s="2">
        <v>89605</v>
      </c>
      <c r="Q983" s="2">
        <v>14279</v>
      </c>
      <c r="R983" s="2">
        <v>32367</v>
      </c>
      <c r="S983" s="2">
        <v>291963</v>
      </c>
      <c r="T983" s="10">
        <f>SUM(D983+F983)</f>
        <v>133731</v>
      </c>
      <c r="U983" s="8">
        <f t="shared" si="51"/>
        <v>0.45804091614348391</v>
      </c>
      <c r="V983" s="9" t="s">
        <v>5270</v>
      </c>
      <c r="W983" s="9" t="str">
        <f t="shared" si="52"/>
        <v>Prudhoe UD</v>
      </c>
      <c r="X983" s="9" t="str">
        <f>INDEX(Lookup!$A$2:$A$1349, MATCH(W983, Lookup!$B$2:$B$1349,0))</f>
        <v>J04001022</v>
      </c>
      <c r="Y983" s="9" t="str">
        <f>INDEX(Lookup!$F$2:$F$1349, MATCH(W983, Lookup!$B$2:$B$1349,0))</f>
        <v>e270828</v>
      </c>
      <c r="Z983" s="6" t="str">
        <f>INDEX(Lookup!$C$2:$C$1300, MATCH(X983, Lookup!$A$2:$A$1300,0))</f>
        <v>Northumberland</v>
      </c>
    </row>
    <row r="984" spans="1:26" ht="28.15" customHeight="1" x14ac:dyDescent="0.2">
      <c r="A984" s="6" t="s">
        <v>869</v>
      </c>
      <c r="B984" s="1" t="s">
        <v>869</v>
      </c>
      <c r="C984" s="2">
        <v>8600</v>
      </c>
      <c r="D984" s="2">
        <v>367375</v>
      </c>
      <c r="E984" s="2">
        <v>19</v>
      </c>
      <c r="F984" s="2">
        <v>2132</v>
      </c>
      <c r="H984" s="2" t="s">
        <v>290</v>
      </c>
      <c r="I984" s="2">
        <v>165</v>
      </c>
      <c r="J984" s="2">
        <v>18751</v>
      </c>
      <c r="K984" s="2">
        <v>18</v>
      </c>
      <c r="L984" s="2">
        <v>4533</v>
      </c>
      <c r="M984" s="2">
        <v>907</v>
      </c>
      <c r="N984" s="2">
        <v>19525</v>
      </c>
      <c r="O984" s="2">
        <v>14</v>
      </c>
      <c r="P984" s="2">
        <v>24522</v>
      </c>
      <c r="Q984" s="2">
        <v>568</v>
      </c>
      <c r="R984" s="2">
        <v>123615</v>
      </c>
      <c r="S984" s="2">
        <v>561021</v>
      </c>
      <c r="T984" s="10">
        <f>SUM(D984+F984)</f>
        <v>369507</v>
      </c>
      <c r="U984" s="8">
        <f t="shared" si="51"/>
        <v>0.65863309929574831</v>
      </c>
      <c r="V984" s="9" t="s">
        <v>5270</v>
      </c>
      <c r="W984" s="9" t="str">
        <f t="shared" si="52"/>
        <v>Seaton Valley UD</v>
      </c>
      <c r="X984" s="9" t="str">
        <f>INDEX(Lookup!$A$2:$A$1349, MATCH(W984, Lookup!$B$2:$B$1349,0))</f>
        <v>J04001113</v>
      </c>
      <c r="Y984" s="9" t="str">
        <f>INDEX(Lookup!$F$2:$F$1349, MATCH(W984, Lookup!$B$2:$B$1349,0))</f>
        <v>e270829</v>
      </c>
      <c r="Z984" s="6" t="str">
        <f>INDEX(Lookup!$C$2:$C$1300, MATCH(X984, Lookup!$A$2:$A$1300,0))</f>
        <v>Northumberland</v>
      </c>
    </row>
    <row r="985" spans="1:26" ht="28.15" customHeight="1" x14ac:dyDescent="0.2">
      <c r="A985" s="6" t="s">
        <v>212</v>
      </c>
      <c r="B985" s="1" t="s">
        <v>212</v>
      </c>
      <c r="T985" s="10"/>
      <c r="W985" s="9" t="str">
        <f t="shared" si="52"/>
        <v xml:space="preserve">Rural Districts-- </v>
      </c>
      <c r="X985" s="9" t="e">
        <f>INDEX(Lookup!$A$2:$A$1349, MATCH(W985, Lookup!$B$2:$B$1349,0))</f>
        <v>#N/A</v>
      </c>
      <c r="Y985" s="9" t="e">
        <f>INDEX(Lookup!$F$2:$F$1349, MATCH(W985, Lookup!$B$2:$B$1349,0))</f>
        <v>#N/A</v>
      </c>
      <c r="Z985" s="6" t="e">
        <f>INDEX(Lookup!$C$2:$C$1300, MATCH(X985, Lookup!$A$2:$A$1300,0))</f>
        <v>#N/A</v>
      </c>
    </row>
    <row r="986" spans="1:26" ht="28.15" customHeight="1" x14ac:dyDescent="0.2">
      <c r="A986" s="6" t="s">
        <v>859</v>
      </c>
      <c r="B986" s="1" t="s">
        <v>859</v>
      </c>
      <c r="C986" s="2">
        <v>3125</v>
      </c>
      <c r="D986" s="2">
        <v>117636</v>
      </c>
      <c r="E986" s="2">
        <v>172</v>
      </c>
      <c r="F986" s="2">
        <v>22594</v>
      </c>
      <c r="G986" s="2">
        <v>35</v>
      </c>
      <c r="H986" s="2">
        <v>9566</v>
      </c>
      <c r="I986" s="2">
        <v>89</v>
      </c>
      <c r="J986" s="2">
        <v>7434</v>
      </c>
      <c r="K986" s="2">
        <v>8</v>
      </c>
      <c r="L986" s="2">
        <v>190</v>
      </c>
      <c r="M986" s="2">
        <v>363</v>
      </c>
      <c r="N986" s="2">
        <v>18478</v>
      </c>
      <c r="O986" s="2">
        <v>11</v>
      </c>
      <c r="P986" s="2">
        <v>4127</v>
      </c>
      <c r="Q986" s="2">
        <v>11885</v>
      </c>
      <c r="R986" s="2">
        <v>97022</v>
      </c>
      <c r="S986" s="2">
        <v>288932</v>
      </c>
      <c r="T986" s="10">
        <f t="shared" si="50"/>
        <v>149796</v>
      </c>
      <c r="U986" s="8">
        <f t="shared" si="51"/>
        <v>0.51844724710312462</v>
      </c>
      <c r="V986" s="9" t="s">
        <v>5271</v>
      </c>
      <c r="W986" s="9" t="str">
        <f t="shared" si="52"/>
        <v>Alnwick RD</v>
      </c>
      <c r="X986" s="9" t="str">
        <f>INDEX(Lookup!$A$2:$A$1349, MATCH(W986, Lookup!$B$2:$B$1349,0))</f>
        <v>J04000028</v>
      </c>
      <c r="Y986" s="9" t="str">
        <f>INDEX(Lookup!$F$2:$F$1349, MATCH(W986, Lookup!$B$2:$B$1349,0))</f>
        <v>e270832</v>
      </c>
      <c r="Z986" s="6" t="str">
        <f>INDEX(Lookup!$C$2:$C$1300, MATCH(X986, Lookup!$A$2:$A$1300,0))</f>
        <v>Northumberland</v>
      </c>
    </row>
    <row r="987" spans="1:26" ht="28.15" customHeight="1" x14ac:dyDescent="0.2">
      <c r="A987" s="6" t="s">
        <v>870</v>
      </c>
      <c r="B987" s="1" t="s">
        <v>870</v>
      </c>
      <c r="C987" s="2">
        <v>1386</v>
      </c>
      <c r="D987" s="2">
        <v>66194</v>
      </c>
      <c r="E987" s="2">
        <v>141</v>
      </c>
      <c r="F987" s="2">
        <v>17890</v>
      </c>
      <c r="G987" s="2">
        <v>8</v>
      </c>
      <c r="H987" s="2">
        <v>2002</v>
      </c>
      <c r="I987" s="2">
        <v>79</v>
      </c>
      <c r="J987" s="2">
        <v>7891</v>
      </c>
      <c r="K987" s="2">
        <v>8</v>
      </c>
      <c r="L987" s="2">
        <v>818</v>
      </c>
      <c r="M987" s="2">
        <v>292</v>
      </c>
      <c r="N987" s="2">
        <v>23093</v>
      </c>
      <c r="O987" s="2">
        <v>4</v>
      </c>
      <c r="P987" s="2">
        <v>1745</v>
      </c>
      <c r="Q987" s="2">
        <v>417</v>
      </c>
      <c r="R987" s="2">
        <v>33222</v>
      </c>
      <c r="S987" s="2">
        <v>153272</v>
      </c>
      <c r="T987" s="10">
        <f t="shared" si="50"/>
        <v>86086</v>
      </c>
      <c r="U987" s="8">
        <f t="shared" si="51"/>
        <v>0.56165509682133719</v>
      </c>
      <c r="V987" s="9" t="s">
        <v>5271</v>
      </c>
      <c r="W987" s="9" t="str">
        <f t="shared" si="52"/>
        <v>Belford RD</v>
      </c>
      <c r="X987" s="9" t="str">
        <f>INDEX(Lookup!$A$2:$A$1349, MATCH(W987, Lookup!$B$2:$B$1349,0))</f>
        <v>J04000119</v>
      </c>
      <c r="Y987" s="9" t="str">
        <f>INDEX(Lookup!$F$2:$F$1349, MATCH(W987, Lookup!$B$2:$B$1349,0))</f>
        <v>e270833</v>
      </c>
      <c r="Z987" s="6" t="str">
        <f>INDEX(Lookup!$C$2:$C$1300, MATCH(X987, Lookup!$A$2:$A$1300,0))</f>
        <v>Northumberland</v>
      </c>
    </row>
    <row r="988" spans="1:26" ht="28.15" customHeight="1" x14ac:dyDescent="0.2">
      <c r="A988" s="6" t="s">
        <v>871</v>
      </c>
      <c r="B988" s="1" t="s">
        <v>871</v>
      </c>
      <c r="C988" s="2">
        <v>1334</v>
      </c>
      <c r="D988" s="2">
        <v>45537</v>
      </c>
      <c r="E988" s="2">
        <v>24</v>
      </c>
      <c r="F988" s="2">
        <v>2918</v>
      </c>
      <c r="G988" s="2">
        <v>3</v>
      </c>
      <c r="H988" s="2">
        <v>726</v>
      </c>
      <c r="I988" s="2">
        <v>57</v>
      </c>
      <c r="J988" s="2">
        <v>3028</v>
      </c>
      <c r="K988" s="2">
        <v>8</v>
      </c>
      <c r="L988" s="2">
        <v>203</v>
      </c>
      <c r="M988" s="2">
        <v>223</v>
      </c>
      <c r="N988" s="2">
        <v>7581</v>
      </c>
      <c r="O988" s="2">
        <v>4</v>
      </c>
      <c r="P988" s="2">
        <v>1741</v>
      </c>
      <c r="Q988" s="2">
        <v>9747</v>
      </c>
      <c r="R988" s="2">
        <v>80313</v>
      </c>
      <c r="S988" s="2">
        <v>151794</v>
      </c>
      <c r="T988" s="10">
        <f t="shared" si="50"/>
        <v>49181</v>
      </c>
      <c r="U988" s="8">
        <f t="shared" si="51"/>
        <v>0.32399831350382757</v>
      </c>
      <c r="V988" s="9" t="s">
        <v>5271</v>
      </c>
      <c r="W988" s="9" t="str">
        <f t="shared" si="52"/>
        <v>Bellingham RD</v>
      </c>
      <c r="X988" s="9" t="str">
        <f>INDEX(Lookup!$A$2:$A$1349, MATCH(W988, Lookup!$B$2:$B$1349,0))</f>
        <v>J04000120</v>
      </c>
      <c r="Y988" s="9" t="str">
        <f>INDEX(Lookup!$F$2:$F$1349, MATCH(W988, Lookup!$B$2:$B$1349,0))</f>
        <v>e270834</v>
      </c>
      <c r="Z988" s="6" t="str">
        <f>INDEX(Lookup!$C$2:$C$1300, MATCH(X988, Lookup!$A$2:$A$1300,0))</f>
        <v>Northumberland</v>
      </c>
    </row>
    <row r="989" spans="1:26" ht="28.15" customHeight="1" x14ac:dyDescent="0.2">
      <c r="A989" s="6" t="s">
        <v>872</v>
      </c>
      <c r="B989" s="1" t="s">
        <v>5431</v>
      </c>
      <c r="C989" s="2">
        <v>4989</v>
      </c>
      <c r="D989" s="2">
        <v>274862</v>
      </c>
      <c r="E989" s="2">
        <v>2377</v>
      </c>
      <c r="F989" s="2">
        <v>301273</v>
      </c>
      <c r="G989" s="2">
        <v>62</v>
      </c>
      <c r="H989" s="2">
        <v>14595</v>
      </c>
      <c r="I989" s="2">
        <v>101</v>
      </c>
      <c r="J989" s="2">
        <v>20554</v>
      </c>
      <c r="K989" s="2">
        <v>22</v>
      </c>
      <c r="L989" s="2">
        <v>1847</v>
      </c>
      <c r="M989" s="2">
        <v>674</v>
      </c>
      <c r="N989" s="2">
        <v>27154</v>
      </c>
      <c r="O989" s="2">
        <v>20</v>
      </c>
      <c r="P989" s="2">
        <v>11324</v>
      </c>
      <c r="Q989" s="2">
        <v>36235</v>
      </c>
      <c r="R989" s="2">
        <v>234395</v>
      </c>
      <c r="S989" s="2">
        <v>922239</v>
      </c>
      <c r="T989" s="10">
        <f t="shared" si="50"/>
        <v>590730</v>
      </c>
      <c r="U989" s="8">
        <f t="shared" si="51"/>
        <v>0.64053894923116461</v>
      </c>
      <c r="V989" s="9" t="s">
        <v>5271</v>
      </c>
      <c r="W989" s="9" t="str">
        <f t="shared" si="52"/>
        <v>Castle Ward RD</v>
      </c>
      <c r="X989" s="9" t="str">
        <f>INDEX(Lookup!$A$2:$A$1349, MATCH(W989, Lookup!$B$2:$B$1349,0))</f>
        <v>J04000272</v>
      </c>
      <c r="Y989" s="9" t="str">
        <f>INDEX(Lookup!$F$2:$F$1349, MATCH(W989, Lookup!$B$2:$B$1349,0))</f>
        <v>e270835</v>
      </c>
      <c r="Z989" s="6" t="str">
        <f>INDEX(Lookup!$C$2:$C$1300, MATCH(X989, Lookup!$A$2:$A$1300,0))</f>
        <v>Northumberland</v>
      </c>
    </row>
    <row r="990" spans="1:26" ht="28.15" customHeight="1" x14ac:dyDescent="0.2">
      <c r="A990" s="6" t="s">
        <v>873</v>
      </c>
      <c r="B990" s="1" t="s">
        <v>873</v>
      </c>
      <c r="C990" s="2">
        <v>1469</v>
      </c>
      <c r="D990" s="2">
        <v>59776</v>
      </c>
      <c r="E990" s="2">
        <v>71</v>
      </c>
      <c r="F990" s="2">
        <v>9143</v>
      </c>
      <c r="G990" s="2">
        <v>9</v>
      </c>
      <c r="H990" s="2">
        <v>2600</v>
      </c>
      <c r="I990" s="2">
        <v>75</v>
      </c>
      <c r="J990" s="2">
        <v>7955</v>
      </c>
      <c r="K990" s="2">
        <v>14</v>
      </c>
      <c r="L990" s="2">
        <v>645</v>
      </c>
      <c r="M990" s="2">
        <v>182</v>
      </c>
      <c r="N990" s="2">
        <v>11457</v>
      </c>
      <c r="O990" s="2">
        <v>6</v>
      </c>
      <c r="P990" s="2">
        <v>385</v>
      </c>
      <c r="Q990" s="2">
        <v>668</v>
      </c>
      <c r="R990" s="2">
        <v>61423</v>
      </c>
      <c r="S990" s="2">
        <v>154052</v>
      </c>
      <c r="T990" s="10">
        <f t="shared" si="50"/>
        <v>71519</v>
      </c>
      <c r="U990" s="8">
        <f t="shared" si="51"/>
        <v>0.46425233038194896</v>
      </c>
      <c r="V990" s="9" t="s">
        <v>5271</v>
      </c>
      <c r="W990" s="9" t="str">
        <f t="shared" si="52"/>
        <v>Glendale RD</v>
      </c>
      <c r="X990" s="9" t="str">
        <f>INDEX(Lookup!$A$2:$A$1349, MATCH(W990, Lookup!$B$2:$B$1349,0))</f>
        <v>J04000534</v>
      </c>
      <c r="Y990" s="9" t="str">
        <f>INDEX(Lookup!$F$2:$F$1349, MATCH(W990, Lookup!$B$2:$B$1349,0))</f>
        <v>e270837</v>
      </c>
      <c r="Z990" s="6" t="str">
        <f>INDEX(Lookup!$C$2:$C$1300, MATCH(X990, Lookup!$A$2:$A$1300,0))</f>
        <v>Northumberland</v>
      </c>
    </row>
    <row r="991" spans="1:26" ht="28.15" customHeight="1" x14ac:dyDescent="0.2">
      <c r="A991" s="6" t="s">
        <v>874</v>
      </c>
      <c r="B991" s="1" t="s">
        <v>874</v>
      </c>
      <c r="C991" s="2">
        <v>2023</v>
      </c>
      <c r="D991" s="2">
        <v>75126</v>
      </c>
      <c r="E991" s="2">
        <v>22</v>
      </c>
      <c r="F991" s="2">
        <v>2862</v>
      </c>
      <c r="G991" s="2">
        <v>4</v>
      </c>
      <c r="H991" s="2">
        <v>1389</v>
      </c>
      <c r="I991" s="2">
        <v>83</v>
      </c>
      <c r="J991" s="2">
        <v>8860</v>
      </c>
      <c r="K991" s="2">
        <v>13</v>
      </c>
      <c r="L991" s="2">
        <v>595</v>
      </c>
      <c r="M991" s="2">
        <v>191</v>
      </c>
      <c r="N991" s="2">
        <v>7583</v>
      </c>
      <c r="O991" s="2">
        <v>10</v>
      </c>
      <c r="P991" s="2">
        <v>23047</v>
      </c>
      <c r="Q991" s="2">
        <v>627</v>
      </c>
      <c r="R991" s="2">
        <v>56857</v>
      </c>
      <c r="S991" s="2">
        <v>176946</v>
      </c>
      <c r="T991" s="10">
        <f t="shared" si="50"/>
        <v>79377</v>
      </c>
      <c r="U991" s="8">
        <f t="shared" si="51"/>
        <v>0.44859448645349431</v>
      </c>
      <c r="V991" s="9" t="s">
        <v>5271</v>
      </c>
      <c r="W991" s="9" t="str">
        <f t="shared" si="52"/>
        <v>Haltwhistle RD</v>
      </c>
      <c r="X991" s="9" t="str">
        <f>INDEX(Lookup!$A$2:$A$1349, MATCH(W991, Lookup!$B$2:$B$1349,0))</f>
        <v>J04000570</v>
      </c>
      <c r="Y991" s="9" t="str">
        <f>INDEX(Lookup!$F$2:$F$1349, MATCH(W991, Lookup!$B$2:$B$1349,0))</f>
        <v>e270838</v>
      </c>
      <c r="Z991" s="6" t="str">
        <f>INDEX(Lookup!$C$2:$C$1300, MATCH(X991, Lookup!$A$2:$A$1300,0))</f>
        <v>Northumberland</v>
      </c>
    </row>
    <row r="992" spans="1:26" ht="28.15" customHeight="1" x14ac:dyDescent="0.2">
      <c r="A992" s="6" t="s">
        <v>864</v>
      </c>
      <c r="B992" s="1" t="s">
        <v>864</v>
      </c>
      <c r="C992" s="2">
        <v>5352</v>
      </c>
      <c r="D992" s="2">
        <v>223198</v>
      </c>
      <c r="E992" s="2">
        <v>576</v>
      </c>
      <c r="F992" s="2">
        <v>73928</v>
      </c>
      <c r="G992" s="2">
        <v>96</v>
      </c>
      <c r="H992" s="2">
        <v>25879</v>
      </c>
      <c r="I992" s="2">
        <v>179</v>
      </c>
      <c r="J992" s="2">
        <v>13650</v>
      </c>
      <c r="K992" s="2">
        <v>28</v>
      </c>
      <c r="L992" s="2">
        <v>1196</v>
      </c>
      <c r="M992" s="2">
        <v>478</v>
      </c>
      <c r="N992" s="2">
        <v>28182</v>
      </c>
      <c r="O992" s="2">
        <v>20</v>
      </c>
      <c r="P992" s="2">
        <v>12052</v>
      </c>
      <c r="Q992" s="2">
        <v>3202</v>
      </c>
      <c r="R992" s="2">
        <v>220658</v>
      </c>
      <c r="S992" s="2">
        <v>601945</v>
      </c>
      <c r="T992" s="10">
        <f t="shared" si="50"/>
        <v>323005</v>
      </c>
      <c r="U992" s="8">
        <f t="shared" si="51"/>
        <v>0.53660218126240766</v>
      </c>
      <c r="V992" s="9" t="s">
        <v>5271</v>
      </c>
      <c r="W992" s="9" t="str">
        <f t="shared" si="52"/>
        <v>Hexham RD</v>
      </c>
      <c r="X992" s="9" t="str">
        <f>INDEX(Lookup!$A$2:$A$1349, MATCH(W992, Lookup!$B$2:$B$1349,0))</f>
        <v>J04000618</v>
      </c>
      <c r="Y992" s="9" t="str">
        <f>INDEX(Lookup!$F$2:$F$1349, MATCH(W992, Lookup!$B$2:$B$1349,0))</f>
        <v>e270839</v>
      </c>
      <c r="Z992" s="6" t="str">
        <f>INDEX(Lookup!$C$2:$C$1300, MATCH(X992, Lookup!$A$2:$A$1300,0))</f>
        <v>Northumberland</v>
      </c>
    </row>
    <row r="993" spans="1:26" ht="28.15" customHeight="1" x14ac:dyDescent="0.2">
      <c r="A993" s="6" t="s">
        <v>856</v>
      </c>
      <c r="B993" s="1" t="s">
        <v>856</v>
      </c>
      <c r="C993" s="2">
        <v>4329</v>
      </c>
      <c r="D993" s="2">
        <v>169603</v>
      </c>
      <c r="E993" s="2">
        <v>74</v>
      </c>
      <c r="F993" s="2">
        <v>9689</v>
      </c>
      <c r="G993" s="2">
        <v>19</v>
      </c>
      <c r="H993" s="2">
        <v>5342</v>
      </c>
      <c r="I993" s="2">
        <v>85</v>
      </c>
      <c r="J993" s="2">
        <v>8850</v>
      </c>
      <c r="K993" s="2">
        <v>10</v>
      </c>
      <c r="L993" s="2">
        <v>322</v>
      </c>
      <c r="M993" s="2">
        <v>752</v>
      </c>
      <c r="N993" s="2">
        <v>15594</v>
      </c>
      <c r="O993" s="2">
        <v>7</v>
      </c>
      <c r="P993" s="2">
        <v>5150</v>
      </c>
      <c r="Q993" s="2">
        <v>12158</v>
      </c>
      <c r="R993" s="2">
        <v>270670</v>
      </c>
      <c r="S993" s="2">
        <v>497378</v>
      </c>
      <c r="T993" s="10">
        <f t="shared" si="50"/>
        <v>184634</v>
      </c>
      <c r="U993" s="8">
        <f t="shared" si="51"/>
        <v>0.37121464962262102</v>
      </c>
      <c r="V993" s="9" t="s">
        <v>5271</v>
      </c>
      <c r="W993" s="9" t="str">
        <f t="shared" si="52"/>
        <v>Morpeth RD</v>
      </c>
      <c r="X993" s="9" t="str">
        <f>INDEX(Lookup!$A$2:$A$1349, MATCH(W993, Lookup!$B$2:$B$1349,0))</f>
        <v>J04000871</v>
      </c>
      <c r="Y993" s="9" t="str">
        <f>INDEX(Lookup!$F$2:$F$1349, MATCH(W993, Lookup!$B$2:$B$1349,0))</f>
        <v>e270840</v>
      </c>
      <c r="Z993" s="6" t="str">
        <f>INDEX(Lookup!$C$2:$C$1300, MATCH(X993, Lookup!$A$2:$A$1300,0))</f>
        <v>Northumberland</v>
      </c>
    </row>
    <row r="994" spans="1:26" ht="28.15" customHeight="1" x14ac:dyDescent="0.2">
      <c r="A994" s="6" t="s">
        <v>875</v>
      </c>
      <c r="B994" s="1" t="s">
        <v>875</v>
      </c>
      <c r="C994" s="2">
        <v>860</v>
      </c>
      <c r="D994" s="2">
        <v>31611</v>
      </c>
      <c r="E994" s="2">
        <v>32</v>
      </c>
      <c r="F994" s="2">
        <v>4053</v>
      </c>
      <c r="G994" s="2">
        <v>5</v>
      </c>
      <c r="H994" s="2">
        <v>1170</v>
      </c>
      <c r="I994" s="2">
        <v>27</v>
      </c>
      <c r="J994" s="2">
        <v>1765</v>
      </c>
      <c r="K994" s="2">
        <v>5</v>
      </c>
      <c r="L994" s="2">
        <v>53</v>
      </c>
      <c r="M994" s="2">
        <v>138</v>
      </c>
      <c r="N994" s="2">
        <v>8010</v>
      </c>
      <c r="O994" s="2">
        <v>3</v>
      </c>
      <c r="P994" s="2">
        <v>542</v>
      </c>
      <c r="Q994" s="2">
        <v>164</v>
      </c>
      <c r="R994" s="2">
        <v>38450</v>
      </c>
      <c r="S994" s="2">
        <v>85818</v>
      </c>
      <c r="T994" s="10">
        <f t="shared" si="50"/>
        <v>36834</v>
      </c>
      <c r="U994" s="8">
        <f t="shared" si="51"/>
        <v>0.42921065510732015</v>
      </c>
      <c r="V994" s="9" t="s">
        <v>5271</v>
      </c>
      <c r="W994" s="9" t="str">
        <f t="shared" si="52"/>
        <v>Norham and Islandshires RD</v>
      </c>
      <c r="X994" s="9" t="str">
        <f>INDEX(Lookup!$A$2:$A$1349, MATCH(W994, Lookup!$B$2:$B$1349,0))</f>
        <v>J04000920</v>
      </c>
      <c r="Y994" s="9" t="str">
        <f>INDEX(Lookup!$F$2:$F$1349, MATCH(W994, Lookup!$B$2:$B$1349,0))</f>
        <v>e270841</v>
      </c>
      <c r="Z994" s="6" t="str">
        <f>INDEX(Lookup!$C$2:$C$1300, MATCH(X994, Lookup!$A$2:$A$1300,0))</f>
        <v>Northumberland</v>
      </c>
    </row>
    <row r="995" spans="1:26" ht="28.15" customHeight="1" x14ac:dyDescent="0.2">
      <c r="A995" s="6" t="s">
        <v>876</v>
      </c>
      <c r="B995" s="1" t="s">
        <v>876</v>
      </c>
      <c r="C995" s="2">
        <v>1431</v>
      </c>
      <c r="D995" s="2">
        <v>57191</v>
      </c>
      <c r="E995" s="2">
        <v>74</v>
      </c>
      <c r="F995" s="2">
        <v>9790</v>
      </c>
      <c r="G995" s="2">
        <v>4</v>
      </c>
      <c r="H995" s="2">
        <v>1426</v>
      </c>
      <c r="I995" s="2">
        <v>70</v>
      </c>
      <c r="J995" s="2">
        <v>7022</v>
      </c>
      <c r="K995" s="2">
        <v>12</v>
      </c>
      <c r="L995" s="2">
        <v>767</v>
      </c>
      <c r="M995" s="2">
        <v>180</v>
      </c>
      <c r="N995" s="2">
        <v>8603</v>
      </c>
      <c r="O995" s="2">
        <v>2</v>
      </c>
      <c r="P995" s="2">
        <v>2342</v>
      </c>
      <c r="Q995" s="2">
        <v>6769</v>
      </c>
      <c r="R995" s="2">
        <v>53312</v>
      </c>
      <c r="S995" s="2">
        <v>147222</v>
      </c>
      <c r="T995" s="10">
        <f t="shared" si="50"/>
        <v>68407</v>
      </c>
      <c r="U995" s="8">
        <f t="shared" si="51"/>
        <v>0.46465202211625978</v>
      </c>
      <c r="V995" s="9" t="s">
        <v>5271</v>
      </c>
      <c r="W995" s="9" t="str">
        <f t="shared" si="52"/>
        <v>Rothbury RD</v>
      </c>
      <c r="X995" s="9" t="str">
        <f>INDEX(Lookup!$A$2:$A$1349, MATCH(W995, Lookup!$B$2:$B$1349,0))</f>
        <v>J04001066</v>
      </c>
      <c r="Y995" s="9" t="str">
        <f>INDEX(Lookup!$F$2:$F$1349, MATCH(W995, Lookup!$B$2:$B$1349,0))</f>
        <v>e270842</v>
      </c>
      <c r="Z995" s="6" t="str">
        <f>INDEX(Lookup!$C$2:$C$1300, MATCH(X995, Lookup!$A$2:$A$1300,0))</f>
        <v>Northumberland</v>
      </c>
    </row>
    <row r="996" spans="1:26" ht="28.15" customHeight="1" x14ac:dyDescent="0.2">
      <c r="A996" s="6" t="s">
        <v>877</v>
      </c>
      <c r="B996" s="1" t="s">
        <v>877</v>
      </c>
      <c r="T996" s="10"/>
      <c r="W996" s="9" t="str">
        <f t="shared" si="52"/>
        <v xml:space="preserve">NOTTINGHAMSHIRE: </v>
      </c>
      <c r="X996" s="9" t="e">
        <f>INDEX(Lookup!$A$2:$A$1349, MATCH(W996, Lookup!$B$2:$B$1349,0))</f>
        <v>#N/A</v>
      </c>
      <c r="Y996" s="9" t="e">
        <f>INDEX(Lookup!$F$2:$F$1349, MATCH(W996, Lookup!$B$2:$B$1349,0))</f>
        <v>#N/A</v>
      </c>
      <c r="Z996" s="6" t="e">
        <f>INDEX(Lookup!$C$2:$C$1300, MATCH(X996, Lookup!$A$2:$A$1300,0))</f>
        <v>#N/A</v>
      </c>
    </row>
    <row r="997" spans="1:26" ht="28.15" customHeight="1" x14ac:dyDescent="0.2">
      <c r="A997" s="6" t="s">
        <v>175</v>
      </c>
      <c r="B997" s="1" t="s">
        <v>175</v>
      </c>
      <c r="T997" s="10"/>
      <c r="W997" s="9" t="str">
        <f t="shared" si="52"/>
        <v xml:space="preserve">Non-County Boroughs-- </v>
      </c>
      <c r="X997" s="9" t="e">
        <f>INDEX(Lookup!$A$2:$A$1349, MATCH(W997, Lookup!$B$2:$B$1349,0))</f>
        <v>#N/A</v>
      </c>
      <c r="Y997" s="9" t="e">
        <f>INDEX(Lookup!$F$2:$F$1349, MATCH(W997, Lookup!$B$2:$B$1349,0))</f>
        <v>#N/A</v>
      </c>
      <c r="Z997" s="6" t="e">
        <f>INDEX(Lookup!$C$2:$C$1300, MATCH(X997, Lookup!$A$2:$A$1300,0))</f>
        <v>#N/A</v>
      </c>
    </row>
    <row r="998" spans="1:26" ht="28.15" customHeight="1" x14ac:dyDescent="0.2">
      <c r="A998" s="6" t="s">
        <v>878</v>
      </c>
      <c r="B998" s="1" t="s">
        <v>878</v>
      </c>
      <c r="C998" s="2">
        <v>5787</v>
      </c>
      <c r="D998" s="2">
        <v>233341</v>
      </c>
      <c r="E998" s="2">
        <v>67</v>
      </c>
      <c r="F998" s="2">
        <v>7606</v>
      </c>
      <c r="I998" s="2">
        <v>330</v>
      </c>
      <c r="J998" s="2">
        <v>69490</v>
      </c>
      <c r="K998" s="2">
        <v>52</v>
      </c>
      <c r="L998" s="2">
        <v>4522</v>
      </c>
      <c r="M998" s="2">
        <v>632</v>
      </c>
      <c r="N998" s="2">
        <v>25878</v>
      </c>
      <c r="O998" s="2">
        <v>35</v>
      </c>
      <c r="P998" s="2">
        <v>83210</v>
      </c>
      <c r="Q998" s="2">
        <v>2998</v>
      </c>
      <c r="R998" s="2">
        <v>67629</v>
      </c>
      <c r="S998" s="2">
        <v>494674</v>
      </c>
      <c r="T998" s="10">
        <f>SUM(D998+F998)</f>
        <v>240947</v>
      </c>
      <c r="U998" s="8">
        <f t="shared" si="51"/>
        <v>0.48708240174337036</v>
      </c>
      <c r="V998" s="9" t="s">
        <v>5268</v>
      </c>
      <c r="W998" s="9" t="str">
        <f t="shared" si="52"/>
        <v>East Retford MB</v>
      </c>
      <c r="X998" s="9" t="str">
        <f>INDEX(Lookup!$A$2:$A$1349, MATCH(W998, Lookup!$B$2:$B$1349,0))</f>
        <v>J04000453</v>
      </c>
      <c r="Y998" s="9" t="str">
        <f>INDEX(Lookup!$F$2:$F$1349, MATCH(W998, Lookup!$B$2:$B$1349,0))</f>
        <v>e280847</v>
      </c>
      <c r="Z998" s="6" t="str">
        <f>INDEX(Lookup!$C$2:$C$1300, MATCH(X998, Lookup!$A$2:$A$1300,0))</f>
        <v>Nottinghamshire</v>
      </c>
    </row>
    <row r="999" spans="1:26" ht="28.15" customHeight="1" x14ac:dyDescent="0.2">
      <c r="A999" s="6" t="s">
        <v>879</v>
      </c>
      <c r="B999" s="1" t="s">
        <v>879</v>
      </c>
      <c r="C999" s="2">
        <v>17301</v>
      </c>
      <c r="D999" s="2">
        <v>784504</v>
      </c>
      <c r="E999" s="2">
        <v>307</v>
      </c>
      <c r="F999" s="2">
        <v>37527</v>
      </c>
      <c r="G999" s="2">
        <v>19</v>
      </c>
      <c r="H999" s="2">
        <v>3521</v>
      </c>
      <c r="I999" s="2">
        <v>877</v>
      </c>
      <c r="J999" s="2">
        <v>333765</v>
      </c>
      <c r="K999" s="2">
        <v>191</v>
      </c>
      <c r="L999" s="2">
        <v>33677</v>
      </c>
      <c r="M999" s="2">
        <v>2028</v>
      </c>
      <c r="N999" s="2">
        <v>151219</v>
      </c>
      <c r="O999" s="2">
        <v>128</v>
      </c>
      <c r="P999" s="2">
        <v>227785</v>
      </c>
      <c r="Q999" s="2">
        <v>22981</v>
      </c>
      <c r="R999" s="2">
        <v>276172</v>
      </c>
      <c r="S999" s="2">
        <v>1871151</v>
      </c>
      <c r="T999" s="10">
        <f t="shared" si="50"/>
        <v>825552</v>
      </c>
      <c r="U999" s="8">
        <f t="shared" si="51"/>
        <v>0.44120009555615769</v>
      </c>
      <c r="V999" s="9" t="s">
        <v>5268</v>
      </c>
      <c r="W999" s="9" t="str">
        <f t="shared" si="52"/>
        <v>Mansfield MB</v>
      </c>
      <c r="X999" s="9" t="str">
        <f>INDEX(Lookup!$A$2:$A$1349, MATCH(W999, Lookup!$B$2:$B$1349,0))</f>
        <v>J04000823</v>
      </c>
      <c r="Y999" s="9" t="str">
        <f>INDEX(Lookup!$F$2:$F$1349, MATCH(W999, Lookup!$B$2:$B$1349,0))</f>
        <v>e280851</v>
      </c>
      <c r="Z999" s="6" t="str">
        <f>INDEX(Lookup!$C$2:$C$1300, MATCH(X999, Lookup!$A$2:$A$1300,0))</f>
        <v>Nottinghamshire</v>
      </c>
    </row>
    <row r="1000" spans="1:26" ht="28.15" customHeight="1" x14ac:dyDescent="0.2">
      <c r="A1000" s="6" t="s">
        <v>880</v>
      </c>
      <c r="B1000" s="1" t="s">
        <v>880</v>
      </c>
      <c r="C1000" s="2">
        <v>7388</v>
      </c>
      <c r="D1000" s="2">
        <v>366571</v>
      </c>
      <c r="E1000" s="2">
        <v>332</v>
      </c>
      <c r="F1000" s="2">
        <v>40146</v>
      </c>
      <c r="G1000" s="2">
        <v>3</v>
      </c>
      <c r="H1000" s="2">
        <v>638</v>
      </c>
      <c r="I1000" s="2">
        <v>517</v>
      </c>
      <c r="J1000" s="2">
        <v>93887</v>
      </c>
      <c r="K1000" s="2">
        <v>65</v>
      </c>
      <c r="L1000" s="2">
        <v>9442</v>
      </c>
      <c r="M1000" s="2">
        <v>1127</v>
      </c>
      <c r="N1000" s="2">
        <v>60001</v>
      </c>
      <c r="O1000" s="2">
        <v>55</v>
      </c>
      <c r="P1000" s="2">
        <v>174786</v>
      </c>
      <c r="Q1000" s="2">
        <v>10464</v>
      </c>
      <c r="R1000" s="2">
        <v>106886</v>
      </c>
      <c r="S1000" s="2">
        <v>862821</v>
      </c>
      <c r="T1000" s="10">
        <f t="shared" si="50"/>
        <v>407355</v>
      </c>
      <c r="U1000" s="8">
        <f t="shared" si="51"/>
        <v>0.47211994144787855</v>
      </c>
      <c r="V1000" s="9" t="s">
        <v>5268</v>
      </c>
      <c r="W1000" s="9" t="str">
        <f t="shared" si="52"/>
        <v>Newark MB</v>
      </c>
      <c r="X1000" s="9" t="str">
        <f>INDEX(Lookup!$A$2:$A$1349, MATCH(W1000, Lookup!$B$2:$B$1349,0))</f>
        <v>J04000892</v>
      </c>
      <c r="Y1000" s="9" t="str">
        <f>INDEX(Lookup!$F$2:$F$1349, MATCH(W1000, Lookup!$B$2:$B$1349,0))</f>
        <v>e280853</v>
      </c>
      <c r="Z1000" s="6" t="str">
        <f>INDEX(Lookup!$C$2:$C$1300, MATCH(X1000, Lookup!$A$2:$A$1300,0))</f>
        <v>Nottinghamshire</v>
      </c>
    </row>
    <row r="1001" spans="1:26" ht="28.15" customHeight="1" x14ac:dyDescent="0.2">
      <c r="A1001" s="6" t="s">
        <v>882</v>
      </c>
      <c r="B1001" s="1" t="s">
        <v>882</v>
      </c>
      <c r="C1001" s="2">
        <v>10691</v>
      </c>
      <c r="D1001" s="2">
        <v>428980</v>
      </c>
      <c r="E1001" s="2">
        <v>102</v>
      </c>
      <c r="F1001" s="2">
        <v>12414</v>
      </c>
      <c r="G1001" s="2">
        <v>3</v>
      </c>
      <c r="H1001" s="2">
        <v>796</v>
      </c>
      <c r="I1001" s="2">
        <v>510</v>
      </c>
      <c r="J1001" s="2">
        <v>178772</v>
      </c>
      <c r="K1001" s="2">
        <v>100</v>
      </c>
      <c r="L1001" s="2">
        <v>13437</v>
      </c>
      <c r="M1001" s="2">
        <v>1157</v>
      </c>
      <c r="N1001" s="2">
        <v>55621</v>
      </c>
      <c r="O1001" s="2">
        <v>59</v>
      </c>
      <c r="P1001" s="2">
        <v>210193</v>
      </c>
      <c r="Q1001" s="2">
        <v>6800</v>
      </c>
      <c r="R1001" s="2">
        <v>196403</v>
      </c>
      <c r="S1001" s="2">
        <v>1103416</v>
      </c>
      <c r="T1001" s="10">
        <f t="shared" si="50"/>
        <v>442190</v>
      </c>
      <c r="U1001" s="8">
        <f t="shared" si="51"/>
        <v>0.40074640933247296</v>
      </c>
      <c r="V1001" s="9" t="s">
        <v>5268</v>
      </c>
      <c r="W1001" s="9" t="str">
        <f t="shared" si="52"/>
        <v>Worksop MB</v>
      </c>
      <c r="X1001" s="9" t="str">
        <f>INDEX(Lookup!$A$2:$A$1349, MATCH(W1001, Lookup!$B$2:$B$1349,0))</f>
        <v>J04001452</v>
      </c>
      <c r="Y1001" s="9" t="str">
        <f>INDEX(Lookup!$F$2:$F$1349, MATCH(W1001, Lookup!$B$2:$B$1349,0))</f>
        <v>e280857</v>
      </c>
      <c r="Z1001" s="6" t="str">
        <f>INDEX(Lookup!$C$2:$C$1300, MATCH(X1001, Lookup!$A$2:$A$1300,0))</f>
        <v>Nottinghamshire</v>
      </c>
    </row>
    <row r="1002" spans="1:26" ht="28.15" customHeight="1" x14ac:dyDescent="0.2">
      <c r="A1002" s="6" t="s">
        <v>179</v>
      </c>
      <c r="B1002" s="1" t="s">
        <v>179</v>
      </c>
      <c r="T1002" s="10"/>
      <c r="W1002" s="9" t="str">
        <f t="shared" si="52"/>
        <v xml:space="preserve">Urban Districts-- </v>
      </c>
      <c r="X1002" s="9" t="e">
        <f>INDEX(Lookup!$A$2:$A$1349, MATCH(W1002, Lookup!$B$2:$B$1349,0))</f>
        <v>#N/A</v>
      </c>
      <c r="Y1002" s="9" t="e">
        <f>INDEX(Lookup!$F$2:$F$1349, MATCH(W1002, Lookup!$B$2:$B$1349,0))</f>
        <v>#N/A</v>
      </c>
      <c r="Z1002" s="6" t="e">
        <f>INDEX(Lookup!$C$2:$C$1300, MATCH(X1002, Lookup!$A$2:$A$1300,0))</f>
        <v>#N/A</v>
      </c>
    </row>
    <row r="1003" spans="1:26" ht="28.15" customHeight="1" x14ac:dyDescent="0.2">
      <c r="A1003" s="6" t="s">
        <v>883</v>
      </c>
      <c r="B1003" s="1" t="s">
        <v>883</v>
      </c>
      <c r="C1003" s="2">
        <v>7575</v>
      </c>
      <c r="D1003" s="2">
        <v>439300</v>
      </c>
      <c r="E1003" s="2">
        <v>1752</v>
      </c>
      <c r="F1003" s="2">
        <v>212469</v>
      </c>
      <c r="G1003" s="2">
        <v>72</v>
      </c>
      <c r="H1003" s="2">
        <v>13451</v>
      </c>
      <c r="I1003" s="2">
        <v>306</v>
      </c>
      <c r="J1003" s="2">
        <v>57182</v>
      </c>
      <c r="K1003" s="2">
        <v>19</v>
      </c>
      <c r="L1003" s="2">
        <v>32727</v>
      </c>
      <c r="M1003" s="2">
        <v>566</v>
      </c>
      <c r="N1003" s="2">
        <v>43951</v>
      </c>
      <c r="O1003" s="2">
        <v>25</v>
      </c>
      <c r="P1003" s="2">
        <v>88943</v>
      </c>
      <c r="Q1003" s="2">
        <v>495</v>
      </c>
      <c r="R1003" s="2">
        <v>119243</v>
      </c>
      <c r="S1003" s="2">
        <v>1007761</v>
      </c>
      <c r="T1003" s="10">
        <f t="shared" si="50"/>
        <v>665220</v>
      </c>
      <c r="U1003" s="8">
        <f t="shared" si="51"/>
        <v>0.66009698728170663</v>
      </c>
      <c r="V1003" s="9" t="s">
        <v>5270</v>
      </c>
      <c r="W1003" s="9" t="str">
        <f t="shared" si="52"/>
        <v>Arnold UD</v>
      </c>
      <c r="X1003" s="9" t="str">
        <f>INDEX(Lookup!$A$2:$A$1349, MATCH(W1003, Lookup!$B$2:$B$1349,0))</f>
        <v>J04000046</v>
      </c>
      <c r="Y1003" s="9" t="str">
        <f>INDEX(Lookup!$F$2:$F$1349, MATCH(W1003, Lookup!$B$2:$B$1349,0))</f>
        <v>e280844</v>
      </c>
      <c r="Z1003" s="6" t="str">
        <f>INDEX(Lookup!$C$2:$C$1300, MATCH(X1003, Lookup!$A$2:$A$1300,0))</f>
        <v>Nottinghamshire</v>
      </c>
    </row>
    <row r="1004" spans="1:26" ht="28.15" customHeight="1" x14ac:dyDescent="0.2">
      <c r="A1004" s="6" t="s">
        <v>884</v>
      </c>
      <c r="B1004" s="1" t="s">
        <v>5386</v>
      </c>
      <c r="C1004" s="2">
        <v>16963</v>
      </c>
      <c r="D1004" s="2">
        <v>1003590</v>
      </c>
      <c r="E1004" s="2">
        <v>1645</v>
      </c>
      <c r="F1004" s="2">
        <v>199243</v>
      </c>
      <c r="G1004" s="2">
        <v>54</v>
      </c>
      <c r="H1004" s="2">
        <v>13174</v>
      </c>
      <c r="I1004" s="2">
        <v>680</v>
      </c>
      <c r="J1004" s="2">
        <v>178008</v>
      </c>
      <c r="K1004" s="2">
        <v>54</v>
      </c>
      <c r="L1004" s="2">
        <v>8206</v>
      </c>
      <c r="M1004" s="2">
        <v>1307</v>
      </c>
      <c r="N1004" s="2">
        <v>91538</v>
      </c>
      <c r="O1004" s="2">
        <v>106</v>
      </c>
      <c r="P1004" s="2">
        <v>531410</v>
      </c>
      <c r="Q1004" s="2">
        <v>71730</v>
      </c>
      <c r="R1004" s="2">
        <v>219753</v>
      </c>
      <c r="S1004" s="2">
        <v>2316652</v>
      </c>
      <c r="T1004" s="10">
        <f t="shared" si="50"/>
        <v>1216007</v>
      </c>
      <c r="U1004" s="8">
        <f t="shared" si="51"/>
        <v>0.52489843101164957</v>
      </c>
      <c r="V1004" s="9" t="s">
        <v>5270</v>
      </c>
      <c r="W1004" s="9" t="str">
        <f t="shared" si="52"/>
        <v>Beeston and Stapleford UD</v>
      </c>
      <c r="X1004" s="9" t="str">
        <f>INDEX(Lookup!$A$2:$A$1349, MATCH(W1004, Lookup!$B$2:$B$1349,0))</f>
        <v>J04000118</v>
      </c>
      <c r="Y1004" s="9" t="str">
        <f>INDEX(Lookup!$F$2:$F$1349, MATCH(W1004, Lookup!$B$2:$B$1349,0))</f>
        <v>e280845</v>
      </c>
      <c r="Z1004" s="6" t="str">
        <f>INDEX(Lookup!$C$2:$C$1300, MATCH(X1004, Lookup!$A$2:$A$1300,0))</f>
        <v>Nottinghamshire</v>
      </c>
    </row>
    <row r="1005" spans="1:26" ht="28.15" customHeight="1" x14ac:dyDescent="0.2">
      <c r="A1005" s="6" t="s">
        <v>885</v>
      </c>
      <c r="B1005" s="1" t="s">
        <v>885</v>
      </c>
      <c r="C1005" s="2">
        <v>12459</v>
      </c>
      <c r="D1005" s="2">
        <v>743308</v>
      </c>
      <c r="E1005" s="2">
        <v>5</v>
      </c>
      <c r="F1005" s="2">
        <v>72008</v>
      </c>
      <c r="G1005" s="2">
        <v>7</v>
      </c>
      <c r="H1005" s="2">
        <v>1538</v>
      </c>
      <c r="I1005" s="2">
        <v>473</v>
      </c>
      <c r="J1005" s="2">
        <v>88187</v>
      </c>
      <c r="K1005" s="2">
        <v>38</v>
      </c>
      <c r="L1005" s="2">
        <v>8142</v>
      </c>
      <c r="M1005" s="2">
        <v>834</v>
      </c>
      <c r="N1005" s="2">
        <v>45363</v>
      </c>
      <c r="O1005" s="2">
        <v>70</v>
      </c>
      <c r="P1005" s="2">
        <v>250266</v>
      </c>
      <c r="Q1005" s="2">
        <v>2835</v>
      </c>
      <c r="R1005" s="2">
        <v>194633</v>
      </c>
      <c r="S1005" s="2">
        <v>1406280</v>
      </c>
      <c r="T1005" s="10">
        <f t="shared" si="50"/>
        <v>816854</v>
      </c>
      <c r="U1005" s="8">
        <f t="shared" si="51"/>
        <v>0.58086156384219356</v>
      </c>
      <c r="V1005" s="9" t="s">
        <v>5270</v>
      </c>
      <c r="W1005" s="9" t="str">
        <f t="shared" si="52"/>
        <v>Carlton UD</v>
      </c>
      <c r="X1005" s="9" t="str">
        <f>INDEX(Lookup!$A$2:$A$1349, MATCH(W1005, Lookup!$B$2:$B$1349,0))</f>
        <v>J04000266</v>
      </c>
      <c r="Y1005" s="9" t="str">
        <f>INDEX(Lookup!$F$2:$F$1349, MATCH(W1005, Lookup!$B$2:$B$1349,0))</f>
        <v>e280846</v>
      </c>
      <c r="Z1005" s="6" t="str">
        <f>INDEX(Lookup!$C$2:$C$1300, MATCH(X1005, Lookup!$A$2:$A$1300,0))</f>
        <v>Nottinghamshire</v>
      </c>
    </row>
    <row r="1006" spans="1:26" ht="28.15" customHeight="1" x14ac:dyDescent="0.2">
      <c r="A1006" s="6" t="s">
        <v>886</v>
      </c>
      <c r="B1006" s="1" t="s">
        <v>886</v>
      </c>
      <c r="C1006" s="2">
        <v>3322</v>
      </c>
      <c r="D1006" s="2">
        <v>139552</v>
      </c>
      <c r="E1006" s="2">
        <v>28</v>
      </c>
      <c r="F1006" s="2">
        <v>3463</v>
      </c>
      <c r="G1006" s="2" t="s">
        <v>290</v>
      </c>
      <c r="I1006" s="2">
        <v>185</v>
      </c>
      <c r="J1006" s="2">
        <v>38793</v>
      </c>
      <c r="K1006" s="2">
        <v>19</v>
      </c>
      <c r="L1006" s="2">
        <v>8871</v>
      </c>
      <c r="M1006" s="2">
        <v>229</v>
      </c>
      <c r="N1006" s="2">
        <v>17502</v>
      </c>
      <c r="O1006" s="2">
        <v>21</v>
      </c>
      <c r="P1006" s="2">
        <v>30175</v>
      </c>
      <c r="Q1006" s="2">
        <v>251</v>
      </c>
      <c r="R1006" s="2">
        <v>36698</v>
      </c>
      <c r="S1006" s="2">
        <v>275305</v>
      </c>
      <c r="T1006" s="10">
        <f>SUM(D1006+F1006)</f>
        <v>143015</v>
      </c>
      <c r="U1006" s="8">
        <f t="shared" si="51"/>
        <v>0.51947839668731044</v>
      </c>
      <c r="V1006" s="9" t="s">
        <v>5270</v>
      </c>
      <c r="W1006" s="9" t="str">
        <f t="shared" si="52"/>
        <v>Eastwood UD</v>
      </c>
      <c r="X1006" s="9" t="str">
        <f>INDEX(Lookup!$A$2:$A$1349, MATCH(W1006, Lookup!$B$2:$B$1349,0))</f>
        <v>J04000459</v>
      </c>
      <c r="Y1006" s="9" t="str">
        <f>INDEX(Lookup!$F$2:$F$1349, MATCH(W1006, Lookup!$B$2:$B$1349,0))</f>
        <v>e280848</v>
      </c>
      <c r="Z1006" s="6" t="str">
        <f>INDEX(Lookup!$C$2:$C$1300, MATCH(X1006, Lookup!$A$2:$A$1300,0))</f>
        <v>Nottinghamshire</v>
      </c>
    </row>
    <row r="1007" spans="1:26" ht="28.15" customHeight="1" x14ac:dyDescent="0.2">
      <c r="A1007" s="6" t="s">
        <v>887</v>
      </c>
      <c r="B1007" s="1" t="s">
        <v>887</v>
      </c>
      <c r="C1007" s="2">
        <v>7679</v>
      </c>
      <c r="D1007" s="2">
        <v>346448</v>
      </c>
      <c r="E1007" s="2">
        <v>111</v>
      </c>
      <c r="F1007" s="2">
        <v>13444</v>
      </c>
      <c r="G1007" s="2">
        <v>2</v>
      </c>
      <c r="H1007" s="2">
        <v>444</v>
      </c>
      <c r="I1007" s="2">
        <v>319</v>
      </c>
      <c r="J1007" s="2">
        <v>51492</v>
      </c>
      <c r="K1007" s="2">
        <v>44</v>
      </c>
      <c r="L1007" s="2">
        <v>7811</v>
      </c>
      <c r="M1007" s="2">
        <v>547</v>
      </c>
      <c r="N1007" s="2">
        <v>44153</v>
      </c>
      <c r="O1007" s="2">
        <v>45</v>
      </c>
      <c r="P1007" s="2">
        <v>124876</v>
      </c>
      <c r="Q1007" s="2">
        <v>2974</v>
      </c>
      <c r="R1007" s="2">
        <v>131477</v>
      </c>
      <c r="S1007" s="2">
        <v>723119</v>
      </c>
      <c r="T1007" s="10">
        <f t="shared" si="50"/>
        <v>360336</v>
      </c>
      <c r="U1007" s="8">
        <f t="shared" si="51"/>
        <v>0.49830802399051882</v>
      </c>
      <c r="V1007" s="9" t="s">
        <v>5270</v>
      </c>
      <c r="W1007" s="9" t="str">
        <f t="shared" si="52"/>
        <v>Hucknall UD</v>
      </c>
      <c r="X1007" s="9" t="str">
        <f>INDEX(Lookup!$A$2:$A$1349, MATCH(W1007, Lookup!$B$2:$B$1349,0))</f>
        <v>J04000656</v>
      </c>
      <c r="Y1007" s="9" t="str">
        <f>INDEX(Lookup!$F$2:$F$1349, MATCH(W1007, Lookup!$B$2:$B$1349,0))</f>
        <v>e280849</v>
      </c>
      <c r="Z1007" s="6" t="str">
        <f>INDEX(Lookup!$C$2:$C$1300, MATCH(X1007, Lookup!$A$2:$A$1300,0))</f>
        <v>Nottinghamshire</v>
      </c>
    </row>
    <row r="1008" spans="1:26" ht="28.15" customHeight="1" x14ac:dyDescent="0.2">
      <c r="A1008" s="6" t="s">
        <v>888</v>
      </c>
      <c r="B1008" s="1" t="s">
        <v>5433</v>
      </c>
      <c r="C1008" s="2">
        <v>6972</v>
      </c>
      <c r="D1008" s="2">
        <v>297846</v>
      </c>
      <c r="E1008" s="2">
        <v>25</v>
      </c>
      <c r="F1008" s="2">
        <v>3233</v>
      </c>
      <c r="G1008" s="2" t="s">
        <v>290</v>
      </c>
      <c r="I1008" s="2">
        <v>282</v>
      </c>
      <c r="J1008" s="2">
        <v>21551</v>
      </c>
      <c r="K1008" s="2">
        <v>25</v>
      </c>
      <c r="L1008" s="2">
        <v>1672</v>
      </c>
      <c r="M1008" s="2">
        <v>470</v>
      </c>
      <c r="N1008" s="2">
        <v>18871</v>
      </c>
      <c r="O1008" s="2">
        <v>25</v>
      </c>
      <c r="P1008" s="2">
        <v>43620</v>
      </c>
      <c r="Q1008" s="2">
        <v>308</v>
      </c>
      <c r="R1008" s="2">
        <v>154677</v>
      </c>
      <c r="S1008" s="2">
        <v>541778</v>
      </c>
      <c r="T1008" s="10">
        <f>SUM(D1008+F1008)</f>
        <v>301079</v>
      </c>
      <c r="U1008" s="8">
        <f t="shared" si="51"/>
        <v>0.55572393120429397</v>
      </c>
      <c r="V1008" s="9" t="s">
        <v>5270</v>
      </c>
      <c r="W1008" s="9" t="str">
        <f t="shared" si="52"/>
        <v>Kirkby in Ashfield UD</v>
      </c>
      <c r="X1008" s="9" t="str">
        <f>INDEX(Lookup!$A$2:$A$1349, MATCH(W1008, Lookup!$B$2:$B$1349,0))</f>
        <v>J04000705</v>
      </c>
      <c r="Y1008" s="9" t="str">
        <f>INDEX(Lookup!$F$2:$F$1349, MATCH(W1008, Lookup!$B$2:$B$1349,0))</f>
        <v>e280850</v>
      </c>
      <c r="Z1008" s="6" t="str">
        <f>INDEX(Lookup!$C$2:$C$1300, MATCH(X1008, Lookup!$A$2:$A$1300,0))</f>
        <v>Nottinghamshire</v>
      </c>
    </row>
    <row r="1009" spans="1:26" ht="28.15" customHeight="1" x14ac:dyDescent="0.2">
      <c r="A1009" s="6" t="s">
        <v>889</v>
      </c>
      <c r="B1009" s="1" t="s">
        <v>5432</v>
      </c>
      <c r="C1009" s="2">
        <v>6579</v>
      </c>
      <c r="D1009" s="2">
        <v>296558</v>
      </c>
      <c r="E1009" s="2">
        <v>41</v>
      </c>
      <c r="F1009" s="2">
        <v>4773</v>
      </c>
      <c r="G1009" s="2" t="s">
        <v>290</v>
      </c>
      <c r="I1009" s="2">
        <v>188</v>
      </c>
      <c r="J1009" s="2">
        <v>19388</v>
      </c>
      <c r="K1009" s="2">
        <v>16</v>
      </c>
      <c r="L1009" s="2">
        <v>3718</v>
      </c>
      <c r="M1009" s="2">
        <v>553</v>
      </c>
      <c r="N1009" s="2">
        <v>20326</v>
      </c>
      <c r="O1009" s="2">
        <v>19</v>
      </c>
      <c r="P1009" s="2">
        <v>21505</v>
      </c>
      <c r="Q1009" s="2">
        <v>426</v>
      </c>
      <c r="R1009" s="2">
        <v>122610</v>
      </c>
      <c r="S1009" s="2">
        <v>489304</v>
      </c>
      <c r="T1009" s="10">
        <f t="shared" ref="T1009:T1011" si="54">SUM(D1009+F1009)</f>
        <v>301331</v>
      </c>
      <c r="U1009" s="8">
        <f t="shared" si="51"/>
        <v>0.61583596291875808</v>
      </c>
      <c r="V1009" s="9" t="s">
        <v>5270</v>
      </c>
      <c r="W1009" s="9" t="str">
        <f t="shared" si="52"/>
        <v>Mansfield Woodhouse UD</v>
      </c>
      <c r="X1009" s="9" t="str">
        <f>INDEX(Lookup!$A$2:$A$1349, MATCH(W1009, Lookup!$B$2:$B$1349,0))</f>
        <v>J04000824</v>
      </c>
      <c r="Y1009" s="9" t="str">
        <f>INDEX(Lookup!$F$2:$F$1349, MATCH(W1009, Lookup!$B$2:$B$1349,0))</f>
        <v>e280852</v>
      </c>
      <c r="Z1009" s="6" t="str">
        <f>INDEX(Lookup!$C$2:$C$1300, MATCH(X1009, Lookup!$A$2:$A$1300,0))</f>
        <v>Nottinghamshire</v>
      </c>
    </row>
    <row r="1010" spans="1:26" ht="28.15" customHeight="1" x14ac:dyDescent="0.2">
      <c r="A1010" s="6" t="s">
        <v>890</v>
      </c>
      <c r="B1010" s="1" t="s">
        <v>5434</v>
      </c>
      <c r="C1010" s="2">
        <v>12837</v>
      </c>
      <c r="D1010" s="2">
        <v>521103</v>
      </c>
      <c r="E1010" s="2">
        <v>65</v>
      </c>
      <c r="F1010" s="2">
        <v>8213</v>
      </c>
      <c r="G1010" s="2" t="s">
        <v>290</v>
      </c>
      <c r="I1010" s="2">
        <v>654</v>
      </c>
      <c r="J1010" s="2">
        <v>70671</v>
      </c>
      <c r="K1010" s="2">
        <v>66</v>
      </c>
      <c r="L1010" s="2">
        <v>9780</v>
      </c>
      <c r="M1010" s="2">
        <v>1176</v>
      </c>
      <c r="N1010" s="2">
        <v>44369</v>
      </c>
      <c r="O1010" s="2">
        <v>91</v>
      </c>
      <c r="P1010" s="2">
        <v>180114</v>
      </c>
      <c r="Q1010" s="2">
        <v>13193</v>
      </c>
      <c r="R1010" s="2">
        <v>196228</v>
      </c>
      <c r="S1010" s="2">
        <v>1043671</v>
      </c>
      <c r="T1010" s="10">
        <f t="shared" si="54"/>
        <v>529316</v>
      </c>
      <c r="U1010" s="8">
        <f t="shared" si="51"/>
        <v>0.50716748860512562</v>
      </c>
      <c r="V1010" s="9" t="s">
        <v>5270</v>
      </c>
      <c r="W1010" s="9" t="str">
        <f t="shared" si="52"/>
        <v>Sutton in Ashfield UD</v>
      </c>
      <c r="X1010" s="9" t="str">
        <f>INDEX(Lookup!$A$2:$A$1349, MATCH(W1010, Lookup!$B$2:$B$1349,0))</f>
        <v>J04001236</v>
      </c>
      <c r="Y1010" s="9" t="str">
        <f>INDEX(Lookup!$F$2:$F$1349, MATCH(W1010, Lookup!$B$2:$B$1349,0))</f>
        <v>e280854</v>
      </c>
      <c r="Z1010" s="6" t="str">
        <f>INDEX(Lookup!$C$2:$C$1300, MATCH(X1010, Lookup!$A$2:$A$1300,0))</f>
        <v>Nottinghamshire</v>
      </c>
    </row>
    <row r="1011" spans="1:26" ht="28.15" customHeight="1" x14ac:dyDescent="0.2">
      <c r="A1011" s="6" t="s">
        <v>891</v>
      </c>
      <c r="B1011" s="1" t="s">
        <v>891</v>
      </c>
      <c r="C1011" s="2">
        <v>3450</v>
      </c>
      <c r="D1011" s="2">
        <v>137291</v>
      </c>
      <c r="E1011" s="2">
        <v>16</v>
      </c>
      <c r="F1011" s="2">
        <v>1868</v>
      </c>
      <c r="G1011" s="2" t="s">
        <v>290</v>
      </c>
      <c r="I1011" s="2">
        <v>131</v>
      </c>
      <c r="J1011" s="2">
        <v>13474</v>
      </c>
      <c r="K1011" s="2">
        <v>7</v>
      </c>
      <c r="L1011" s="2">
        <v>253</v>
      </c>
      <c r="M1011" s="2">
        <v>446</v>
      </c>
      <c r="N1011" s="2">
        <v>8791</v>
      </c>
      <c r="O1011" s="2">
        <v>6</v>
      </c>
      <c r="P1011" s="2">
        <v>4375</v>
      </c>
      <c r="Q1011" s="2">
        <v>371</v>
      </c>
      <c r="R1011" s="2">
        <v>70371</v>
      </c>
      <c r="S1011" s="2">
        <v>236794</v>
      </c>
      <c r="T1011" s="10">
        <f t="shared" si="54"/>
        <v>139159</v>
      </c>
      <c r="U1011" s="8">
        <f t="shared" si="51"/>
        <v>0.58767958647600871</v>
      </c>
      <c r="V1011" s="9" t="s">
        <v>5270</v>
      </c>
      <c r="W1011" s="9" t="str">
        <f t="shared" si="52"/>
        <v>Warsop UD</v>
      </c>
      <c r="X1011" s="9" t="str">
        <f>INDEX(Lookup!$A$2:$A$1349, MATCH(W1011, Lookup!$B$2:$B$1349,0))</f>
        <v>J04001348</v>
      </c>
      <c r="Y1011" s="9" t="str">
        <f>INDEX(Lookup!$F$2:$F$1349, MATCH(W1011, Lookup!$B$2:$B$1349,0))</f>
        <v>e280855</v>
      </c>
      <c r="Z1011" s="6" t="str">
        <f>INDEX(Lookup!$C$2:$C$1300, MATCH(X1011, Lookup!$A$2:$A$1300,0))</f>
        <v>Nottinghamshire</v>
      </c>
    </row>
    <row r="1012" spans="1:26" ht="28.15" customHeight="1" x14ac:dyDescent="0.2">
      <c r="A1012" s="6" t="s">
        <v>892</v>
      </c>
      <c r="B1012" s="1" t="s">
        <v>892</v>
      </c>
      <c r="C1012" s="2">
        <v>6874</v>
      </c>
      <c r="D1012" s="2">
        <v>480568</v>
      </c>
      <c r="E1012" s="2">
        <v>2527</v>
      </c>
      <c r="F1012" s="2">
        <v>320989</v>
      </c>
      <c r="G1012" s="2">
        <v>122</v>
      </c>
      <c r="H1012" s="2">
        <v>28923</v>
      </c>
      <c r="I1012" s="2">
        <v>262</v>
      </c>
      <c r="J1012" s="2">
        <v>69942</v>
      </c>
      <c r="K1012" s="2">
        <v>82</v>
      </c>
      <c r="L1012" s="2">
        <v>14089</v>
      </c>
      <c r="M1012" s="2">
        <v>965</v>
      </c>
      <c r="N1012" s="2">
        <v>70690</v>
      </c>
      <c r="O1012" s="2">
        <v>16</v>
      </c>
      <c r="P1012" s="2">
        <v>6589</v>
      </c>
      <c r="Q1012" s="2">
        <v>866</v>
      </c>
      <c r="R1012" s="2">
        <v>154309</v>
      </c>
      <c r="S1012" s="2">
        <v>1146965</v>
      </c>
      <c r="T1012" s="10">
        <f t="shared" si="50"/>
        <v>830480</v>
      </c>
      <c r="U1012" s="8">
        <f t="shared" si="51"/>
        <v>0.72406743013082353</v>
      </c>
      <c r="V1012" s="9" t="s">
        <v>5270</v>
      </c>
      <c r="W1012" s="9" t="str">
        <f t="shared" si="52"/>
        <v>West Bridgford UD</v>
      </c>
      <c r="X1012" s="9" t="str">
        <f>INDEX(Lookup!$A$2:$A$1349, MATCH(W1012, Lookup!$B$2:$B$1349,0))</f>
        <v>J04001380</v>
      </c>
      <c r="Y1012" s="9" t="str">
        <f>INDEX(Lookup!$F$2:$F$1349, MATCH(W1012, Lookup!$B$2:$B$1349,0))</f>
        <v>e280856</v>
      </c>
      <c r="Z1012" s="6" t="str">
        <f>INDEX(Lookup!$C$2:$C$1300, MATCH(X1012, Lookup!$A$2:$A$1300,0))</f>
        <v>Nottinghamshire</v>
      </c>
    </row>
    <row r="1013" spans="1:26" ht="28.15" customHeight="1" x14ac:dyDescent="0.2">
      <c r="A1013" s="6" t="s">
        <v>212</v>
      </c>
      <c r="B1013" s="1" t="s">
        <v>212</v>
      </c>
      <c r="T1013" s="10"/>
      <c r="W1013" s="9" t="str">
        <f t="shared" si="52"/>
        <v xml:space="preserve">Rural Districts-- </v>
      </c>
      <c r="X1013" s="9" t="e">
        <f>INDEX(Lookup!$A$2:$A$1349, MATCH(W1013, Lookup!$B$2:$B$1349,0))</f>
        <v>#N/A</v>
      </c>
      <c r="Y1013" s="9" t="e">
        <f>INDEX(Lookup!$F$2:$F$1349, MATCH(W1013, Lookup!$B$2:$B$1349,0))</f>
        <v>#N/A</v>
      </c>
      <c r="Z1013" s="6" t="e">
        <f>INDEX(Lookup!$C$2:$C$1300, MATCH(X1013, Lookup!$A$2:$A$1300,0))</f>
        <v>#N/A</v>
      </c>
    </row>
    <row r="1014" spans="1:26" ht="28.15" customHeight="1" x14ac:dyDescent="0.2">
      <c r="A1014" s="6" t="s">
        <v>893</v>
      </c>
      <c r="B1014" s="1" t="s">
        <v>893</v>
      </c>
      <c r="C1014" s="2">
        <v>18444</v>
      </c>
      <c r="D1014" s="2">
        <v>860921</v>
      </c>
      <c r="E1014" s="2">
        <v>774</v>
      </c>
      <c r="F1014" s="2">
        <v>98790</v>
      </c>
      <c r="G1014" s="2">
        <v>73</v>
      </c>
      <c r="H1014" s="2">
        <v>19018</v>
      </c>
      <c r="I1014" s="2">
        <v>478</v>
      </c>
      <c r="J1014" s="2">
        <v>47472</v>
      </c>
      <c r="K1014" s="2">
        <v>28</v>
      </c>
      <c r="L1014" s="2">
        <v>7183</v>
      </c>
      <c r="M1014" s="2">
        <v>1076</v>
      </c>
      <c r="N1014" s="2">
        <v>77836</v>
      </c>
      <c r="O1014" s="2">
        <v>64</v>
      </c>
      <c r="P1014" s="2">
        <v>164262</v>
      </c>
      <c r="Q1014" s="2">
        <v>29523</v>
      </c>
      <c r="R1014" s="2">
        <v>771700</v>
      </c>
      <c r="S1014" s="2">
        <v>2076705</v>
      </c>
      <c r="T1014" s="10">
        <f t="shared" si="50"/>
        <v>978729</v>
      </c>
      <c r="U1014" s="8">
        <f t="shared" si="51"/>
        <v>0.47128937427318757</v>
      </c>
      <c r="V1014" s="9" t="s">
        <v>5271</v>
      </c>
      <c r="W1014" s="9" t="str">
        <f t="shared" si="52"/>
        <v>Basford RD</v>
      </c>
      <c r="X1014" s="9" t="str">
        <f>INDEX(Lookup!$A$2:$A$1349, MATCH(W1014, Lookup!$B$2:$B$1349,0))</f>
        <v>J04000095</v>
      </c>
      <c r="Y1014" s="9" t="str">
        <f>INDEX(Lookup!$F$2:$F$1349, MATCH(W1014, Lookup!$B$2:$B$1349,0))</f>
        <v>e280858</v>
      </c>
      <c r="Z1014" s="6" t="str">
        <f>INDEX(Lookup!$C$2:$C$1300, MATCH(X1014, Lookup!$A$2:$A$1300,0))</f>
        <v>Nottinghamshire</v>
      </c>
    </row>
    <row r="1015" spans="1:26" ht="28.15" customHeight="1" x14ac:dyDescent="0.2">
      <c r="A1015" s="6" t="s">
        <v>894</v>
      </c>
      <c r="B1015" s="1" t="s">
        <v>894</v>
      </c>
      <c r="C1015" s="2">
        <v>6095</v>
      </c>
      <c r="D1015" s="2">
        <v>314208</v>
      </c>
      <c r="E1015" s="2">
        <v>938</v>
      </c>
      <c r="F1015" s="2">
        <v>111869</v>
      </c>
      <c r="G1015" s="2">
        <v>72</v>
      </c>
      <c r="H1015" s="2">
        <v>16283</v>
      </c>
      <c r="I1015" s="2">
        <v>183</v>
      </c>
      <c r="J1015" s="2">
        <v>21129</v>
      </c>
      <c r="K1015" s="2">
        <v>16</v>
      </c>
      <c r="L1015" s="2">
        <v>3968</v>
      </c>
      <c r="M1015" s="2">
        <v>396</v>
      </c>
      <c r="N1015" s="2">
        <v>28105</v>
      </c>
      <c r="O1015" s="2">
        <v>25</v>
      </c>
      <c r="P1015" s="2">
        <v>44417</v>
      </c>
      <c r="Q1015" s="2">
        <v>66961</v>
      </c>
      <c r="R1015" s="2">
        <v>128930</v>
      </c>
      <c r="S1015" s="2">
        <v>735870</v>
      </c>
      <c r="T1015" s="10">
        <f t="shared" si="50"/>
        <v>442360</v>
      </c>
      <c r="U1015" s="8">
        <f t="shared" si="51"/>
        <v>0.60113878810115917</v>
      </c>
      <c r="V1015" s="9" t="s">
        <v>5271</v>
      </c>
      <c r="W1015" s="9" t="str">
        <f t="shared" si="52"/>
        <v>Bingham RD</v>
      </c>
      <c r="X1015" s="9" t="str">
        <f>INDEX(Lookup!$A$2:$A$1349, MATCH(W1015, Lookup!$B$2:$B$1349,0))</f>
        <v>J04000147</v>
      </c>
      <c r="Y1015" s="9" t="str">
        <f>INDEX(Lookup!$F$2:$F$1349, MATCH(W1015, Lookup!$B$2:$B$1349,0))</f>
        <v>e280859</v>
      </c>
      <c r="Z1015" s="6" t="str">
        <f>INDEX(Lookup!$C$2:$C$1300, MATCH(X1015, Lookup!$A$2:$A$1300,0))</f>
        <v>Nottinghamshire</v>
      </c>
    </row>
    <row r="1016" spans="1:26" ht="28.15" customHeight="1" x14ac:dyDescent="0.2">
      <c r="A1016" s="6" t="s">
        <v>878</v>
      </c>
      <c r="B1016" s="1" t="s">
        <v>878</v>
      </c>
      <c r="C1016" s="2">
        <v>5161</v>
      </c>
      <c r="D1016" s="2">
        <v>171212</v>
      </c>
      <c r="E1016" s="2">
        <v>44</v>
      </c>
      <c r="F1016" s="2">
        <v>5584</v>
      </c>
      <c r="G1016" s="2">
        <v>10</v>
      </c>
      <c r="H1016" s="2">
        <v>2896</v>
      </c>
      <c r="I1016" s="2">
        <v>153</v>
      </c>
      <c r="J1016" s="2">
        <v>7563</v>
      </c>
      <c r="K1016" s="2">
        <v>11</v>
      </c>
      <c r="L1016" s="2">
        <v>3786</v>
      </c>
      <c r="M1016" s="2">
        <v>475</v>
      </c>
      <c r="N1016" s="2">
        <v>40721</v>
      </c>
      <c r="O1016" s="2">
        <v>16</v>
      </c>
      <c r="P1016" s="2">
        <v>24820</v>
      </c>
      <c r="Q1016" s="2">
        <v>56240</v>
      </c>
      <c r="R1016" s="2">
        <v>505479</v>
      </c>
      <c r="S1016" s="2">
        <v>818301</v>
      </c>
      <c r="T1016" s="10">
        <f t="shared" si="50"/>
        <v>179692</v>
      </c>
      <c r="U1016" s="8">
        <f t="shared" si="51"/>
        <v>0.21959156838376098</v>
      </c>
      <c r="V1016" s="9" t="s">
        <v>5271</v>
      </c>
      <c r="W1016" s="9" t="str">
        <f t="shared" si="52"/>
        <v>East Retford RD</v>
      </c>
      <c r="X1016" s="9" t="str">
        <f>INDEX(Lookup!$A$2:$A$1349, MATCH(W1016, Lookup!$B$2:$B$1349,0))</f>
        <v>J04000454</v>
      </c>
      <c r="Y1016" s="9" t="str">
        <f>INDEX(Lookup!$F$2:$F$1349, MATCH(W1016, Lookup!$B$2:$B$1349,0))</f>
        <v>e280860</v>
      </c>
      <c r="Z1016" s="6" t="str">
        <f>INDEX(Lookup!$C$2:$C$1300, MATCH(X1016, Lookup!$A$2:$A$1300,0))</f>
        <v>Nottinghamshire</v>
      </c>
    </row>
    <row r="1017" spans="1:26" ht="28.15" customHeight="1" x14ac:dyDescent="0.2">
      <c r="A1017" s="6" t="s">
        <v>880</v>
      </c>
      <c r="B1017" s="1" t="s">
        <v>880</v>
      </c>
      <c r="C1017" s="2">
        <v>3901</v>
      </c>
      <c r="D1017" s="2">
        <v>170743</v>
      </c>
      <c r="E1017" s="2">
        <v>100</v>
      </c>
      <c r="F1017" s="2">
        <v>12332</v>
      </c>
      <c r="G1017" s="2">
        <v>13</v>
      </c>
      <c r="H1017" s="2">
        <v>3080</v>
      </c>
      <c r="I1017" s="2">
        <v>83</v>
      </c>
      <c r="J1017" s="2">
        <v>5740</v>
      </c>
      <c r="K1017" s="2">
        <v>6</v>
      </c>
      <c r="L1017" s="2">
        <v>262</v>
      </c>
      <c r="M1017" s="2">
        <v>360</v>
      </c>
      <c r="N1017" s="2">
        <v>11051</v>
      </c>
      <c r="O1017" s="2">
        <v>4</v>
      </c>
      <c r="P1017" s="2">
        <v>36070</v>
      </c>
      <c r="Q1017" s="2">
        <v>15906</v>
      </c>
      <c r="R1017" s="2">
        <v>88185</v>
      </c>
      <c r="S1017" s="2">
        <v>343369</v>
      </c>
      <c r="T1017" s="10">
        <f t="shared" si="50"/>
        <v>186155</v>
      </c>
      <c r="U1017" s="8">
        <f t="shared" si="51"/>
        <v>0.54214270944668852</v>
      </c>
      <c r="V1017" s="9" t="s">
        <v>5271</v>
      </c>
      <c r="W1017" s="9" t="str">
        <f t="shared" si="52"/>
        <v>Newark RD</v>
      </c>
      <c r="X1017" s="9" t="str">
        <f>INDEX(Lookup!$A$2:$A$1349, MATCH(W1017, Lookup!$B$2:$B$1349,0))</f>
        <v>J04000893</v>
      </c>
      <c r="Y1017" s="9" t="str">
        <f>INDEX(Lookup!$F$2:$F$1349, MATCH(W1017, Lookup!$B$2:$B$1349,0))</f>
        <v>e280861</v>
      </c>
      <c r="Z1017" s="6" t="str">
        <f>INDEX(Lookup!$C$2:$C$1300, MATCH(X1017, Lookup!$A$2:$A$1300,0))</f>
        <v>Nottinghamshire</v>
      </c>
    </row>
    <row r="1018" spans="1:26" ht="28.15" customHeight="1" x14ac:dyDescent="0.2">
      <c r="A1018" s="6" t="s">
        <v>895</v>
      </c>
      <c r="B1018" s="1" t="s">
        <v>895</v>
      </c>
      <c r="C1018" s="2">
        <v>13496</v>
      </c>
      <c r="D1018" s="2">
        <v>561332</v>
      </c>
      <c r="E1018" s="2">
        <v>189</v>
      </c>
      <c r="F1018" s="2">
        <v>23887</v>
      </c>
      <c r="G1018" s="2">
        <v>20</v>
      </c>
      <c r="H1018" s="2">
        <v>4974</v>
      </c>
      <c r="I1018" s="2">
        <v>388</v>
      </c>
      <c r="J1018" s="2">
        <v>40014</v>
      </c>
      <c r="K1018" s="2">
        <v>37</v>
      </c>
      <c r="L1018" s="2">
        <v>8137</v>
      </c>
      <c r="M1018" s="2">
        <v>1188</v>
      </c>
      <c r="N1018" s="2">
        <v>70350</v>
      </c>
      <c r="O1018" s="2">
        <v>37</v>
      </c>
      <c r="P1018" s="2">
        <v>47214</v>
      </c>
      <c r="Q1018" s="2">
        <v>11905</v>
      </c>
      <c r="R1018" s="2">
        <v>905357</v>
      </c>
      <c r="S1018" s="2">
        <v>1673170</v>
      </c>
      <c r="T1018" s="10">
        <f t="shared" si="50"/>
        <v>590193</v>
      </c>
      <c r="U1018" s="8">
        <f t="shared" si="51"/>
        <v>0.3527394108189843</v>
      </c>
      <c r="V1018" s="9" t="s">
        <v>5271</v>
      </c>
      <c r="W1018" s="9" t="str">
        <f t="shared" si="52"/>
        <v>Southwell RD</v>
      </c>
      <c r="X1018" s="9" t="str">
        <f>INDEX(Lookup!$A$2:$A$1349, MATCH(W1018, Lookup!$B$2:$B$1349,0))</f>
        <v>J04001170</v>
      </c>
      <c r="Y1018" s="9" t="str">
        <f>INDEX(Lookup!$F$2:$F$1349, MATCH(W1018, Lookup!$B$2:$B$1349,0))</f>
        <v>e280863</v>
      </c>
      <c r="Z1018" s="6" t="str">
        <f>INDEX(Lookup!$C$2:$C$1300, MATCH(X1018, Lookup!$A$2:$A$1300,0))</f>
        <v>Nottinghamshire</v>
      </c>
    </row>
    <row r="1019" spans="1:26" ht="28.15" customHeight="1" x14ac:dyDescent="0.2">
      <c r="A1019" s="6" t="s">
        <v>881</v>
      </c>
      <c r="B1019" s="1" t="s">
        <v>882</v>
      </c>
      <c r="C1019" s="2">
        <v>4955</v>
      </c>
      <c r="D1019" s="2">
        <v>195599</v>
      </c>
      <c r="E1019" s="2">
        <v>31</v>
      </c>
      <c r="F1019" s="2">
        <v>3622</v>
      </c>
      <c r="G1019" s="2">
        <v>6</v>
      </c>
      <c r="H1019" s="2">
        <v>2075</v>
      </c>
      <c r="I1019" s="2">
        <v>155</v>
      </c>
      <c r="J1019" s="2">
        <v>12342</v>
      </c>
      <c r="K1019" s="2">
        <v>12</v>
      </c>
      <c r="L1019" s="2">
        <v>730</v>
      </c>
      <c r="M1019" s="2">
        <v>368</v>
      </c>
      <c r="N1019" s="2">
        <v>23484</v>
      </c>
      <c r="O1019" s="2">
        <v>10</v>
      </c>
      <c r="P1019" s="2">
        <v>90158</v>
      </c>
      <c r="Q1019" s="2">
        <v>6490</v>
      </c>
      <c r="R1019" s="2">
        <v>175555</v>
      </c>
      <c r="S1019" s="2">
        <v>510055</v>
      </c>
      <c r="T1019" s="10">
        <f t="shared" si="50"/>
        <v>201296</v>
      </c>
      <c r="U1019" s="8">
        <f t="shared" si="51"/>
        <v>0.39465547833076825</v>
      </c>
      <c r="V1019" s="9" t="s">
        <v>5271</v>
      </c>
      <c r="W1019" s="9" t="str">
        <f t="shared" si="52"/>
        <v>Worksop RD</v>
      </c>
      <c r="X1019" s="9" t="str">
        <f>INDEX(Lookup!$A$2:$A$1349, MATCH(W1019, Lookup!$B$2:$B$1349,0))</f>
        <v>J04001453</v>
      </c>
      <c r="Y1019" s="9" t="str">
        <f>INDEX(Lookup!$F$2:$F$1349, MATCH(W1019, Lookup!$B$2:$B$1349,0))</f>
        <v>e280864</v>
      </c>
      <c r="Z1019" s="6" t="str">
        <f>INDEX(Lookup!$C$2:$C$1300, MATCH(X1019, Lookup!$A$2:$A$1300,0))</f>
        <v>Nottinghamshire</v>
      </c>
    </row>
    <row r="1020" spans="1:26" ht="28.15" customHeight="1" x14ac:dyDescent="0.2">
      <c r="A1020" s="6" t="s">
        <v>896</v>
      </c>
      <c r="B1020" s="1" t="s">
        <v>896</v>
      </c>
      <c r="T1020" s="10"/>
      <c r="W1020" s="9" t="str">
        <f t="shared" si="52"/>
        <v xml:space="preserve">OXFORD </v>
      </c>
      <c r="X1020" s="9" t="e">
        <f>INDEX(Lookup!$A$2:$A$1349, MATCH(W1020, Lookup!$B$2:$B$1349,0))</f>
        <v>#N/A</v>
      </c>
      <c r="Y1020" s="9" t="e">
        <f>INDEX(Lookup!$F$2:$F$1349, MATCH(W1020, Lookup!$B$2:$B$1349,0))</f>
        <v>#N/A</v>
      </c>
      <c r="Z1020" s="6" t="e">
        <f>INDEX(Lookup!$C$2:$C$1300, MATCH(X1020, Lookup!$A$2:$A$1300,0))</f>
        <v>#N/A</v>
      </c>
    </row>
    <row r="1021" spans="1:26" ht="28.15" customHeight="1" x14ac:dyDescent="0.2">
      <c r="A1021" s="6" t="s">
        <v>175</v>
      </c>
      <c r="B1021" s="1" t="s">
        <v>175</v>
      </c>
      <c r="T1021" s="10"/>
      <c r="W1021" s="9" t="str">
        <f t="shared" si="52"/>
        <v xml:space="preserve">Non-County Boroughs-- </v>
      </c>
      <c r="X1021" s="9" t="e">
        <f>INDEX(Lookup!$A$2:$A$1349, MATCH(W1021, Lookup!$B$2:$B$1349,0))</f>
        <v>#N/A</v>
      </c>
      <c r="Y1021" s="9" t="e">
        <f>INDEX(Lookup!$F$2:$F$1349, MATCH(W1021, Lookup!$B$2:$B$1349,0))</f>
        <v>#N/A</v>
      </c>
      <c r="Z1021" s="6" t="e">
        <f>INDEX(Lookup!$C$2:$C$1300, MATCH(X1021, Lookup!$A$2:$A$1300,0))</f>
        <v>#N/A</v>
      </c>
    </row>
    <row r="1022" spans="1:26" ht="28.15" customHeight="1" x14ac:dyDescent="0.2">
      <c r="A1022" s="6" t="s">
        <v>897</v>
      </c>
      <c r="B1022" s="1" t="s">
        <v>897</v>
      </c>
      <c r="C1022" s="2">
        <v>6320</v>
      </c>
      <c r="D1022" s="2">
        <v>356932</v>
      </c>
      <c r="E1022" s="2">
        <v>514</v>
      </c>
      <c r="F1022" s="2">
        <v>62976</v>
      </c>
      <c r="G1022" s="2">
        <v>15</v>
      </c>
      <c r="H1022" s="2">
        <v>3326</v>
      </c>
      <c r="I1022" s="2">
        <v>374</v>
      </c>
      <c r="J1022" s="2">
        <v>162418</v>
      </c>
      <c r="K1022" s="2">
        <v>125</v>
      </c>
      <c r="L1022" s="2">
        <v>21500</v>
      </c>
      <c r="M1022" s="2">
        <v>842</v>
      </c>
      <c r="N1022" s="2">
        <v>89902</v>
      </c>
      <c r="O1022" s="2">
        <v>68</v>
      </c>
      <c r="P1022" s="2">
        <v>218637</v>
      </c>
      <c r="Q1022" s="2">
        <v>12620</v>
      </c>
      <c r="R1022" s="2">
        <v>128934</v>
      </c>
      <c r="S1022" s="2">
        <v>1057245</v>
      </c>
      <c r="T1022" s="10">
        <f t="shared" si="50"/>
        <v>423234</v>
      </c>
      <c r="U1022" s="8">
        <f t="shared" si="51"/>
        <v>0.40031780713079751</v>
      </c>
      <c r="V1022" s="9" t="s">
        <v>5268</v>
      </c>
      <c r="W1022" s="9" t="str">
        <f t="shared" si="52"/>
        <v>Banbury MB</v>
      </c>
      <c r="X1022" s="9" t="str">
        <f>INDEX(Lookup!$A$2:$A$1349, MATCH(W1022, Lookup!$B$2:$B$1349,0))</f>
        <v>J04000075</v>
      </c>
      <c r="Y1022" s="9" t="str">
        <f>INDEX(Lookup!$F$2:$F$1349, MATCH(W1022, Lookup!$B$2:$B$1349,0))</f>
        <v>e290866</v>
      </c>
      <c r="Z1022" s="6" t="str">
        <f>INDEX(Lookup!$C$2:$C$1300, MATCH(X1022, Lookup!$A$2:$A$1300,0))</f>
        <v>Oxfordshire</v>
      </c>
    </row>
    <row r="1023" spans="1:26" ht="28.15" customHeight="1" x14ac:dyDescent="0.2">
      <c r="A1023" s="6" t="s">
        <v>898</v>
      </c>
      <c r="B1023" s="1" t="s">
        <v>898</v>
      </c>
      <c r="C1023" s="2">
        <v>1227</v>
      </c>
      <c r="D1023" s="2">
        <v>54851</v>
      </c>
      <c r="E1023" s="2">
        <v>44</v>
      </c>
      <c r="F1023" s="2">
        <v>5408</v>
      </c>
      <c r="G1023" s="2">
        <v>5</v>
      </c>
      <c r="H1023" s="2">
        <v>1130</v>
      </c>
      <c r="I1023" s="2">
        <v>81</v>
      </c>
      <c r="J1023" s="2">
        <v>17596</v>
      </c>
      <c r="K1023" s="2">
        <v>11</v>
      </c>
      <c r="L1023" s="2">
        <v>2165</v>
      </c>
      <c r="M1023" s="2">
        <v>225</v>
      </c>
      <c r="N1023" s="2">
        <v>11843</v>
      </c>
      <c r="O1023" s="2">
        <v>5</v>
      </c>
      <c r="P1023" s="2">
        <v>16065</v>
      </c>
      <c r="Q1023" s="2">
        <v>2613</v>
      </c>
      <c r="R1023" s="2">
        <v>19051</v>
      </c>
      <c r="S1023" s="2">
        <v>130722</v>
      </c>
      <c r="T1023" s="10">
        <f t="shared" si="50"/>
        <v>61389</v>
      </c>
      <c r="U1023" s="8">
        <f t="shared" si="51"/>
        <v>0.46961490797264421</v>
      </c>
      <c r="V1023" s="9" t="s">
        <v>5268</v>
      </c>
      <c r="W1023" s="9" t="str">
        <f t="shared" si="52"/>
        <v>Chipping Norton MB</v>
      </c>
      <c r="X1023" s="9" t="str">
        <f>INDEX(Lookup!$A$2:$A$1349, MATCH(W1023, Lookup!$B$2:$B$1349,0))</f>
        <v>J04000310</v>
      </c>
      <c r="Y1023" s="9" t="str">
        <f>INDEX(Lookup!$F$2:$F$1349, MATCH(W1023, Lookup!$B$2:$B$1349,0))</f>
        <v>e290868</v>
      </c>
      <c r="Z1023" s="6" t="str">
        <f>INDEX(Lookup!$C$2:$C$1300, MATCH(X1023, Lookup!$A$2:$A$1300,0))</f>
        <v>Oxfordshire</v>
      </c>
    </row>
    <row r="1024" spans="1:26" ht="28.15" customHeight="1" x14ac:dyDescent="0.2">
      <c r="A1024" s="6" t="s">
        <v>899</v>
      </c>
      <c r="B1024" s="1" t="s">
        <v>5435</v>
      </c>
      <c r="C1024" s="2">
        <v>2216</v>
      </c>
      <c r="D1024" s="2">
        <v>132270</v>
      </c>
      <c r="E1024" s="2">
        <v>653</v>
      </c>
      <c r="F1024" s="2">
        <v>85131</v>
      </c>
      <c r="G1024" s="2">
        <v>89</v>
      </c>
      <c r="H1024" s="2">
        <v>22908</v>
      </c>
      <c r="I1024" s="2">
        <v>214</v>
      </c>
      <c r="J1024" s="2">
        <v>55638</v>
      </c>
      <c r="K1024" s="2">
        <v>48</v>
      </c>
      <c r="L1024" s="2">
        <v>14898</v>
      </c>
      <c r="M1024" s="2">
        <v>320</v>
      </c>
      <c r="N1024" s="2">
        <v>30239</v>
      </c>
      <c r="O1024" s="2">
        <v>8</v>
      </c>
      <c r="P1024" s="2">
        <v>15950</v>
      </c>
      <c r="Q1024" s="2">
        <v>2167</v>
      </c>
      <c r="R1024" s="2">
        <v>29774</v>
      </c>
      <c r="S1024" s="2">
        <v>388975</v>
      </c>
      <c r="T1024" s="10">
        <f t="shared" si="50"/>
        <v>240309</v>
      </c>
      <c r="U1024" s="8">
        <f t="shared" si="51"/>
        <v>0.61780062986053086</v>
      </c>
      <c r="V1024" s="9" t="s">
        <v>5268</v>
      </c>
      <c r="W1024" s="9" t="str">
        <f t="shared" si="52"/>
        <v>Henley on Thames MB</v>
      </c>
      <c r="X1024" s="9" t="str">
        <f>INDEX(Lookup!$A$2:$A$1349, MATCH(W1024, Lookup!$B$2:$B$1349,0))</f>
        <v>J04000608</v>
      </c>
      <c r="Y1024" s="9" t="str">
        <f>INDEX(Lookup!$F$2:$F$1349, MATCH(W1024, Lookup!$B$2:$B$1349,0))</f>
        <v>e290869</v>
      </c>
      <c r="Z1024" s="6" t="str">
        <f>INDEX(Lookup!$C$2:$C$1300, MATCH(X1024, Lookup!$A$2:$A$1300,0))</f>
        <v>Oxfordshire</v>
      </c>
    </row>
    <row r="1025" spans="1:26" ht="28.15" customHeight="1" x14ac:dyDescent="0.2">
      <c r="A1025" s="6" t="s">
        <v>900</v>
      </c>
      <c r="B1025" s="1" t="s">
        <v>900</v>
      </c>
      <c r="C1025" s="2">
        <v>457</v>
      </c>
      <c r="D1025" s="2">
        <v>21521</v>
      </c>
      <c r="E1025" s="2">
        <v>54</v>
      </c>
      <c r="F1025" s="2">
        <v>6660</v>
      </c>
      <c r="G1025" s="2">
        <v>2</v>
      </c>
      <c r="H1025" s="2">
        <v>678</v>
      </c>
      <c r="I1025" s="2">
        <v>57</v>
      </c>
      <c r="J1025" s="2">
        <v>10371</v>
      </c>
      <c r="K1025" s="2">
        <v>1</v>
      </c>
      <c r="L1025" s="2">
        <v>34</v>
      </c>
      <c r="M1025" s="2">
        <v>91</v>
      </c>
      <c r="N1025" s="2">
        <v>7625</v>
      </c>
      <c r="O1025" s="2">
        <v>7</v>
      </c>
      <c r="P1025" s="2">
        <v>1745</v>
      </c>
      <c r="Q1025" s="2">
        <v>196</v>
      </c>
      <c r="R1025" s="2">
        <v>5633</v>
      </c>
      <c r="S1025" s="2">
        <v>54463</v>
      </c>
      <c r="T1025" s="10">
        <f t="shared" si="50"/>
        <v>28859</v>
      </c>
      <c r="U1025" s="8">
        <f t="shared" si="51"/>
        <v>0.52988267264014099</v>
      </c>
      <c r="V1025" s="9" t="s">
        <v>5268</v>
      </c>
      <c r="W1025" s="9" t="str">
        <f t="shared" si="52"/>
        <v>Woodstock MB</v>
      </c>
      <c r="X1025" s="9" t="str">
        <f>INDEX(Lookup!$A$2:$A$1349, MATCH(W1025, Lookup!$B$2:$B$1349,0))</f>
        <v>J04001448</v>
      </c>
      <c r="Y1025" s="9" t="str">
        <f>INDEX(Lookup!$F$2:$F$1349, MATCH(W1025, Lookup!$B$2:$B$1349,0))</f>
        <v>e290872</v>
      </c>
      <c r="Z1025" s="6" t="str">
        <f>INDEX(Lookup!$C$2:$C$1300, MATCH(X1025, Lookup!$A$2:$A$1300,0))</f>
        <v>Oxfordshire</v>
      </c>
    </row>
    <row r="1026" spans="1:26" ht="28.15" customHeight="1" x14ac:dyDescent="0.2">
      <c r="A1026" s="6" t="s">
        <v>179</v>
      </c>
      <c r="B1026" s="1" t="s">
        <v>179</v>
      </c>
      <c r="T1026" s="10"/>
      <c r="W1026" s="9" t="str">
        <f t="shared" si="52"/>
        <v xml:space="preserve">Urban Districts-- </v>
      </c>
      <c r="X1026" s="9" t="e">
        <f>INDEX(Lookup!$A$2:$A$1349, MATCH(W1026, Lookup!$B$2:$B$1349,0))</f>
        <v>#N/A</v>
      </c>
      <c r="Y1026" s="9" t="e">
        <f>INDEX(Lookup!$F$2:$F$1349, MATCH(W1026, Lookup!$B$2:$B$1349,0))</f>
        <v>#N/A</v>
      </c>
      <c r="Z1026" s="6" t="e">
        <f>INDEX(Lookup!$C$2:$C$1300, MATCH(X1026, Lookup!$A$2:$A$1300,0))</f>
        <v>#N/A</v>
      </c>
    </row>
    <row r="1027" spans="1:26" ht="28.15" customHeight="1" x14ac:dyDescent="0.2">
      <c r="A1027" s="6" t="s">
        <v>901</v>
      </c>
      <c r="B1027" s="1" t="s">
        <v>901</v>
      </c>
      <c r="C1027" s="2">
        <v>1821</v>
      </c>
      <c r="D1027" s="2">
        <v>97518</v>
      </c>
      <c r="E1027" s="2">
        <v>116</v>
      </c>
      <c r="F1027" s="2">
        <v>11802</v>
      </c>
      <c r="G1027" s="2">
        <v>2</v>
      </c>
      <c r="H1027" s="2">
        <v>644</v>
      </c>
      <c r="I1027" s="2">
        <v>116</v>
      </c>
      <c r="J1027" s="2">
        <v>39736</v>
      </c>
      <c r="K1027" s="2">
        <v>32</v>
      </c>
      <c r="L1027" s="2">
        <v>6548</v>
      </c>
      <c r="M1027" s="2">
        <v>323</v>
      </c>
      <c r="N1027" s="2">
        <v>22260</v>
      </c>
      <c r="O1027" s="2">
        <v>9</v>
      </c>
      <c r="P1027" s="2">
        <v>12690</v>
      </c>
      <c r="Q1027" s="2">
        <v>1103</v>
      </c>
      <c r="R1027" s="2">
        <v>24553</v>
      </c>
      <c r="S1027" s="2">
        <v>216854</v>
      </c>
      <c r="T1027" s="10">
        <f t="shared" ref="T1027:T1089" si="55">SUM(D1027+F1027+H1027)</f>
        <v>109964</v>
      </c>
      <c r="U1027" s="8">
        <f t="shared" ref="U1027:U1089" si="56">T1027/S1027</f>
        <v>0.50708771800381824</v>
      </c>
      <c r="V1027" s="9" t="s">
        <v>5270</v>
      </c>
      <c r="W1027" s="9" t="str">
        <f t="shared" ref="W1027:W1090" si="57">_xlfn.CONCAT(B1027," ",V1027)</f>
        <v>Bicester UD</v>
      </c>
      <c r="X1027" s="9" t="str">
        <f>INDEX(Lookup!$A$2:$A$1349, MATCH(W1027, Lookup!$B$2:$B$1349,0))</f>
        <v>J04000137</v>
      </c>
      <c r="Y1027" s="9" t="str">
        <f>INDEX(Lookup!$F$2:$F$1349, MATCH(W1027, Lookup!$B$2:$B$1349,0))</f>
        <v>e290867</v>
      </c>
      <c r="Z1027" s="6" t="str">
        <f>INDEX(Lookup!$C$2:$C$1300, MATCH(X1027, Lookup!$A$2:$A$1300,0))</f>
        <v>Oxfordshire</v>
      </c>
    </row>
    <row r="1028" spans="1:26" ht="28.15" customHeight="1" x14ac:dyDescent="0.2">
      <c r="A1028" s="6" t="s">
        <v>902</v>
      </c>
      <c r="B1028" s="1" t="s">
        <v>902</v>
      </c>
      <c r="C1028" s="2">
        <v>1255</v>
      </c>
      <c r="D1028" s="2">
        <v>69113</v>
      </c>
      <c r="E1028" s="2">
        <v>138</v>
      </c>
      <c r="F1028" s="2">
        <v>17116</v>
      </c>
      <c r="G1028" s="2">
        <v>7</v>
      </c>
      <c r="H1028" s="2">
        <v>2021</v>
      </c>
      <c r="I1028" s="2">
        <v>100</v>
      </c>
      <c r="J1028" s="2">
        <v>20057</v>
      </c>
      <c r="K1028" s="2">
        <v>15</v>
      </c>
      <c r="L1028" s="2">
        <v>1978</v>
      </c>
      <c r="M1028" s="2">
        <v>123</v>
      </c>
      <c r="N1028" s="2">
        <v>16722</v>
      </c>
      <c r="O1028" s="2">
        <v>10</v>
      </c>
      <c r="P1028" s="2">
        <v>7025</v>
      </c>
      <c r="Q1028" s="2">
        <v>605</v>
      </c>
      <c r="R1028" s="2">
        <v>21069</v>
      </c>
      <c r="S1028" s="2">
        <v>155706</v>
      </c>
      <c r="T1028" s="10">
        <f t="shared" si="55"/>
        <v>88250</v>
      </c>
      <c r="U1028" s="8">
        <f t="shared" si="56"/>
        <v>0.56677327784414222</v>
      </c>
      <c r="V1028" s="9" t="s">
        <v>5270</v>
      </c>
      <c r="W1028" s="9" t="str">
        <f t="shared" si="57"/>
        <v>Thame UD</v>
      </c>
      <c r="X1028" s="9" t="str">
        <f>INDEX(Lookup!$A$2:$A$1349, MATCH(W1028, Lookup!$B$2:$B$1349,0))</f>
        <v>J04001265</v>
      </c>
      <c r="Y1028" s="9" t="str">
        <f>INDEX(Lookup!$F$2:$F$1349, MATCH(W1028, Lookup!$B$2:$B$1349,0))</f>
        <v>e290870</v>
      </c>
      <c r="Z1028" s="6" t="str">
        <f>INDEX(Lookup!$C$2:$C$1300, MATCH(X1028, Lookup!$A$2:$A$1300,0))</f>
        <v>Oxfordshire</v>
      </c>
    </row>
    <row r="1029" spans="1:26" ht="28.15" customHeight="1" x14ac:dyDescent="0.2">
      <c r="A1029" s="6" t="s">
        <v>903</v>
      </c>
      <c r="B1029" s="1" t="s">
        <v>903</v>
      </c>
      <c r="C1029" s="2">
        <v>2678</v>
      </c>
      <c r="D1029" s="2">
        <v>147228</v>
      </c>
      <c r="E1029" s="2">
        <v>149</v>
      </c>
      <c r="F1029" s="2">
        <v>18022</v>
      </c>
      <c r="G1029" s="2">
        <v>9</v>
      </c>
      <c r="H1029" s="2">
        <v>2730</v>
      </c>
      <c r="I1029" s="2">
        <v>162</v>
      </c>
      <c r="J1029" s="2">
        <v>44714</v>
      </c>
      <c r="K1029" s="2">
        <v>32</v>
      </c>
      <c r="L1029" s="2">
        <v>5942</v>
      </c>
      <c r="M1029" s="2">
        <v>327</v>
      </c>
      <c r="N1029" s="2">
        <v>21508</v>
      </c>
      <c r="O1029" s="2">
        <v>28</v>
      </c>
      <c r="P1029" s="2">
        <v>92677</v>
      </c>
      <c r="Q1029" s="2">
        <v>1055</v>
      </c>
      <c r="R1029" s="2">
        <v>27808</v>
      </c>
      <c r="S1029" s="2">
        <v>361684</v>
      </c>
      <c r="T1029" s="10">
        <f t="shared" si="55"/>
        <v>167980</v>
      </c>
      <c r="U1029" s="8">
        <f t="shared" si="56"/>
        <v>0.46443857068601319</v>
      </c>
      <c r="V1029" s="9" t="s">
        <v>5270</v>
      </c>
      <c r="W1029" s="9" t="str">
        <f t="shared" si="57"/>
        <v>Witney UD</v>
      </c>
      <c r="X1029" s="9" t="str">
        <f>INDEX(Lookup!$A$2:$A$1349, MATCH(W1029, Lookup!$B$2:$B$1349,0))</f>
        <v>J04001437</v>
      </c>
      <c r="Y1029" s="9" t="str">
        <f>INDEX(Lookup!$F$2:$F$1349, MATCH(W1029, Lookup!$B$2:$B$1349,0))</f>
        <v>e290871</v>
      </c>
      <c r="Z1029" s="6" t="str">
        <f>INDEX(Lookup!$C$2:$C$1300, MATCH(X1029, Lookup!$A$2:$A$1300,0))</f>
        <v>Oxfordshire</v>
      </c>
    </row>
    <row r="1030" spans="1:26" ht="28.15" customHeight="1" x14ac:dyDescent="0.2">
      <c r="A1030" s="6" t="s">
        <v>212</v>
      </c>
      <c r="B1030" s="1" t="s">
        <v>212</v>
      </c>
      <c r="T1030" s="10"/>
      <c r="W1030" s="9" t="str">
        <f t="shared" si="57"/>
        <v xml:space="preserve">Rural Districts-- </v>
      </c>
      <c r="X1030" s="9" t="e">
        <f>INDEX(Lookup!$A$2:$A$1349, MATCH(W1030, Lookup!$B$2:$B$1349,0))</f>
        <v>#N/A</v>
      </c>
      <c r="Y1030" s="9" t="e">
        <f>INDEX(Lookup!$F$2:$F$1349, MATCH(W1030, Lookup!$B$2:$B$1349,0))</f>
        <v>#N/A</v>
      </c>
      <c r="Z1030" s="6" t="e">
        <f>INDEX(Lookup!$C$2:$C$1300, MATCH(X1030, Lookup!$A$2:$A$1300,0))</f>
        <v>#N/A</v>
      </c>
    </row>
    <row r="1031" spans="1:26" ht="28.15" customHeight="1" x14ac:dyDescent="0.2">
      <c r="A1031" s="6" t="s">
        <v>897</v>
      </c>
      <c r="B1031" s="1" t="s">
        <v>897</v>
      </c>
      <c r="C1031" s="2">
        <v>4118</v>
      </c>
      <c r="D1031" s="2">
        <v>176034</v>
      </c>
      <c r="E1031" s="2">
        <v>373</v>
      </c>
      <c r="F1031" s="2">
        <v>46759</v>
      </c>
      <c r="G1031" s="2">
        <v>50</v>
      </c>
      <c r="H1031" s="2">
        <v>14481</v>
      </c>
      <c r="I1031" s="2">
        <v>114</v>
      </c>
      <c r="J1031" s="2">
        <v>12692</v>
      </c>
      <c r="K1031" s="2">
        <v>2</v>
      </c>
      <c r="L1031" s="2">
        <v>89</v>
      </c>
      <c r="M1031" s="2">
        <v>327</v>
      </c>
      <c r="N1031" s="2">
        <v>20924</v>
      </c>
      <c r="O1031" s="2">
        <v>12</v>
      </c>
      <c r="P1031" s="2">
        <v>27495</v>
      </c>
      <c r="Q1031" s="2">
        <v>5508</v>
      </c>
      <c r="R1031" s="2">
        <v>98217</v>
      </c>
      <c r="S1031" s="2">
        <v>402199</v>
      </c>
      <c r="T1031" s="10">
        <f t="shared" si="55"/>
        <v>237274</v>
      </c>
      <c r="U1031" s="8">
        <f t="shared" si="56"/>
        <v>0.58994179498208599</v>
      </c>
      <c r="V1031" s="9" t="s">
        <v>5271</v>
      </c>
      <c r="W1031" s="9" t="str">
        <f t="shared" si="57"/>
        <v>Banbury RD</v>
      </c>
      <c r="X1031" s="9" t="str">
        <f>INDEX(Lookup!$A$2:$A$1349, MATCH(W1031, Lookup!$B$2:$B$1349,0))</f>
        <v>J04000076</v>
      </c>
      <c r="Y1031" s="9" t="str">
        <f>INDEX(Lookup!$F$2:$F$1349, MATCH(W1031, Lookup!$B$2:$B$1349,0))</f>
        <v>e290873</v>
      </c>
      <c r="Z1031" s="6" t="str">
        <f>INDEX(Lookup!$C$2:$C$1300, MATCH(X1031, Lookup!$A$2:$A$1300,0))</f>
        <v>Oxfordshire</v>
      </c>
    </row>
    <row r="1032" spans="1:26" ht="28.15" customHeight="1" x14ac:dyDescent="0.2">
      <c r="A1032" s="6" t="s">
        <v>904</v>
      </c>
      <c r="B1032" s="1" t="s">
        <v>904</v>
      </c>
      <c r="C1032" s="2">
        <v>9370</v>
      </c>
      <c r="D1032" s="2">
        <v>571451</v>
      </c>
      <c r="E1032" s="2">
        <v>1286</v>
      </c>
      <c r="F1032" s="2">
        <v>154380</v>
      </c>
      <c r="G1032" s="2">
        <v>110</v>
      </c>
      <c r="H1032" s="2">
        <v>30040</v>
      </c>
      <c r="I1032" s="2">
        <v>226</v>
      </c>
      <c r="J1032" s="2">
        <v>41159</v>
      </c>
      <c r="K1032" s="2">
        <v>14</v>
      </c>
      <c r="L1032" s="2">
        <v>18398</v>
      </c>
      <c r="M1032" s="2">
        <v>876</v>
      </c>
      <c r="N1032" s="2">
        <v>136111</v>
      </c>
      <c r="O1032" s="2">
        <v>25</v>
      </c>
      <c r="P1032" s="2">
        <v>72780</v>
      </c>
      <c r="Q1032" s="2">
        <v>69590</v>
      </c>
      <c r="R1032" s="2">
        <v>203587</v>
      </c>
      <c r="S1032" s="2">
        <v>1297496</v>
      </c>
      <c r="T1032" s="10">
        <f t="shared" si="55"/>
        <v>755871</v>
      </c>
      <c r="U1032" s="8">
        <f t="shared" si="56"/>
        <v>0.58256133352241546</v>
      </c>
      <c r="V1032" s="9" t="s">
        <v>5271</v>
      </c>
      <c r="W1032" s="9" t="str">
        <f t="shared" si="57"/>
        <v>Bullingdon RD</v>
      </c>
      <c r="X1032" s="9" t="str">
        <f>INDEX(Lookup!$A$2:$A$1349, MATCH(W1032, Lookup!$B$2:$B$1349,0))</f>
        <v>J04000234</v>
      </c>
      <c r="Y1032" s="9" t="str">
        <f>INDEX(Lookup!$F$2:$F$1349, MATCH(W1032, Lookup!$B$2:$B$1349,0))</f>
        <v>e290874</v>
      </c>
      <c r="Z1032" s="6" t="str">
        <f>INDEX(Lookup!$C$2:$C$1300, MATCH(X1032, Lookup!$A$2:$A$1300,0))</f>
        <v>Oxfordshire</v>
      </c>
    </row>
    <row r="1033" spans="1:26" ht="28.15" customHeight="1" x14ac:dyDescent="0.2">
      <c r="A1033" s="6" t="s">
        <v>898</v>
      </c>
      <c r="B1033" s="1" t="s">
        <v>898</v>
      </c>
      <c r="C1033" s="2">
        <v>4084</v>
      </c>
      <c r="D1033" s="2">
        <v>174087</v>
      </c>
      <c r="E1033" s="2">
        <v>192</v>
      </c>
      <c r="F1033" s="2">
        <v>24870</v>
      </c>
      <c r="G1033" s="2">
        <v>71</v>
      </c>
      <c r="H1033" s="2">
        <v>22570</v>
      </c>
      <c r="I1033" s="2">
        <v>128</v>
      </c>
      <c r="J1033" s="2">
        <v>17872</v>
      </c>
      <c r="K1033" s="2">
        <v>8</v>
      </c>
      <c r="L1033" s="2">
        <v>378</v>
      </c>
      <c r="M1033" s="2">
        <v>291</v>
      </c>
      <c r="N1033" s="2">
        <v>24662</v>
      </c>
      <c r="O1033" s="2">
        <v>17</v>
      </c>
      <c r="P1033" s="2">
        <v>10976</v>
      </c>
      <c r="Q1033" s="2">
        <v>3204</v>
      </c>
      <c r="R1033" s="2">
        <v>111131</v>
      </c>
      <c r="S1033" s="2">
        <v>389750</v>
      </c>
      <c r="T1033" s="10">
        <f t="shared" si="55"/>
        <v>221527</v>
      </c>
      <c r="U1033" s="8">
        <f t="shared" si="56"/>
        <v>0.5683822963438101</v>
      </c>
      <c r="V1033" s="9" t="s">
        <v>5271</v>
      </c>
      <c r="W1033" s="9" t="str">
        <f t="shared" si="57"/>
        <v>Chipping Norton RD</v>
      </c>
      <c r="X1033" s="9" t="str">
        <f>INDEX(Lookup!$A$2:$A$1349, MATCH(W1033, Lookup!$B$2:$B$1349,0))</f>
        <v>J04000311</v>
      </c>
      <c r="Y1033" s="9" t="str">
        <f>INDEX(Lookup!$F$2:$F$1349, MATCH(W1033, Lookup!$B$2:$B$1349,0))</f>
        <v>e290875</v>
      </c>
      <c r="Z1033" s="6" t="str">
        <f>INDEX(Lookup!$C$2:$C$1300, MATCH(X1033, Lookup!$A$2:$A$1300,0))</f>
        <v>Oxfordshire</v>
      </c>
    </row>
    <row r="1034" spans="1:26" ht="28.15" customHeight="1" x14ac:dyDescent="0.2">
      <c r="A1034" s="6" t="s">
        <v>905</v>
      </c>
      <c r="B1034" s="1" t="s">
        <v>905</v>
      </c>
      <c r="C1034" s="2">
        <v>4695</v>
      </c>
      <c r="D1034" s="2">
        <v>264687</v>
      </c>
      <c r="E1034" s="2">
        <v>1467</v>
      </c>
      <c r="F1034" s="2">
        <v>189778</v>
      </c>
      <c r="G1034" s="2">
        <v>211</v>
      </c>
      <c r="H1034" s="2">
        <v>59757</v>
      </c>
      <c r="I1034" s="2">
        <v>121</v>
      </c>
      <c r="J1034" s="2">
        <v>16124</v>
      </c>
      <c r="K1034" s="2">
        <v>15</v>
      </c>
      <c r="L1034" s="2">
        <v>5225</v>
      </c>
      <c r="M1034" s="2">
        <v>319</v>
      </c>
      <c r="N1034" s="2">
        <v>31968</v>
      </c>
      <c r="O1034" s="2">
        <v>15</v>
      </c>
      <c r="P1034" s="2">
        <v>8259</v>
      </c>
      <c r="Q1034" s="2">
        <v>20605</v>
      </c>
      <c r="R1034" s="2">
        <v>126218</v>
      </c>
      <c r="S1034" s="2">
        <v>722621</v>
      </c>
      <c r="T1034" s="10">
        <f t="shared" si="55"/>
        <v>514222</v>
      </c>
      <c r="U1034" s="8">
        <f t="shared" si="56"/>
        <v>0.71160677588943577</v>
      </c>
      <c r="V1034" s="9" t="s">
        <v>5271</v>
      </c>
      <c r="W1034" s="9" t="str">
        <f t="shared" si="57"/>
        <v>henley RD</v>
      </c>
      <c r="X1034" s="9" t="str">
        <f>INDEX(Lookup!$A$2:$A$1349, MATCH(W1034, Lookup!$B$2:$B$1349,0))</f>
        <v>J04000609</v>
      </c>
      <c r="Y1034" s="9" t="str">
        <f>INDEX(Lookup!$F$2:$F$1349, MATCH(W1034, Lookup!$B$2:$B$1349,0))</f>
        <v>e290876</v>
      </c>
      <c r="Z1034" s="6" t="str">
        <f>INDEX(Lookup!$C$2:$C$1300, MATCH(X1034, Lookup!$A$2:$A$1300,0))</f>
        <v>Oxfordshire</v>
      </c>
    </row>
    <row r="1035" spans="1:26" ht="28.15" customHeight="1" x14ac:dyDescent="0.2">
      <c r="A1035" s="6" t="s">
        <v>906</v>
      </c>
      <c r="B1035" s="1" t="s">
        <v>906</v>
      </c>
      <c r="C1035" s="2">
        <v>5794</v>
      </c>
      <c r="D1035" s="2">
        <v>357980</v>
      </c>
      <c r="E1035" s="2">
        <v>561</v>
      </c>
      <c r="F1035" s="2">
        <v>68763</v>
      </c>
      <c r="G1035" s="2">
        <v>56</v>
      </c>
      <c r="H1035" s="2">
        <v>18023</v>
      </c>
      <c r="I1035" s="2">
        <v>133</v>
      </c>
      <c r="J1035" s="2">
        <v>28889</v>
      </c>
      <c r="K1035" s="2">
        <v>9</v>
      </c>
      <c r="L1035" s="2">
        <v>1871</v>
      </c>
      <c r="M1035" s="2">
        <v>369</v>
      </c>
      <c r="N1035" s="2">
        <v>44182</v>
      </c>
      <c r="O1035" s="2">
        <v>13</v>
      </c>
      <c r="P1035" s="2">
        <v>15335</v>
      </c>
      <c r="Q1035" s="2">
        <v>222746</v>
      </c>
      <c r="R1035" s="2">
        <v>184539</v>
      </c>
      <c r="S1035" s="2">
        <v>942328</v>
      </c>
      <c r="T1035" s="10">
        <f t="shared" si="55"/>
        <v>444766</v>
      </c>
      <c r="U1035" s="8">
        <f t="shared" si="56"/>
        <v>0.47198639964004041</v>
      </c>
      <c r="V1035" s="9" t="s">
        <v>5271</v>
      </c>
      <c r="W1035" s="9" t="str">
        <f t="shared" si="57"/>
        <v>Ploughley RD</v>
      </c>
      <c r="X1035" s="9" t="str">
        <f>INDEX(Lookup!$A$2:$A$1349, MATCH(W1035, Lookup!$B$2:$B$1349,0))</f>
        <v>J04000995</v>
      </c>
      <c r="Y1035" s="9" t="str">
        <f>INDEX(Lookup!$F$2:$F$1349, MATCH(W1035, Lookup!$B$2:$B$1349,0))</f>
        <v>e290877</v>
      </c>
      <c r="Z1035" s="6" t="str">
        <f>INDEX(Lookup!$C$2:$C$1300, MATCH(X1035, Lookup!$A$2:$A$1300,0))</f>
        <v>Oxfordshire</v>
      </c>
    </row>
    <row r="1036" spans="1:26" ht="28.15" customHeight="1" x14ac:dyDescent="0.2">
      <c r="A1036" s="6" t="s">
        <v>903</v>
      </c>
      <c r="B1036" s="1" t="s">
        <v>903</v>
      </c>
      <c r="C1036" s="2">
        <v>5804</v>
      </c>
      <c r="D1036" s="2">
        <v>263518</v>
      </c>
      <c r="E1036" s="2">
        <v>326</v>
      </c>
      <c r="F1036" s="2">
        <v>41412</v>
      </c>
      <c r="G1036" s="2">
        <v>50</v>
      </c>
      <c r="H1036" s="2">
        <v>13595</v>
      </c>
      <c r="I1036" s="2">
        <v>187</v>
      </c>
      <c r="J1036" s="2">
        <v>24868</v>
      </c>
      <c r="K1036" s="2">
        <v>24</v>
      </c>
      <c r="L1036" s="2">
        <v>1976</v>
      </c>
      <c r="M1036" s="2">
        <v>616</v>
      </c>
      <c r="N1036" s="2">
        <v>60568</v>
      </c>
      <c r="O1036" s="2">
        <v>33</v>
      </c>
      <c r="P1036" s="2">
        <v>105770</v>
      </c>
      <c r="Q1036" s="2">
        <v>70788</v>
      </c>
      <c r="R1036" s="2">
        <v>144024</v>
      </c>
      <c r="S1036" s="2">
        <v>726519</v>
      </c>
      <c r="T1036" s="10">
        <f t="shared" si="55"/>
        <v>318525</v>
      </c>
      <c r="U1036" s="8">
        <f t="shared" si="56"/>
        <v>0.43842624900381133</v>
      </c>
      <c r="V1036" s="9" t="s">
        <v>5271</v>
      </c>
      <c r="W1036" s="9" t="str">
        <f t="shared" si="57"/>
        <v>Witney RD</v>
      </c>
      <c r="X1036" s="9" t="str">
        <f>INDEX(Lookup!$A$2:$A$1349, MATCH(W1036, Lookup!$B$2:$B$1349,0))</f>
        <v>J04001436</v>
      </c>
      <c r="Y1036" s="9" t="str">
        <f>INDEX(Lookup!$F$2:$F$1349, MATCH(W1036, Lookup!$B$2:$B$1349,0))</f>
        <v>e290878</v>
      </c>
      <c r="Z1036" s="6" t="str">
        <f>INDEX(Lookup!$C$2:$C$1300, MATCH(X1036, Lookup!$A$2:$A$1300,0))</f>
        <v>Oxfordshire</v>
      </c>
    </row>
    <row r="1037" spans="1:26" ht="28.15" customHeight="1" x14ac:dyDescent="0.2">
      <c r="A1037" s="6" t="s">
        <v>907</v>
      </c>
      <c r="B1037" s="1" t="s">
        <v>907</v>
      </c>
      <c r="T1037" s="10"/>
      <c r="W1037" s="9" t="str">
        <f t="shared" si="57"/>
        <v xml:space="preserve">RUTLAND:- </v>
      </c>
      <c r="X1037" s="9" t="e">
        <f>INDEX(Lookup!$A$2:$A$1349, MATCH(W1037, Lookup!$B$2:$B$1349,0))</f>
        <v>#N/A</v>
      </c>
      <c r="Y1037" s="9" t="e">
        <f>INDEX(Lookup!$F$2:$F$1349, MATCH(W1037, Lookup!$B$2:$B$1349,0))</f>
        <v>#N/A</v>
      </c>
      <c r="Z1037" s="6" t="e">
        <f>INDEX(Lookup!$C$2:$C$1300, MATCH(X1037, Lookup!$A$2:$A$1300,0))</f>
        <v>#N/A</v>
      </c>
    </row>
    <row r="1038" spans="1:26" ht="28.15" customHeight="1" x14ac:dyDescent="0.2">
      <c r="A1038" s="6" t="s">
        <v>908</v>
      </c>
      <c r="B1038" s="1" t="s">
        <v>908</v>
      </c>
      <c r="T1038" s="10"/>
      <c r="W1038" s="9" t="str">
        <f t="shared" si="57"/>
        <v xml:space="preserve">Urban Districts:-- </v>
      </c>
      <c r="X1038" s="9" t="e">
        <f>INDEX(Lookup!$A$2:$A$1349, MATCH(W1038, Lookup!$B$2:$B$1349,0))</f>
        <v>#N/A</v>
      </c>
      <c r="Y1038" s="9" t="e">
        <f>INDEX(Lookup!$F$2:$F$1349, MATCH(W1038, Lookup!$B$2:$B$1349,0))</f>
        <v>#N/A</v>
      </c>
      <c r="Z1038" s="6" t="e">
        <f>INDEX(Lookup!$C$2:$C$1300, MATCH(X1038, Lookup!$A$2:$A$1300,0))</f>
        <v>#N/A</v>
      </c>
    </row>
    <row r="1039" spans="1:26" ht="28.15" customHeight="1" x14ac:dyDescent="0.2">
      <c r="A1039" s="6" t="s">
        <v>909</v>
      </c>
      <c r="B1039" s="1" t="s">
        <v>909</v>
      </c>
      <c r="C1039" s="2">
        <v>1280</v>
      </c>
      <c r="D1039" s="2">
        <v>58795</v>
      </c>
      <c r="E1039" s="2">
        <v>95</v>
      </c>
      <c r="F1039" s="2">
        <v>11809</v>
      </c>
      <c r="G1039" s="2">
        <v>3</v>
      </c>
      <c r="H1039" s="2">
        <v>734</v>
      </c>
      <c r="I1039" s="5"/>
      <c r="J1039" s="2">
        <v>10840</v>
      </c>
      <c r="K1039" s="2">
        <v>15</v>
      </c>
      <c r="L1039" s="2">
        <v>722</v>
      </c>
      <c r="M1039" s="2">
        <v>239</v>
      </c>
      <c r="N1039" s="2">
        <v>8779</v>
      </c>
      <c r="O1039" s="2">
        <v>9</v>
      </c>
      <c r="P1039" s="2">
        <v>15340</v>
      </c>
      <c r="Q1039" s="2">
        <v>4241</v>
      </c>
      <c r="R1039" s="2">
        <v>25828</v>
      </c>
      <c r="S1039" s="2">
        <v>137088</v>
      </c>
      <c r="T1039" s="10">
        <f t="shared" si="55"/>
        <v>71338</v>
      </c>
      <c r="U1039" s="8">
        <f t="shared" si="56"/>
        <v>0.52038106909430437</v>
      </c>
      <c r="V1039" s="9" t="s">
        <v>5270</v>
      </c>
      <c r="W1039" s="9" t="str">
        <f t="shared" si="57"/>
        <v>Oakham UD</v>
      </c>
      <c r="X1039" s="9" t="str">
        <f>INDEX(Lookup!$A$2:$A$1349, MATCH(W1039, Lookup!$B$2:$B$1349,0))</f>
        <v>J04000947</v>
      </c>
      <c r="Y1039" s="9" t="str">
        <f>INDEX(Lookup!$F$2:$F$1349, MATCH(W1039, Lookup!$B$2:$B$1349,0))</f>
        <v>e300879</v>
      </c>
      <c r="Z1039" s="6" t="str">
        <f>INDEX(Lookup!$C$2:$C$1300, MATCH(X1039, Lookup!$A$2:$A$1300,0))</f>
        <v>Leicestershire</v>
      </c>
    </row>
    <row r="1040" spans="1:26" ht="28.15" customHeight="1" x14ac:dyDescent="0.2">
      <c r="A1040" s="6" t="s">
        <v>212</v>
      </c>
      <c r="B1040" s="1" t="s">
        <v>212</v>
      </c>
      <c r="T1040" s="10"/>
      <c r="W1040" s="9" t="str">
        <f t="shared" si="57"/>
        <v xml:space="preserve">Rural Districts-- </v>
      </c>
      <c r="X1040" s="9" t="e">
        <f>INDEX(Lookup!$A$2:$A$1349, MATCH(W1040, Lookup!$B$2:$B$1349,0))</f>
        <v>#N/A</v>
      </c>
      <c r="Y1040" s="9" t="e">
        <f>INDEX(Lookup!$F$2:$F$1349, MATCH(W1040, Lookup!$B$2:$B$1349,0))</f>
        <v>#N/A</v>
      </c>
      <c r="Z1040" s="6" t="e">
        <f>INDEX(Lookup!$C$2:$C$1300, MATCH(X1040, Lookup!$A$2:$A$1300,0))</f>
        <v>#N/A</v>
      </c>
    </row>
    <row r="1041" spans="1:26" ht="28.15" customHeight="1" x14ac:dyDescent="0.2">
      <c r="A1041" s="6" t="s">
        <v>910</v>
      </c>
      <c r="B1041" s="1" t="s">
        <v>910</v>
      </c>
      <c r="C1041" s="2">
        <v>1009</v>
      </c>
      <c r="D1041" s="2">
        <v>38917</v>
      </c>
      <c r="E1041" s="2">
        <v>25</v>
      </c>
      <c r="F1041" s="2">
        <v>3116</v>
      </c>
      <c r="G1041" s="2">
        <v>9</v>
      </c>
      <c r="H1041" s="2">
        <v>2118</v>
      </c>
      <c r="I1041" s="2">
        <v>19</v>
      </c>
      <c r="J1041" s="2">
        <v>730</v>
      </c>
      <c r="K1041" s="2">
        <v>3</v>
      </c>
      <c r="L1041" s="2">
        <v>58</v>
      </c>
      <c r="M1041" s="2">
        <v>114</v>
      </c>
      <c r="N1041" s="2">
        <v>3504</v>
      </c>
      <c r="O1041" s="2">
        <v>5</v>
      </c>
      <c r="P1041" s="2">
        <v>96585</v>
      </c>
      <c r="Q1041" s="2">
        <v>13</v>
      </c>
      <c r="R1041" s="2">
        <v>14853</v>
      </c>
      <c r="S1041" s="2">
        <v>159894</v>
      </c>
      <c r="T1041" s="10">
        <f t="shared" si="55"/>
        <v>44151</v>
      </c>
      <c r="U1041" s="8">
        <f t="shared" si="56"/>
        <v>0.27612668392810236</v>
      </c>
      <c r="V1041" s="9" t="s">
        <v>5271</v>
      </c>
      <c r="W1041" s="9" t="str">
        <f t="shared" si="57"/>
        <v>Ketton RD</v>
      </c>
      <c r="X1041" s="9" t="str">
        <f>INDEX(Lookup!$A$2:$A$1349, MATCH(W1041, Lookup!$B$2:$B$1349,0))</f>
        <v>J04000689</v>
      </c>
      <c r="Y1041" s="9" t="str">
        <f>INDEX(Lookup!$F$2:$F$1349, MATCH(W1041, Lookup!$B$2:$B$1349,0))</f>
        <v>e300880</v>
      </c>
      <c r="Z1041" s="6" t="str">
        <f>INDEX(Lookup!$C$2:$C$1300, MATCH(X1041, Lookup!$A$2:$A$1300,0))</f>
        <v>Leicestershire</v>
      </c>
    </row>
    <row r="1042" spans="1:26" ht="28.15" customHeight="1" x14ac:dyDescent="0.2">
      <c r="A1042" s="6" t="s">
        <v>909</v>
      </c>
      <c r="B1042" s="1" t="s">
        <v>909</v>
      </c>
      <c r="C1042" s="2">
        <v>1768</v>
      </c>
      <c r="D1042" s="2">
        <v>61806</v>
      </c>
      <c r="E1042" s="2">
        <v>50</v>
      </c>
      <c r="F1042" s="2">
        <v>6799</v>
      </c>
      <c r="G1042" s="2">
        <v>24</v>
      </c>
      <c r="H1042" s="2">
        <v>6411</v>
      </c>
      <c r="I1042" s="2">
        <v>45</v>
      </c>
      <c r="J1042" s="2">
        <v>2053</v>
      </c>
      <c r="K1042" s="2">
        <v>3</v>
      </c>
      <c r="L1042" s="2">
        <v>33</v>
      </c>
      <c r="M1042" s="2">
        <v>147</v>
      </c>
      <c r="N1042" s="2">
        <v>8095</v>
      </c>
      <c r="O1042" s="2">
        <v>5</v>
      </c>
      <c r="P1042" s="2">
        <v>2355</v>
      </c>
      <c r="Q1042" s="2">
        <v>63399</v>
      </c>
      <c r="R1042" s="2">
        <v>79698</v>
      </c>
      <c r="S1042" s="2">
        <v>230649</v>
      </c>
      <c r="T1042" s="10">
        <f t="shared" si="55"/>
        <v>75016</v>
      </c>
      <c r="U1042" s="8">
        <f t="shared" si="56"/>
        <v>0.32523878273914042</v>
      </c>
      <c r="V1042" s="9" t="s">
        <v>5271</v>
      </c>
      <c r="W1042" s="9" t="str">
        <f t="shared" si="57"/>
        <v>Oakham RD</v>
      </c>
      <c r="X1042" s="9" t="str">
        <f>INDEX(Lookup!$A$2:$A$1349, MATCH(W1042, Lookup!$B$2:$B$1349,0))</f>
        <v>J04000946</v>
      </c>
      <c r="Y1042" s="9" t="str">
        <f>INDEX(Lookup!$F$2:$F$1349, MATCH(W1042, Lookup!$B$2:$B$1349,0))</f>
        <v>e300881</v>
      </c>
      <c r="Z1042" s="6" t="str">
        <f>INDEX(Lookup!$C$2:$C$1300, MATCH(X1042, Lookup!$A$2:$A$1300,0))</f>
        <v>Leicestershire</v>
      </c>
    </row>
    <row r="1043" spans="1:26" ht="28.15" customHeight="1" x14ac:dyDescent="0.2">
      <c r="A1043" s="6" t="s">
        <v>911</v>
      </c>
      <c r="B1043" s="1" t="s">
        <v>911</v>
      </c>
      <c r="C1043" s="2">
        <v>1723</v>
      </c>
      <c r="D1043" s="2">
        <v>63930</v>
      </c>
      <c r="E1043" s="2">
        <v>58</v>
      </c>
      <c r="F1043" s="2">
        <v>7532</v>
      </c>
      <c r="G1043" s="2">
        <v>8</v>
      </c>
      <c r="H1043" s="2">
        <v>2210</v>
      </c>
      <c r="I1043" s="2">
        <v>86</v>
      </c>
      <c r="J1043" s="2">
        <v>6402</v>
      </c>
      <c r="K1043" s="2">
        <v>4</v>
      </c>
      <c r="L1043" s="2">
        <v>166</v>
      </c>
      <c r="M1043" s="2">
        <v>220</v>
      </c>
      <c r="N1043" s="2">
        <v>8259</v>
      </c>
      <c r="O1043" s="2">
        <v>3</v>
      </c>
      <c r="P1043" s="2">
        <v>2220</v>
      </c>
      <c r="Q1043" s="2">
        <v>5735</v>
      </c>
      <c r="R1043" s="2">
        <v>46600</v>
      </c>
      <c r="S1043" s="2">
        <v>143054</v>
      </c>
      <c r="T1043" s="10">
        <f t="shared" si="55"/>
        <v>73672</v>
      </c>
      <c r="U1043" s="8">
        <f t="shared" si="56"/>
        <v>0.51499433780250814</v>
      </c>
      <c r="V1043" s="9" t="s">
        <v>5271</v>
      </c>
      <c r="W1043" s="9" t="str">
        <f t="shared" si="57"/>
        <v>Uppingham RD</v>
      </c>
      <c r="X1043" s="9" t="str">
        <f>INDEX(Lookup!$A$2:$A$1349, MATCH(W1043, Lookup!$B$2:$B$1349,0))</f>
        <v>J04001310</v>
      </c>
      <c r="Y1043" s="9" t="str">
        <f>INDEX(Lookup!$F$2:$F$1349, MATCH(W1043, Lookup!$B$2:$B$1349,0))</f>
        <v>e300882</v>
      </c>
      <c r="Z1043" s="6" t="str">
        <f>INDEX(Lookup!$C$2:$C$1300, MATCH(X1043, Lookup!$A$2:$A$1300,0))</f>
        <v>Leicestershire</v>
      </c>
    </row>
    <row r="1044" spans="1:26" ht="28.15" customHeight="1" x14ac:dyDescent="0.2">
      <c r="A1044" s="6" t="s">
        <v>912</v>
      </c>
      <c r="B1044" s="1" t="s">
        <v>912</v>
      </c>
      <c r="T1044" s="10"/>
      <c r="W1044" s="9" t="str">
        <f t="shared" si="57"/>
        <v xml:space="preserve">SALOP:-- </v>
      </c>
      <c r="X1044" s="9" t="e">
        <f>INDEX(Lookup!$A$2:$A$1349, MATCH(W1044, Lookup!$B$2:$B$1349,0))</f>
        <v>#N/A</v>
      </c>
      <c r="Y1044" s="9" t="e">
        <f>INDEX(Lookup!$F$2:$F$1349, MATCH(W1044, Lookup!$B$2:$B$1349,0))</f>
        <v>#N/A</v>
      </c>
      <c r="Z1044" s="6" t="e">
        <f>INDEX(Lookup!$C$2:$C$1300, MATCH(X1044, Lookup!$A$2:$A$1300,0))</f>
        <v>#N/A</v>
      </c>
    </row>
    <row r="1045" spans="1:26" ht="28.15" customHeight="1" x14ac:dyDescent="0.2">
      <c r="A1045" s="6" t="s">
        <v>913</v>
      </c>
      <c r="B1045" s="1" t="s">
        <v>913</v>
      </c>
      <c r="T1045" s="10"/>
      <c r="W1045" s="9" t="str">
        <f t="shared" si="57"/>
        <v xml:space="preserve">Non-County boroughs </v>
      </c>
      <c r="X1045" s="9" t="e">
        <f>INDEX(Lookup!$A$2:$A$1349, MATCH(W1045, Lookup!$B$2:$B$1349,0))</f>
        <v>#N/A</v>
      </c>
      <c r="Y1045" s="9" t="e">
        <f>INDEX(Lookup!$F$2:$F$1349, MATCH(W1045, Lookup!$B$2:$B$1349,0))</f>
        <v>#N/A</v>
      </c>
      <c r="Z1045" s="6" t="e">
        <f>INDEX(Lookup!$C$2:$C$1300, MATCH(X1045, Lookup!$A$2:$A$1300,0))</f>
        <v>#N/A</v>
      </c>
    </row>
    <row r="1046" spans="1:26" ht="28.15" customHeight="1" x14ac:dyDescent="0.2">
      <c r="A1046" s="6" t="s">
        <v>914</v>
      </c>
      <c r="B1046" s="1" t="s">
        <v>5412</v>
      </c>
      <c r="C1046" s="2">
        <v>350</v>
      </c>
      <c r="D1046" s="2">
        <v>12112</v>
      </c>
      <c r="E1046" s="2">
        <v>18</v>
      </c>
      <c r="F1046" s="2">
        <v>2208</v>
      </c>
      <c r="I1046" s="2">
        <v>49</v>
      </c>
      <c r="J1046" s="2">
        <v>4206</v>
      </c>
      <c r="K1046" s="2">
        <v>11</v>
      </c>
      <c r="L1046" s="2">
        <v>500</v>
      </c>
      <c r="M1046" s="2">
        <v>88</v>
      </c>
      <c r="N1046" s="2">
        <v>3596</v>
      </c>
      <c r="O1046" s="2">
        <v>2</v>
      </c>
      <c r="P1046" s="2">
        <v>410</v>
      </c>
      <c r="Q1046" s="2">
        <v>82</v>
      </c>
      <c r="R1046" s="2">
        <v>8862</v>
      </c>
      <c r="S1046" s="2">
        <v>31976</v>
      </c>
      <c r="T1046" s="10">
        <f>SUM(D1046+F1046)</f>
        <v>14320</v>
      </c>
      <c r="U1046" s="8">
        <f t="shared" si="56"/>
        <v>0.44783587690768079</v>
      </c>
      <c r="V1046" s="9" t="s">
        <v>5268</v>
      </c>
      <c r="W1046" s="9" t="str">
        <f t="shared" si="57"/>
        <v>Bishops Castle MB</v>
      </c>
      <c r="X1046" s="9" t="str">
        <f>INDEX(Lookup!$A$2:$A$1349, MATCH(W1046, Lookup!$B$2:$B$1349,0))</f>
        <v>J04000152</v>
      </c>
      <c r="Y1046" s="9" t="str">
        <f>INDEX(Lookup!$F$2:$F$1349, MATCH(W1046, Lookup!$B$2:$B$1349,0))</f>
        <v>e310893</v>
      </c>
      <c r="Z1046" s="6" t="str">
        <f>INDEX(Lookup!$C$2:$C$1300, MATCH(X1046, Lookup!$A$2:$A$1300,0))</f>
        <v>Shropshire</v>
      </c>
    </row>
    <row r="1047" spans="1:26" ht="28.15" customHeight="1" x14ac:dyDescent="0.2">
      <c r="A1047" s="6" t="s">
        <v>915</v>
      </c>
      <c r="B1047" s="1" t="s">
        <v>915</v>
      </c>
      <c r="C1047" s="2">
        <v>2389</v>
      </c>
      <c r="D1047" s="2">
        <v>115088</v>
      </c>
      <c r="E1047" s="2">
        <v>179</v>
      </c>
      <c r="F1047" s="2">
        <v>22578</v>
      </c>
      <c r="G1047" s="2">
        <v>7</v>
      </c>
      <c r="H1047" s="2">
        <v>1690</v>
      </c>
      <c r="I1047" s="2">
        <v>205</v>
      </c>
      <c r="J1047" s="2">
        <v>41026</v>
      </c>
      <c r="K1047" s="2">
        <v>27</v>
      </c>
      <c r="L1047" s="2">
        <v>4396</v>
      </c>
      <c r="M1047" s="2">
        <v>208</v>
      </c>
      <c r="N1047" s="2">
        <v>28074</v>
      </c>
      <c r="O1047" s="2">
        <v>20</v>
      </c>
      <c r="P1047" s="2">
        <v>62800</v>
      </c>
      <c r="Q1047" s="2">
        <v>1053</v>
      </c>
      <c r="R1047" s="2">
        <v>34738</v>
      </c>
      <c r="S1047" s="2">
        <v>311443</v>
      </c>
      <c r="T1047" s="10">
        <f t="shared" si="55"/>
        <v>139356</v>
      </c>
      <c r="U1047" s="8">
        <f t="shared" si="56"/>
        <v>0.44745266389034272</v>
      </c>
      <c r="V1047" s="9" t="s">
        <v>5268</v>
      </c>
      <c r="W1047" s="9" t="str">
        <f t="shared" si="57"/>
        <v>Bridgnorth MB</v>
      </c>
      <c r="X1047" s="9" t="str">
        <f>INDEX(Lookup!$A$2:$A$1349, MATCH(W1047, Lookup!$B$2:$B$1349,0))</f>
        <v>J04000199</v>
      </c>
      <c r="Y1047" s="9" t="str">
        <f>INDEX(Lookup!$F$2:$F$1349, MATCH(W1047, Lookup!$B$2:$B$1349,0))</f>
        <v>e310891</v>
      </c>
      <c r="Z1047" s="6" t="str">
        <f>INDEX(Lookup!$C$2:$C$1300, MATCH(X1047, Lookup!$A$2:$A$1300,0))</f>
        <v>Shropshire</v>
      </c>
    </row>
    <row r="1048" spans="1:26" ht="28.15" customHeight="1" x14ac:dyDescent="0.2">
      <c r="A1048" s="6" t="s">
        <v>916</v>
      </c>
      <c r="B1048" s="1" t="s">
        <v>916</v>
      </c>
      <c r="C1048" s="2">
        <v>2114</v>
      </c>
      <c r="D1048" s="2">
        <v>89813</v>
      </c>
      <c r="E1048" s="2">
        <v>97</v>
      </c>
      <c r="F1048" s="2">
        <v>11614</v>
      </c>
      <c r="G1048" s="2">
        <v>3</v>
      </c>
      <c r="H1048" s="2">
        <v>726</v>
      </c>
      <c r="I1048" s="2">
        <v>176</v>
      </c>
      <c r="J1048" s="2">
        <v>31982</v>
      </c>
      <c r="K1048" s="2">
        <v>51</v>
      </c>
      <c r="L1048" s="2">
        <v>5611</v>
      </c>
      <c r="M1048" s="2">
        <v>265</v>
      </c>
      <c r="N1048" s="2">
        <v>27405</v>
      </c>
      <c r="O1048" s="2">
        <v>8</v>
      </c>
      <c r="P1048" s="2">
        <v>13520</v>
      </c>
      <c r="Q1048" s="2">
        <v>1952</v>
      </c>
      <c r="R1048" s="2">
        <v>21491</v>
      </c>
      <c r="S1048" s="2">
        <v>204114</v>
      </c>
      <c r="T1048" s="10">
        <f t="shared" si="55"/>
        <v>102153</v>
      </c>
      <c r="U1048" s="8">
        <f t="shared" si="56"/>
        <v>0.50047032540639058</v>
      </c>
      <c r="V1048" s="9" t="s">
        <v>5268</v>
      </c>
      <c r="W1048" s="9" t="str">
        <f t="shared" si="57"/>
        <v>Ludlow MB</v>
      </c>
      <c r="X1048" s="9" t="str">
        <f>INDEX(Lookup!$A$2:$A$1349, MATCH(W1048, Lookup!$B$2:$B$1349,0))</f>
        <v>J04000787</v>
      </c>
      <c r="Y1048" s="9" t="str">
        <f>INDEX(Lookup!$F$2:$F$1349, MATCH(W1048, Lookup!$B$2:$B$1349,0))</f>
        <v>e310894</v>
      </c>
      <c r="Z1048" s="6" t="str">
        <f>INDEX(Lookup!$C$2:$C$1300, MATCH(X1048, Lookup!$A$2:$A$1300,0))</f>
        <v>Shropshire</v>
      </c>
    </row>
    <row r="1049" spans="1:26" ht="28.15" customHeight="1" x14ac:dyDescent="0.2">
      <c r="A1049" s="6" t="s">
        <v>917</v>
      </c>
      <c r="B1049" s="1" t="s">
        <v>917</v>
      </c>
      <c r="T1049" s="10"/>
      <c r="W1049" s="9" t="str">
        <f t="shared" si="57"/>
        <v xml:space="preserve">SALOP--contd </v>
      </c>
      <c r="X1049" s="9" t="e">
        <f>INDEX(Lookup!$A$2:$A$1349, MATCH(W1049, Lookup!$B$2:$B$1349,0))</f>
        <v>#N/A</v>
      </c>
      <c r="Y1049" s="9" t="e">
        <f>INDEX(Lookup!$F$2:$F$1349, MATCH(W1049, Lookup!$B$2:$B$1349,0))</f>
        <v>#N/A</v>
      </c>
      <c r="Z1049" s="6" t="e">
        <f>INDEX(Lookup!$C$2:$C$1300, MATCH(X1049, Lookup!$A$2:$A$1300,0))</f>
        <v>#N/A</v>
      </c>
    </row>
    <row r="1050" spans="1:26" ht="28.15" customHeight="1" x14ac:dyDescent="0.2">
      <c r="A1050" s="6" t="s">
        <v>918</v>
      </c>
      <c r="B1050" s="1" t="s">
        <v>918</v>
      </c>
      <c r="T1050" s="10"/>
      <c r="W1050" s="9" t="str">
        <f t="shared" si="57"/>
        <v xml:space="preserve">Non-County Boroughs--contd </v>
      </c>
      <c r="X1050" s="9" t="e">
        <f>INDEX(Lookup!$A$2:$A$1349, MATCH(W1050, Lookup!$B$2:$B$1349,0))</f>
        <v>#N/A</v>
      </c>
      <c r="Y1050" s="9" t="e">
        <f>INDEX(Lookup!$F$2:$F$1349, MATCH(W1050, Lookup!$B$2:$B$1349,0))</f>
        <v>#N/A</v>
      </c>
      <c r="Z1050" s="6" t="e">
        <f>INDEX(Lookup!$C$2:$C$1300, MATCH(X1050, Lookup!$A$2:$A$1300,0))</f>
        <v>#N/A</v>
      </c>
    </row>
    <row r="1051" spans="1:26" ht="28.15" customHeight="1" x14ac:dyDescent="0.2">
      <c r="A1051" s="6" t="s">
        <v>919</v>
      </c>
      <c r="B1051" s="1" t="s">
        <v>919</v>
      </c>
      <c r="C1051" s="2">
        <v>3433</v>
      </c>
      <c r="D1051" s="2">
        <v>169273</v>
      </c>
      <c r="E1051" s="2">
        <v>262</v>
      </c>
      <c r="F1051" s="2">
        <v>32770</v>
      </c>
      <c r="G1051" s="2">
        <v>7</v>
      </c>
      <c r="H1051" s="2">
        <v>1427</v>
      </c>
      <c r="I1051" s="2">
        <v>344</v>
      </c>
      <c r="J1051" s="2">
        <v>99478</v>
      </c>
      <c r="K1051" s="2">
        <v>63</v>
      </c>
      <c r="L1051" s="2">
        <v>10140</v>
      </c>
      <c r="M1051" s="2">
        <v>451</v>
      </c>
      <c r="N1051" s="2">
        <v>40902</v>
      </c>
      <c r="O1051" s="2">
        <v>7</v>
      </c>
      <c r="P1051" s="2">
        <v>11645</v>
      </c>
      <c r="Q1051" s="2">
        <v>4613</v>
      </c>
      <c r="R1051" s="2">
        <v>74507</v>
      </c>
      <c r="S1051" s="2">
        <v>444755</v>
      </c>
      <c r="T1051" s="10">
        <f t="shared" si="55"/>
        <v>203470</v>
      </c>
      <c r="U1051" s="8">
        <f t="shared" si="56"/>
        <v>0.45748783037852303</v>
      </c>
      <c r="V1051" s="9" t="s">
        <v>5268</v>
      </c>
      <c r="W1051" s="9" t="str">
        <f t="shared" si="57"/>
        <v>Oswestry MB</v>
      </c>
      <c r="X1051" s="9" t="str">
        <f>INDEX(Lookup!$A$2:$A$1349, MATCH(W1051, Lookup!$B$2:$B$1349,0))</f>
        <v>J04000961</v>
      </c>
      <c r="Y1051" s="9" t="str">
        <f>INDEX(Lookup!$F$2:$F$1349, MATCH(W1051, Lookup!$B$2:$B$1349,0))</f>
        <v>e310897</v>
      </c>
      <c r="Z1051" s="6" t="str">
        <f>INDEX(Lookup!$C$2:$C$1300, MATCH(X1051, Lookup!$A$2:$A$1300,0))</f>
        <v>Shropshire</v>
      </c>
    </row>
    <row r="1052" spans="1:26" ht="28.15" customHeight="1" x14ac:dyDescent="0.2">
      <c r="A1052" s="6" t="s">
        <v>920</v>
      </c>
      <c r="B1052" s="1" t="s">
        <v>920</v>
      </c>
      <c r="C1052" s="2">
        <v>13964</v>
      </c>
      <c r="D1052" s="2">
        <v>810366</v>
      </c>
      <c r="E1052" s="2">
        <v>1630</v>
      </c>
      <c r="F1052" s="2">
        <v>202826</v>
      </c>
      <c r="G1052" s="2">
        <v>79</v>
      </c>
      <c r="H1052" s="2">
        <v>18904</v>
      </c>
      <c r="I1052" s="2">
        <v>777</v>
      </c>
      <c r="J1052" s="2">
        <v>445900</v>
      </c>
      <c r="K1052" s="2">
        <v>299</v>
      </c>
      <c r="L1052" s="2">
        <v>64781</v>
      </c>
      <c r="M1052" s="2">
        <v>1272</v>
      </c>
      <c r="N1052" s="2">
        <v>173720</v>
      </c>
      <c r="O1052" s="2">
        <v>30</v>
      </c>
      <c r="P1052" s="2">
        <v>157350</v>
      </c>
      <c r="Q1052" s="2">
        <v>42614</v>
      </c>
      <c r="R1052" s="2">
        <v>271191</v>
      </c>
      <c r="S1052" s="2">
        <v>2187652</v>
      </c>
      <c r="T1052" s="10">
        <f t="shared" si="55"/>
        <v>1032096</v>
      </c>
      <c r="U1052" s="8">
        <f t="shared" si="56"/>
        <v>0.47178253213948107</v>
      </c>
      <c r="V1052" s="9" t="s">
        <v>5268</v>
      </c>
      <c r="W1052" s="9" t="str">
        <f t="shared" si="57"/>
        <v>Shrewsbury MB</v>
      </c>
      <c r="X1052" s="9" t="str">
        <f>INDEX(Lookup!$A$2:$A$1349, MATCH(W1052, Lookup!$B$2:$B$1349,0))</f>
        <v>J04001140</v>
      </c>
      <c r="Y1052" s="9" t="str">
        <f>INDEX(Lookup!$F$2:$F$1349, MATCH(W1052, Lookup!$B$2:$B$1349,0))</f>
        <v>e310887</v>
      </c>
      <c r="Z1052" s="6" t="str">
        <f>INDEX(Lookup!$C$2:$C$1300, MATCH(X1052, Lookup!$A$2:$A$1300,0))</f>
        <v>Shropshire</v>
      </c>
    </row>
    <row r="1053" spans="1:26" ht="28.15" customHeight="1" x14ac:dyDescent="0.2">
      <c r="A1053" s="6" t="s">
        <v>921</v>
      </c>
      <c r="B1053" s="1" t="s">
        <v>921</v>
      </c>
      <c r="C1053" s="2">
        <v>4301</v>
      </c>
      <c r="D1053" s="2">
        <v>163087</v>
      </c>
      <c r="E1053" s="2">
        <v>102</v>
      </c>
      <c r="F1053" s="2">
        <v>12969</v>
      </c>
      <c r="G1053" s="2">
        <v>8</v>
      </c>
      <c r="H1053" s="2">
        <v>1938</v>
      </c>
      <c r="I1053" s="2">
        <v>252</v>
      </c>
      <c r="J1053" s="2">
        <v>27491</v>
      </c>
      <c r="K1053" s="2">
        <v>15</v>
      </c>
      <c r="L1053" s="2">
        <v>1839</v>
      </c>
      <c r="M1053" s="2">
        <v>320</v>
      </c>
      <c r="N1053" s="2">
        <v>19837</v>
      </c>
      <c r="O1053" s="2">
        <v>45</v>
      </c>
      <c r="P1053" s="2">
        <v>71944</v>
      </c>
      <c r="Q1053" s="2">
        <v>3635</v>
      </c>
      <c r="R1053" s="2">
        <v>78359</v>
      </c>
      <c r="S1053" s="2">
        <v>381099</v>
      </c>
      <c r="T1053" s="10">
        <f t="shared" si="55"/>
        <v>177994</v>
      </c>
      <c r="U1053" s="8">
        <f t="shared" si="56"/>
        <v>0.46705449240223668</v>
      </c>
      <c r="V1053" s="9" t="s">
        <v>5268</v>
      </c>
      <c r="W1053" s="9" t="str">
        <f t="shared" si="57"/>
        <v>Wenlock MB</v>
      </c>
      <c r="X1053" s="9" t="str">
        <f>INDEX(Lookup!$A$2:$A$1349, MATCH(W1053, Lookup!$B$2:$B$1349,0))</f>
        <v>J04001377</v>
      </c>
      <c r="Y1053" s="9" t="str">
        <f>INDEX(Lookup!$F$2:$F$1349, MATCH(W1053, Lookup!$B$2:$B$1349,0))</f>
        <v>e310883</v>
      </c>
      <c r="Z1053" s="6" t="str">
        <f>INDEX(Lookup!$C$2:$C$1300, MATCH(X1053, Lookup!$A$2:$A$1300,0))</f>
        <v>Shropshire</v>
      </c>
    </row>
    <row r="1054" spans="1:26" ht="28.15" customHeight="1" x14ac:dyDescent="0.2">
      <c r="A1054" s="6" t="s">
        <v>179</v>
      </c>
      <c r="B1054" s="1" t="s">
        <v>179</v>
      </c>
      <c r="T1054" s="10"/>
      <c r="W1054" s="9" t="str">
        <f t="shared" si="57"/>
        <v xml:space="preserve">Urban Districts-- </v>
      </c>
      <c r="X1054" s="9" t="e">
        <f>INDEX(Lookup!$A$2:$A$1349, MATCH(W1054, Lookup!$B$2:$B$1349,0))</f>
        <v>#N/A</v>
      </c>
      <c r="Y1054" s="9" t="e">
        <f>INDEX(Lookup!$F$2:$F$1349, MATCH(W1054, Lookup!$B$2:$B$1349,0))</f>
        <v>#N/A</v>
      </c>
      <c r="Z1054" s="6" t="e">
        <f>INDEX(Lookup!$C$2:$C$1300, MATCH(X1054, Lookup!$A$2:$A$1300,0))</f>
        <v>#N/A</v>
      </c>
    </row>
    <row r="1055" spans="1:26" ht="28.15" customHeight="1" x14ac:dyDescent="0.2">
      <c r="A1055" s="6" t="s">
        <v>922</v>
      </c>
      <c r="B1055" s="1" t="s">
        <v>922</v>
      </c>
      <c r="C1055" s="2">
        <v>752</v>
      </c>
      <c r="D1055" s="2">
        <v>43499</v>
      </c>
      <c r="E1055" s="2">
        <v>190</v>
      </c>
      <c r="F1055" s="2">
        <v>23723</v>
      </c>
      <c r="G1055" s="2">
        <v>8</v>
      </c>
      <c r="H1055" s="2">
        <v>1932</v>
      </c>
      <c r="I1055" s="2">
        <v>67</v>
      </c>
      <c r="J1055" s="2">
        <v>8874</v>
      </c>
      <c r="K1055" s="2">
        <v>9</v>
      </c>
      <c r="L1055" s="2">
        <v>286</v>
      </c>
      <c r="M1055" s="2">
        <v>76</v>
      </c>
      <c r="N1055" s="2">
        <v>10227</v>
      </c>
      <c r="O1055" s="2">
        <v>3</v>
      </c>
      <c r="P1055" s="2">
        <v>1110</v>
      </c>
      <c r="Q1055" s="2">
        <v>346</v>
      </c>
      <c r="R1055" s="2">
        <v>12019</v>
      </c>
      <c r="S1055" s="2">
        <v>102016</v>
      </c>
      <c r="T1055" s="10">
        <f t="shared" si="55"/>
        <v>69154</v>
      </c>
      <c r="U1055" s="8">
        <f t="shared" si="56"/>
        <v>0.67787405897114184</v>
      </c>
      <c r="V1055" s="9" t="s">
        <v>5270</v>
      </c>
      <c r="W1055" s="9" t="str">
        <f t="shared" si="57"/>
        <v>Church Stretton UD</v>
      </c>
      <c r="X1055" s="9" t="str">
        <f>INDEX(Lookup!$A$2:$A$1349, MATCH(W1055, Lookup!$B$2:$B$1349,0))</f>
        <v>J04000317</v>
      </c>
      <c r="Y1055" s="9" t="str">
        <f>INDEX(Lookup!$F$2:$F$1349, MATCH(W1055, Lookup!$B$2:$B$1349,0))</f>
        <v>e310894</v>
      </c>
      <c r="Z1055" s="6" t="str">
        <f>INDEX(Lookup!$C$2:$C$1300, MATCH(X1055, Lookup!$A$2:$A$1300,0))</f>
        <v>Shropshire</v>
      </c>
    </row>
    <row r="1056" spans="1:26" ht="28.15" customHeight="1" x14ac:dyDescent="0.2">
      <c r="A1056" s="6" t="s">
        <v>923</v>
      </c>
      <c r="B1056" s="1" t="s">
        <v>923</v>
      </c>
      <c r="C1056" s="2">
        <v>3203</v>
      </c>
      <c r="D1056" s="2">
        <v>136424</v>
      </c>
      <c r="E1056" s="2">
        <v>29</v>
      </c>
      <c r="F1056" s="2">
        <v>3461</v>
      </c>
      <c r="I1056" s="2">
        <v>116</v>
      </c>
      <c r="J1056" s="2">
        <v>15652</v>
      </c>
      <c r="K1056" s="2">
        <v>8</v>
      </c>
      <c r="L1056" s="2">
        <v>589</v>
      </c>
      <c r="M1056" s="2">
        <v>269</v>
      </c>
      <c r="N1056" s="2">
        <v>9897</v>
      </c>
      <c r="O1056" s="2">
        <v>25</v>
      </c>
      <c r="P1056" s="2">
        <v>69558</v>
      </c>
      <c r="Q1056" s="2">
        <v>69</v>
      </c>
      <c r="R1056" s="2">
        <v>42387</v>
      </c>
      <c r="S1056" s="2">
        <v>278037</v>
      </c>
      <c r="T1056" s="10">
        <f>SUM(D1056+F1056)</f>
        <v>139885</v>
      </c>
      <c r="U1056" s="8">
        <f t="shared" si="56"/>
        <v>0.50311649168995498</v>
      </c>
      <c r="V1056" s="9" t="s">
        <v>5270</v>
      </c>
      <c r="W1056" s="9" t="str">
        <f t="shared" si="57"/>
        <v>Dawley UD</v>
      </c>
      <c r="X1056" s="9" t="str">
        <f>INDEX(Lookup!$A$2:$A$1349, MATCH(W1056, Lookup!$B$2:$B$1349,0))</f>
        <v>J04000390</v>
      </c>
      <c r="Y1056" s="9" t="str">
        <f>INDEX(Lookup!$F$2:$F$1349, MATCH(W1056, Lookup!$B$2:$B$1349,0))</f>
        <v>e310883</v>
      </c>
      <c r="Z1056" s="6" t="str">
        <f>INDEX(Lookup!$C$2:$C$1300, MATCH(X1056, Lookup!$A$2:$A$1300,0))</f>
        <v>Shropshire</v>
      </c>
    </row>
    <row r="1057" spans="1:26" ht="28.15" customHeight="1" x14ac:dyDescent="0.2">
      <c r="A1057" s="6" t="s">
        <v>924</v>
      </c>
      <c r="B1057" s="1" t="s">
        <v>924</v>
      </c>
      <c r="C1057" s="2">
        <v>699</v>
      </c>
      <c r="D1057" s="2">
        <v>30873</v>
      </c>
      <c r="E1057" s="2">
        <v>36</v>
      </c>
      <c r="F1057" s="2">
        <v>4515</v>
      </c>
      <c r="G1057" s="2">
        <v>2</v>
      </c>
      <c r="H1057" s="2">
        <v>472</v>
      </c>
      <c r="I1057" s="2">
        <v>85</v>
      </c>
      <c r="J1057" s="2">
        <v>7688</v>
      </c>
      <c r="K1057" s="2">
        <v>12</v>
      </c>
      <c r="L1057" s="2">
        <v>864</v>
      </c>
      <c r="M1057" s="2">
        <v>115</v>
      </c>
      <c r="N1057" s="2">
        <v>5204</v>
      </c>
      <c r="O1057" s="2">
        <v>5</v>
      </c>
      <c r="P1057" s="2">
        <v>10980</v>
      </c>
      <c r="Q1057" s="2">
        <v>374</v>
      </c>
      <c r="R1057" s="2">
        <v>12475</v>
      </c>
      <c r="S1057" s="2">
        <v>73445</v>
      </c>
      <c r="T1057" s="10">
        <f t="shared" si="55"/>
        <v>35860</v>
      </c>
      <c r="U1057" s="8">
        <f t="shared" si="56"/>
        <v>0.48825651848321872</v>
      </c>
      <c r="V1057" s="9" t="s">
        <v>5270</v>
      </c>
      <c r="W1057" s="9" t="str">
        <f t="shared" si="57"/>
        <v>Ellesmere UD</v>
      </c>
      <c r="X1057" s="9" t="str">
        <f>INDEX(Lookup!$A$2:$A$1349, MATCH(W1057, Lookup!$B$2:$B$1349,0))</f>
        <v>J04000469</v>
      </c>
      <c r="Y1057" s="9" t="str">
        <f>INDEX(Lookup!$F$2:$F$1349, MATCH(W1057, Lookup!$B$2:$B$1349,0))</f>
        <v>e310896</v>
      </c>
      <c r="Z1057" s="6" t="str">
        <f>INDEX(Lookup!$C$2:$C$1300, MATCH(X1057, Lookup!$A$2:$A$1300,0))</f>
        <v>Shropshire</v>
      </c>
    </row>
    <row r="1058" spans="1:26" ht="28.15" customHeight="1" x14ac:dyDescent="0.2">
      <c r="A1058" s="6" t="s">
        <v>925</v>
      </c>
      <c r="B1058" s="1" t="s">
        <v>925</v>
      </c>
      <c r="C1058" s="2">
        <v>1846</v>
      </c>
      <c r="D1058" s="2">
        <v>92451</v>
      </c>
      <c r="E1058" s="2">
        <v>103</v>
      </c>
      <c r="F1058" s="2">
        <v>12747</v>
      </c>
      <c r="G1058" s="2">
        <v>3</v>
      </c>
      <c r="H1058" s="2">
        <v>614</v>
      </c>
      <c r="I1058" s="2">
        <v>164</v>
      </c>
      <c r="J1058" s="2">
        <v>30865</v>
      </c>
      <c r="K1058" s="2">
        <v>49</v>
      </c>
      <c r="L1058" s="2">
        <v>3500</v>
      </c>
      <c r="M1058" s="2">
        <v>266</v>
      </c>
      <c r="N1058" s="2">
        <v>23527</v>
      </c>
      <c r="O1058" s="2">
        <v>22</v>
      </c>
      <c r="P1058" s="2">
        <v>9886</v>
      </c>
      <c r="Q1058" s="2">
        <v>943</v>
      </c>
      <c r="R1058" s="2">
        <v>27134</v>
      </c>
      <c r="S1058" s="2">
        <v>201667</v>
      </c>
      <c r="T1058" s="10">
        <f t="shared" si="55"/>
        <v>105812</v>
      </c>
      <c r="U1058" s="8">
        <f t="shared" si="56"/>
        <v>0.52468673605498173</v>
      </c>
      <c r="V1058" s="9" t="s">
        <v>5270</v>
      </c>
      <c r="W1058" s="9" t="str">
        <f t="shared" si="57"/>
        <v>Market Drayton UD</v>
      </c>
      <c r="X1058" s="9" t="str">
        <f>INDEX(Lookup!$A$2:$A$1349, MATCH(W1058, Lookup!$B$2:$B$1349,0))</f>
        <v>J04000828</v>
      </c>
      <c r="Y1058" s="9" t="str">
        <f>INDEX(Lookup!$F$2:$F$1349, MATCH(W1058, Lookup!$B$2:$B$1349,0))</f>
        <v>e310895</v>
      </c>
      <c r="Z1058" s="6" t="str">
        <f>INDEX(Lookup!$C$2:$C$1300, MATCH(X1058, Lookup!$A$2:$A$1300,0))</f>
        <v>Shropshire</v>
      </c>
    </row>
    <row r="1059" spans="1:26" ht="28.15" customHeight="1" x14ac:dyDescent="0.2">
      <c r="A1059" s="6" t="s">
        <v>566</v>
      </c>
      <c r="B1059" s="1" t="s">
        <v>566</v>
      </c>
      <c r="C1059" s="2">
        <v>1451</v>
      </c>
      <c r="D1059" s="2">
        <v>73231</v>
      </c>
      <c r="E1059" s="2">
        <v>60</v>
      </c>
      <c r="F1059" s="2">
        <v>7692</v>
      </c>
      <c r="I1059" s="2">
        <v>126</v>
      </c>
      <c r="J1059" s="2">
        <v>23393</v>
      </c>
      <c r="K1059" s="2">
        <v>20</v>
      </c>
      <c r="L1059" s="2">
        <v>1497</v>
      </c>
      <c r="M1059" s="2">
        <v>158</v>
      </c>
      <c r="N1059" s="2">
        <v>14576</v>
      </c>
      <c r="O1059" s="2">
        <v>10</v>
      </c>
      <c r="P1059" s="2">
        <v>33489</v>
      </c>
      <c r="Q1059" s="2">
        <v>1505</v>
      </c>
      <c r="R1059" s="2">
        <v>21559</v>
      </c>
      <c r="S1059" s="2">
        <v>176942</v>
      </c>
      <c r="T1059" s="10">
        <f>SUM(D1059+F1059)</f>
        <v>80923</v>
      </c>
      <c r="U1059" s="8">
        <f t="shared" si="56"/>
        <v>0.45734195386058707</v>
      </c>
      <c r="V1059" s="9" t="s">
        <v>5270</v>
      </c>
      <c r="W1059" s="9" t="str">
        <f t="shared" si="57"/>
        <v>Newport UD</v>
      </c>
      <c r="X1059" s="9" t="str">
        <f>INDEX(Lookup!$A$2:$A$1349, MATCH(W1059, Lookup!$B$2:$B$1349,0))</f>
        <v>J04000911</v>
      </c>
      <c r="Y1059" s="9" t="str">
        <f>INDEX(Lookup!$F$2:$F$1349, MATCH(W1059, Lookup!$B$2:$B$1349,0))</f>
        <v>e310885</v>
      </c>
      <c r="Z1059" s="6" t="str">
        <f>INDEX(Lookup!$C$2:$C$1300, MATCH(X1059, Lookup!$A$2:$A$1300,0))</f>
        <v>Shropshire</v>
      </c>
    </row>
    <row r="1060" spans="1:26" ht="28.15" customHeight="1" x14ac:dyDescent="0.2">
      <c r="A1060" s="6" t="s">
        <v>926</v>
      </c>
      <c r="B1060" s="1" t="s">
        <v>926</v>
      </c>
      <c r="C1060" s="2">
        <v>4118</v>
      </c>
      <c r="D1060" s="2">
        <v>194219</v>
      </c>
      <c r="E1060" s="2">
        <v>64</v>
      </c>
      <c r="F1060" s="2">
        <v>7328</v>
      </c>
      <c r="G1060" s="2">
        <v>1</v>
      </c>
      <c r="H1060" s="2">
        <v>388</v>
      </c>
      <c r="I1060" s="2">
        <v>179</v>
      </c>
      <c r="J1060" s="2">
        <v>36810</v>
      </c>
      <c r="K1060" s="2">
        <v>15</v>
      </c>
      <c r="L1060" s="2">
        <v>1569</v>
      </c>
      <c r="M1060" s="2">
        <v>308</v>
      </c>
      <c r="N1060" s="2">
        <v>22108</v>
      </c>
      <c r="O1060" s="2">
        <v>20</v>
      </c>
      <c r="P1060" s="2">
        <v>76730</v>
      </c>
      <c r="Q1060" s="2">
        <v>15614</v>
      </c>
      <c r="R1060" s="2">
        <v>39225</v>
      </c>
      <c r="S1060" s="2">
        <v>393991</v>
      </c>
      <c r="T1060" s="10">
        <f t="shared" si="55"/>
        <v>201935</v>
      </c>
      <c r="U1060" s="8">
        <f t="shared" si="56"/>
        <v>0.51253708841064893</v>
      </c>
      <c r="V1060" s="9" t="s">
        <v>5270</v>
      </c>
      <c r="W1060" s="9" t="str">
        <f t="shared" si="57"/>
        <v>Oakengates UD</v>
      </c>
      <c r="X1060" s="9" t="str">
        <f>INDEX(Lookup!$A$2:$A$1349, MATCH(W1060, Lookup!$B$2:$B$1349,0))</f>
        <v>J04000945</v>
      </c>
      <c r="Y1060" s="9" t="str">
        <f>INDEX(Lookup!$F$2:$F$1349, MATCH(W1060, Lookup!$B$2:$B$1349,0))</f>
        <v>e310886</v>
      </c>
      <c r="Z1060" s="6" t="str">
        <f>INDEX(Lookup!$C$2:$C$1300, MATCH(X1060, Lookup!$A$2:$A$1300,0))</f>
        <v>Shropshire</v>
      </c>
    </row>
    <row r="1061" spans="1:26" ht="28.15" customHeight="1" x14ac:dyDescent="0.2">
      <c r="A1061" s="6" t="s">
        <v>927</v>
      </c>
      <c r="B1061" s="1" t="s">
        <v>927</v>
      </c>
      <c r="C1061" s="2">
        <v>4233</v>
      </c>
      <c r="D1061" s="2">
        <v>244594</v>
      </c>
      <c r="E1061" s="2">
        <v>491</v>
      </c>
      <c r="F1061" s="2">
        <v>58137</v>
      </c>
      <c r="G1061" s="2">
        <v>8</v>
      </c>
      <c r="H1061" s="2">
        <v>1889</v>
      </c>
      <c r="I1061" s="2">
        <v>257</v>
      </c>
      <c r="J1061" s="2">
        <v>112177</v>
      </c>
      <c r="K1061" s="2">
        <v>62</v>
      </c>
      <c r="L1061" s="2">
        <v>10942</v>
      </c>
      <c r="M1061" s="2">
        <v>525</v>
      </c>
      <c r="N1061" s="2">
        <v>49014</v>
      </c>
      <c r="O1061" s="2">
        <v>34</v>
      </c>
      <c r="P1061" s="2">
        <v>29861</v>
      </c>
      <c r="Q1061" s="2">
        <v>4984</v>
      </c>
      <c r="R1061" s="2">
        <v>106105</v>
      </c>
      <c r="S1061" s="2">
        <v>617703</v>
      </c>
      <c r="T1061" s="10">
        <f t="shared" si="55"/>
        <v>304620</v>
      </c>
      <c r="U1061" s="8">
        <f t="shared" si="56"/>
        <v>0.49314962044866223</v>
      </c>
      <c r="V1061" s="9" t="s">
        <v>5270</v>
      </c>
      <c r="W1061" s="9" t="str">
        <f t="shared" si="57"/>
        <v>Wellington UD</v>
      </c>
      <c r="X1061" s="9" t="str">
        <f>INDEX(Lookup!$A$2:$A$1349, MATCH(W1061, Lookup!$B$2:$B$1349,0))</f>
        <v>J04001365</v>
      </c>
      <c r="Y1061" s="9" t="str">
        <f>INDEX(Lookup!$F$2:$F$1349, MATCH(W1061, Lookup!$B$2:$B$1349,0))</f>
        <v>e310888</v>
      </c>
      <c r="Z1061" s="6" t="str">
        <f>INDEX(Lookup!$C$2:$C$1300, MATCH(X1061, Lookup!$A$2:$A$1300,0))</f>
        <v>Shropshire</v>
      </c>
    </row>
    <row r="1062" spans="1:26" ht="28.15" customHeight="1" x14ac:dyDescent="0.2">
      <c r="A1062" s="6" t="s">
        <v>928</v>
      </c>
      <c r="B1062" s="1" t="s">
        <v>928</v>
      </c>
      <c r="C1062" s="2">
        <v>805</v>
      </c>
      <c r="D1062" s="2">
        <v>36758</v>
      </c>
      <c r="E1062" s="2">
        <v>55</v>
      </c>
      <c r="F1062" s="2">
        <v>6930</v>
      </c>
      <c r="G1062" s="2">
        <v>1</v>
      </c>
      <c r="H1062" s="2">
        <v>206</v>
      </c>
      <c r="I1062" s="2">
        <v>80</v>
      </c>
      <c r="J1062" s="2">
        <v>11862</v>
      </c>
      <c r="K1062" s="2">
        <v>12</v>
      </c>
      <c r="L1062" s="2">
        <v>1586</v>
      </c>
      <c r="M1062" s="2">
        <v>150</v>
      </c>
      <c r="N1062" s="2">
        <v>6140</v>
      </c>
      <c r="O1062" s="2">
        <v>11</v>
      </c>
      <c r="P1062" s="2">
        <v>12590</v>
      </c>
      <c r="Q1062" s="2">
        <v>662</v>
      </c>
      <c r="R1062" s="2">
        <v>15333</v>
      </c>
      <c r="S1062" s="2">
        <v>92067</v>
      </c>
      <c r="T1062" s="10">
        <f t="shared" si="55"/>
        <v>43894</v>
      </c>
      <c r="U1062" s="8">
        <f t="shared" si="56"/>
        <v>0.47676148891568099</v>
      </c>
      <c r="V1062" s="9" t="s">
        <v>5270</v>
      </c>
      <c r="W1062" s="9" t="str">
        <f t="shared" si="57"/>
        <v>Wem UD</v>
      </c>
      <c r="X1062" s="9" t="str">
        <f>INDEX(Lookup!$A$2:$A$1349, MATCH(W1062, Lookup!$B$2:$B$1349,0))</f>
        <v>J04001375</v>
      </c>
      <c r="Y1062" s="9" t="str">
        <f>INDEX(Lookup!$F$2:$F$1349, MATCH(W1062, Lookup!$B$2:$B$1349,0))</f>
        <v>e310896</v>
      </c>
      <c r="Z1062" s="6" t="str">
        <f>INDEX(Lookup!$C$2:$C$1300, MATCH(X1062, Lookup!$A$2:$A$1300,0))</f>
        <v>Shropshire</v>
      </c>
    </row>
    <row r="1063" spans="1:26" ht="28.15" customHeight="1" x14ac:dyDescent="0.2">
      <c r="A1063" s="6" t="s">
        <v>1270</v>
      </c>
      <c r="B1063" s="1" t="s">
        <v>1270</v>
      </c>
      <c r="C1063" s="2">
        <v>2106</v>
      </c>
      <c r="D1063" s="2">
        <v>101295</v>
      </c>
      <c r="E1063" s="2">
        <v>138</v>
      </c>
      <c r="F1063" s="2">
        <v>16630</v>
      </c>
      <c r="G1063" s="2">
        <v>4</v>
      </c>
      <c r="H1063" s="2">
        <v>972</v>
      </c>
      <c r="I1063" s="2">
        <v>184</v>
      </c>
      <c r="J1063" s="2">
        <v>37928</v>
      </c>
      <c r="K1063" s="2">
        <v>29</v>
      </c>
      <c r="L1063" s="2">
        <v>3877</v>
      </c>
      <c r="M1063" s="2">
        <v>244</v>
      </c>
      <c r="N1063" s="2">
        <v>22741</v>
      </c>
      <c r="O1063" s="2">
        <v>20</v>
      </c>
      <c r="P1063" s="2">
        <v>25646</v>
      </c>
      <c r="Q1063" s="2">
        <v>2143</v>
      </c>
      <c r="R1063" s="2">
        <v>32905</v>
      </c>
      <c r="S1063" s="2">
        <v>244137</v>
      </c>
      <c r="T1063" s="10">
        <f t="shared" si="55"/>
        <v>118897</v>
      </c>
      <c r="U1063" s="8">
        <f t="shared" si="56"/>
        <v>0.48700934311472655</v>
      </c>
      <c r="V1063" s="9" t="s">
        <v>5270</v>
      </c>
      <c r="W1063" s="9" t="str">
        <f t="shared" si="57"/>
        <v>Whitchurch UD</v>
      </c>
      <c r="X1063" s="9" t="str">
        <f>INDEX(Lookup!$A$2:$A$1349, MATCH(W1063, Lookup!$B$2:$B$1349,0))</f>
        <v>J04001401</v>
      </c>
      <c r="Y1063" s="9" t="str">
        <f>INDEX(Lookup!$F$2:$F$1349, MATCH(W1063, Lookup!$B$2:$B$1349,0))</f>
        <v>e310896</v>
      </c>
      <c r="Z1063" s="6" t="str">
        <f>INDEX(Lookup!$C$2:$C$1300, MATCH(X1063, Lookup!$A$2:$A$1300,0))</f>
        <v>Shropshire</v>
      </c>
    </row>
    <row r="1064" spans="1:26" ht="28.15" customHeight="1" x14ac:dyDescent="0.2">
      <c r="A1064" s="6" t="s">
        <v>212</v>
      </c>
      <c r="B1064" s="1" t="s">
        <v>212</v>
      </c>
      <c r="T1064" s="10"/>
      <c r="W1064" s="9" t="str">
        <f t="shared" si="57"/>
        <v xml:space="preserve">Rural Districts-- </v>
      </c>
      <c r="X1064" s="9" t="e">
        <f>INDEX(Lookup!$A$2:$A$1349, MATCH(W1064, Lookup!$B$2:$B$1349,0))</f>
        <v>#N/A</v>
      </c>
      <c r="Y1064" s="9" t="e">
        <f>INDEX(Lookup!$F$2:$F$1349, MATCH(W1064, Lookup!$B$2:$B$1349,0))</f>
        <v>#N/A</v>
      </c>
      <c r="Z1064" s="6" t="e">
        <f>INDEX(Lookup!$C$2:$C$1300, MATCH(X1064, Lookup!$A$2:$A$1300,0))</f>
        <v>#N/A</v>
      </c>
    </row>
    <row r="1065" spans="1:26" ht="28.15" customHeight="1" x14ac:dyDescent="0.2">
      <c r="A1065" s="6" t="s">
        <v>1271</v>
      </c>
      <c r="B1065" s="1" t="s">
        <v>5328</v>
      </c>
      <c r="C1065" s="2">
        <v>5115</v>
      </c>
      <c r="D1065" s="2">
        <v>233923</v>
      </c>
      <c r="E1065" s="2">
        <v>373</v>
      </c>
      <c r="F1065" s="2">
        <v>46654</v>
      </c>
      <c r="G1065" s="2">
        <v>38</v>
      </c>
      <c r="H1065" s="2">
        <v>9789</v>
      </c>
      <c r="I1065" s="2">
        <v>111</v>
      </c>
      <c r="J1065" s="2">
        <v>10475</v>
      </c>
      <c r="K1065" s="2">
        <v>13</v>
      </c>
      <c r="L1065" s="2">
        <v>954</v>
      </c>
      <c r="M1065" s="2">
        <v>307</v>
      </c>
      <c r="N1065" s="2">
        <v>28930</v>
      </c>
      <c r="O1065" s="2">
        <v>6</v>
      </c>
      <c r="P1065" s="2">
        <v>10093</v>
      </c>
      <c r="Q1065" s="2">
        <v>3785</v>
      </c>
      <c r="R1065" s="2">
        <v>230535</v>
      </c>
      <c r="S1065" s="2">
        <v>575138</v>
      </c>
      <c r="T1065" s="10">
        <f t="shared" si="55"/>
        <v>290366</v>
      </c>
      <c r="U1065" s="8">
        <f t="shared" si="56"/>
        <v>0.50486318066272795</v>
      </c>
      <c r="V1065" s="9" t="s">
        <v>5271</v>
      </c>
      <c r="W1065" s="9" t="str">
        <f t="shared" si="57"/>
        <v>Atcham RD</v>
      </c>
      <c r="X1065" s="9" t="str">
        <f>INDEX(Lookup!$A$2:$A$1349, MATCH(W1065, Lookup!$B$2:$B$1349,0))</f>
        <v>J04000059</v>
      </c>
      <c r="Y1065" s="9" t="str">
        <f>INDEX(Lookup!$F$2:$F$1349, MATCH(W1065, Lookup!$B$2:$B$1349,0))</f>
        <v>e310890</v>
      </c>
      <c r="Z1065" s="6" t="str">
        <f>INDEX(Lookup!$C$2:$C$1300, MATCH(X1065, Lookup!$A$2:$A$1300,0))</f>
        <v>Shropshire</v>
      </c>
    </row>
    <row r="1066" spans="1:26" ht="28.15" customHeight="1" x14ac:dyDescent="0.2">
      <c r="A1066" s="6" t="s">
        <v>915</v>
      </c>
      <c r="B1066" s="1" t="s">
        <v>915</v>
      </c>
      <c r="C1066" s="2">
        <v>2828</v>
      </c>
      <c r="D1066" s="2">
        <v>99695</v>
      </c>
      <c r="E1066" s="2">
        <v>176</v>
      </c>
      <c r="F1066" s="2">
        <v>23292</v>
      </c>
      <c r="G1066" s="2">
        <v>49</v>
      </c>
      <c r="H1066" s="2">
        <v>13540</v>
      </c>
      <c r="I1066" s="2">
        <v>89</v>
      </c>
      <c r="J1066" s="2">
        <v>8306</v>
      </c>
      <c r="K1066" s="2">
        <v>3</v>
      </c>
      <c r="L1066" s="2">
        <v>338</v>
      </c>
      <c r="M1066" s="2">
        <v>178</v>
      </c>
      <c r="N1066" s="2">
        <v>18810</v>
      </c>
      <c r="O1066" s="2">
        <v>31</v>
      </c>
      <c r="P1066" s="2">
        <v>9856</v>
      </c>
      <c r="Q1066" s="2">
        <v>21735</v>
      </c>
      <c r="R1066" s="2">
        <v>123668</v>
      </c>
      <c r="S1066" s="2">
        <v>319240</v>
      </c>
      <c r="T1066" s="10">
        <f t="shared" si="55"/>
        <v>136527</v>
      </c>
      <c r="U1066" s="8">
        <f t="shared" si="56"/>
        <v>0.42766257361232929</v>
      </c>
      <c r="V1066" s="9" t="s">
        <v>5271</v>
      </c>
      <c r="W1066" s="9" t="str">
        <f t="shared" si="57"/>
        <v>Bridgnorth RD</v>
      </c>
      <c r="X1066" s="9" t="str">
        <f>INDEX(Lookup!$A$2:$A$1349, MATCH(W1066, Lookup!$B$2:$B$1349,0))</f>
        <v>J04000200</v>
      </c>
      <c r="Y1066" s="9" t="str">
        <f>INDEX(Lookup!$F$2:$F$1349, MATCH(W1066, Lookup!$B$2:$B$1349,0))</f>
        <v>e310891</v>
      </c>
      <c r="Z1066" s="6" t="str">
        <f>INDEX(Lookup!$C$2:$C$1300, MATCH(X1066, Lookup!$A$2:$A$1300,0))</f>
        <v>Shropshire</v>
      </c>
    </row>
    <row r="1067" spans="1:26" ht="28.15" customHeight="1" x14ac:dyDescent="0.2">
      <c r="A1067" s="6" t="s">
        <v>1272</v>
      </c>
      <c r="B1067" s="1" t="s">
        <v>1272</v>
      </c>
      <c r="C1067" s="2">
        <v>1981</v>
      </c>
      <c r="D1067" s="2">
        <v>54821</v>
      </c>
      <c r="E1067" s="2">
        <v>58</v>
      </c>
      <c r="F1067" s="2">
        <v>6981</v>
      </c>
      <c r="G1067" s="2">
        <v>8</v>
      </c>
      <c r="H1067" s="2">
        <v>2040</v>
      </c>
      <c r="I1067" s="2">
        <v>66</v>
      </c>
      <c r="J1067" s="2">
        <v>3784</v>
      </c>
      <c r="K1067" s="2">
        <v>5</v>
      </c>
      <c r="L1067" s="2">
        <v>65</v>
      </c>
      <c r="M1067" s="2">
        <v>155</v>
      </c>
      <c r="N1067" s="2">
        <v>7473</v>
      </c>
      <c r="O1067" s="2">
        <v>7</v>
      </c>
      <c r="P1067" s="2">
        <v>3458</v>
      </c>
      <c r="Q1067" s="2">
        <v>155</v>
      </c>
      <c r="R1067" s="2">
        <v>45714</v>
      </c>
      <c r="S1067" s="2">
        <v>124491</v>
      </c>
      <c r="T1067" s="10">
        <f t="shared" si="55"/>
        <v>63842</v>
      </c>
      <c r="U1067" s="8">
        <f t="shared" si="56"/>
        <v>0.51282422022475516</v>
      </c>
      <c r="V1067" s="9" t="s">
        <v>5271</v>
      </c>
      <c r="W1067" s="9" t="str">
        <f t="shared" si="57"/>
        <v>Clun RD</v>
      </c>
      <c r="X1067" s="9" t="str">
        <f>INDEX(Lookup!$A$2:$A$1349, MATCH(W1067, Lookup!$B$2:$B$1349,0))</f>
        <v>J04000331</v>
      </c>
      <c r="Y1067" s="9" t="str">
        <f>INDEX(Lookup!$F$2:$F$1349, MATCH(W1067, Lookup!$B$2:$B$1349,0))</f>
        <v>e310893</v>
      </c>
      <c r="Z1067" s="6" t="str">
        <f>INDEX(Lookup!$C$2:$C$1300, MATCH(X1067, Lookup!$A$2:$A$1300,0))</f>
        <v>Shropshire</v>
      </c>
    </row>
    <row r="1068" spans="1:26" ht="28.15" customHeight="1" x14ac:dyDescent="0.2">
      <c r="A1068" s="6" t="s">
        <v>1273</v>
      </c>
      <c r="B1068" s="1" t="s">
        <v>1273</v>
      </c>
      <c r="C1068" s="2">
        <v>1462</v>
      </c>
      <c r="D1068" s="2">
        <v>60043</v>
      </c>
      <c r="E1068" s="2">
        <v>66</v>
      </c>
      <c r="F1068" s="2">
        <v>8327</v>
      </c>
      <c r="G1068" s="2">
        <v>11</v>
      </c>
      <c r="H1068" s="2">
        <v>3070</v>
      </c>
      <c r="I1068" s="2">
        <v>60</v>
      </c>
      <c r="J1068" s="2">
        <v>6363</v>
      </c>
      <c r="K1068" s="2">
        <v>4</v>
      </c>
      <c r="L1068" s="2">
        <v>260</v>
      </c>
      <c r="M1068" s="2">
        <v>135</v>
      </c>
      <c r="N1068" s="2">
        <v>14048</v>
      </c>
      <c r="O1068" s="2">
        <v>13</v>
      </c>
      <c r="P1068" s="2">
        <v>6051</v>
      </c>
      <c r="Q1068" s="2">
        <v>34873</v>
      </c>
      <c r="R1068" s="2">
        <v>58749</v>
      </c>
      <c r="S1068" s="2">
        <v>191784</v>
      </c>
      <c r="T1068" s="10">
        <f t="shared" si="55"/>
        <v>71440</v>
      </c>
      <c r="U1068" s="8">
        <f t="shared" si="56"/>
        <v>0.37250239853168149</v>
      </c>
      <c r="V1068" s="9" t="s">
        <v>5271</v>
      </c>
      <c r="W1068" s="9" t="str">
        <f t="shared" si="57"/>
        <v>Drayton RD</v>
      </c>
      <c r="X1068" s="9" t="str">
        <f>INDEX(Lookup!$A$2:$A$1349, MATCH(W1068, Lookup!$B$2:$B$1349,0))</f>
        <v>J04000425</v>
      </c>
      <c r="Y1068" s="9" t="str">
        <f>INDEX(Lookup!$F$2:$F$1349, MATCH(W1068, Lookup!$B$2:$B$1349,0))</f>
        <v>e310895</v>
      </c>
      <c r="Z1068" s="6" t="str">
        <f>INDEX(Lookup!$C$2:$C$1300, MATCH(X1068, Lookup!$A$2:$A$1300,0))</f>
        <v>Shropshire</v>
      </c>
    </row>
    <row r="1069" spans="1:26" ht="28.15" customHeight="1" x14ac:dyDescent="0.2">
      <c r="A1069" s="6" t="s">
        <v>924</v>
      </c>
      <c r="B1069" s="1" t="s">
        <v>924</v>
      </c>
      <c r="C1069" s="2">
        <v>1397</v>
      </c>
      <c r="D1069" s="2">
        <v>49644</v>
      </c>
      <c r="E1069" s="2">
        <v>37</v>
      </c>
      <c r="F1069" s="2">
        <v>5083</v>
      </c>
      <c r="G1069" s="2">
        <v>3</v>
      </c>
      <c r="H1069" s="2">
        <v>678</v>
      </c>
      <c r="I1069" s="2">
        <v>37</v>
      </c>
      <c r="J1069" s="2">
        <v>3018</v>
      </c>
      <c r="K1069" s="2">
        <v>4</v>
      </c>
      <c r="L1069" s="2">
        <v>294</v>
      </c>
      <c r="M1069" s="2">
        <v>105</v>
      </c>
      <c r="N1069" s="2">
        <v>8769</v>
      </c>
      <c r="O1069" s="2">
        <v>3</v>
      </c>
      <c r="P1069" s="2">
        <v>602</v>
      </c>
      <c r="Q1069" s="2">
        <v>3890</v>
      </c>
      <c r="R1069" s="2">
        <v>77242</v>
      </c>
      <c r="S1069" s="2">
        <v>149220</v>
      </c>
      <c r="T1069" s="10">
        <f t="shared" si="55"/>
        <v>55405</v>
      </c>
      <c r="U1069" s="8">
        <f t="shared" si="56"/>
        <v>0.37129741321538667</v>
      </c>
      <c r="V1069" s="9" t="s">
        <v>5271</v>
      </c>
      <c r="W1069" s="9" t="str">
        <f t="shared" si="57"/>
        <v>Ellesmere RD</v>
      </c>
      <c r="X1069" s="9" t="str">
        <f>INDEX(Lookup!$A$2:$A$1349, MATCH(W1069, Lookup!$B$2:$B$1349,0))</f>
        <v>J04000468</v>
      </c>
      <c r="Y1069" s="9" t="str">
        <f>INDEX(Lookup!$F$2:$F$1349, MATCH(W1069, Lookup!$B$2:$B$1349,0))</f>
        <v>e310896</v>
      </c>
      <c r="Z1069" s="6" t="str">
        <f>INDEX(Lookup!$C$2:$C$1300, MATCH(X1069, Lookup!$A$2:$A$1300,0))</f>
        <v>Shropshire</v>
      </c>
    </row>
    <row r="1070" spans="1:26" ht="28.15" customHeight="1" x14ac:dyDescent="0.2">
      <c r="A1070" s="6" t="s">
        <v>916</v>
      </c>
      <c r="B1070" s="1" t="s">
        <v>916</v>
      </c>
      <c r="C1070" s="2">
        <v>3106</v>
      </c>
      <c r="D1070" s="2">
        <v>102948</v>
      </c>
      <c r="E1070" s="2">
        <v>106</v>
      </c>
      <c r="F1070" s="2">
        <v>14637</v>
      </c>
      <c r="G1070" s="2">
        <v>19</v>
      </c>
      <c r="H1070" s="2">
        <v>5257</v>
      </c>
      <c r="I1070" s="2">
        <v>149</v>
      </c>
      <c r="J1070" s="2">
        <v>11385</v>
      </c>
      <c r="K1070" s="2">
        <v>27</v>
      </c>
      <c r="L1070" s="2">
        <v>1937</v>
      </c>
      <c r="M1070" s="2">
        <v>244</v>
      </c>
      <c r="N1070" s="2">
        <v>26264</v>
      </c>
      <c r="O1070" s="2">
        <v>17</v>
      </c>
      <c r="P1070" s="2">
        <v>28410</v>
      </c>
      <c r="Q1070" s="2">
        <v>904</v>
      </c>
      <c r="R1070" s="2">
        <v>122782</v>
      </c>
      <c r="S1070" s="2">
        <v>314524</v>
      </c>
      <c r="T1070" s="10">
        <f t="shared" si="55"/>
        <v>122842</v>
      </c>
      <c r="U1070" s="8">
        <f t="shared" si="56"/>
        <v>0.3905647899683331</v>
      </c>
      <c r="V1070" s="9" t="s">
        <v>5271</v>
      </c>
      <c r="W1070" s="9" t="str">
        <f t="shared" si="57"/>
        <v>Ludlow RD</v>
      </c>
      <c r="X1070" s="9" t="str">
        <f>INDEX(Lookup!$A$2:$A$1349, MATCH(W1070, Lookup!$B$2:$B$1349,0))</f>
        <v>J04000788</v>
      </c>
      <c r="Y1070" s="9" t="str">
        <f>INDEX(Lookup!$F$2:$F$1349, MATCH(W1070, Lookup!$B$2:$B$1349,0))</f>
        <v>e310894</v>
      </c>
      <c r="Z1070" s="6" t="str">
        <f>INDEX(Lookup!$C$2:$C$1300, MATCH(X1070, Lookup!$A$2:$A$1300,0))</f>
        <v>Shropshire</v>
      </c>
    </row>
    <row r="1071" spans="1:26" ht="28.15" customHeight="1" x14ac:dyDescent="0.2">
      <c r="A1071" s="6" t="s">
        <v>919</v>
      </c>
      <c r="B1071" s="1" t="s">
        <v>919</v>
      </c>
      <c r="C1071" s="2">
        <v>4638</v>
      </c>
      <c r="D1071" s="2">
        <v>191588</v>
      </c>
      <c r="E1071" s="2">
        <v>146</v>
      </c>
      <c r="F1071" s="2">
        <v>18473</v>
      </c>
      <c r="G1071" s="2">
        <v>8</v>
      </c>
      <c r="H1071" s="2">
        <v>2089</v>
      </c>
      <c r="I1071" s="2">
        <v>99</v>
      </c>
      <c r="J1071" s="2">
        <v>9920</v>
      </c>
      <c r="K1071" s="2">
        <v>8</v>
      </c>
      <c r="L1071" s="2">
        <v>278</v>
      </c>
      <c r="M1071" s="2">
        <v>368</v>
      </c>
      <c r="N1071" s="2">
        <v>29864</v>
      </c>
      <c r="O1071" s="2">
        <v>9</v>
      </c>
      <c r="P1071" s="2">
        <v>10800</v>
      </c>
      <c r="Q1071" s="2">
        <v>26164</v>
      </c>
      <c r="R1071" s="2">
        <v>111322</v>
      </c>
      <c r="S1071" s="2">
        <v>400498</v>
      </c>
      <c r="T1071" s="10">
        <f t="shared" si="55"/>
        <v>212150</v>
      </c>
      <c r="U1071" s="8">
        <f t="shared" si="56"/>
        <v>0.52971550419727442</v>
      </c>
      <c r="V1071" s="9" t="s">
        <v>5271</v>
      </c>
      <c r="W1071" s="9" t="str">
        <f t="shared" si="57"/>
        <v>Oswestry RD</v>
      </c>
      <c r="X1071" s="9" t="str">
        <f>INDEX(Lookup!$A$2:$A$1349, MATCH(W1071, Lookup!$B$2:$B$1349,0))</f>
        <v>J04000962</v>
      </c>
      <c r="Y1071" s="9" t="str">
        <f>INDEX(Lookup!$F$2:$F$1349, MATCH(W1071, Lookup!$B$2:$B$1349,0))</f>
        <v>e310897</v>
      </c>
      <c r="Z1071" s="6" t="str">
        <f>INDEX(Lookup!$C$2:$C$1300, MATCH(X1071, Lookup!$A$2:$A$1300,0))</f>
        <v>Shropshire</v>
      </c>
    </row>
    <row r="1072" spans="1:26" ht="28.15" customHeight="1" x14ac:dyDescent="0.2">
      <c r="A1072" s="6" t="s">
        <v>1274</v>
      </c>
      <c r="B1072" s="1" t="s">
        <v>1274</v>
      </c>
      <c r="C1072" s="2">
        <v>2733</v>
      </c>
      <c r="D1072" s="2">
        <v>147389</v>
      </c>
      <c r="E1072" s="2">
        <v>199</v>
      </c>
      <c r="F1072" s="2">
        <v>25873</v>
      </c>
      <c r="G1072" s="2">
        <v>26</v>
      </c>
      <c r="H1072" s="2">
        <v>6662</v>
      </c>
      <c r="I1072" s="2">
        <v>147</v>
      </c>
      <c r="J1072" s="2">
        <v>24753</v>
      </c>
      <c r="K1072" s="2">
        <v>10</v>
      </c>
      <c r="L1072" s="2">
        <v>1092</v>
      </c>
      <c r="M1072" s="2">
        <v>245</v>
      </c>
      <c r="N1072" s="2">
        <v>16391</v>
      </c>
      <c r="O1072" s="2">
        <v>15</v>
      </c>
      <c r="P1072" s="2">
        <v>11629</v>
      </c>
      <c r="Q1072" s="2">
        <v>53248</v>
      </c>
      <c r="R1072" s="2">
        <v>94102</v>
      </c>
      <c r="S1072" s="2">
        <v>381139</v>
      </c>
      <c r="T1072" s="10">
        <f t="shared" si="55"/>
        <v>179924</v>
      </c>
      <c r="U1072" s="8">
        <f t="shared" si="56"/>
        <v>0.47206924507856712</v>
      </c>
      <c r="V1072" s="9" t="s">
        <v>5271</v>
      </c>
      <c r="W1072" s="9" t="str">
        <f t="shared" si="57"/>
        <v>Shifnal RD</v>
      </c>
      <c r="X1072" s="9" t="str">
        <f>INDEX(Lookup!$A$2:$A$1349, MATCH(W1072, Lookup!$B$2:$B$1349,0))</f>
        <v>J04001134</v>
      </c>
      <c r="Y1072" s="9" t="str">
        <f>INDEX(Lookup!$F$2:$F$1349, MATCH(W1072, Lookup!$B$2:$B$1349,0))</f>
        <v>e310898</v>
      </c>
      <c r="Z1072" s="6" t="str">
        <f>INDEX(Lookup!$C$2:$C$1300, MATCH(X1072, Lookup!$A$2:$A$1300,0))</f>
        <v>Shropshire</v>
      </c>
    </row>
    <row r="1073" spans="1:26" ht="28.15" customHeight="1" x14ac:dyDescent="0.2">
      <c r="A1073" s="6" t="s">
        <v>927</v>
      </c>
      <c r="B1073" s="1" t="s">
        <v>927</v>
      </c>
      <c r="C1073" s="2">
        <v>6600</v>
      </c>
      <c r="D1073" s="2">
        <v>329195</v>
      </c>
      <c r="E1073" s="2">
        <v>190</v>
      </c>
      <c r="F1073" s="2">
        <v>23812</v>
      </c>
      <c r="G1073" s="2">
        <v>18</v>
      </c>
      <c r="H1073" s="2">
        <v>4554</v>
      </c>
      <c r="I1073" s="2">
        <v>157</v>
      </c>
      <c r="J1073" s="2">
        <v>26633</v>
      </c>
      <c r="K1073" s="2">
        <v>7</v>
      </c>
      <c r="L1073" s="2">
        <v>727</v>
      </c>
      <c r="M1073" s="2">
        <v>516</v>
      </c>
      <c r="N1073" s="2">
        <v>30739</v>
      </c>
      <c r="O1073" s="2">
        <v>41</v>
      </c>
      <c r="P1073" s="2">
        <v>396594</v>
      </c>
      <c r="Q1073" s="2">
        <v>114454</v>
      </c>
      <c r="R1073" s="2">
        <v>129308</v>
      </c>
      <c r="S1073" s="2">
        <v>1056016</v>
      </c>
      <c r="T1073" s="10">
        <f t="shared" si="55"/>
        <v>357561</v>
      </c>
      <c r="U1073" s="8">
        <f t="shared" si="56"/>
        <v>0.3385943016014909</v>
      </c>
      <c r="V1073" s="9" t="s">
        <v>5271</v>
      </c>
      <c r="W1073" s="9" t="str">
        <f t="shared" si="57"/>
        <v>Wellington RD</v>
      </c>
      <c r="X1073" s="9" t="str">
        <f>INDEX(Lookup!$A$2:$A$1349, MATCH(W1073, Lookup!$B$2:$B$1349,0))</f>
        <v>J04001363</v>
      </c>
      <c r="Y1073" s="9" t="str">
        <f>INDEX(Lookup!$F$2:$F$1349, MATCH(W1073, Lookup!$B$2:$B$1349,0))</f>
        <v>e310900</v>
      </c>
      <c r="Z1073" s="6" t="str">
        <f>INDEX(Lookup!$C$2:$C$1300, MATCH(X1073, Lookup!$A$2:$A$1300,0))</f>
        <v>Shropshire</v>
      </c>
    </row>
    <row r="1074" spans="1:26" ht="28.15" customHeight="1" x14ac:dyDescent="0.2">
      <c r="A1074" s="6" t="s">
        <v>928</v>
      </c>
      <c r="B1074" s="1" t="s">
        <v>928</v>
      </c>
      <c r="C1074" s="2">
        <v>2190</v>
      </c>
      <c r="D1074" s="2">
        <v>86447</v>
      </c>
      <c r="E1074" s="2">
        <v>86</v>
      </c>
      <c r="F1074" s="2">
        <v>11222</v>
      </c>
      <c r="G1074" s="2">
        <v>11</v>
      </c>
      <c r="H1074" s="2">
        <v>2800</v>
      </c>
      <c r="I1074" s="2">
        <v>70</v>
      </c>
      <c r="J1074" s="2">
        <v>7319</v>
      </c>
      <c r="K1074" s="2">
        <v>4</v>
      </c>
      <c r="L1074" s="2">
        <v>134</v>
      </c>
      <c r="M1074" s="2">
        <v>143</v>
      </c>
      <c r="N1074" s="2">
        <v>13841</v>
      </c>
      <c r="O1074" s="2">
        <v>28</v>
      </c>
      <c r="P1074" s="2">
        <v>17502</v>
      </c>
      <c r="Q1074" s="2">
        <v>54811</v>
      </c>
      <c r="R1074" s="2">
        <v>68696</v>
      </c>
      <c r="S1074" s="2">
        <v>262772</v>
      </c>
      <c r="T1074" s="10">
        <f t="shared" si="55"/>
        <v>100469</v>
      </c>
      <c r="U1074" s="8">
        <f t="shared" si="56"/>
        <v>0.38234286758102082</v>
      </c>
      <c r="V1074" s="9" t="s">
        <v>5271</v>
      </c>
      <c r="W1074" s="9" t="str">
        <f t="shared" si="57"/>
        <v>Wem RD</v>
      </c>
      <c r="X1074" s="9" t="str">
        <f>INDEX(Lookup!$A$2:$A$1349, MATCH(W1074, Lookup!$B$2:$B$1349,0))</f>
        <v>J04001374</v>
      </c>
      <c r="Y1074" s="9" t="str">
        <f>INDEX(Lookup!$F$2:$F$1349, MATCH(W1074, Lookup!$B$2:$B$1349,0))</f>
        <v>e310896</v>
      </c>
      <c r="Z1074" s="6" t="str">
        <f>INDEX(Lookup!$C$2:$C$1300, MATCH(X1074, Lookup!$A$2:$A$1300,0))</f>
        <v>Shropshire</v>
      </c>
    </row>
    <row r="1075" spans="1:26" ht="28.15" customHeight="1" x14ac:dyDescent="0.2">
      <c r="A1075" s="6" t="s">
        <v>929</v>
      </c>
      <c r="B1075" s="1" t="s">
        <v>929</v>
      </c>
      <c r="T1075" s="10"/>
      <c r="W1075" s="9" t="str">
        <f t="shared" si="57"/>
        <v xml:space="preserve">SOKE OF PETERBOROUGH: </v>
      </c>
      <c r="X1075" s="9" t="e">
        <f>INDEX(Lookup!$A$2:$A$1349, MATCH(W1075, Lookup!$B$2:$B$1349,0))</f>
        <v>#N/A</v>
      </c>
      <c r="Y1075" s="9" t="e">
        <f>INDEX(Lookup!$F$2:$F$1349, MATCH(W1075, Lookup!$B$2:$B$1349,0))</f>
        <v>#N/A</v>
      </c>
      <c r="Z1075" s="6" t="e">
        <f>INDEX(Lookup!$C$2:$C$1300, MATCH(X1075, Lookup!$A$2:$A$1300,0))</f>
        <v>#N/A</v>
      </c>
    </row>
    <row r="1076" spans="1:26" ht="28.15" customHeight="1" x14ac:dyDescent="0.2">
      <c r="A1076" s="6" t="s">
        <v>557</v>
      </c>
      <c r="B1076" s="1" t="s">
        <v>557</v>
      </c>
      <c r="T1076" s="10"/>
      <c r="W1076" s="9" t="str">
        <f t="shared" si="57"/>
        <v xml:space="preserve">Non-County Borough-- </v>
      </c>
      <c r="X1076" s="9" t="e">
        <f>INDEX(Lookup!$A$2:$A$1349, MATCH(W1076, Lookup!$B$2:$B$1349,0))</f>
        <v>#N/A</v>
      </c>
      <c r="Y1076" s="9" t="e">
        <f>INDEX(Lookup!$F$2:$F$1349, MATCH(W1076, Lookup!$B$2:$B$1349,0))</f>
        <v>#N/A</v>
      </c>
      <c r="Z1076" s="6" t="e">
        <f>INDEX(Lookup!$C$2:$C$1300, MATCH(X1076, Lookup!$A$2:$A$1300,0))</f>
        <v>#N/A</v>
      </c>
    </row>
    <row r="1077" spans="1:26" ht="28.15" customHeight="1" x14ac:dyDescent="0.2">
      <c r="A1077" s="6" t="s">
        <v>930</v>
      </c>
      <c r="B1077" s="1" t="s">
        <v>5436</v>
      </c>
      <c r="C1077" s="2">
        <v>18573</v>
      </c>
      <c r="D1077" s="2">
        <v>1111411</v>
      </c>
      <c r="E1077" s="2">
        <v>1189</v>
      </c>
      <c r="F1077" s="2">
        <v>145523</v>
      </c>
      <c r="G1077" s="2">
        <v>83</v>
      </c>
      <c r="H1077" s="2">
        <v>21405</v>
      </c>
      <c r="I1077" s="2">
        <v>932</v>
      </c>
      <c r="J1077" s="2">
        <v>303697</v>
      </c>
      <c r="K1077" s="2">
        <v>195</v>
      </c>
      <c r="L1077" s="2">
        <v>49076</v>
      </c>
      <c r="M1077" s="2">
        <v>2374</v>
      </c>
      <c r="N1077" s="2">
        <v>156480</v>
      </c>
      <c r="O1077" s="2">
        <v>107</v>
      </c>
      <c r="P1077" s="2">
        <v>291780</v>
      </c>
      <c r="Q1077" s="2">
        <v>22016</v>
      </c>
      <c r="R1077" s="2">
        <v>277248</v>
      </c>
      <c r="S1077" s="2">
        <v>2378636</v>
      </c>
      <c r="T1077" s="10">
        <f t="shared" si="55"/>
        <v>1278339</v>
      </c>
      <c r="U1077" s="8">
        <f t="shared" si="56"/>
        <v>0.53742523025801336</v>
      </c>
      <c r="V1077" s="9" t="s">
        <v>5268</v>
      </c>
      <c r="W1077" s="9" t="str">
        <f t="shared" si="57"/>
        <v>Peterborough, city of MB</v>
      </c>
      <c r="X1077" s="9" t="str">
        <f>INDEX(Lookup!$A$2:$A$1349, MATCH(W1077, Lookup!$B$2:$B$1349,0))</f>
        <v>J04000988</v>
      </c>
      <c r="Y1077" s="9" t="str">
        <f>INDEX(Lookup!$F$2:$F$1349, MATCH(W1077, Lookup!$B$2:$B$1349,0))</f>
        <v>e180498</v>
      </c>
      <c r="Z1077" s="6" t="str">
        <f>INDEX(Lookup!$C$2:$C$1300, MATCH(X1077, Lookup!$A$2:$A$1300,0))</f>
        <v>Cambridgeshire</v>
      </c>
    </row>
    <row r="1078" spans="1:26" ht="28.15" customHeight="1" x14ac:dyDescent="0.2">
      <c r="A1078" s="6" t="s">
        <v>212</v>
      </c>
      <c r="B1078" s="1" t="s">
        <v>212</v>
      </c>
      <c r="T1078" s="10"/>
      <c r="W1078" s="9" t="str">
        <f t="shared" si="57"/>
        <v xml:space="preserve">Rural Districts-- </v>
      </c>
      <c r="X1078" s="9" t="e">
        <f>INDEX(Lookup!$A$2:$A$1349, MATCH(W1078, Lookup!$B$2:$B$1349,0))</f>
        <v>#N/A</v>
      </c>
      <c r="Y1078" s="9" t="e">
        <f>INDEX(Lookup!$F$2:$F$1349, MATCH(W1078, Lookup!$B$2:$B$1349,0))</f>
        <v>#N/A</v>
      </c>
      <c r="Z1078" s="6" t="e">
        <f>INDEX(Lookup!$C$2:$C$1300, MATCH(X1078, Lookup!$A$2:$A$1300,0))</f>
        <v>#N/A</v>
      </c>
    </row>
    <row r="1079" spans="1:26" ht="28.15" customHeight="1" x14ac:dyDescent="0.2">
      <c r="A1079" s="6" t="s">
        <v>931</v>
      </c>
      <c r="B1079" s="1" t="s">
        <v>5437</v>
      </c>
      <c r="C1079" s="2">
        <v>769</v>
      </c>
      <c r="D1079" s="2">
        <v>29712</v>
      </c>
      <c r="E1079" s="2">
        <v>32</v>
      </c>
      <c r="F1079" s="2">
        <v>4180</v>
      </c>
      <c r="G1079" s="2">
        <v>10</v>
      </c>
      <c r="H1079" s="2">
        <v>2884</v>
      </c>
      <c r="I1079" s="2">
        <v>11</v>
      </c>
      <c r="J1079" s="2">
        <v>510</v>
      </c>
      <c r="M1079" s="2">
        <v>104</v>
      </c>
      <c r="N1079" s="2">
        <v>3473</v>
      </c>
      <c r="O1079" s="2">
        <v>2</v>
      </c>
      <c r="P1079" s="2">
        <v>4570</v>
      </c>
      <c r="Q1079" s="2">
        <v>35257</v>
      </c>
      <c r="R1079" s="2">
        <v>17315</v>
      </c>
      <c r="S1079" s="2">
        <v>97901</v>
      </c>
      <c r="T1079" s="10">
        <f t="shared" si="55"/>
        <v>36776</v>
      </c>
      <c r="U1079" s="8">
        <f t="shared" si="56"/>
        <v>0.37564478401650647</v>
      </c>
      <c r="V1079" s="9" t="s">
        <v>5271</v>
      </c>
      <c r="W1079" s="9" t="str">
        <f t="shared" si="57"/>
        <v>Barnack RD</v>
      </c>
      <c r="X1079" s="9" t="str">
        <f>INDEX(Lookup!$A$2:$A$1349, MATCH(W1079, Lookup!$B$2:$B$1349,0))</f>
        <v>J04000081</v>
      </c>
      <c r="Y1079" s="9" t="str">
        <f>INDEX(Lookup!$F$2:$F$1349, MATCH(W1079, Lookup!$B$2:$B$1349,0))</f>
        <v>e180503</v>
      </c>
      <c r="Z1079" s="6" t="str">
        <f>INDEX(Lookup!$C$2:$C$1300, MATCH(X1079, Lookup!$A$2:$A$1300,0))</f>
        <v>Cambridgeshire</v>
      </c>
    </row>
    <row r="1080" spans="1:26" ht="28.15" customHeight="1" x14ac:dyDescent="0.2">
      <c r="A1080" s="6" t="s">
        <v>930</v>
      </c>
      <c r="B1080" s="1" t="s">
        <v>930</v>
      </c>
      <c r="C1080" s="2">
        <v>2510</v>
      </c>
      <c r="D1080" s="2">
        <v>114457</v>
      </c>
      <c r="E1080" s="2">
        <v>46</v>
      </c>
      <c r="F1080" s="2">
        <v>5632</v>
      </c>
      <c r="G1080" s="2">
        <v>9</v>
      </c>
      <c r="H1080" s="2">
        <v>2939</v>
      </c>
      <c r="I1080" s="2">
        <v>48</v>
      </c>
      <c r="J1080" s="2">
        <v>3589</v>
      </c>
      <c r="K1080" s="2">
        <v>3</v>
      </c>
      <c r="L1080" s="2">
        <v>70</v>
      </c>
      <c r="M1080" s="2">
        <v>112</v>
      </c>
      <c r="N1080" s="2">
        <v>11087</v>
      </c>
      <c r="O1080" s="2">
        <v>5</v>
      </c>
      <c r="P1080" s="2">
        <v>6250</v>
      </c>
      <c r="Q1080" s="2">
        <v>40</v>
      </c>
      <c r="R1080" s="2">
        <v>55126</v>
      </c>
      <c r="S1080" s="2">
        <v>199190</v>
      </c>
      <c r="T1080" s="10">
        <f t="shared" si="55"/>
        <v>123028</v>
      </c>
      <c r="U1080" s="8">
        <f t="shared" si="56"/>
        <v>0.61764144786384856</v>
      </c>
      <c r="V1080" s="9" t="s">
        <v>5271</v>
      </c>
      <c r="W1080" s="9" t="str">
        <f t="shared" si="57"/>
        <v>Peterborough RD</v>
      </c>
      <c r="X1080" s="9" t="str">
        <f>INDEX(Lookup!$A$2:$A$1349, MATCH(W1080, Lookup!$B$2:$B$1349,0))</f>
        <v>J04000987</v>
      </c>
      <c r="Y1080" s="9" t="str">
        <f>INDEX(Lookup!$F$2:$F$1349, MATCH(W1080, Lookup!$B$2:$B$1349,0))</f>
        <v>e180507</v>
      </c>
      <c r="Z1080" s="6" t="str">
        <f>INDEX(Lookup!$C$2:$C$1300, MATCH(X1080, Lookup!$A$2:$A$1300,0))</f>
        <v>Cambridgeshire</v>
      </c>
    </row>
    <row r="1081" spans="1:26" ht="28.15" customHeight="1" x14ac:dyDescent="0.2">
      <c r="A1081" s="6" t="s">
        <v>932</v>
      </c>
      <c r="B1081" s="1" t="s">
        <v>932</v>
      </c>
      <c r="T1081" s="10"/>
      <c r="W1081" s="9" t="str">
        <f t="shared" si="57"/>
        <v xml:space="preserve">SOMERSET: </v>
      </c>
      <c r="X1081" s="9" t="e">
        <f>INDEX(Lookup!$A$2:$A$1349, MATCH(W1081, Lookup!$B$2:$B$1349,0))</f>
        <v>#N/A</v>
      </c>
      <c r="Y1081" s="9" t="e">
        <f>INDEX(Lookup!$F$2:$F$1349, MATCH(W1081, Lookup!$B$2:$B$1349,0))</f>
        <v>#N/A</v>
      </c>
      <c r="Z1081" s="6" t="e">
        <f>INDEX(Lookup!$C$2:$C$1300, MATCH(X1081, Lookup!$A$2:$A$1300,0))</f>
        <v>#N/A</v>
      </c>
    </row>
    <row r="1082" spans="1:26" ht="28.15" customHeight="1" x14ac:dyDescent="0.2">
      <c r="A1082" s="6" t="s">
        <v>370</v>
      </c>
      <c r="B1082" s="1" t="s">
        <v>370</v>
      </c>
      <c r="T1082" s="10"/>
      <c r="W1082" s="9" t="str">
        <f t="shared" si="57"/>
        <v xml:space="preserve">Non-County Boroughs </v>
      </c>
      <c r="X1082" s="9" t="e">
        <f>INDEX(Lookup!$A$2:$A$1349, MATCH(W1082, Lookup!$B$2:$B$1349,0))</f>
        <v>#N/A</v>
      </c>
      <c r="Y1082" s="9" t="e">
        <f>INDEX(Lookup!$F$2:$F$1349, MATCH(W1082, Lookup!$B$2:$B$1349,0))</f>
        <v>#N/A</v>
      </c>
      <c r="Z1082" s="6" t="e">
        <f>INDEX(Lookup!$C$2:$C$1300, MATCH(X1082, Lookup!$A$2:$A$1300,0))</f>
        <v>#N/A</v>
      </c>
    </row>
    <row r="1083" spans="1:26" ht="28.15" customHeight="1" x14ac:dyDescent="0.2">
      <c r="A1083" s="6" t="s">
        <v>933</v>
      </c>
      <c r="B1083" s="1" t="s">
        <v>933</v>
      </c>
      <c r="C1083" s="2">
        <v>7473</v>
      </c>
      <c r="D1083" s="2">
        <v>375327</v>
      </c>
      <c r="E1083" s="2">
        <v>329</v>
      </c>
      <c r="F1083" s="2">
        <v>39288</v>
      </c>
      <c r="I1083" s="2">
        <v>427</v>
      </c>
      <c r="J1083" s="2">
        <v>124766</v>
      </c>
      <c r="K1083" s="2">
        <v>99</v>
      </c>
      <c r="L1083" s="2">
        <v>10917</v>
      </c>
      <c r="M1083" s="2">
        <v>1127</v>
      </c>
      <c r="N1083" s="2">
        <v>73069</v>
      </c>
      <c r="O1083" s="2">
        <v>69</v>
      </c>
      <c r="P1083" s="2">
        <v>260585</v>
      </c>
      <c r="Q1083" s="2">
        <v>14211</v>
      </c>
      <c r="R1083" s="2">
        <v>105736</v>
      </c>
      <c r="S1083" s="2">
        <v>1003899</v>
      </c>
      <c r="T1083" s="10">
        <f>SUM(D1083+F1083)</f>
        <v>414615</v>
      </c>
      <c r="U1083" s="8">
        <f t="shared" si="56"/>
        <v>0.4130046946953827</v>
      </c>
      <c r="V1083" s="9" t="s">
        <v>5268</v>
      </c>
      <c r="W1083" s="9" t="str">
        <f t="shared" si="57"/>
        <v>Bridgwater MB</v>
      </c>
      <c r="X1083" s="9" t="str">
        <f>INDEX(Lookup!$A$2:$A$1349, MATCH(W1083, Lookup!$B$2:$B$1349,0))</f>
        <v>J04000201</v>
      </c>
      <c r="Y1083" s="9" t="str">
        <f>INDEX(Lookup!$F$2:$F$1349, MATCH(W1083, Lookup!$B$2:$B$1349,0))</f>
        <v>e320903</v>
      </c>
      <c r="Z1083" s="6" t="str">
        <f>INDEX(Lookup!$C$2:$C$1300, MATCH(X1083, Lookup!$A$2:$A$1300,0))</f>
        <v>Somerset</v>
      </c>
    </row>
    <row r="1084" spans="1:26" ht="28.15" customHeight="1" x14ac:dyDescent="0.2">
      <c r="A1084" s="6" t="s">
        <v>934</v>
      </c>
      <c r="B1084" s="1" t="s">
        <v>934</v>
      </c>
      <c r="C1084" s="2">
        <v>1783</v>
      </c>
      <c r="D1084" s="2">
        <v>84698</v>
      </c>
      <c r="E1084" s="2">
        <v>130</v>
      </c>
      <c r="F1084" s="2">
        <v>15906</v>
      </c>
      <c r="G1084" s="2">
        <v>5</v>
      </c>
      <c r="H1084" s="2">
        <v>1242</v>
      </c>
      <c r="I1084" s="2">
        <v>107</v>
      </c>
      <c r="J1084" s="2">
        <v>20803</v>
      </c>
      <c r="K1084" s="2">
        <v>35</v>
      </c>
      <c r="L1084" s="2">
        <v>4033</v>
      </c>
      <c r="M1084" s="2">
        <v>241</v>
      </c>
      <c r="N1084" s="2">
        <v>12310</v>
      </c>
      <c r="O1084" s="2">
        <v>23</v>
      </c>
      <c r="P1084" s="2">
        <v>40284</v>
      </c>
      <c r="Q1084" s="2">
        <v>1151</v>
      </c>
      <c r="R1084" s="2">
        <v>27674</v>
      </c>
      <c r="S1084" s="2">
        <v>208101</v>
      </c>
      <c r="T1084" s="10">
        <f t="shared" si="55"/>
        <v>101846</v>
      </c>
      <c r="U1084" s="8">
        <f t="shared" si="56"/>
        <v>0.48940658622495808</v>
      </c>
      <c r="V1084" s="9" t="s">
        <v>5268</v>
      </c>
      <c r="W1084" s="9" t="str">
        <f t="shared" si="57"/>
        <v>Chard MB</v>
      </c>
      <c r="X1084" s="9" t="str">
        <f>INDEX(Lookup!$A$2:$A$1349, MATCH(W1084, Lookup!$B$2:$B$1349,0))</f>
        <v>J04000281</v>
      </c>
      <c r="Y1084" s="9" t="str">
        <f>INDEX(Lookup!$F$2:$F$1349, MATCH(W1084, Lookup!$B$2:$B$1349,0))</f>
        <v>e320905</v>
      </c>
      <c r="Z1084" s="6" t="str">
        <f>INDEX(Lookup!$C$2:$C$1300, MATCH(X1084, Lookup!$A$2:$A$1300,0))</f>
        <v>Somerset</v>
      </c>
    </row>
    <row r="1085" spans="1:26" ht="28.15" customHeight="1" x14ac:dyDescent="0.2">
      <c r="A1085" s="6" t="s">
        <v>935</v>
      </c>
      <c r="B1085" s="1" t="s">
        <v>935</v>
      </c>
      <c r="C1085" s="2">
        <v>1691</v>
      </c>
      <c r="D1085" s="2">
        <v>90559</v>
      </c>
      <c r="E1085" s="2">
        <v>156</v>
      </c>
      <c r="F1085" s="2">
        <v>19838</v>
      </c>
      <c r="G1085" s="2">
        <v>8</v>
      </c>
      <c r="H1085" s="2">
        <v>2306</v>
      </c>
      <c r="I1085" s="2">
        <v>126</v>
      </c>
      <c r="J1085" s="2">
        <v>23363</v>
      </c>
      <c r="K1085" s="2">
        <v>16</v>
      </c>
      <c r="L1085" s="2">
        <v>1580</v>
      </c>
      <c r="M1085" s="2">
        <v>233</v>
      </c>
      <c r="N1085" s="2">
        <v>14324</v>
      </c>
      <c r="O1085" s="2">
        <v>17</v>
      </c>
      <c r="P1085" s="2">
        <v>40280</v>
      </c>
      <c r="Q1085" s="2">
        <v>739</v>
      </c>
      <c r="R1085" s="2">
        <v>28775</v>
      </c>
      <c r="S1085" s="2">
        <v>221764</v>
      </c>
      <c r="T1085" s="10">
        <f t="shared" si="55"/>
        <v>112703</v>
      </c>
      <c r="U1085" s="8">
        <f t="shared" si="56"/>
        <v>0.50821143197272778</v>
      </c>
      <c r="V1085" s="9" t="s">
        <v>5268</v>
      </c>
      <c r="W1085" s="9" t="str">
        <f t="shared" si="57"/>
        <v>Glastonbury MB</v>
      </c>
      <c r="X1085" s="9" t="str">
        <f>INDEX(Lookup!$A$2:$A$1349, MATCH(W1085, Lookup!$B$2:$B$1349,0))</f>
        <v>J04000533</v>
      </c>
      <c r="Y1085" s="9" t="str">
        <f>INDEX(Lookup!$F$2:$F$1349, MATCH(W1085, Lookup!$B$2:$B$1349,0))</f>
        <v>e320909</v>
      </c>
      <c r="Z1085" s="6" t="str">
        <f>INDEX(Lookup!$C$2:$C$1300, MATCH(X1085, Lookup!$A$2:$A$1300,0))</f>
        <v>Somerset</v>
      </c>
    </row>
    <row r="1086" spans="1:26" ht="28.15" customHeight="1" x14ac:dyDescent="0.2">
      <c r="A1086" s="6" t="s">
        <v>936</v>
      </c>
      <c r="B1086" s="1" t="s">
        <v>936</v>
      </c>
      <c r="C1086" s="2">
        <v>9823</v>
      </c>
      <c r="D1086" s="2">
        <v>518280</v>
      </c>
      <c r="E1086" s="2">
        <v>1167</v>
      </c>
      <c r="F1086" s="2">
        <v>148992</v>
      </c>
      <c r="G1086" s="2">
        <v>27</v>
      </c>
      <c r="H1086" s="2">
        <v>4778</v>
      </c>
      <c r="I1086" s="2">
        <v>623</v>
      </c>
      <c r="J1086" s="2">
        <v>286731</v>
      </c>
      <c r="K1086" s="2">
        <v>232</v>
      </c>
      <c r="L1086" s="2">
        <v>36802</v>
      </c>
      <c r="M1086" s="2">
        <v>1643</v>
      </c>
      <c r="N1086" s="2">
        <v>107507</v>
      </c>
      <c r="O1086" s="2">
        <v>82</v>
      </c>
      <c r="P1086" s="2">
        <v>60884</v>
      </c>
      <c r="Q1086" s="2">
        <v>27862</v>
      </c>
      <c r="R1086" s="2">
        <v>160896</v>
      </c>
      <c r="S1086" s="2">
        <v>1352732</v>
      </c>
      <c r="T1086" s="10">
        <f t="shared" si="55"/>
        <v>672050</v>
      </c>
      <c r="U1086" s="8">
        <f t="shared" si="56"/>
        <v>0.49680941975202775</v>
      </c>
      <c r="V1086" s="9" t="s">
        <v>5268</v>
      </c>
      <c r="W1086" s="9" t="str">
        <f t="shared" si="57"/>
        <v>Taunton MB</v>
      </c>
      <c r="X1086" s="9" t="str">
        <f>INDEX(Lookup!$A$2:$A$1349, MATCH(W1086, Lookup!$B$2:$B$1349,0))</f>
        <v>J04001251</v>
      </c>
      <c r="Y1086" s="9" t="str">
        <f>INDEX(Lookup!$F$2:$F$1349, MATCH(W1086, Lookup!$B$2:$B$1349,0))</f>
        <v>e320917</v>
      </c>
      <c r="Z1086" s="6" t="str">
        <f>INDEX(Lookup!$C$2:$C$1300, MATCH(X1086, Lookup!$A$2:$A$1300,0))</f>
        <v>Somerset</v>
      </c>
    </row>
    <row r="1087" spans="1:26" ht="28.15" customHeight="1" x14ac:dyDescent="0.2">
      <c r="A1087" s="6" t="s">
        <v>937</v>
      </c>
      <c r="B1087" s="1" t="s">
        <v>5438</v>
      </c>
      <c r="C1087" s="2">
        <v>1943</v>
      </c>
      <c r="D1087" s="2">
        <v>96186</v>
      </c>
      <c r="E1087" s="2">
        <v>269</v>
      </c>
      <c r="F1087" s="2">
        <v>34917</v>
      </c>
      <c r="G1087" s="2">
        <v>14</v>
      </c>
      <c r="H1087" s="2">
        <v>3499</v>
      </c>
      <c r="I1087" s="2">
        <v>163</v>
      </c>
      <c r="J1087" s="2">
        <v>42367</v>
      </c>
      <c r="K1087" s="2">
        <v>33</v>
      </c>
      <c r="L1087" s="2">
        <v>5491</v>
      </c>
      <c r="M1087" s="2">
        <v>390</v>
      </c>
      <c r="N1087" s="2">
        <v>24665</v>
      </c>
      <c r="O1087" s="2">
        <v>21</v>
      </c>
      <c r="P1087" s="2">
        <v>19265</v>
      </c>
      <c r="Q1087" s="2">
        <v>4521</v>
      </c>
      <c r="R1087" s="2">
        <v>38103</v>
      </c>
      <c r="S1087" s="2">
        <v>269014</v>
      </c>
      <c r="T1087" s="10">
        <f t="shared" si="55"/>
        <v>134602</v>
      </c>
      <c r="U1087" s="8">
        <f t="shared" si="56"/>
        <v>0.50035314147219101</v>
      </c>
      <c r="V1087" s="9" t="s">
        <v>5268</v>
      </c>
      <c r="W1087" s="9" t="str">
        <f t="shared" si="57"/>
        <v>Wells, city of MB</v>
      </c>
      <c r="X1087" s="9" t="str">
        <f>INDEX(Lookup!$A$2:$A$1349, MATCH(W1087, Lookup!$B$2:$B$1349,0))</f>
        <v>J04001369</v>
      </c>
      <c r="Y1087" s="9" t="str">
        <f>INDEX(Lookup!$F$2:$F$1349, MATCH(W1087, Lookup!$B$2:$B$1349,0))</f>
        <v>e320920</v>
      </c>
      <c r="Z1087" s="6" t="str">
        <f>INDEX(Lookup!$C$2:$C$1300, MATCH(X1087, Lookup!$A$2:$A$1300,0))</f>
        <v>Somerset</v>
      </c>
    </row>
    <row r="1088" spans="1:26" ht="28.15" customHeight="1" x14ac:dyDescent="0.2">
      <c r="A1088" s="6" t="s">
        <v>938</v>
      </c>
      <c r="B1088" s="1" t="s">
        <v>938</v>
      </c>
      <c r="C1088" s="2">
        <v>11144</v>
      </c>
      <c r="D1088" s="2">
        <v>736787</v>
      </c>
      <c r="E1088" s="2">
        <v>2827</v>
      </c>
      <c r="F1088" s="2">
        <v>359437</v>
      </c>
      <c r="G1088" s="2">
        <v>54</v>
      </c>
      <c r="H1088" s="2">
        <v>12071</v>
      </c>
      <c r="I1088" s="2">
        <v>845</v>
      </c>
      <c r="J1088" s="2">
        <v>269058</v>
      </c>
      <c r="K1088" s="2">
        <v>152</v>
      </c>
      <c r="L1088" s="2">
        <v>25292</v>
      </c>
      <c r="M1088" s="2">
        <v>1599</v>
      </c>
      <c r="N1088" s="2">
        <v>177055</v>
      </c>
      <c r="O1088" s="2">
        <v>54</v>
      </c>
      <c r="P1088" s="2">
        <v>34195</v>
      </c>
      <c r="Q1088" s="2">
        <v>12001</v>
      </c>
      <c r="R1088" s="2">
        <v>226479</v>
      </c>
      <c r="S1088" s="2">
        <v>1852375</v>
      </c>
      <c r="T1088" s="10">
        <f t="shared" si="55"/>
        <v>1108295</v>
      </c>
      <c r="U1088" s="8">
        <f t="shared" si="56"/>
        <v>0.59831027734664954</v>
      </c>
      <c r="V1088" s="9" t="s">
        <v>5268</v>
      </c>
      <c r="W1088" s="9" t="str">
        <f t="shared" si="57"/>
        <v>Weston-Super-Mare MB</v>
      </c>
      <c r="X1088" s="9" t="str">
        <f>INDEX(Lookup!$A$2:$A$1349, MATCH(W1088, Lookup!$B$2:$B$1349,0))</f>
        <v>J04001392</v>
      </c>
      <c r="Y1088" s="9" t="str">
        <f>INDEX(Lookup!$F$2:$F$1349, MATCH(W1088, Lookup!$B$2:$B$1349,0))</f>
        <v>e320921</v>
      </c>
      <c r="Z1088" s="6" t="str">
        <f>INDEX(Lookup!$C$2:$C$1300, MATCH(X1088, Lookup!$A$2:$A$1300,0))</f>
        <v>Avon</v>
      </c>
    </row>
    <row r="1089" spans="1:26" ht="28.15" customHeight="1" x14ac:dyDescent="0.2">
      <c r="A1089" s="6" t="s">
        <v>939</v>
      </c>
      <c r="B1089" s="1" t="s">
        <v>939</v>
      </c>
      <c r="C1089" s="2">
        <v>7107</v>
      </c>
      <c r="D1089" s="2">
        <v>396470</v>
      </c>
      <c r="E1089" s="2">
        <v>824</v>
      </c>
      <c r="F1089" s="2">
        <v>101632</v>
      </c>
      <c r="G1089" s="2">
        <v>42</v>
      </c>
      <c r="H1089" s="2">
        <v>10946</v>
      </c>
      <c r="I1089" s="2">
        <v>428</v>
      </c>
      <c r="J1089" s="2">
        <v>210367</v>
      </c>
      <c r="K1089" s="2">
        <v>128</v>
      </c>
      <c r="L1089" s="2">
        <v>20138</v>
      </c>
      <c r="M1089" s="2">
        <v>1150</v>
      </c>
      <c r="N1089" s="2">
        <v>87345</v>
      </c>
      <c r="O1089" s="2">
        <v>101</v>
      </c>
      <c r="P1089" s="2">
        <v>155857</v>
      </c>
      <c r="Q1089" s="2">
        <v>8698</v>
      </c>
      <c r="R1089" s="2">
        <v>119541</v>
      </c>
      <c r="S1089" s="2">
        <v>1110994</v>
      </c>
      <c r="T1089" s="10">
        <f t="shared" si="55"/>
        <v>509048</v>
      </c>
      <c r="U1089" s="8">
        <f t="shared" si="56"/>
        <v>0.45819149338340259</v>
      </c>
      <c r="V1089" s="9" t="s">
        <v>5268</v>
      </c>
      <c r="W1089" s="9" t="str">
        <f t="shared" si="57"/>
        <v>Yeovil MB</v>
      </c>
      <c r="X1089" s="9" t="str">
        <f>INDEX(Lookup!$A$2:$A$1349, MATCH(W1089, Lookup!$B$2:$B$1349,0))</f>
        <v>J04001463</v>
      </c>
      <c r="Y1089" s="9" t="str">
        <f>INDEX(Lookup!$F$2:$F$1349, MATCH(W1089, Lookup!$B$2:$B$1349,0))</f>
        <v>e320922</v>
      </c>
      <c r="Z1089" s="6" t="str">
        <f>INDEX(Lookup!$C$2:$C$1300, MATCH(X1089, Lookup!$A$2:$A$1300,0))</f>
        <v>Somerset</v>
      </c>
    </row>
    <row r="1090" spans="1:26" ht="28.15" customHeight="1" x14ac:dyDescent="0.2">
      <c r="A1090" s="6" t="s">
        <v>179</v>
      </c>
      <c r="B1090" s="1" t="s">
        <v>179</v>
      </c>
      <c r="T1090" s="10"/>
      <c r="W1090" s="9" t="str">
        <f t="shared" si="57"/>
        <v xml:space="preserve">Urban Districts-- </v>
      </c>
      <c r="X1090" s="9" t="e">
        <f>INDEX(Lookup!$A$2:$A$1349, MATCH(W1090, Lookup!$B$2:$B$1349,0))</f>
        <v>#N/A</v>
      </c>
      <c r="Y1090" s="9" t="e">
        <f>INDEX(Lookup!$F$2:$F$1349, MATCH(W1090, Lookup!$B$2:$B$1349,0))</f>
        <v>#N/A</v>
      </c>
      <c r="Z1090" s="6" t="e">
        <f>INDEX(Lookup!$C$2:$C$1300, MATCH(X1090, Lookup!$A$2:$A$1300,0))</f>
        <v>#N/A</v>
      </c>
    </row>
    <row r="1091" spans="1:26" ht="28.15" customHeight="1" x14ac:dyDescent="0.2">
      <c r="A1091" s="6" t="s">
        <v>940</v>
      </c>
      <c r="B1091" s="1" t="s">
        <v>940</v>
      </c>
      <c r="C1091" s="2">
        <v>2735</v>
      </c>
      <c r="D1091" s="2">
        <v>155315</v>
      </c>
      <c r="E1091" s="2">
        <v>426</v>
      </c>
      <c r="F1091" s="2">
        <v>54842</v>
      </c>
      <c r="G1091" s="2">
        <v>19</v>
      </c>
      <c r="H1091" s="2">
        <v>4222</v>
      </c>
      <c r="I1091" s="2">
        <v>245</v>
      </c>
      <c r="J1091" s="2">
        <v>36479</v>
      </c>
      <c r="K1091" s="2">
        <v>25</v>
      </c>
      <c r="L1091" s="2">
        <v>1438</v>
      </c>
      <c r="M1091" s="2">
        <v>261</v>
      </c>
      <c r="N1091" s="2">
        <v>27746</v>
      </c>
      <c r="O1091" s="2">
        <v>21</v>
      </c>
      <c r="P1091" s="2">
        <v>20990</v>
      </c>
      <c r="Q1091" s="2">
        <v>1651</v>
      </c>
      <c r="R1091" s="2">
        <v>38224</v>
      </c>
      <c r="S1091" s="2">
        <v>340907</v>
      </c>
      <c r="T1091" s="10">
        <f t="shared" ref="T1091:T1155" si="58">SUM(D1091+F1091+H1091)</f>
        <v>214379</v>
      </c>
      <c r="U1091" s="8">
        <f t="shared" ref="U1091:U1155" si="59">T1091/S1091</f>
        <v>0.6288489236067315</v>
      </c>
      <c r="V1091" s="9" t="s">
        <v>5270</v>
      </c>
      <c r="W1091" s="9" t="str">
        <f t="shared" ref="W1091:W1155" si="60">_xlfn.CONCAT(B1091," ",V1091)</f>
        <v>Burnham-on-Sea UD</v>
      </c>
      <c r="X1091" s="9" t="str">
        <f>INDEX(Lookup!$A$2:$A$1349, MATCH(W1091, Lookup!$B$2:$B$1349,0))</f>
        <v>J04000238</v>
      </c>
      <c r="Y1091" s="9" t="str">
        <f>INDEX(Lookup!$F$2:$F$1349, MATCH(W1091, Lookup!$B$2:$B$1349,0))</f>
        <v>e320904</v>
      </c>
      <c r="Z1091" s="6" t="str">
        <f>INDEX(Lookup!$C$2:$C$1300, MATCH(X1091, Lookup!$A$2:$A$1300,0))</f>
        <v>Somerset</v>
      </c>
    </row>
    <row r="1092" spans="1:26" ht="28.15" customHeight="1" x14ac:dyDescent="0.2">
      <c r="A1092" s="6" t="s">
        <v>941</v>
      </c>
      <c r="B1092" s="1" t="s">
        <v>941</v>
      </c>
      <c r="C1092" s="2">
        <v>2702</v>
      </c>
      <c r="D1092" s="2">
        <v>159090</v>
      </c>
      <c r="E1092" s="2">
        <v>771</v>
      </c>
      <c r="F1092" s="2">
        <v>102028</v>
      </c>
      <c r="G1092" s="2">
        <v>50</v>
      </c>
      <c r="H1092" s="2">
        <v>11204</v>
      </c>
      <c r="I1092" s="2">
        <v>197</v>
      </c>
      <c r="J1092" s="2">
        <v>33039</v>
      </c>
      <c r="K1092" s="2">
        <v>34</v>
      </c>
      <c r="L1092" s="2">
        <v>3782</v>
      </c>
      <c r="M1092" s="2">
        <v>263</v>
      </c>
      <c r="N1092" s="2">
        <v>19607</v>
      </c>
      <c r="O1092" s="2">
        <v>23</v>
      </c>
      <c r="P1092" s="2">
        <v>32660</v>
      </c>
      <c r="Q1092" s="2">
        <v>2328</v>
      </c>
      <c r="R1092" s="2">
        <v>44542</v>
      </c>
      <c r="S1092" s="2">
        <v>408280</v>
      </c>
      <c r="T1092" s="10">
        <f t="shared" si="58"/>
        <v>272322</v>
      </c>
      <c r="U1092" s="8">
        <f t="shared" si="59"/>
        <v>0.66699813853237977</v>
      </c>
      <c r="V1092" s="9" t="s">
        <v>5270</v>
      </c>
      <c r="W1092" s="9" t="str">
        <f t="shared" si="60"/>
        <v>Clevedon UD</v>
      </c>
      <c r="X1092" s="9" t="str">
        <f>INDEX(Lookup!$A$2:$A$1349, MATCH(W1092, Lookup!$B$2:$B$1349,0))</f>
        <v>J04000327</v>
      </c>
      <c r="Y1092" s="9" t="str">
        <f>INDEX(Lookup!$F$2:$F$1349, MATCH(W1092, Lookup!$B$2:$B$1349,0))</f>
        <v>e320906</v>
      </c>
      <c r="Z1092" s="6" t="str">
        <f>INDEX(Lookup!$C$2:$C$1300, MATCH(X1092, Lookup!$A$2:$A$1300,0))</f>
        <v>Avon</v>
      </c>
    </row>
    <row r="1093" spans="1:26" ht="28.15" customHeight="1" x14ac:dyDescent="0.2">
      <c r="A1093" s="6" t="s">
        <v>942</v>
      </c>
      <c r="B1093" s="1" t="s">
        <v>942</v>
      </c>
      <c r="C1093" s="2">
        <v>1448</v>
      </c>
      <c r="D1093" s="2">
        <v>66118</v>
      </c>
      <c r="E1093" s="2">
        <v>79</v>
      </c>
      <c r="F1093" s="2">
        <v>9398</v>
      </c>
      <c r="G1093" s="2">
        <v>3</v>
      </c>
      <c r="H1093" s="2">
        <v>718</v>
      </c>
      <c r="I1093" s="2">
        <v>96</v>
      </c>
      <c r="J1093" s="2">
        <v>18144</v>
      </c>
      <c r="K1093" s="2">
        <v>17</v>
      </c>
      <c r="L1093" s="2">
        <v>1744</v>
      </c>
      <c r="M1093" s="2">
        <v>212</v>
      </c>
      <c r="N1093" s="2">
        <v>10496</v>
      </c>
      <c r="O1093" s="2">
        <v>19</v>
      </c>
      <c r="P1093" s="2">
        <v>24213</v>
      </c>
      <c r="Q1093" s="2">
        <v>525</v>
      </c>
      <c r="R1093" s="2">
        <v>18414</v>
      </c>
      <c r="S1093" s="2">
        <v>149770</v>
      </c>
      <c r="T1093" s="10">
        <f t="shared" si="58"/>
        <v>76234</v>
      </c>
      <c r="U1093" s="8">
        <f t="shared" si="59"/>
        <v>0.50900714428790816</v>
      </c>
      <c r="V1093" s="9" t="s">
        <v>5270</v>
      </c>
      <c r="W1093" s="9" t="str">
        <f t="shared" si="60"/>
        <v>Crewkerne UD</v>
      </c>
      <c r="X1093" s="9" t="str">
        <f>INDEX(Lookup!$A$2:$A$1349, MATCH(W1093, Lookup!$B$2:$B$1349,0))</f>
        <v>J04000362</v>
      </c>
      <c r="Y1093" s="9" t="str">
        <f>INDEX(Lookup!$F$2:$F$1349, MATCH(W1093, Lookup!$B$2:$B$1349,0))</f>
        <v>e320907</v>
      </c>
      <c r="Z1093" s="6" t="str">
        <f>INDEX(Lookup!$C$2:$C$1300, MATCH(X1093, Lookup!$A$2:$A$1300,0))</f>
        <v>Somerset</v>
      </c>
    </row>
    <row r="1094" spans="1:26" ht="28.15" customHeight="1" x14ac:dyDescent="0.2">
      <c r="A1094" s="6" t="s">
        <v>943</v>
      </c>
      <c r="B1094" s="1" t="s">
        <v>943</v>
      </c>
      <c r="C1094" s="2">
        <v>3703</v>
      </c>
      <c r="D1094" s="2">
        <v>164447</v>
      </c>
      <c r="E1094" s="2">
        <v>157</v>
      </c>
      <c r="F1094" s="2">
        <v>19861</v>
      </c>
      <c r="G1094" s="2">
        <v>7</v>
      </c>
      <c r="H1094" s="2">
        <v>1554</v>
      </c>
      <c r="I1094" s="2">
        <v>285</v>
      </c>
      <c r="J1094" s="2">
        <v>48239</v>
      </c>
      <c r="K1094" s="2">
        <v>42</v>
      </c>
      <c r="L1094" s="2">
        <v>3522</v>
      </c>
      <c r="M1094" s="2">
        <v>592</v>
      </c>
      <c r="N1094" s="2">
        <v>36269</v>
      </c>
      <c r="O1094" s="2">
        <v>36</v>
      </c>
      <c r="P1094" s="2">
        <v>72150</v>
      </c>
      <c r="Q1094" s="2">
        <v>4979</v>
      </c>
      <c r="R1094" s="2">
        <v>36984</v>
      </c>
      <c r="S1094" s="2">
        <v>388005</v>
      </c>
      <c r="T1094" s="10">
        <f t="shared" si="58"/>
        <v>185862</v>
      </c>
      <c r="U1094" s="8">
        <f t="shared" si="59"/>
        <v>0.47901960026288321</v>
      </c>
      <c r="V1094" s="9" t="s">
        <v>5270</v>
      </c>
      <c r="W1094" s="9" t="str">
        <f t="shared" si="60"/>
        <v>Frome UD</v>
      </c>
      <c r="X1094" s="9" t="str">
        <f>INDEX(Lookup!$A$2:$A$1349, MATCH(W1094, Lookup!$B$2:$B$1349,0))</f>
        <v>J04000520</v>
      </c>
      <c r="Y1094" s="9" t="str">
        <f>INDEX(Lookup!$F$2:$F$1349, MATCH(W1094, Lookup!$B$2:$B$1349,0))</f>
        <v>e320908</v>
      </c>
      <c r="Z1094" s="6" t="str">
        <f>INDEX(Lookup!$C$2:$C$1300, MATCH(X1094, Lookup!$A$2:$A$1300,0))</f>
        <v>Somerset</v>
      </c>
    </row>
    <row r="1095" spans="1:26" ht="28.15" customHeight="1" x14ac:dyDescent="0.2">
      <c r="A1095" s="6" t="s">
        <v>944</v>
      </c>
      <c r="B1095" s="1" t="s">
        <v>5440</v>
      </c>
      <c r="C1095" s="2">
        <v>893</v>
      </c>
      <c r="D1095" s="2">
        <v>38726</v>
      </c>
      <c r="E1095" s="2">
        <v>70</v>
      </c>
      <c r="F1095" s="2">
        <v>9328</v>
      </c>
      <c r="G1095" s="2" t="s">
        <v>290</v>
      </c>
      <c r="I1095" s="2">
        <v>73</v>
      </c>
      <c r="J1095" s="2">
        <v>10860</v>
      </c>
      <c r="K1095" s="2">
        <v>13</v>
      </c>
      <c r="L1095" s="2">
        <v>925</v>
      </c>
      <c r="M1095" s="2">
        <v>181</v>
      </c>
      <c r="N1095" s="2">
        <v>7025</v>
      </c>
      <c r="O1095" s="2">
        <v>10</v>
      </c>
      <c r="P1095" s="2">
        <v>9880</v>
      </c>
      <c r="Q1095" s="2">
        <v>691</v>
      </c>
      <c r="R1095" s="2">
        <v>13181</v>
      </c>
      <c r="S1095" s="2">
        <v>90616</v>
      </c>
      <c r="T1095" s="10">
        <f>SUM(D1095+F1095)</f>
        <v>48054</v>
      </c>
      <c r="U1095" s="8">
        <f t="shared" si="59"/>
        <v>0.53030369912598219</v>
      </c>
      <c r="V1095" s="9" t="s">
        <v>5270</v>
      </c>
      <c r="W1095" s="9" t="str">
        <f t="shared" si="60"/>
        <v>Ilminster UD</v>
      </c>
      <c r="X1095" s="9" t="str">
        <f>INDEX(Lookup!$A$2:$A$1349, MATCH(W1095, Lookup!$B$2:$B$1349,0))</f>
        <v>J04000669</v>
      </c>
      <c r="Y1095" s="9" t="str">
        <f>INDEX(Lookup!$F$2:$F$1349, MATCH(W1095, Lookup!$B$2:$B$1349,0))</f>
        <v>e320910</v>
      </c>
      <c r="Z1095" s="6" t="str">
        <f>INDEX(Lookup!$C$2:$C$1300, MATCH(X1095, Lookup!$A$2:$A$1300,0))</f>
        <v>Somerset</v>
      </c>
    </row>
    <row r="1096" spans="1:26" ht="28.15" customHeight="1" x14ac:dyDescent="0.2">
      <c r="A1096" s="6" t="s">
        <v>945</v>
      </c>
      <c r="B1096" s="1" t="s">
        <v>945</v>
      </c>
      <c r="C1096" s="2">
        <v>4053</v>
      </c>
      <c r="D1096" s="2">
        <v>271260</v>
      </c>
      <c r="E1096" s="2">
        <v>901</v>
      </c>
      <c r="F1096" s="2">
        <v>108982</v>
      </c>
      <c r="G1096" s="2">
        <v>11</v>
      </c>
      <c r="H1096" s="2">
        <v>2450</v>
      </c>
      <c r="I1096" s="2">
        <v>140</v>
      </c>
      <c r="J1096" s="2">
        <v>45888</v>
      </c>
      <c r="K1096" s="2">
        <v>32</v>
      </c>
      <c r="L1096" s="2">
        <v>3306</v>
      </c>
      <c r="M1096" s="2">
        <v>693</v>
      </c>
      <c r="N1096" s="2">
        <v>27241</v>
      </c>
      <c r="O1096" s="2">
        <v>17</v>
      </c>
      <c r="P1096" s="2">
        <v>168092</v>
      </c>
      <c r="Q1096" s="2">
        <v>5326</v>
      </c>
      <c r="R1096" s="2">
        <v>57370</v>
      </c>
      <c r="S1096" s="2">
        <v>689915</v>
      </c>
      <c r="T1096" s="10">
        <f t="shared" si="58"/>
        <v>382692</v>
      </c>
      <c r="U1096" s="8">
        <f t="shared" si="59"/>
        <v>0.55469441887768778</v>
      </c>
      <c r="V1096" s="9" t="s">
        <v>5270</v>
      </c>
      <c r="W1096" s="9" t="str">
        <f t="shared" si="60"/>
        <v>Keynsham UD</v>
      </c>
      <c r="X1096" s="9" t="str">
        <f>INDEX(Lookup!$A$2:$A$1349, MATCH(W1096, Lookup!$B$2:$B$1349,0))</f>
        <v>J04000690</v>
      </c>
      <c r="Y1096" s="9" t="str">
        <f>INDEX(Lookup!$F$2:$F$1349, MATCH(W1096, Lookup!$B$2:$B$1349,0))</f>
        <v>e320911</v>
      </c>
      <c r="Z1096" s="6" t="str">
        <f>INDEX(Lookup!$C$2:$C$1300, MATCH(X1096, Lookup!$A$2:$A$1300,0))</f>
        <v>Avon</v>
      </c>
    </row>
    <row r="1097" spans="1:26" ht="28.15" customHeight="1" x14ac:dyDescent="0.2">
      <c r="A1097" s="6" t="s">
        <v>946</v>
      </c>
      <c r="B1097" s="1" t="s">
        <v>946</v>
      </c>
      <c r="C1097" s="2">
        <v>1867</v>
      </c>
      <c r="D1097" s="2">
        <v>117129</v>
      </c>
      <c r="E1097" s="2">
        <v>676</v>
      </c>
      <c r="F1097" s="2">
        <v>86115</v>
      </c>
      <c r="G1097" s="2">
        <v>38</v>
      </c>
      <c r="H1097" s="2">
        <v>8874</v>
      </c>
      <c r="I1097" s="2">
        <v>193</v>
      </c>
      <c r="J1097" s="2">
        <v>47575</v>
      </c>
      <c r="K1097" s="2">
        <v>43</v>
      </c>
      <c r="L1097" s="2">
        <v>3775</v>
      </c>
      <c r="M1097" s="2">
        <v>346</v>
      </c>
      <c r="N1097" s="2">
        <v>118579</v>
      </c>
      <c r="O1097" s="2">
        <v>18</v>
      </c>
      <c r="P1097" s="2">
        <v>8937</v>
      </c>
      <c r="Q1097" s="2">
        <v>2642</v>
      </c>
      <c r="R1097" s="2">
        <v>32221</v>
      </c>
      <c r="S1097" s="2">
        <v>425847</v>
      </c>
      <c r="T1097" s="10">
        <f t="shared" si="58"/>
        <v>212118</v>
      </c>
      <c r="U1097" s="8">
        <f t="shared" si="59"/>
        <v>0.49810847557925736</v>
      </c>
      <c r="V1097" s="9" t="s">
        <v>5270</v>
      </c>
      <c r="W1097" s="9" t="str">
        <f t="shared" si="60"/>
        <v>Minehead UD</v>
      </c>
      <c r="X1097" s="9" t="str">
        <f>INDEX(Lookup!$A$2:$A$1349, MATCH(W1097, Lookup!$B$2:$B$1349,0))</f>
        <v>J04000860</v>
      </c>
      <c r="Y1097" s="9" t="str">
        <f>INDEX(Lookup!$F$2:$F$1349, MATCH(W1097, Lookup!$B$2:$B$1349,0))</f>
        <v>e320912</v>
      </c>
      <c r="Z1097" s="6" t="str">
        <f>INDEX(Lookup!$C$2:$C$1300, MATCH(X1097, Lookup!$A$2:$A$1300,0))</f>
        <v>Somerset</v>
      </c>
    </row>
    <row r="1098" spans="1:26" ht="28.15" customHeight="1" x14ac:dyDescent="0.2">
      <c r="A1098" s="6" t="s">
        <v>947</v>
      </c>
      <c r="B1098" s="1" t="s">
        <v>5439</v>
      </c>
      <c r="C1098" s="2">
        <v>4100</v>
      </c>
      <c r="D1098" s="2">
        <v>181344</v>
      </c>
      <c r="E1098" s="2">
        <v>146</v>
      </c>
      <c r="F1098" s="2">
        <v>17573</v>
      </c>
      <c r="G1098" s="2">
        <v>3</v>
      </c>
      <c r="H1098" s="2">
        <v>754</v>
      </c>
      <c r="I1098" s="2">
        <v>185</v>
      </c>
      <c r="J1098" s="2">
        <v>26293</v>
      </c>
      <c r="K1098" s="2">
        <v>23</v>
      </c>
      <c r="L1098" s="2">
        <v>3270</v>
      </c>
      <c r="M1098" s="2">
        <v>470</v>
      </c>
      <c r="N1098" s="2">
        <v>14926</v>
      </c>
      <c r="O1098" s="2">
        <v>40</v>
      </c>
      <c r="P1098" s="2">
        <v>46062</v>
      </c>
      <c r="Q1098" s="2">
        <v>1272</v>
      </c>
      <c r="R1098" s="2">
        <v>56299</v>
      </c>
      <c r="S1098" s="2">
        <v>347793</v>
      </c>
      <c r="T1098" s="10">
        <f t="shared" si="58"/>
        <v>199671</v>
      </c>
      <c r="U1098" s="8">
        <f t="shared" si="59"/>
        <v>0.57410873709361598</v>
      </c>
      <c r="V1098" s="9" t="s">
        <v>5270</v>
      </c>
      <c r="W1098" s="9" t="str">
        <f t="shared" si="60"/>
        <v>Norton Radstock UD</v>
      </c>
      <c r="X1098" s="9" t="str">
        <f>INDEX(Lookup!$A$2:$A$1349, MATCH(W1098, Lookup!$B$2:$B$1349,0))</f>
        <v>J04000938</v>
      </c>
      <c r="Y1098" s="9" t="str">
        <f>INDEX(Lookup!$F$2:$F$1349, MATCH(W1098, Lookup!$B$2:$B$1349,0))</f>
        <v>e320913</v>
      </c>
      <c r="Z1098" s="6" t="str">
        <f>INDEX(Lookup!$C$2:$C$1300, MATCH(X1098, Lookup!$A$2:$A$1300,0))</f>
        <v>Avon</v>
      </c>
    </row>
    <row r="1099" spans="1:26" ht="28.15" customHeight="1" x14ac:dyDescent="0.2">
      <c r="A1099" s="6" t="s">
        <v>948</v>
      </c>
      <c r="B1099" s="1" t="s">
        <v>948</v>
      </c>
      <c r="C1099" s="2">
        <v>1712</v>
      </c>
      <c r="D1099" s="2">
        <v>103333</v>
      </c>
      <c r="E1099" s="2">
        <v>347</v>
      </c>
      <c r="F1099" s="2">
        <v>43521</v>
      </c>
      <c r="G1099" s="2">
        <v>9</v>
      </c>
      <c r="H1099" s="2">
        <v>1986</v>
      </c>
      <c r="I1099" s="2">
        <v>85</v>
      </c>
      <c r="J1099" s="2">
        <v>14835</v>
      </c>
      <c r="K1099" s="2">
        <v>12</v>
      </c>
      <c r="L1099" s="2">
        <v>381</v>
      </c>
      <c r="M1099" s="2">
        <v>155</v>
      </c>
      <c r="N1099" s="2">
        <v>9115</v>
      </c>
      <c r="O1099" s="2">
        <v>2</v>
      </c>
      <c r="P1099" s="2">
        <v>68900</v>
      </c>
      <c r="Q1099" s="2">
        <v>5203</v>
      </c>
      <c r="R1099" s="2">
        <v>302605</v>
      </c>
      <c r="S1099" s="2">
        <v>549879</v>
      </c>
      <c r="T1099" s="10">
        <f t="shared" si="58"/>
        <v>148840</v>
      </c>
      <c r="U1099" s="8">
        <f t="shared" si="59"/>
        <v>0.27067773091898401</v>
      </c>
      <c r="V1099" s="9" t="s">
        <v>5270</v>
      </c>
      <c r="W1099" s="9" t="str">
        <f t="shared" si="60"/>
        <v>Portishead UD</v>
      </c>
      <c r="X1099" s="9" t="str">
        <f>INDEX(Lookup!$A$2:$A$1349, MATCH(W1099, Lookup!$B$2:$B$1349,0))</f>
        <v>J04001008</v>
      </c>
      <c r="Y1099" s="9" t="str">
        <f>INDEX(Lookup!$F$2:$F$1349, MATCH(W1099, Lookup!$B$2:$B$1349,0))</f>
        <v>e320914</v>
      </c>
      <c r="Z1099" s="6" t="str">
        <f>INDEX(Lookup!$C$2:$C$1300, MATCH(X1099, Lookup!$A$2:$A$1300,0))</f>
        <v>Avon</v>
      </c>
    </row>
    <row r="1100" spans="1:26" ht="28.15" customHeight="1" x14ac:dyDescent="0.2">
      <c r="A1100" s="6" t="s">
        <v>949</v>
      </c>
      <c r="B1100" s="1" t="s">
        <v>949</v>
      </c>
      <c r="C1100" s="2">
        <v>1468</v>
      </c>
      <c r="D1100" s="2">
        <v>69086</v>
      </c>
      <c r="E1100" s="2">
        <v>107</v>
      </c>
      <c r="F1100" s="2">
        <v>13257</v>
      </c>
      <c r="G1100" s="2">
        <v>5</v>
      </c>
      <c r="H1100" s="2">
        <v>2472</v>
      </c>
      <c r="I1100" s="2">
        <v>99</v>
      </c>
      <c r="J1100" s="2">
        <v>21192</v>
      </c>
      <c r="K1100" s="2">
        <v>15</v>
      </c>
      <c r="L1100" s="2">
        <v>1749</v>
      </c>
      <c r="M1100" s="2">
        <v>266</v>
      </c>
      <c r="N1100" s="2">
        <v>17000</v>
      </c>
      <c r="O1100" s="2">
        <v>10</v>
      </c>
      <c r="P1100" s="2">
        <v>45440</v>
      </c>
      <c r="Q1100" s="2">
        <v>9045</v>
      </c>
      <c r="R1100" s="2">
        <v>19901</v>
      </c>
      <c r="S1100" s="2">
        <v>199142</v>
      </c>
      <c r="T1100" s="10">
        <f t="shared" si="58"/>
        <v>84815</v>
      </c>
      <c r="U1100" s="8">
        <f t="shared" si="59"/>
        <v>0.42590212009520845</v>
      </c>
      <c r="V1100" s="9" t="s">
        <v>5270</v>
      </c>
      <c r="W1100" s="9" t="str">
        <f t="shared" si="60"/>
        <v>Shepton Mallet UD</v>
      </c>
      <c r="X1100" s="9" t="str">
        <f>INDEX(Lookup!$A$2:$A$1349, MATCH(W1100, Lookup!$B$2:$B$1349,0))</f>
        <v>J04001130</v>
      </c>
      <c r="Y1100" s="9" t="str">
        <f>INDEX(Lookup!$F$2:$F$1349, MATCH(W1100, Lookup!$B$2:$B$1349,0))</f>
        <v>e320915</v>
      </c>
      <c r="Z1100" s="6" t="str">
        <f>INDEX(Lookup!$C$2:$C$1300, MATCH(X1100, Lookup!$A$2:$A$1300,0))</f>
        <v>Somerset</v>
      </c>
    </row>
    <row r="1101" spans="1:26" ht="28.15" customHeight="1" x14ac:dyDescent="0.2">
      <c r="A1101" s="6" t="s">
        <v>950</v>
      </c>
      <c r="B1101" s="1" t="s">
        <v>950</v>
      </c>
      <c r="C1101" s="2">
        <v>1996</v>
      </c>
      <c r="D1101" s="2">
        <v>112563</v>
      </c>
      <c r="E1101" s="2">
        <v>159</v>
      </c>
      <c r="F1101" s="2">
        <v>18920</v>
      </c>
      <c r="G1101" s="2">
        <v>8</v>
      </c>
      <c r="H1101" s="2">
        <v>2238</v>
      </c>
      <c r="I1101" s="2">
        <v>122</v>
      </c>
      <c r="J1101" s="2">
        <v>21673</v>
      </c>
      <c r="K1101" s="2">
        <v>12</v>
      </c>
      <c r="L1101" s="2">
        <v>1395</v>
      </c>
      <c r="M1101" s="2">
        <v>305</v>
      </c>
      <c r="N1101" s="2">
        <v>24288</v>
      </c>
      <c r="O1101" s="2">
        <v>9</v>
      </c>
      <c r="P1101" s="2">
        <v>47480</v>
      </c>
      <c r="Q1101" s="2">
        <v>370</v>
      </c>
      <c r="R1101" s="2">
        <v>32826</v>
      </c>
      <c r="S1101" s="2">
        <v>261753</v>
      </c>
      <c r="T1101" s="10">
        <f t="shared" si="58"/>
        <v>133721</v>
      </c>
      <c r="U1101" s="8">
        <f t="shared" si="59"/>
        <v>0.51086711518110584</v>
      </c>
      <c r="V1101" s="9" t="s">
        <v>5270</v>
      </c>
      <c r="W1101" s="9" t="str">
        <f t="shared" si="60"/>
        <v>Street UD</v>
      </c>
      <c r="X1101" s="9" t="str">
        <f>INDEX(Lookup!$A$2:$A$1349, MATCH(W1101, Lookup!$B$2:$B$1349,0))</f>
        <v>J04001223</v>
      </c>
      <c r="Y1101" s="9" t="str">
        <f>INDEX(Lookup!$F$2:$F$1349, MATCH(W1101, Lookup!$B$2:$B$1349,0))</f>
        <v>e320916</v>
      </c>
      <c r="Z1101" s="6" t="str">
        <f>INDEX(Lookup!$C$2:$C$1300, MATCH(X1101, Lookup!$A$2:$A$1300,0))</f>
        <v>Somerset</v>
      </c>
    </row>
    <row r="1102" spans="1:26" ht="28.15" customHeight="1" x14ac:dyDescent="0.2">
      <c r="A1102" s="6" t="s">
        <v>951</v>
      </c>
      <c r="B1102" s="1" t="s">
        <v>951</v>
      </c>
      <c r="C1102" s="2">
        <v>836</v>
      </c>
      <c r="D1102" s="2">
        <v>37581</v>
      </c>
      <c r="E1102" s="2">
        <v>11</v>
      </c>
      <c r="F1102" s="2">
        <v>1282</v>
      </c>
      <c r="I1102" s="2">
        <v>56</v>
      </c>
      <c r="J1102" s="2">
        <v>3931</v>
      </c>
      <c r="K1102" s="2">
        <v>8</v>
      </c>
      <c r="L1102" s="2">
        <v>431</v>
      </c>
      <c r="M1102" s="2">
        <v>101</v>
      </c>
      <c r="N1102" s="2">
        <v>4668</v>
      </c>
      <c r="O1102" s="2">
        <v>8</v>
      </c>
      <c r="P1102" s="2">
        <v>19891</v>
      </c>
      <c r="Q1102" s="2">
        <v>69</v>
      </c>
      <c r="R1102" s="2">
        <v>5692</v>
      </c>
      <c r="S1102" s="2">
        <v>73545</v>
      </c>
      <c r="T1102" s="10">
        <f>SUM(D1102+F1102)</f>
        <v>38863</v>
      </c>
      <c r="U1102" s="8">
        <f t="shared" si="59"/>
        <v>0.52842477394792309</v>
      </c>
      <c r="V1102" s="9" t="s">
        <v>5270</v>
      </c>
      <c r="W1102" s="9" t="str">
        <f t="shared" si="60"/>
        <v>Watchet UD</v>
      </c>
      <c r="X1102" s="9" t="str">
        <f>INDEX(Lookup!$A$2:$A$1349, MATCH(W1102, Lookup!$B$2:$B$1349,0))</f>
        <v>J04001352</v>
      </c>
      <c r="Y1102" s="9" t="str">
        <f>INDEX(Lookup!$F$2:$F$1349, MATCH(W1102, Lookup!$B$2:$B$1349,0))</f>
        <v>e320918</v>
      </c>
      <c r="Z1102" s="6" t="str">
        <f>INDEX(Lookup!$C$2:$C$1300, MATCH(X1102, Lookup!$A$2:$A$1300,0))</f>
        <v>Somerset</v>
      </c>
    </row>
    <row r="1103" spans="1:26" ht="28.15" customHeight="1" x14ac:dyDescent="0.2">
      <c r="A1103" s="6" t="s">
        <v>927</v>
      </c>
      <c r="B1103" s="1" t="s">
        <v>927</v>
      </c>
      <c r="C1103" s="2">
        <v>2329</v>
      </c>
      <c r="D1103" s="2">
        <v>100263</v>
      </c>
      <c r="E1103" s="2">
        <v>138</v>
      </c>
      <c r="F1103" s="2">
        <v>17156</v>
      </c>
      <c r="G1103" s="2">
        <v>8</v>
      </c>
      <c r="H1103" s="2">
        <v>2057</v>
      </c>
      <c r="I1103" s="2">
        <v>154</v>
      </c>
      <c r="J1103" s="2">
        <v>22950</v>
      </c>
      <c r="K1103" s="2">
        <v>16</v>
      </c>
      <c r="L1103" s="2">
        <v>1381</v>
      </c>
      <c r="M1103" s="2">
        <v>313</v>
      </c>
      <c r="N1103" s="2">
        <v>13464</v>
      </c>
      <c r="O1103" s="2">
        <v>21</v>
      </c>
      <c r="P1103" s="2">
        <v>45526</v>
      </c>
      <c r="Q1103" s="2">
        <v>1015</v>
      </c>
      <c r="R1103" s="2">
        <v>26320</v>
      </c>
      <c r="S1103" s="2">
        <v>230132</v>
      </c>
      <c r="T1103" s="10">
        <f t="shared" si="58"/>
        <v>119476</v>
      </c>
      <c r="U1103" s="8">
        <f t="shared" si="59"/>
        <v>0.51916291519649593</v>
      </c>
      <c r="V1103" s="9" t="s">
        <v>5270</v>
      </c>
      <c r="W1103" s="9" t="str">
        <f t="shared" si="60"/>
        <v>Wellington UD</v>
      </c>
      <c r="X1103" s="9" t="s">
        <v>4446</v>
      </c>
      <c r="Y1103" s="9" t="s">
        <v>4447</v>
      </c>
      <c r="Z1103" s="6" t="str">
        <f>INDEX(Lookup!$C$2:$C$1300, MATCH(X1103, Lookup!$A$2:$A$1300,0))</f>
        <v>Somerset</v>
      </c>
    </row>
    <row r="1104" spans="1:26" ht="28.15" customHeight="1" x14ac:dyDescent="0.2">
      <c r="A1104" s="6" t="s">
        <v>212</v>
      </c>
      <c r="B1104" s="1" t="s">
        <v>212</v>
      </c>
      <c r="T1104" s="10"/>
      <c r="W1104" s="9" t="str">
        <f t="shared" si="60"/>
        <v xml:space="preserve">Rural Districts-- </v>
      </c>
      <c r="X1104" s="9" t="e">
        <f>INDEX(Lookup!$A$2:$A$1349, MATCH(W1104, Lookup!$B$2:$B$1349,0))</f>
        <v>#N/A</v>
      </c>
      <c r="Y1104" s="9" t="e">
        <f>INDEX(Lookup!$F$2:$F$1349, MATCH(W1104, Lookup!$B$2:$B$1349,0))</f>
        <v>#N/A</v>
      </c>
      <c r="Z1104" s="6" t="e">
        <f>INDEX(Lookup!$C$2:$C$1300, MATCH(X1104, Lookup!$A$2:$A$1300,0))</f>
        <v>#N/A</v>
      </c>
    </row>
    <row r="1105" spans="1:26" ht="28.15" customHeight="1" x14ac:dyDescent="0.2">
      <c r="A1105" s="6" t="s">
        <v>952</v>
      </c>
      <c r="B1105" s="1" t="s">
        <v>952</v>
      </c>
      <c r="C1105" s="2">
        <v>6977</v>
      </c>
      <c r="D1105" s="2">
        <v>393977</v>
      </c>
      <c r="E1105" s="2">
        <v>1102</v>
      </c>
      <c r="F1105" s="2">
        <v>134477</v>
      </c>
      <c r="G1105" s="2">
        <v>48</v>
      </c>
      <c r="H1105" s="2">
        <v>12654</v>
      </c>
      <c r="I1105" s="2">
        <v>354</v>
      </c>
      <c r="J1105" s="2">
        <v>44648</v>
      </c>
      <c r="K1105" s="2">
        <v>14</v>
      </c>
      <c r="L1105" s="2">
        <v>786</v>
      </c>
      <c r="M1105" s="2">
        <v>664</v>
      </c>
      <c r="N1105" s="2">
        <v>103390</v>
      </c>
      <c r="O1105" s="2">
        <v>42</v>
      </c>
      <c r="P1105" s="2">
        <v>109178</v>
      </c>
      <c r="Q1105" s="2">
        <v>28048</v>
      </c>
      <c r="R1105" s="2">
        <v>233505</v>
      </c>
      <c r="S1105" s="2">
        <v>1060663</v>
      </c>
      <c r="T1105" s="10">
        <f t="shared" si="58"/>
        <v>541108</v>
      </c>
      <c r="U1105" s="8">
        <f t="shared" si="59"/>
        <v>0.51016015454484598</v>
      </c>
      <c r="V1105" s="9" t="s">
        <v>5271</v>
      </c>
      <c r="W1105" s="9" t="str">
        <f t="shared" si="60"/>
        <v>Axbridge RD</v>
      </c>
      <c r="X1105" s="9" t="str">
        <f>INDEX(Lookup!$A$2:$A$1349, MATCH(W1105, Lookup!$B$2:$B$1349,0))</f>
        <v>J04000063</v>
      </c>
      <c r="Y1105" s="9" t="str">
        <f>INDEX(Lookup!$F$2:$F$1349, MATCH(W1105, Lookup!$B$2:$B$1349,0))</f>
        <v>e320923</v>
      </c>
      <c r="Z1105" s="6" t="str">
        <f>INDEX(Lookup!$C$2:$C$1300, MATCH(X1105, Lookup!$A$2:$A$1300,0))</f>
        <v>Avon</v>
      </c>
    </row>
    <row r="1106" spans="1:26" ht="28.15" customHeight="1" x14ac:dyDescent="0.2">
      <c r="A1106" s="6" t="s">
        <v>953</v>
      </c>
      <c r="B1106" s="1" t="s">
        <v>953</v>
      </c>
      <c r="C1106" s="2">
        <v>5293</v>
      </c>
      <c r="D1106" s="2">
        <v>257051</v>
      </c>
      <c r="E1106" s="2">
        <v>663</v>
      </c>
      <c r="F1106" s="2">
        <v>87290</v>
      </c>
      <c r="G1106" s="2">
        <v>112</v>
      </c>
      <c r="H1106" s="2">
        <v>30817</v>
      </c>
      <c r="I1106" s="2">
        <v>122</v>
      </c>
      <c r="J1106" s="2">
        <v>11366</v>
      </c>
      <c r="K1106" s="2">
        <v>5</v>
      </c>
      <c r="L1106" s="2">
        <v>49</v>
      </c>
      <c r="M1106" s="2">
        <v>648</v>
      </c>
      <c r="N1106" s="2">
        <v>25252</v>
      </c>
      <c r="O1106" s="2">
        <v>22</v>
      </c>
      <c r="P1106" s="2">
        <v>15373</v>
      </c>
      <c r="Q1106" s="2">
        <v>7224</v>
      </c>
      <c r="R1106" s="2">
        <v>95661</v>
      </c>
      <c r="S1106" s="2">
        <v>530526</v>
      </c>
      <c r="T1106" s="10">
        <f t="shared" si="58"/>
        <v>375158</v>
      </c>
      <c r="U1106" s="8">
        <f t="shared" si="59"/>
        <v>0.70714347647429154</v>
      </c>
      <c r="V1106" s="9" t="s">
        <v>5271</v>
      </c>
      <c r="W1106" s="9" t="str">
        <f t="shared" si="60"/>
        <v>Bathavon RD</v>
      </c>
      <c r="X1106" s="9" t="str">
        <f>INDEX(Lookup!$A$2:$A$1349, MATCH(W1106, Lookup!$B$2:$B$1349,0))</f>
        <v>J04000100</v>
      </c>
      <c r="Y1106" s="9" t="str">
        <f>INDEX(Lookup!$F$2:$F$1349, MATCH(W1106, Lookup!$B$2:$B$1349,0))</f>
        <v>e320925</v>
      </c>
      <c r="Z1106" s="6" t="str">
        <f>INDEX(Lookup!$C$2:$C$1300, MATCH(X1106, Lookup!$A$2:$A$1300,0))</f>
        <v>Avon</v>
      </c>
    </row>
    <row r="1107" spans="1:26" ht="28.15" customHeight="1" x14ac:dyDescent="0.2">
      <c r="A1107" s="6" t="s">
        <v>954</v>
      </c>
      <c r="B1107" s="1" t="s">
        <v>954</v>
      </c>
      <c r="T1107" s="10"/>
      <c r="W1107" s="9" t="str">
        <f t="shared" si="60"/>
        <v xml:space="preserve">SOMERSET-contd. </v>
      </c>
      <c r="X1107" s="9" t="e">
        <f>INDEX(Lookup!$A$2:$A$1349, MATCH(W1107, Lookup!$B$2:$B$1349,0))</f>
        <v>#N/A</v>
      </c>
      <c r="Y1107" s="9" t="e">
        <f>INDEX(Lookup!$F$2:$F$1349, MATCH(W1107, Lookup!$B$2:$B$1349,0))</f>
        <v>#N/A</v>
      </c>
      <c r="Z1107" s="6" t="e">
        <f>INDEX(Lookup!$C$2:$C$1300, MATCH(X1107, Lookup!$A$2:$A$1300,0))</f>
        <v>#N/A</v>
      </c>
    </row>
    <row r="1108" spans="1:26" ht="28.15" customHeight="1" x14ac:dyDescent="0.2">
      <c r="A1108" s="6" t="s">
        <v>955</v>
      </c>
      <c r="B1108" s="1" t="s">
        <v>955</v>
      </c>
      <c r="T1108" s="10"/>
      <c r="W1108" s="9" t="str">
        <f t="shared" si="60"/>
        <v xml:space="preserve">Rural Districts--contd. </v>
      </c>
      <c r="X1108" s="9" t="e">
        <f>INDEX(Lookup!$A$2:$A$1349, MATCH(W1108, Lookup!$B$2:$B$1349,0))</f>
        <v>#N/A</v>
      </c>
      <c r="Y1108" s="9" t="e">
        <f>INDEX(Lookup!$F$2:$F$1349, MATCH(W1108, Lookup!$B$2:$B$1349,0))</f>
        <v>#N/A</v>
      </c>
      <c r="Z1108" s="6" t="e">
        <f>INDEX(Lookup!$C$2:$C$1300, MATCH(X1108, Lookup!$A$2:$A$1300,0))</f>
        <v>#N/A</v>
      </c>
    </row>
    <row r="1109" spans="1:26" ht="28.15" customHeight="1" x14ac:dyDescent="0.2">
      <c r="A1109" s="6" t="s">
        <v>933</v>
      </c>
      <c r="B1109" s="1" t="s">
        <v>933</v>
      </c>
      <c r="C1109" s="2">
        <v>5575</v>
      </c>
      <c r="D1109" s="2">
        <v>258113</v>
      </c>
      <c r="E1109" s="2">
        <v>383</v>
      </c>
      <c r="F1109" s="2">
        <v>47038</v>
      </c>
      <c r="G1109" s="2">
        <v>17</v>
      </c>
      <c r="H1109" s="2">
        <v>3810</v>
      </c>
      <c r="I1109" s="2">
        <v>137</v>
      </c>
      <c r="J1109" s="2">
        <v>10993</v>
      </c>
      <c r="K1109" s="2">
        <v>4</v>
      </c>
      <c r="L1109" s="2">
        <v>235</v>
      </c>
      <c r="M1109" s="2">
        <v>538</v>
      </c>
      <c r="N1109" s="2">
        <v>30995</v>
      </c>
      <c r="O1109" s="2">
        <v>35</v>
      </c>
      <c r="P1109" s="2">
        <v>32481</v>
      </c>
      <c r="Q1109" s="2">
        <v>15724</v>
      </c>
      <c r="R1109" s="2">
        <v>104253</v>
      </c>
      <c r="S1109" s="2">
        <v>503642</v>
      </c>
      <c r="T1109" s="10">
        <f t="shared" si="58"/>
        <v>308961</v>
      </c>
      <c r="U1109" s="8">
        <f t="shared" si="59"/>
        <v>0.61345360394883663</v>
      </c>
      <c r="V1109" s="9" t="s">
        <v>5271</v>
      </c>
      <c r="W1109" s="9" t="str">
        <f t="shared" si="60"/>
        <v>Bridgwater RD</v>
      </c>
      <c r="X1109" s="9" t="str">
        <f>INDEX(Lookup!$A$2:$A$1349, MATCH(W1109, Lookup!$B$2:$B$1349,0))</f>
        <v>J04000202</v>
      </c>
      <c r="Y1109" s="9" t="str">
        <f>INDEX(Lookup!$F$2:$F$1349, MATCH(W1109, Lookup!$B$2:$B$1349,0))</f>
        <v>e320926</v>
      </c>
      <c r="Z1109" s="6" t="str">
        <f>INDEX(Lookup!$C$2:$C$1300, MATCH(X1109, Lookup!$A$2:$A$1300,0))</f>
        <v>Somerset</v>
      </c>
    </row>
    <row r="1110" spans="1:26" ht="28.15" customHeight="1" x14ac:dyDescent="0.2">
      <c r="A1110" s="6" t="s">
        <v>934</v>
      </c>
      <c r="B1110" s="1" t="s">
        <v>934</v>
      </c>
      <c r="C1110" s="2">
        <v>3069</v>
      </c>
      <c r="D1110" s="2">
        <v>124857</v>
      </c>
      <c r="E1110" s="2">
        <v>134</v>
      </c>
      <c r="F1110" s="2">
        <v>17469</v>
      </c>
      <c r="G1110" s="2">
        <v>30</v>
      </c>
      <c r="H1110" s="2">
        <v>8754</v>
      </c>
      <c r="I1110" s="2">
        <v>73</v>
      </c>
      <c r="J1110" s="2">
        <v>7021</v>
      </c>
      <c r="K1110" s="2">
        <v>7</v>
      </c>
      <c r="L1110" s="2">
        <v>634</v>
      </c>
      <c r="M1110" s="2">
        <v>261</v>
      </c>
      <c r="N1110" s="2">
        <v>18848</v>
      </c>
      <c r="O1110" s="2">
        <v>25</v>
      </c>
      <c r="P1110" s="2">
        <v>20141</v>
      </c>
      <c r="Q1110" s="2">
        <v>1158</v>
      </c>
      <c r="R1110" s="2">
        <v>68737</v>
      </c>
      <c r="S1110" s="2">
        <v>267619</v>
      </c>
      <c r="T1110" s="10">
        <f t="shared" si="58"/>
        <v>151080</v>
      </c>
      <c r="U1110" s="8">
        <f t="shared" si="59"/>
        <v>0.5645339082800549</v>
      </c>
      <c r="V1110" s="9" t="s">
        <v>5271</v>
      </c>
      <c r="W1110" s="9" t="str">
        <f t="shared" si="60"/>
        <v>Chard RD</v>
      </c>
      <c r="X1110" s="9" t="str">
        <f>INDEX(Lookup!$A$2:$A$1349, MATCH(W1110, Lookup!$B$2:$B$1349,0))</f>
        <v>J04000282</v>
      </c>
      <c r="Y1110" s="9" t="str">
        <f>INDEX(Lookup!$F$2:$F$1349, MATCH(W1110, Lookup!$B$2:$B$1349,0))</f>
        <v>e320927</v>
      </c>
      <c r="Z1110" s="6" t="str">
        <f>INDEX(Lookup!$C$2:$C$1300, MATCH(X1110, Lookup!$A$2:$A$1300,0))</f>
        <v>Somerset</v>
      </c>
    </row>
    <row r="1111" spans="1:26" ht="28.15" customHeight="1" x14ac:dyDescent="0.2">
      <c r="A1111" s="6" t="s">
        <v>956</v>
      </c>
      <c r="B1111" s="1" t="s">
        <v>956</v>
      </c>
      <c r="C1111" s="2">
        <v>5161</v>
      </c>
      <c r="D1111" s="2">
        <v>222221</v>
      </c>
      <c r="E1111" s="2">
        <v>187</v>
      </c>
      <c r="F1111" s="2">
        <v>24673</v>
      </c>
      <c r="G1111" s="2">
        <v>33</v>
      </c>
      <c r="H1111" s="2">
        <v>9085</v>
      </c>
      <c r="I1111" s="2">
        <v>177</v>
      </c>
      <c r="J1111" s="2">
        <v>14480</v>
      </c>
      <c r="K1111" s="2">
        <v>13</v>
      </c>
      <c r="L1111" s="2">
        <v>489</v>
      </c>
      <c r="M1111" s="2">
        <v>503</v>
      </c>
      <c r="N1111" s="2">
        <v>22539</v>
      </c>
      <c r="O1111" s="2">
        <v>21</v>
      </c>
      <c r="P1111" s="2">
        <v>65375</v>
      </c>
      <c r="Q1111" s="2">
        <v>3150</v>
      </c>
      <c r="R1111" s="2">
        <v>108281</v>
      </c>
      <c r="S1111" s="2">
        <v>470293</v>
      </c>
      <c r="T1111" s="10">
        <f t="shared" si="58"/>
        <v>255979</v>
      </c>
      <c r="U1111" s="8">
        <f t="shared" si="59"/>
        <v>0.54429685323830035</v>
      </c>
      <c r="V1111" s="9" t="s">
        <v>5271</v>
      </c>
      <c r="W1111" s="9" t="str">
        <f t="shared" si="60"/>
        <v>Clutton RD</v>
      </c>
      <c r="X1111" s="9" t="str">
        <f>INDEX(Lookup!$A$2:$A$1349, MATCH(W1111, Lookup!$B$2:$B$1349,0))</f>
        <v>J04000332</v>
      </c>
      <c r="Y1111" s="9" t="str">
        <f>INDEX(Lookup!$F$2:$F$1349, MATCH(W1111, Lookup!$B$2:$B$1349,0))</f>
        <v>e320928</v>
      </c>
      <c r="Z1111" s="6" t="str">
        <f>INDEX(Lookup!$C$2:$C$1300, MATCH(X1111, Lookup!$A$2:$A$1300,0))</f>
        <v>Avon</v>
      </c>
    </row>
    <row r="1112" spans="1:26" ht="28.15" customHeight="1" x14ac:dyDescent="0.2">
      <c r="A1112" s="6" t="s">
        <v>957</v>
      </c>
      <c r="B1112" s="1" t="s">
        <v>957</v>
      </c>
      <c r="C1112" s="2">
        <v>873</v>
      </c>
      <c r="D1112" s="2">
        <v>30491</v>
      </c>
      <c r="E1112" s="2">
        <v>60</v>
      </c>
      <c r="F1112" s="2">
        <v>8810</v>
      </c>
      <c r="G1112" s="2">
        <v>10</v>
      </c>
      <c r="H1112" s="2">
        <v>2840</v>
      </c>
      <c r="I1112" s="2">
        <v>56</v>
      </c>
      <c r="J1112" s="2">
        <v>4454</v>
      </c>
      <c r="K1112" s="2">
        <v>3</v>
      </c>
      <c r="L1112" s="2">
        <v>185</v>
      </c>
      <c r="M1112" s="2">
        <v>117</v>
      </c>
      <c r="N1112" s="2">
        <v>8202</v>
      </c>
      <c r="O1112" s="2">
        <v>7</v>
      </c>
      <c r="P1112" s="2">
        <v>859</v>
      </c>
      <c r="Q1112" s="2">
        <v>337</v>
      </c>
      <c r="R1112" s="2">
        <v>24067</v>
      </c>
      <c r="S1112" s="2">
        <v>80245</v>
      </c>
      <c r="T1112" s="10">
        <f t="shared" si="58"/>
        <v>42141</v>
      </c>
      <c r="U1112" s="8">
        <f t="shared" si="59"/>
        <v>0.52515421521590133</v>
      </c>
      <c r="V1112" s="9" t="s">
        <v>5271</v>
      </c>
      <c r="W1112" s="9" t="str">
        <f t="shared" si="60"/>
        <v>Dulverton RD</v>
      </c>
      <c r="X1112" s="9" t="str">
        <f>INDEX(Lookup!$A$2:$A$1349, MATCH(W1112, Lookup!$B$2:$B$1349,0))</f>
        <v>J04000435</v>
      </c>
      <c r="Y1112" s="9" t="str">
        <f>INDEX(Lookup!$F$2:$F$1349, MATCH(W1112, Lookup!$B$2:$B$1349,0))</f>
        <v>e320929</v>
      </c>
      <c r="Z1112" s="6" t="str">
        <f>INDEX(Lookup!$C$2:$C$1300, MATCH(X1112, Lookup!$A$2:$A$1300,0))</f>
        <v>Somerset</v>
      </c>
    </row>
    <row r="1113" spans="1:26" ht="28.15" customHeight="1" x14ac:dyDescent="0.2">
      <c r="A1113" s="6" t="s">
        <v>943</v>
      </c>
      <c r="B1113" s="1" t="s">
        <v>943</v>
      </c>
      <c r="C1113" s="2">
        <v>2962</v>
      </c>
      <c r="D1113" s="2">
        <v>117335</v>
      </c>
      <c r="E1113" s="2">
        <v>135</v>
      </c>
      <c r="F1113" s="2">
        <v>17540</v>
      </c>
      <c r="G1113" s="2">
        <v>32</v>
      </c>
      <c r="H1113" s="2">
        <v>9776</v>
      </c>
      <c r="I1113" s="2">
        <v>67</v>
      </c>
      <c r="J1113" s="2">
        <v>5551</v>
      </c>
      <c r="K1113" s="2">
        <v>4</v>
      </c>
      <c r="L1113" s="2">
        <v>65</v>
      </c>
      <c r="M1113" s="2">
        <v>318</v>
      </c>
      <c r="N1113" s="2">
        <v>14005</v>
      </c>
      <c r="O1113" s="2">
        <v>19</v>
      </c>
      <c r="P1113" s="2">
        <v>23997</v>
      </c>
      <c r="Q1113" s="2">
        <v>93</v>
      </c>
      <c r="R1113" s="2">
        <v>82341</v>
      </c>
      <c r="S1113" s="2">
        <v>270703</v>
      </c>
      <c r="T1113" s="10">
        <f t="shared" si="58"/>
        <v>144651</v>
      </c>
      <c r="U1113" s="8">
        <f t="shared" si="59"/>
        <v>0.53435314717605642</v>
      </c>
      <c r="V1113" s="9" t="s">
        <v>5271</v>
      </c>
      <c r="W1113" s="9" t="str">
        <f t="shared" si="60"/>
        <v>Frome RD</v>
      </c>
      <c r="X1113" s="9" t="str">
        <f>INDEX(Lookup!$A$2:$A$1349, MATCH(W1113, Lookup!$B$2:$B$1349,0))</f>
        <v>J04000519</v>
      </c>
      <c r="Y1113" s="9" t="str">
        <f>INDEX(Lookup!$F$2:$F$1349, MATCH(W1113, Lookup!$B$2:$B$1349,0))</f>
        <v>e320930</v>
      </c>
      <c r="Z1113" s="6" t="str">
        <f>INDEX(Lookup!$C$2:$C$1300, MATCH(X1113, Lookup!$A$2:$A$1300,0))</f>
        <v>Somerset</v>
      </c>
    </row>
    <row r="1114" spans="1:26" ht="28.15" customHeight="1" x14ac:dyDescent="0.2">
      <c r="A1114" s="6" t="s">
        <v>5489</v>
      </c>
      <c r="B1114" s="1" t="s">
        <v>5489</v>
      </c>
      <c r="C1114" s="2">
        <v>3313</v>
      </c>
      <c r="D1114" s="2">
        <v>147335</v>
      </c>
      <c r="E1114" s="2">
        <v>198</v>
      </c>
      <c r="F1114" s="2">
        <v>24923</v>
      </c>
      <c r="G1114" s="2">
        <v>40</v>
      </c>
      <c r="H1114" s="2">
        <v>11125</v>
      </c>
      <c r="I1114" s="2">
        <v>150</v>
      </c>
      <c r="J1114" s="2">
        <v>14702</v>
      </c>
      <c r="K1114" s="2">
        <v>17</v>
      </c>
      <c r="L1114" s="2">
        <v>569</v>
      </c>
      <c r="M1114" s="2">
        <v>291</v>
      </c>
      <c r="N1114" s="2">
        <v>16264</v>
      </c>
      <c r="O1114" s="2">
        <v>28</v>
      </c>
      <c r="P1114" s="2">
        <v>10999</v>
      </c>
      <c r="Q1114" s="2">
        <v>5235</v>
      </c>
      <c r="R1114" s="2">
        <v>81297</v>
      </c>
      <c r="S1114" s="2">
        <v>312449</v>
      </c>
      <c r="T1114" s="10">
        <f t="shared" ref="T1114:T1122" si="61">SUM(D1114+F1114+H1114)</f>
        <v>183383</v>
      </c>
      <c r="U1114" s="8">
        <f t="shared" ref="U1114:U1122" si="62">T1114/S1114</f>
        <v>0.58692138557012508</v>
      </c>
      <c r="V1114" s="9" t="s">
        <v>5271</v>
      </c>
      <c r="W1114" s="9" t="str">
        <f t="shared" ref="W1114:W1122" si="63">_xlfn.CONCAT(B1114," ",V1114)</f>
        <v>Langport RD</v>
      </c>
      <c r="X1114" s="9" t="str">
        <f>INDEX(Lookup!$A$2:$A$1349, MATCH(W1114, Lookup!$B$2:$B$1349,0))</f>
        <v>J04000721</v>
      </c>
      <c r="Y1114" s="9" t="str">
        <f>INDEX(Lookup!$F$2:$F$1349, MATCH(W1114, Lookup!$B$2:$B$1349,0))</f>
        <v>e320931</v>
      </c>
      <c r="Z1114" s="6" t="str">
        <f>INDEX(Lookup!$C$2:$C$1300, MATCH(X1114, Lookup!$A$2:$A$1300,0))</f>
        <v>Somerset</v>
      </c>
    </row>
    <row r="1115" spans="1:26" ht="28.15" customHeight="1" x14ac:dyDescent="0.2">
      <c r="A1115" s="6" t="s">
        <v>958</v>
      </c>
      <c r="B1115" s="1" t="s">
        <v>958</v>
      </c>
      <c r="C1115" s="2">
        <v>7395</v>
      </c>
      <c r="D1115" s="2">
        <v>434294</v>
      </c>
      <c r="E1115" s="2">
        <v>1666</v>
      </c>
      <c r="F1115" s="2">
        <v>203416</v>
      </c>
      <c r="G1115" s="2">
        <v>112</v>
      </c>
      <c r="H1115" s="2">
        <v>30572</v>
      </c>
      <c r="I1115" s="2">
        <v>226</v>
      </c>
      <c r="J1115" s="2">
        <v>28991</v>
      </c>
      <c r="K1115" s="2">
        <v>24</v>
      </c>
      <c r="L1115" s="2">
        <v>3706</v>
      </c>
      <c r="M1115" s="2">
        <v>517</v>
      </c>
      <c r="N1115" s="2">
        <v>44772</v>
      </c>
      <c r="O1115" s="2">
        <v>37</v>
      </c>
      <c r="P1115" s="2">
        <v>95847</v>
      </c>
      <c r="Q1115" s="2">
        <v>26793</v>
      </c>
      <c r="R1115" s="2">
        <v>174938</v>
      </c>
      <c r="S1115" s="2">
        <v>1043329</v>
      </c>
      <c r="T1115" s="10">
        <f t="shared" si="61"/>
        <v>668282</v>
      </c>
      <c r="U1115" s="8">
        <f t="shared" si="62"/>
        <v>0.6405285389364237</v>
      </c>
      <c r="V1115" s="9" t="s">
        <v>5271</v>
      </c>
      <c r="W1115" s="9" t="str">
        <f t="shared" si="63"/>
        <v>Long Ashton RD</v>
      </c>
      <c r="X1115" s="9" t="str">
        <f>INDEX(Lookup!$A$2:$A$1349, MATCH(W1115, Lookup!$B$2:$B$1349,0))</f>
        <v>J04000775</v>
      </c>
      <c r="Y1115" s="9" t="str">
        <f>INDEX(Lookup!$F$2:$F$1349, MATCH(W1115, Lookup!$B$2:$B$1349,0))</f>
        <v>e320932</v>
      </c>
      <c r="Z1115" s="6" t="str">
        <f>INDEX(Lookup!$C$2:$C$1300, MATCH(X1115, Lookup!$A$2:$A$1300,0))</f>
        <v>Avon</v>
      </c>
    </row>
    <row r="1116" spans="1:26" ht="28.15" customHeight="1" x14ac:dyDescent="0.2">
      <c r="A1116" s="6" t="s">
        <v>949</v>
      </c>
      <c r="B1116" s="1" t="s">
        <v>949</v>
      </c>
      <c r="C1116" s="2">
        <v>2421</v>
      </c>
      <c r="D1116" s="2">
        <v>99998</v>
      </c>
      <c r="E1116" s="2">
        <v>141</v>
      </c>
      <c r="F1116" s="2">
        <v>18347</v>
      </c>
      <c r="G1116" s="2">
        <v>24</v>
      </c>
      <c r="H1116" s="2">
        <v>6518</v>
      </c>
      <c r="I1116" s="2">
        <v>64</v>
      </c>
      <c r="J1116" s="2">
        <v>6185</v>
      </c>
      <c r="K1116" s="2">
        <v>2</v>
      </c>
      <c r="L1116" s="2">
        <v>36</v>
      </c>
      <c r="M1116" s="2">
        <v>260</v>
      </c>
      <c r="N1116" s="2">
        <v>13013</v>
      </c>
      <c r="O1116" s="2">
        <v>13</v>
      </c>
      <c r="P1116" s="2">
        <v>31206</v>
      </c>
      <c r="Q1116" s="2">
        <v>171</v>
      </c>
      <c r="R1116" s="2">
        <v>85897</v>
      </c>
      <c r="S1116" s="2">
        <v>261371</v>
      </c>
      <c r="T1116" s="10">
        <f t="shared" si="61"/>
        <v>124863</v>
      </c>
      <c r="U1116" s="8">
        <f t="shared" si="62"/>
        <v>0.47772323631925501</v>
      </c>
      <c r="V1116" s="9" t="s">
        <v>5271</v>
      </c>
      <c r="W1116" s="9" t="str">
        <f t="shared" si="63"/>
        <v>Shepton Mallet RD</v>
      </c>
      <c r="X1116" s="9" t="str">
        <f>INDEX(Lookup!$A$2:$A$1349, MATCH(W1116, Lookup!$B$2:$B$1349,0))</f>
        <v>J04001129</v>
      </c>
      <c r="Y1116" s="9" t="str">
        <f>INDEX(Lookup!$F$2:$F$1349, MATCH(W1116, Lookup!$B$2:$B$1349,0))</f>
        <v>e320933</v>
      </c>
      <c r="Z1116" s="6" t="str">
        <f>INDEX(Lookup!$C$2:$C$1300, MATCH(X1116, Lookup!$A$2:$A$1300,0))</f>
        <v>Somerset</v>
      </c>
    </row>
    <row r="1117" spans="1:26" ht="28.15" customHeight="1" x14ac:dyDescent="0.2">
      <c r="A1117" s="6" t="s">
        <v>936</v>
      </c>
      <c r="B1117" s="1" t="s">
        <v>936</v>
      </c>
      <c r="C1117" s="2">
        <v>4917</v>
      </c>
      <c r="D1117" s="2">
        <v>240814</v>
      </c>
      <c r="E1117" s="2">
        <v>585</v>
      </c>
      <c r="F1117" s="2">
        <v>74043</v>
      </c>
      <c r="G1117" s="2">
        <v>74</v>
      </c>
      <c r="H1117" s="2">
        <v>19309</v>
      </c>
      <c r="I1117" s="2">
        <v>108</v>
      </c>
      <c r="J1117" s="2">
        <v>9322</v>
      </c>
      <c r="K1117" s="2">
        <v>11</v>
      </c>
      <c r="L1117" s="2">
        <v>1250</v>
      </c>
      <c r="M1117" s="2">
        <v>439</v>
      </c>
      <c r="N1117" s="2">
        <v>27853</v>
      </c>
      <c r="O1117" s="2">
        <v>21</v>
      </c>
      <c r="P1117" s="2">
        <v>12634</v>
      </c>
      <c r="Q1117" s="2">
        <v>43710</v>
      </c>
      <c r="R1117" s="2">
        <v>108016</v>
      </c>
      <c r="S1117" s="2">
        <v>536951</v>
      </c>
      <c r="T1117" s="10">
        <f t="shared" si="61"/>
        <v>334166</v>
      </c>
      <c r="U1117" s="8">
        <f t="shared" si="62"/>
        <v>0.62233984106557205</v>
      </c>
      <c r="V1117" s="9" t="s">
        <v>5271</v>
      </c>
      <c r="W1117" s="9" t="str">
        <f t="shared" si="63"/>
        <v>Taunton RD</v>
      </c>
      <c r="X1117" s="9" t="str">
        <f>INDEX(Lookup!$A$2:$A$1349, MATCH(W1117, Lookup!$B$2:$B$1349,0))</f>
        <v>J04001252</v>
      </c>
      <c r="Y1117" s="9" t="str">
        <f>INDEX(Lookup!$F$2:$F$1349, MATCH(W1117, Lookup!$B$2:$B$1349,0))</f>
        <v>e320934</v>
      </c>
      <c r="Z1117" s="6" t="str">
        <f>INDEX(Lookup!$C$2:$C$1300, MATCH(X1117, Lookup!$A$2:$A$1300,0))</f>
        <v>Somerset</v>
      </c>
    </row>
    <row r="1118" spans="1:26" ht="28.15" customHeight="1" x14ac:dyDescent="0.2">
      <c r="A1118" s="6" t="s">
        <v>927</v>
      </c>
      <c r="B1118" s="1" t="s">
        <v>927</v>
      </c>
      <c r="C1118" s="2">
        <v>1956</v>
      </c>
      <c r="D1118" s="2">
        <v>77848</v>
      </c>
      <c r="E1118" s="2">
        <v>71</v>
      </c>
      <c r="F1118" s="2">
        <v>9130</v>
      </c>
      <c r="G1118" s="2">
        <v>13</v>
      </c>
      <c r="H1118" s="2">
        <v>3729</v>
      </c>
      <c r="I1118" s="2">
        <v>87</v>
      </c>
      <c r="J1118" s="2">
        <v>6757</v>
      </c>
      <c r="K1118" s="2">
        <v>9</v>
      </c>
      <c r="L1118" s="2">
        <v>524</v>
      </c>
      <c r="M1118" s="2">
        <v>229</v>
      </c>
      <c r="N1118" s="2">
        <v>10273</v>
      </c>
      <c r="O1118" s="2">
        <v>15</v>
      </c>
      <c r="P1118" s="2">
        <v>8180</v>
      </c>
      <c r="Q1118" s="2">
        <v>99</v>
      </c>
      <c r="R1118" s="2">
        <v>44151</v>
      </c>
      <c r="S1118" s="2">
        <v>160691</v>
      </c>
      <c r="T1118" s="10">
        <f t="shared" si="61"/>
        <v>90707</v>
      </c>
      <c r="U1118" s="8">
        <f t="shared" si="62"/>
        <v>0.56448089812123892</v>
      </c>
      <c r="V1118" s="9" t="s">
        <v>5271</v>
      </c>
      <c r="W1118" s="9" t="str">
        <f t="shared" si="63"/>
        <v>Wellington RD</v>
      </c>
      <c r="X1118" s="9" t="str">
        <f>Lookup!$A$1030</f>
        <v>J04001364</v>
      </c>
      <c r="Y1118" s="9" t="str">
        <f>Lookup!$F$1030</f>
        <v>e320935</v>
      </c>
      <c r="Z1118" s="6" t="str">
        <f>INDEX(Lookup!$C$2:$C$1300, MATCH(X1118, Lookup!$A$2:$A$1300,0))</f>
        <v>Somerset</v>
      </c>
    </row>
    <row r="1119" spans="1:26" ht="28.15" customHeight="1" x14ac:dyDescent="0.2">
      <c r="A1119" s="6" t="s">
        <v>937</v>
      </c>
      <c r="B1119" s="1" t="s">
        <v>937</v>
      </c>
      <c r="C1119" s="2">
        <v>2148</v>
      </c>
      <c r="D1119" s="2">
        <v>90704</v>
      </c>
      <c r="E1119" s="2">
        <v>135</v>
      </c>
      <c r="F1119" s="2">
        <v>16860</v>
      </c>
      <c r="G1119" s="2">
        <v>13</v>
      </c>
      <c r="H1119" s="2">
        <v>3389</v>
      </c>
      <c r="I1119" s="2">
        <v>47</v>
      </c>
      <c r="J1119" s="2">
        <v>5276</v>
      </c>
      <c r="K1119" s="2">
        <v>2</v>
      </c>
      <c r="L1119" s="2">
        <v>54</v>
      </c>
      <c r="M1119" s="2">
        <v>279</v>
      </c>
      <c r="N1119" s="2">
        <v>14110</v>
      </c>
      <c r="O1119" s="2">
        <v>16</v>
      </c>
      <c r="P1119" s="2">
        <v>22625</v>
      </c>
      <c r="Q1119" s="2">
        <v>6476</v>
      </c>
      <c r="R1119" s="2">
        <v>70375</v>
      </c>
      <c r="S1119" s="2">
        <v>229869</v>
      </c>
      <c r="T1119" s="10">
        <f t="shared" si="61"/>
        <v>110953</v>
      </c>
      <c r="U1119" s="8">
        <f t="shared" si="62"/>
        <v>0.48267926514667048</v>
      </c>
      <c r="V1119" s="9" t="s">
        <v>5271</v>
      </c>
      <c r="W1119" s="9" t="str">
        <f t="shared" si="63"/>
        <v>Wells RD</v>
      </c>
      <c r="X1119" s="9" t="str">
        <f>INDEX(Lookup!$A$2:$A$1349, MATCH(W1119, Lookup!$B$2:$B$1349,0))</f>
        <v>J04001368</v>
      </c>
      <c r="Y1119" s="9" t="str">
        <f>INDEX(Lookup!$F$2:$F$1349, MATCH(W1119, Lookup!$B$2:$B$1349,0))</f>
        <v>e320936</v>
      </c>
      <c r="Z1119" s="6" t="str">
        <f>INDEX(Lookup!$C$2:$C$1300, MATCH(X1119, Lookup!$A$2:$A$1300,0))</f>
        <v>Somerset</v>
      </c>
    </row>
    <row r="1120" spans="1:26" ht="28.15" customHeight="1" x14ac:dyDescent="0.2">
      <c r="A1120" s="6" t="s">
        <v>959</v>
      </c>
      <c r="B1120" s="1" t="s">
        <v>959</v>
      </c>
      <c r="C1120" s="2">
        <v>3448</v>
      </c>
      <c r="D1120" s="2">
        <v>142572</v>
      </c>
      <c r="E1120" s="2">
        <v>314</v>
      </c>
      <c r="F1120" s="2">
        <v>40964</v>
      </c>
      <c r="G1120" s="2">
        <v>31</v>
      </c>
      <c r="H1120" s="2">
        <v>9173</v>
      </c>
      <c r="I1120" s="2">
        <v>172</v>
      </c>
      <c r="J1120" s="2">
        <v>17041</v>
      </c>
      <c r="K1120" s="2">
        <v>31</v>
      </c>
      <c r="L1120" s="2">
        <v>3304</v>
      </c>
      <c r="M1120" s="2">
        <v>479</v>
      </c>
      <c r="N1120" s="2">
        <v>36125</v>
      </c>
      <c r="O1120" s="2">
        <v>22</v>
      </c>
      <c r="P1120" s="2">
        <v>6677</v>
      </c>
      <c r="Q1120" s="2">
        <v>4792</v>
      </c>
      <c r="R1120" s="2">
        <v>93933</v>
      </c>
      <c r="S1120" s="2">
        <v>354581</v>
      </c>
      <c r="T1120" s="10">
        <f t="shared" si="61"/>
        <v>192709</v>
      </c>
      <c r="U1120" s="8">
        <f t="shared" si="62"/>
        <v>0.54348371740166568</v>
      </c>
      <c r="V1120" s="9" t="s">
        <v>5271</v>
      </c>
      <c r="W1120" s="9" t="str">
        <f t="shared" si="63"/>
        <v>Williton RD</v>
      </c>
      <c r="X1120" s="9" t="str">
        <f>INDEX(Lookup!$A$2:$A$1349, MATCH(W1120, Lookup!$B$2:$B$1349,0))</f>
        <v>J04001415</v>
      </c>
      <c r="Y1120" s="9" t="str">
        <f>INDEX(Lookup!$F$2:$F$1349, MATCH(W1120, Lookup!$B$2:$B$1349,0))</f>
        <v>e320937</v>
      </c>
      <c r="Z1120" s="6" t="str">
        <f>INDEX(Lookup!$C$2:$C$1300, MATCH(X1120, Lookup!$A$2:$A$1300,0))</f>
        <v>Somerset</v>
      </c>
    </row>
    <row r="1121" spans="1:26" ht="28.15" customHeight="1" x14ac:dyDescent="0.2">
      <c r="A1121" s="6" t="s">
        <v>960</v>
      </c>
      <c r="B1121" s="1" t="s">
        <v>960</v>
      </c>
      <c r="C1121" s="2">
        <v>4092</v>
      </c>
      <c r="D1121" s="2">
        <v>169319</v>
      </c>
      <c r="E1121" s="2">
        <v>237</v>
      </c>
      <c r="F1121" s="2">
        <v>31877</v>
      </c>
      <c r="G1121" s="2">
        <v>80</v>
      </c>
      <c r="H1121" s="2">
        <v>23050</v>
      </c>
      <c r="I1121" s="2">
        <v>235</v>
      </c>
      <c r="J1121" s="2">
        <v>27144</v>
      </c>
      <c r="K1121" s="2">
        <v>30</v>
      </c>
      <c r="L1121" s="2">
        <v>2307</v>
      </c>
      <c r="M1121" s="2">
        <v>567</v>
      </c>
      <c r="N1121" s="2">
        <v>34001</v>
      </c>
      <c r="O1121" s="2">
        <v>29</v>
      </c>
      <c r="P1121" s="2">
        <v>49741</v>
      </c>
      <c r="Q1121" s="2">
        <v>3389</v>
      </c>
      <c r="R1121" s="2">
        <v>124491</v>
      </c>
      <c r="S1121" s="2">
        <v>465319</v>
      </c>
      <c r="T1121" s="10">
        <f t="shared" si="61"/>
        <v>224246</v>
      </c>
      <c r="U1121" s="8">
        <f t="shared" si="62"/>
        <v>0.48191885566675763</v>
      </c>
      <c r="V1121" s="9" t="s">
        <v>5271</v>
      </c>
      <c r="W1121" s="9" t="str">
        <f t="shared" si="63"/>
        <v>Wincanton RD</v>
      </c>
      <c r="X1121" s="9" t="str">
        <f>INDEX(Lookup!$A$2:$A$1349, MATCH(W1121, Lookup!$B$2:$B$1349,0))</f>
        <v>J04001421</v>
      </c>
      <c r="Y1121" s="9" t="str">
        <f>INDEX(Lookup!$F$2:$F$1349, MATCH(W1121, Lookup!$B$2:$B$1349,0))</f>
        <v>e320938</v>
      </c>
      <c r="Z1121" s="6" t="str">
        <f>INDEX(Lookup!$C$2:$C$1300, MATCH(X1121, Lookup!$A$2:$A$1300,0))</f>
        <v>Somerset</v>
      </c>
    </row>
    <row r="1122" spans="1:26" ht="28.15" customHeight="1" x14ac:dyDescent="0.2">
      <c r="A1122" s="6" t="s">
        <v>939</v>
      </c>
      <c r="B1122" s="1" t="s">
        <v>939</v>
      </c>
      <c r="C1122" s="2">
        <v>5760</v>
      </c>
      <c r="D1122" s="2">
        <v>269086</v>
      </c>
      <c r="E1122" s="2">
        <v>791</v>
      </c>
      <c r="F1122" s="2">
        <v>96460</v>
      </c>
      <c r="G1122" s="2">
        <v>68</v>
      </c>
      <c r="H1122" s="2">
        <v>17644</v>
      </c>
      <c r="I1122" s="2">
        <v>151</v>
      </c>
      <c r="J1122" s="2">
        <v>15434</v>
      </c>
      <c r="K1122" s="2">
        <v>9</v>
      </c>
      <c r="L1122" s="2">
        <v>646</v>
      </c>
      <c r="M1122" s="2">
        <v>604</v>
      </c>
      <c r="N1122" s="2">
        <v>29461</v>
      </c>
      <c r="O1122" s="2">
        <v>48</v>
      </c>
      <c r="P1122" s="2">
        <v>44670</v>
      </c>
      <c r="Q1122" s="2">
        <v>35581</v>
      </c>
      <c r="R1122" s="2">
        <v>106024</v>
      </c>
      <c r="S1122" s="2">
        <v>615006</v>
      </c>
      <c r="T1122" s="10">
        <f t="shared" si="61"/>
        <v>383190</v>
      </c>
      <c r="U1122" s="8">
        <f t="shared" si="62"/>
        <v>0.62306709202837041</v>
      </c>
      <c r="V1122" s="9" t="s">
        <v>5271</v>
      </c>
      <c r="W1122" s="9" t="str">
        <f t="shared" si="63"/>
        <v>Yeovil RD</v>
      </c>
      <c r="X1122" s="9" t="str">
        <f>INDEX(Lookup!$A$2:$A$1349, MATCH(W1122, Lookup!$B$2:$B$1349,0))</f>
        <v>J04001464</v>
      </c>
      <c r="Y1122" s="9" t="str">
        <f>INDEX(Lookup!$F$2:$F$1349, MATCH(W1122, Lookup!$B$2:$B$1349,0))</f>
        <v>e320939</v>
      </c>
      <c r="Z1122" s="6" t="str">
        <f>INDEX(Lookup!$C$2:$C$1300, MATCH(X1122, Lookup!$A$2:$A$1300,0))</f>
        <v>Somerset</v>
      </c>
    </row>
    <row r="1123" spans="1:26" ht="28.15" customHeight="1" x14ac:dyDescent="0.2">
      <c r="A1123" s="6" t="s">
        <v>961</v>
      </c>
      <c r="B1123" s="1" t="s">
        <v>961</v>
      </c>
      <c r="T1123" s="10"/>
      <c r="W1123" s="9" t="str">
        <f t="shared" si="60"/>
        <v xml:space="preserve">STAFFORDSHIRE: </v>
      </c>
      <c r="X1123" s="9" t="e">
        <f>INDEX(Lookup!$A$2:$A$1349, MATCH(W1123, Lookup!$B$2:$B$1349,0))</f>
        <v>#N/A</v>
      </c>
      <c r="Y1123" s="9" t="e">
        <f>INDEX(Lookup!$F$2:$F$1349, MATCH(W1123, Lookup!$B$2:$B$1349,0))</f>
        <v>#N/A</v>
      </c>
      <c r="Z1123" s="6" t="e">
        <f>INDEX(Lookup!$C$2:$C$1300, MATCH(X1123, Lookup!$A$2:$A$1300,0))</f>
        <v>#N/A</v>
      </c>
    </row>
    <row r="1124" spans="1:26" ht="28.15" customHeight="1" x14ac:dyDescent="0.2">
      <c r="A1124" s="6" t="s">
        <v>175</v>
      </c>
      <c r="B1124" s="1" t="s">
        <v>175</v>
      </c>
      <c r="T1124" s="10"/>
      <c r="W1124" s="9" t="str">
        <f t="shared" si="60"/>
        <v xml:space="preserve">Non-County Boroughs-- </v>
      </c>
      <c r="X1124" s="9" t="e">
        <f>INDEX(Lookup!$A$2:$A$1349, MATCH(W1124, Lookup!$B$2:$B$1349,0))</f>
        <v>#N/A</v>
      </c>
      <c r="Y1124" s="9" t="e">
        <f>INDEX(Lookup!$F$2:$F$1349, MATCH(W1124, Lookup!$B$2:$B$1349,0))</f>
        <v>#N/A</v>
      </c>
      <c r="Z1124" s="6" t="e">
        <f>INDEX(Lookup!$C$2:$C$1300, MATCH(X1124, Lookup!$A$2:$A$1300,0))</f>
        <v>#N/A</v>
      </c>
    </row>
    <row r="1125" spans="1:26" ht="28.15" customHeight="1" x14ac:dyDescent="0.2">
      <c r="A1125" s="6" t="s">
        <v>962</v>
      </c>
      <c r="B1125" s="1" t="s">
        <v>962</v>
      </c>
      <c r="C1125" s="2">
        <v>9398</v>
      </c>
      <c r="D1125" s="2">
        <v>466406</v>
      </c>
      <c r="E1125" s="2">
        <v>116</v>
      </c>
      <c r="F1125" s="2">
        <v>12985</v>
      </c>
      <c r="I1125" s="2">
        <v>498</v>
      </c>
      <c r="J1125" s="2">
        <v>106618</v>
      </c>
      <c r="K1125" s="2">
        <v>63</v>
      </c>
      <c r="L1125" s="2">
        <v>15980</v>
      </c>
      <c r="M1125" s="2">
        <v>956</v>
      </c>
      <c r="N1125" s="2">
        <v>67622</v>
      </c>
      <c r="O1125" s="2">
        <v>98</v>
      </c>
      <c r="P1125" s="2">
        <v>654250</v>
      </c>
      <c r="Q1125" s="2">
        <v>2601</v>
      </c>
      <c r="R1125" s="2">
        <v>139260</v>
      </c>
      <c r="S1125" s="2">
        <v>1495722</v>
      </c>
      <c r="T1125" s="10">
        <f t="shared" si="58"/>
        <v>479391</v>
      </c>
      <c r="U1125" s="8">
        <f t="shared" si="59"/>
        <v>0.3205080890700277</v>
      </c>
      <c r="V1125" s="9" t="s">
        <v>5268</v>
      </c>
      <c r="W1125" s="9" t="str">
        <f t="shared" si="60"/>
        <v>Bilston MB</v>
      </c>
      <c r="X1125" s="9" t="str">
        <f>INDEX(Lookup!$A$2:$A$1349, MATCH(W1125, Lookup!$B$2:$B$1349,0))</f>
        <v>J04000146</v>
      </c>
      <c r="Y1125" s="9" t="str">
        <f>INDEX(Lookup!$F$2:$F$1349, MATCH(W1125, Lookup!$B$2:$B$1349,0))</f>
        <v>e330945</v>
      </c>
      <c r="Z1125" s="6" t="str">
        <f>INDEX(Lookup!$C$2:$C$1300, MATCH(X1125, Lookup!$A$2:$A$1300,0))</f>
        <v>West Midlands</v>
      </c>
    </row>
    <row r="1126" spans="1:26" ht="28.15" customHeight="1" x14ac:dyDescent="0.2">
      <c r="A1126" s="6" t="s">
        <v>963</v>
      </c>
      <c r="B1126" s="1" t="s">
        <v>5441</v>
      </c>
      <c r="C1126" s="2">
        <v>4116</v>
      </c>
      <c r="D1126" s="2">
        <v>240198</v>
      </c>
      <c r="E1126" s="2">
        <v>478</v>
      </c>
      <c r="F1126" s="2">
        <v>59715</v>
      </c>
      <c r="G1126" s="2">
        <v>10</v>
      </c>
      <c r="H1126" s="2">
        <v>2380</v>
      </c>
      <c r="I1126" s="2">
        <v>232</v>
      </c>
      <c r="J1126" s="2">
        <v>53679</v>
      </c>
      <c r="K1126" s="2">
        <v>68</v>
      </c>
      <c r="L1126" s="2">
        <v>10252</v>
      </c>
      <c r="M1126" s="2">
        <v>523</v>
      </c>
      <c r="N1126" s="2">
        <v>50780</v>
      </c>
      <c r="O1126" s="2">
        <v>29</v>
      </c>
      <c r="P1126" s="2">
        <v>65315</v>
      </c>
      <c r="Q1126" s="2">
        <v>4516</v>
      </c>
      <c r="R1126" s="2">
        <v>68237</v>
      </c>
      <c r="S1126" s="2">
        <v>555072</v>
      </c>
      <c r="T1126" s="10">
        <f t="shared" si="58"/>
        <v>302293</v>
      </c>
      <c r="U1126" s="8">
        <f t="shared" si="59"/>
        <v>0.54460142107690535</v>
      </c>
      <c r="V1126" s="9" t="s">
        <v>5268</v>
      </c>
      <c r="W1126" s="9" t="str">
        <f t="shared" si="60"/>
        <v>Lichfield, city and county of MB</v>
      </c>
      <c r="X1126" s="9" t="str">
        <f>INDEX(Lookup!$A$2:$A$1349, MATCH(W1126, Lookup!$B$2:$B$1349,0))</f>
        <v>J04000745</v>
      </c>
      <c r="Y1126" s="9" t="str">
        <f>INDEX(Lookup!$F$2:$F$1349, MATCH(W1126, Lookup!$B$2:$B$1349,0))</f>
        <v>e330951</v>
      </c>
      <c r="Z1126" s="6" t="str">
        <f>INDEX(Lookup!$C$2:$C$1300, MATCH(X1126, Lookup!$A$2:$A$1300,0))</f>
        <v>Staffordshire</v>
      </c>
    </row>
    <row r="1127" spans="1:26" ht="28.15" customHeight="1" x14ac:dyDescent="0.2">
      <c r="A1127" s="6" t="s">
        <v>964</v>
      </c>
      <c r="B1127" s="1" t="s">
        <v>5442</v>
      </c>
      <c r="C1127" s="2">
        <v>23405</v>
      </c>
      <c r="D1127" s="2">
        <v>1158328</v>
      </c>
      <c r="E1127" s="2">
        <v>1306</v>
      </c>
      <c r="F1127" s="2">
        <v>167991</v>
      </c>
      <c r="G1127" s="2">
        <v>60</v>
      </c>
      <c r="H1127" s="2">
        <v>14404</v>
      </c>
      <c r="I1127" s="2">
        <v>1001</v>
      </c>
      <c r="J1127" s="2">
        <v>220601</v>
      </c>
      <c r="K1127" s="2">
        <v>124</v>
      </c>
      <c r="L1127" s="2">
        <v>18231</v>
      </c>
      <c r="M1127" s="2">
        <v>1980</v>
      </c>
      <c r="N1127" s="2">
        <v>122268</v>
      </c>
      <c r="O1127" s="2">
        <v>104</v>
      </c>
      <c r="P1127" s="2">
        <v>192996</v>
      </c>
      <c r="Q1127" s="2">
        <v>6114</v>
      </c>
      <c r="R1127" s="2">
        <v>321624</v>
      </c>
      <c r="S1127" s="2">
        <v>2222557</v>
      </c>
      <c r="T1127" s="10">
        <f t="shared" si="58"/>
        <v>1340723</v>
      </c>
      <c r="U1127" s="8">
        <f t="shared" si="59"/>
        <v>0.60323447272668373</v>
      </c>
      <c r="V1127" s="9" t="s">
        <v>5268</v>
      </c>
      <c r="W1127" s="9" t="str">
        <f t="shared" si="60"/>
        <v>Newcastle under Lyme MB</v>
      </c>
      <c r="X1127" s="9" t="str">
        <f>INDEX(Lookup!$A$2:$A$1349, MATCH(W1127, Lookup!$B$2:$B$1349,0))</f>
        <v>J04000900</v>
      </c>
      <c r="Y1127" s="9" t="str">
        <f>INDEX(Lookup!$F$2:$F$1349, MATCH(W1127, Lookup!$B$2:$B$1349,0))</f>
        <v>e330952</v>
      </c>
      <c r="Z1127" s="6" t="str">
        <f>INDEX(Lookup!$C$2:$C$1300, MATCH(X1127, Lookup!$A$2:$A$1300,0))</f>
        <v>Staffordshire</v>
      </c>
    </row>
    <row r="1128" spans="1:26" ht="28.15" customHeight="1" x14ac:dyDescent="0.2">
      <c r="A1128" s="6" t="s">
        <v>965</v>
      </c>
      <c r="B1128" s="1" t="s">
        <v>965</v>
      </c>
      <c r="C1128" s="2">
        <v>15581</v>
      </c>
      <c r="D1128" s="2">
        <v>775450</v>
      </c>
      <c r="E1128" s="2">
        <v>289</v>
      </c>
      <c r="F1128" s="2">
        <v>34470</v>
      </c>
      <c r="G1128" s="2">
        <v>6</v>
      </c>
      <c r="H1128" s="2">
        <v>1466</v>
      </c>
      <c r="I1128" s="2">
        <v>924</v>
      </c>
      <c r="J1128" s="2">
        <v>178605</v>
      </c>
      <c r="K1128" s="2">
        <v>94</v>
      </c>
      <c r="L1128" s="2">
        <v>15679</v>
      </c>
      <c r="M1128" s="2">
        <v>1752</v>
      </c>
      <c r="N1128" s="2">
        <v>135470</v>
      </c>
      <c r="O1128" s="2">
        <v>379</v>
      </c>
      <c r="P1128" s="2">
        <v>837028</v>
      </c>
      <c r="Q1128" s="2">
        <v>1914</v>
      </c>
      <c r="R1128" s="2">
        <v>174094</v>
      </c>
      <c r="S1128" s="2">
        <v>2154176</v>
      </c>
      <c r="T1128" s="10">
        <f t="shared" si="58"/>
        <v>811386</v>
      </c>
      <c r="U1128" s="8">
        <f t="shared" si="59"/>
        <v>0.37665724620458124</v>
      </c>
      <c r="V1128" s="9" t="s">
        <v>5268</v>
      </c>
      <c r="W1128" s="9" t="str">
        <f t="shared" si="60"/>
        <v>Rowley Regis MB</v>
      </c>
      <c r="X1128" s="9" t="str">
        <f>INDEX(Lookup!$A$2:$A$1349, MATCH(W1128, Lookup!$B$2:$B$1349,0))</f>
        <v>J04001071</v>
      </c>
      <c r="Y1128" s="9" t="str">
        <f>INDEX(Lookup!$F$2:$F$1349, MATCH(W1128, Lookup!$B$2:$B$1349,0))</f>
        <v>e431127</v>
      </c>
      <c r="Z1128" s="6" t="str">
        <f>INDEX(Lookup!$C$2:$C$1300, MATCH(X1128, Lookup!$A$2:$A$1300,0))</f>
        <v>West Midlands</v>
      </c>
    </row>
    <row r="1129" spans="1:26" ht="28.15" customHeight="1" x14ac:dyDescent="0.2">
      <c r="A1129" s="6" t="s">
        <v>966</v>
      </c>
      <c r="B1129" s="1" t="s">
        <v>966</v>
      </c>
      <c r="C1129" s="2">
        <v>13576</v>
      </c>
      <c r="D1129" s="2">
        <v>796582</v>
      </c>
      <c r="E1129" s="2">
        <v>761</v>
      </c>
      <c r="F1129" s="2">
        <v>95597</v>
      </c>
      <c r="G1129" s="2">
        <v>41</v>
      </c>
      <c r="H1129" s="2">
        <v>9471</v>
      </c>
      <c r="I1129" s="2">
        <v>600</v>
      </c>
      <c r="J1129" s="2">
        <v>245079</v>
      </c>
      <c r="K1129" s="2">
        <v>157</v>
      </c>
      <c r="L1129" s="2">
        <v>36892</v>
      </c>
      <c r="M1129" s="2">
        <v>1477</v>
      </c>
      <c r="N1129" s="2">
        <v>111247</v>
      </c>
      <c r="O1129" s="2">
        <v>54</v>
      </c>
      <c r="P1129" s="2">
        <v>468965</v>
      </c>
      <c r="Q1129" s="2">
        <v>46346</v>
      </c>
      <c r="R1129" s="2">
        <v>241314</v>
      </c>
      <c r="S1129" s="2">
        <v>2051520</v>
      </c>
      <c r="T1129" s="10">
        <f t="shared" si="58"/>
        <v>901650</v>
      </c>
      <c r="U1129" s="8">
        <f t="shared" si="59"/>
        <v>0.43950339260645765</v>
      </c>
      <c r="V1129" s="9" t="s">
        <v>5268</v>
      </c>
      <c r="W1129" s="9" t="str">
        <f t="shared" si="60"/>
        <v>Stafford MB</v>
      </c>
      <c r="X1129" s="9" t="str">
        <f>INDEX(Lookup!$A$2:$A$1349, MATCH(W1129, Lookup!$B$2:$B$1349,0))</f>
        <v>J04001196</v>
      </c>
      <c r="Y1129" s="9" t="str">
        <f>INDEX(Lookup!$F$2:$F$1349, MATCH(W1129, Lookup!$B$2:$B$1349,0))</f>
        <v>e330954</v>
      </c>
      <c r="Z1129" s="6" t="str">
        <f>INDEX(Lookup!$C$2:$C$1300, MATCH(X1129, Lookup!$A$2:$A$1300,0))</f>
        <v>Staffordshire</v>
      </c>
    </row>
    <row r="1130" spans="1:26" ht="28.15" customHeight="1" x14ac:dyDescent="0.2">
      <c r="A1130" s="6" t="s">
        <v>967</v>
      </c>
      <c r="B1130" s="1" t="s">
        <v>967</v>
      </c>
      <c r="C1130" s="2">
        <v>4378</v>
      </c>
      <c r="D1130" s="2">
        <v>224458</v>
      </c>
      <c r="E1130" s="2">
        <v>237</v>
      </c>
      <c r="F1130" s="2">
        <v>29596</v>
      </c>
      <c r="G1130" s="2">
        <v>10</v>
      </c>
      <c r="H1130" s="2">
        <v>2266</v>
      </c>
      <c r="I1130" s="2">
        <v>303</v>
      </c>
      <c r="J1130" s="2">
        <v>77276</v>
      </c>
      <c r="K1130" s="2">
        <v>54</v>
      </c>
      <c r="L1130" s="2">
        <v>6188</v>
      </c>
      <c r="M1130" s="2">
        <v>554</v>
      </c>
      <c r="N1130" s="2">
        <v>43971</v>
      </c>
      <c r="O1130" s="2">
        <v>52</v>
      </c>
      <c r="P1130" s="2">
        <v>136640</v>
      </c>
      <c r="Q1130" s="2">
        <v>9340</v>
      </c>
      <c r="R1130" s="2">
        <v>67345</v>
      </c>
      <c r="S1130" s="2">
        <v>597080</v>
      </c>
      <c r="T1130" s="10">
        <f t="shared" si="58"/>
        <v>256320</v>
      </c>
      <c r="U1130" s="8">
        <f t="shared" si="59"/>
        <v>0.42928920747638505</v>
      </c>
      <c r="V1130" s="9" t="s">
        <v>5268</v>
      </c>
      <c r="W1130" s="9" t="str">
        <f t="shared" si="60"/>
        <v>Tamworth MB</v>
      </c>
      <c r="X1130" s="9" t="str">
        <f>INDEX(Lookup!$A$2:$A$1349, MATCH(W1130, Lookup!$B$2:$B$1349,0))</f>
        <v>J04001248</v>
      </c>
      <c r="Y1130" s="9" t="str">
        <f>INDEX(Lookup!$F$2:$F$1349, MATCH(W1130, Lookup!$B$2:$B$1349,0))</f>
        <v>e330956</v>
      </c>
      <c r="Z1130" s="6" t="str">
        <f>INDEX(Lookup!$C$2:$C$1300, MATCH(X1130, Lookup!$A$2:$A$1300,0))</f>
        <v>Staffordshire</v>
      </c>
    </row>
    <row r="1131" spans="1:26" ht="28.15" customHeight="1" x14ac:dyDescent="0.2">
      <c r="A1131" s="6" t="s">
        <v>968</v>
      </c>
      <c r="B1131" s="1" t="s">
        <v>968</v>
      </c>
      <c r="C1131" s="2">
        <v>10379</v>
      </c>
      <c r="D1131" s="2">
        <v>485720</v>
      </c>
      <c r="E1131" s="2">
        <v>132</v>
      </c>
      <c r="F1131" s="2">
        <v>16242</v>
      </c>
      <c r="I1131" s="2">
        <v>550</v>
      </c>
      <c r="J1131" s="2">
        <v>79237</v>
      </c>
      <c r="K1131" s="2">
        <v>47</v>
      </c>
      <c r="L1131" s="2">
        <v>6627</v>
      </c>
      <c r="M1131" s="2">
        <v>720</v>
      </c>
      <c r="N1131" s="2">
        <v>101518</v>
      </c>
      <c r="O1131" s="2">
        <v>148</v>
      </c>
      <c r="P1131" s="2">
        <v>819917</v>
      </c>
      <c r="Q1131" s="2">
        <v>1808</v>
      </c>
      <c r="R1131" s="2">
        <v>216954</v>
      </c>
      <c r="S1131" s="2">
        <v>1728023</v>
      </c>
      <c r="T1131" s="10">
        <f t="shared" si="58"/>
        <v>501962</v>
      </c>
      <c r="U1131" s="8">
        <f t="shared" si="59"/>
        <v>0.29048340213064294</v>
      </c>
      <c r="V1131" s="9" t="s">
        <v>5268</v>
      </c>
      <c r="W1131" s="9" t="str">
        <f t="shared" si="60"/>
        <v>Tipton MB</v>
      </c>
      <c r="X1131" s="9" t="str">
        <f>INDEX(Lookup!$A$2:$A$1349, MATCH(W1131, Lookup!$B$2:$B$1349,0))</f>
        <v>J04001278</v>
      </c>
      <c r="Y1131" s="9" t="str">
        <f>INDEX(Lookup!$F$2:$F$1349, MATCH(W1131, Lookup!$B$2:$B$1349,0))</f>
        <v>e330944</v>
      </c>
      <c r="Z1131" s="6" t="str">
        <f>INDEX(Lookup!$C$2:$C$1300, MATCH(X1131, Lookup!$A$2:$A$1300,0))</f>
        <v>West Midlands</v>
      </c>
    </row>
    <row r="1132" spans="1:26" ht="28.15" customHeight="1" x14ac:dyDescent="0.2">
      <c r="A1132" s="6" t="s">
        <v>969</v>
      </c>
      <c r="B1132" s="1" t="s">
        <v>969</v>
      </c>
      <c r="C1132" s="2">
        <v>10187</v>
      </c>
      <c r="D1132" s="2">
        <v>505250</v>
      </c>
      <c r="E1132" s="2">
        <v>91</v>
      </c>
      <c r="F1132" s="2">
        <v>10623</v>
      </c>
      <c r="G1132" s="2">
        <v>2</v>
      </c>
      <c r="H1132" s="2">
        <v>442</v>
      </c>
      <c r="I1132" s="2">
        <v>534</v>
      </c>
      <c r="J1132" s="2">
        <v>96691</v>
      </c>
      <c r="K1132" s="2">
        <v>53</v>
      </c>
      <c r="L1132" s="2">
        <v>8840</v>
      </c>
      <c r="M1132" s="2">
        <v>973</v>
      </c>
      <c r="N1132" s="2">
        <v>66117</v>
      </c>
      <c r="O1132" s="2">
        <v>136</v>
      </c>
      <c r="P1132" s="2">
        <v>634000</v>
      </c>
      <c r="Q1132" s="2">
        <v>2512</v>
      </c>
      <c r="R1132" s="2">
        <v>115257</v>
      </c>
      <c r="S1132" s="2">
        <v>1439732</v>
      </c>
      <c r="T1132" s="10">
        <f t="shared" si="58"/>
        <v>516315</v>
      </c>
      <c r="U1132" s="8">
        <f t="shared" si="59"/>
        <v>0.35861882628155795</v>
      </c>
      <c r="V1132" s="9" t="s">
        <v>5268</v>
      </c>
      <c r="W1132" s="9" t="str">
        <f t="shared" si="60"/>
        <v>Wednesbury MB</v>
      </c>
      <c r="X1132" s="9" t="str">
        <f>INDEX(Lookup!$A$2:$A$1349, MATCH(W1132, Lookup!$B$2:$B$1349,0))</f>
        <v>J04001359</v>
      </c>
      <c r="Y1132" s="9" t="str">
        <f>INDEX(Lookup!$F$2:$F$1349, MATCH(W1132, Lookup!$B$2:$B$1349,0))</f>
        <v>e330944</v>
      </c>
      <c r="Z1132" s="6" t="str">
        <f>INDEX(Lookup!$C$2:$C$1300, MATCH(X1132, Lookup!$A$2:$A$1300,0))</f>
        <v>West Midlands</v>
      </c>
    </row>
    <row r="1133" spans="1:26" ht="28.15" customHeight="1" x14ac:dyDescent="0.2">
      <c r="A1133" s="6" t="s">
        <v>179</v>
      </c>
      <c r="B1133" s="1" t="s">
        <v>179</v>
      </c>
      <c r="T1133" s="10"/>
      <c r="W1133" s="9" t="str">
        <f t="shared" si="60"/>
        <v xml:space="preserve">Urban Districts-- </v>
      </c>
      <c r="X1133" s="9" t="e">
        <f>INDEX(Lookup!$A$2:$A$1349, MATCH(W1133, Lookup!$B$2:$B$1349,0))</f>
        <v>#N/A</v>
      </c>
      <c r="Y1133" s="9" t="e">
        <f>INDEX(Lookup!$F$2:$F$1349, MATCH(W1133, Lookup!$B$2:$B$1349,0))</f>
        <v>#N/A</v>
      </c>
      <c r="Z1133" s="6" t="e">
        <f>INDEX(Lookup!$C$2:$C$1300, MATCH(X1133, Lookup!$A$2:$A$1300,0))</f>
        <v>#N/A</v>
      </c>
    </row>
    <row r="1134" spans="1:26" ht="28.15" customHeight="1" x14ac:dyDescent="0.2">
      <c r="A1134" s="6" t="s">
        <v>970</v>
      </c>
      <c r="B1134" s="1" t="s">
        <v>970</v>
      </c>
      <c r="C1134" s="2">
        <v>15348</v>
      </c>
      <c r="D1134" s="2">
        <v>1002732</v>
      </c>
      <c r="E1134" s="2">
        <v>1139</v>
      </c>
      <c r="F1134" s="2">
        <v>135963</v>
      </c>
      <c r="G1134" s="2">
        <v>21</v>
      </c>
      <c r="H1134" s="2">
        <v>5115</v>
      </c>
      <c r="I1134" s="2">
        <v>368</v>
      </c>
      <c r="J1134" s="2">
        <v>80255</v>
      </c>
      <c r="K1134" s="2">
        <v>39</v>
      </c>
      <c r="L1134" s="2">
        <v>8845</v>
      </c>
      <c r="M1134" s="2">
        <v>948</v>
      </c>
      <c r="N1134" s="2">
        <v>62557</v>
      </c>
      <c r="O1134" s="2">
        <v>62</v>
      </c>
      <c r="P1134" s="2">
        <v>248125</v>
      </c>
      <c r="Q1134" s="2">
        <v>15703</v>
      </c>
      <c r="R1134" s="2">
        <v>182895</v>
      </c>
      <c r="S1134" s="2">
        <v>1742190</v>
      </c>
      <c r="T1134" s="10">
        <f t="shared" si="58"/>
        <v>1143810</v>
      </c>
      <c r="U1134" s="8">
        <f t="shared" si="59"/>
        <v>0.6565357395002841</v>
      </c>
      <c r="V1134" s="9" t="s">
        <v>5270</v>
      </c>
      <c r="W1134" s="9" t="str">
        <f t="shared" si="60"/>
        <v>Aldridge UD</v>
      </c>
      <c r="X1134" s="9" t="str">
        <f>INDEX(Lookup!$A$2:$A$1349, MATCH(W1134, Lookup!$B$2:$B$1349,0))</f>
        <v>J04000024</v>
      </c>
      <c r="Y1134" s="9" t="str">
        <f>INDEX(Lookup!$F$2:$F$1349, MATCH(W1134, Lookup!$B$2:$B$1349,0))</f>
        <v>e330946</v>
      </c>
      <c r="Z1134" s="6" t="str">
        <f>INDEX(Lookup!$C$2:$C$1300, MATCH(X1134, Lookup!$A$2:$A$1300,0))</f>
        <v>West Midlands</v>
      </c>
    </row>
    <row r="1135" spans="1:26" ht="28.15" customHeight="1" x14ac:dyDescent="0.2">
      <c r="A1135" s="6" t="s">
        <v>971</v>
      </c>
      <c r="B1135" s="1" t="s">
        <v>971</v>
      </c>
      <c r="C1135" s="2">
        <v>928</v>
      </c>
      <c r="D1135" s="2">
        <v>43527</v>
      </c>
      <c r="E1135" s="2">
        <v>29</v>
      </c>
      <c r="F1135" s="2">
        <v>3538</v>
      </c>
      <c r="G1135" s="2">
        <v>1</v>
      </c>
      <c r="H1135" s="2">
        <v>206</v>
      </c>
      <c r="I1135" s="2">
        <v>47</v>
      </c>
      <c r="J1135" s="2">
        <v>6028</v>
      </c>
      <c r="K1135" s="2">
        <v>12</v>
      </c>
      <c r="L1135" s="2">
        <v>1947</v>
      </c>
      <c r="M1135" s="2">
        <v>102</v>
      </c>
      <c r="N1135" s="2">
        <v>17603</v>
      </c>
      <c r="O1135" s="2">
        <v>34</v>
      </c>
      <c r="P1135" s="2">
        <v>96255</v>
      </c>
      <c r="Q1135" s="2">
        <v>2062</v>
      </c>
      <c r="R1135" s="2">
        <v>26691</v>
      </c>
      <c r="S1135" s="2">
        <v>197857</v>
      </c>
      <c r="T1135" s="10">
        <f t="shared" si="58"/>
        <v>47271</v>
      </c>
      <c r="U1135" s="8">
        <f t="shared" si="59"/>
        <v>0.23891497394582956</v>
      </c>
      <c r="V1135" s="9" t="s">
        <v>5270</v>
      </c>
      <c r="W1135" s="9" t="str">
        <f t="shared" si="60"/>
        <v>Amblecote UD</v>
      </c>
      <c r="X1135" s="9" t="str">
        <f>INDEX(Lookup!$A$2:$A$1349, MATCH(W1135, Lookup!$B$2:$B$1349,0))</f>
        <v>J04000036</v>
      </c>
      <c r="Y1135" s="9" t="str">
        <f>INDEX(Lookup!$F$2:$F$1349, MATCH(W1135, Lookup!$B$2:$B$1349,0))</f>
        <v>e330941</v>
      </c>
      <c r="Z1135" s="6" t="str">
        <f>INDEX(Lookup!$C$2:$C$1300, MATCH(X1135, Lookup!$A$2:$A$1300,0))</f>
        <v>West Midlands</v>
      </c>
    </row>
    <row r="1136" spans="1:26" ht="28.15" customHeight="1" x14ac:dyDescent="0.2">
      <c r="A1136" s="6" t="s">
        <v>972</v>
      </c>
      <c r="B1136" s="1" t="s">
        <v>972</v>
      </c>
      <c r="C1136" s="2">
        <v>4116</v>
      </c>
      <c r="D1136" s="2">
        <v>187148</v>
      </c>
      <c r="E1136" s="2">
        <v>64</v>
      </c>
      <c r="F1136" s="2">
        <v>7588</v>
      </c>
      <c r="G1136" s="2">
        <v>1</v>
      </c>
      <c r="H1136" s="2">
        <v>206</v>
      </c>
      <c r="I1136" s="2">
        <v>168</v>
      </c>
      <c r="J1136" s="2">
        <v>18854</v>
      </c>
      <c r="K1136" s="2">
        <v>12</v>
      </c>
      <c r="L1136" s="2">
        <v>803</v>
      </c>
      <c r="M1136" s="2">
        <v>288</v>
      </c>
      <c r="N1136" s="2">
        <v>10815</v>
      </c>
      <c r="O1136" s="2">
        <v>23</v>
      </c>
      <c r="P1136" s="2">
        <v>32152</v>
      </c>
      <c r="Q1136" s="2">
        <v>2572</v>
      </c>
      <c r="R1136" s="2">
        <v>53016</v>
      </c>
      <c r="S1136" s="2">
        <v>197857</v>
      </c>
      <c r="T1136" s="10">
        <f t="shared" si="58"/>
        <v>194942</v>
      </c>
      <c r="U1136" s="8">
        <f t="shared" si="59"/>
        <v>0.98526713737699445</v>
      </c>
      <c r="V1136" s="9" t="s">
        <v>5270</v>
      </c>
      <c r="W1136" s="9" t="str">
        <f t="shared" si="60"/>
        <v>Biddulph UD</v>
      </c>
      <c r="X1136" s="9" t="str">
        <f>INDEX(Lookup!$A$2:$A$1349, MATCH(W1136, Lookup!$B$2:$B$1349,0))</f>
        <v>J04000138</v>
      </c>
      <c r="Y1136" s="9" t="str">
        <f>INDEX(Lookup!$F$2:$F$1349, MATCH(W1136, Lookup!$B$2:$B$1349,0))</f>
        <v>e330947</v>
      </c>
      <c r="Z1136" s="6" t="str">
        <f>INDEX(Lookup!$C$2:$C$1300, MATCH(X1136, Lookup!$A$2:$A$1300,0))</f>
        <v>Staffordshire</v>
      </c>
    </row>
    <row r="1137" spans="1:26" ht="28.15" customHeight="1" x14ac:dyDescent="0.2">
      <c r="A1137" s="6" t="s">
        <v>973</v>
      </c>
      <c r="B1137" s="1" t="s">
        <v>973</v>
      </c>
      <c r="C1137" s="2">
        <v>17849</v>
      </c>
      <c r="D1137" s="2">
        <v>955612</v>
      </c>
      <c r="E1137" s="2">
        <v>847</v>
      </c>
      <c r="F1137" s="2">
        <v>99576</v>
      </c>
      <c r="G1137" s="2">
        <v>25</v>
      </c>
      <c r="H1137" s="2">
        <v>6395</v>
      </c>
      <c r="I1137" s="2">
        <v>702</v>
      </c>
      <c r="J1137" s="2">
        <v>142266</v>
      </c>
      <c r="K1137" s="2">
        <v>71</v>
      </c>
      <c r="L1137" s="2">
        <v>11940</v>
      </c>
      <c r="M1137" s="2">
        <v>1357</v>
      </c>
      <c r="N1137" s="2">
        <v>169361</v>
      </c>
      <c r="O1137" s="2">
        <v>185</v>
      </c>
      <c r="P1137" s="2">
        <v>807366</v>
      </c>
      <c r="Q1137" s="2">
        <v>6501</v>
      </c>
      <c r="R1137" s="2">
        <v>272795</v>
      </c>
      <c r="S1137" s="2">
        <v>2471812</v>
      </c>
      <c r="T1137" s="10">
        <f t="shared" si="58"/>
        <v>1061583</v>
      </c>
      <c r="U1137" s="8">
        <f t="shared" si="59"/>
        <v>0.42947562355065838</v>
      </c>
      <c r="V1137" s="9" t="s">
        <v>5270</v>
      </c>
      <c r="W1137" s="9" t="str">
        <f t="shared" si="60"/>
        <v>Brierley Hill UD</v>
      </c>
      <c r="X1137" s="9" t="str">
        <f>INDEX(Lookup!$A$2:$A$1349, MATCH(W1137, Lookup!$B$2:$B$1349,0))</f>
        <v>J04000208</v>
      </c>
      <c r="Y1137" s="9" t="str">
        <f>INDEX(Lookup!$F$2:$F$1349, MATCH(W1137, Lookup!$B$2:$B$1349,0))</f>
        <v>e330941</v>
      </c>
      <c r="Z1137" s="6" t="str">
        <f>INDEX(Lookup!$C$2:$C$1300, MATCH(X1137, Lookup!$A$2:$A$1300,0))</f>
        <v>West Midlands</v>
      </c>
    </row>
    <row r="1138" spans="1:26" ht="28.15" customHeight="1" x14ac:dyDescent="0.2">
      <c r="A1138" s="6" t="s">
        <v>974</v>
      </c>
      <c r="B1138" s="1" t="s">
        <v>974</v>
      </c>
      <c r="C1138" s="2">
        <v>8492</v>
      </c>
      <c r="D1138" s="2">
        <v>434118</v>
      </c>
      <c r="E1138" s="2">
        <v>111</v>
      </c>
      <c r="F1138" s="2">
        <v>12495</v>
      </c>
      <c r="I1138" s="2">
        <v>358</v>
      </c>
      <c r="J1138" s="2">
        <v>34677</v>
      </c>
      <c r="K1138" s="2">
        <v>20</v>
      </c>
      <c r="L1138" s="2">
        <v>4302</v>
      </c>
      <c r="M1138" s="2">
        <v>783</v>
      </c>
      <c r="N1138" s="2">
        <v>32543</v>
      </c>
      <c r="O1138" s="2">
        <v>66</v>
      </c>
      <c r="P1138" s="2">
        <v>83376</v>
      </c>
      <c r="Q1138" s="2">
        <v>431</v>
      </c>
      <c r="R1138" s="2">
        <v>92851</v>
      </c>
      <c r="S1138" s="2">
        <v>694793</v>
      </c>
      <c r="T1138" s="10">
        <f t="shared" si="58"/>
        <v>446613</v>
      </c>
      <c r="U1138" s="8">
        <f t="shared" si="59"/>
        <v>0.64280008578094483</v>
      </c>
      <c r="V1138" s="9" t="s">
        <v>5270</v>
      </c>
      <c r="W1138" s="9" t="str">
        <f t="shared" si="60"/>
        <v>Brownhills UD</v>
      </c>
      <c r="X1138" s="9" t="str">
        <f>INDEX(Lookup!$A$2:$A$1349, MATCH(W1138, Lookup!$B$2:$B$1349,0))</f>
        <v>J04000223</v>
      </c>
      <c r="Y1138" s="9" t="str">
        <f>INDEX(Lookup!$F$2:$F$1349, MATCH(W1138, Lookup!$B$2:$B$1349,0))</f>
        <v>e330946</v>
      </c>
      <c r="Z1138" s="6" t="str">
        <f>INDEX(Lookup!$C$2:$C$1300, MATCH(X1138, Lookup!$A$2:$A$1300,0))</f>
        <v>West Midlands</v>
      </c>
    </row>
    <row r="1139" spans="1:26" ht="28.15" customHeight="1" x14ac:dyDescent="0.2">
      <c r="A1139" s="6" t="s">
        <v>975</v>
      </c>
      <c r="B1139" s="1" t="s">
        <v>975</v>
      </c>
      <c r="C1139" s="2">
        <v>12714</v>
      </c>
      <c r="D1139" s="2">
        <v>614608</v>
      </c>
      <c r="E1139" s="2">
        <v>275</v>
      </c>
      <c r="F1139" s="2">
        <v>33089</v>
      </c>
      <c r="G1139" s="2">
        <v>10</v>
      </c>
      <c r="H1139" s="2">
        <v>2215</v>
      </c>
      <c r="I1139" s="2">
        <v>676</v>
      </c>
      <c r="J1139" s="2">
        <v>111401</v>
      </c>
      <c r="K1139" s="2">
        <v>81</v>
      </c>
      <c r="L1139" s="2">
        <v>22578</v>
      </c>
      <c r="M1139" s="2">
        <v>940</v>
      </c>
      <c r="N1139" s="2">
        <v>68282</v>
      </c>
      <c r="O1139" s="2">
        <v>68</v>
      </c>
      <c r="P1139" s="2">
        <v>173663</v>
      </c>
      <c r="Q1139" s="2">
        <v>3116</v>
      </c>
      <c r="R1139" s="2">
        <v>246134</v>
      </c>
      <c r="S1139" s="2">
        <v>1275086</v>
      </c>
      <c r="T1139" s="10">
        <f t="shared" si="58"/>
        <v>649912</v>
      </c>
      <c r="U1139" s="8">
        <f t="shared" si="59"/>
        <v>0.50970052216085815</v>
      </c>
      <c r="V1139" s="9" t="s">
        <v>5270</v>
      </c>
      <c r="W1139" s="9" t="str">
        <f t="shared" si="60"/>
        <v>Cannock UD</v>
      </c>
      <c r="X1139" s="9" t="str">
        <f>INDEX(Lookup!$A$2:$A$1349, MATCH(W1139, Lookup!$B$2:$B$1349,0))</f>
        <v>J04000259</v>
      </c>
      <c r="Y1139" s="9" t="str">
        <f>INDEX(Lookup!$F$2:$F$1349, MATCH(W1139, Lookup!$B$2:$B$1349,0))</f>
        <v>e330948</v>
      </c>
      <c r="Z1139" s="6" t="str">
        <f>INDEX(Lookup!$C$2:$C$1300, MATCH(X1139, Lookup!$A$2:$A$1300,0))</f>
        <v>Staffordshire</v>
      </c>
    </row>
    <row r="1140" spans="1:26" ht="28.15" customHeight="1" x14ac:dyDescent="0.2">
      <c r="A1140" s="6" t="s">
        <v>976</v>
      </c>
      <c r="B1140" s="1" t="s">
        <v>976</v>
      </c>
      <c r="C1140" s="2">
        <v>12508</v>
      </c>
      <c r="D1140" s="2">
        <v>698965</v>
      </c>
      <c r="E1140" s="2">
        <v>258</v>
      </c>
      <c r="F1140" s="2">
        <v>29972</v>
      </c>
      <c r="G1140" s="2">
        <v>3</v>
      </c>
      <c r="H1140" s="2">
        <v>658</v>
      </c>
      <c r="I1140" s="2">
        <v>427</v>
      </c>
      <c r="J1140" s="2">
        <v>60817</v>
      </c>
      <c r="K1140" s="2">
        <v>25</v>
      </c>
      <c r="L1140" s="2">
        <v>16239</v>
      </c>
      <c r="M1140" s="2">
        <v>1273</v>
      </c>
      <c r="N1140" s="2">
        <v>66198</v>
      </c>
      <c r="O1140" s="2">
        <v>92</v>
      </c>
      <c r="P1140" s="2">
        <v>767443</v>
      </c>
      <c r="Q1140" s="2">
        <v>5951</v>
      </c>
      <c r="R1140" s="2">
        <v>173425</v>
      </c>
      <c r="S1140" s="2">
        <v>1819668</v>
      </c>
      <c r="T1140" s="10">
        <f t="shared" si="58"/>
        <v>729595</v>
      </c>
      <c r="U1140" s="8">
        <f t="shared" si="59"/>
        <v>0.40094951386736483</v>
      </c>
      <c r="V1140" s="9" t="s">
        <v>5270</v>
      </c>
      <c r="W1140" s="9" t="str">
        <f t="shared" si="60"/>
        <v>Coseley UD</v>
      </c>
      <c r="X1140" s="9" t="str">
        <f>INDEX(Lookup!$A$2:$A$1349, MATCH(W1140, Lookup!$B$2:$B$1349,0))</f>
        <v>J04000349</v>
      </c>
      <c r="Y1140" s="9" t="str">
        <f>INDEX(Lookup!$F$2:$F$1349, MATCH(W1140, Lookup!$B$2:$B$1349,0))</f>
        <v>e330945</v>
      </c>
      <c r="Z1140" s="6" t="str">
        <f>INDEX(Lookup!$C$2:$C$1300, MATCH(X1140, Lookup!$A$2:$A$1300,0))</f>
        <v>West Midlands</v>
      </c>
    </row>
    <row r="1141" spans="1:26" ht="28.15" customHeight="1" x14ac:dyDescent="0.2">
      <c r="A1141" s="6" t="s">
        <v>977</v>
      </c>
      <c r="B1141" s="1" t="s">
        <v>977</v>
      </c>
      <c r="C1141" s="2">
        <v>6381</v>
      </c>
      <c r="D1141" s="2">
        <v>311185</v>
      </c>
      <c r="E1141" s="2">
        <v>22</v>
      </c>
      <c r="F1141" s="2">
        <v>2499</v>
      </c>
      <c r="I1141" s="2">
        <v>383</v>
      </c>
      <c r="J1141" s="2">
        <v>46525</v>
      </c>
      <c r="K1141" s="2">
        <v>12</v>
      </c>
      <c r="L1141" s="2">
        <v>1355</v>
      </c>
      <c r="M1141" s="2">
        <v>782</v>
      </c>
      <c r="N1141" s="2">
        <v>31259</v>
      </c>
      <c r="O1141" s="2">
        <v>68</v>
      </c>
      <c r="P1141" s="2">
        <v>436193</v>
      </c>
      <c r="Q1141" s="2">
        <v>946</v>
      </c>
      <c r="R1141" s="2">
        <v>74798</v>
      </c>
      <c r="S1141" s="2">
        <v>904760</v>
      </c>
      <c r="T1141" s="10">
        <f t="shared" si="58"/>
        <v>313684</v>
      </c>
      <c r="U1141" s="8">
        <f t="shared" si="59"/>
        <v>0.34670409832441751</v>
      </c>
      <c r="V1141" s="9" t="s">
        <v>5270</v>
      </c>
      <c r="W1141" s="9" t="str">
        <f t="shared" si="60"/>
        <v>Darlaston UD</v>
      </c>
      <c r="X1141" s="9" t="str">
        <f>INDEX(Lookup!$A$2:$A$1349, MATCH(W1141, Lookup!$B$2:$B$1349,0))</f>
        <v>J04000380</v>
      </c>
      <c r="Y1141" s="9" t="str">
        <f>INDEX(Lookup!$F$2:$F$1349, MATCH(W1141, Lookup!$B$2:$B$1349,0))</f>
        <v>e330943</v>
      </c>
      <c r="Z1141" s="6" t="str">
        <f>INDEX(Lookup!$C$2:$C$1300, MATCH(X1141, Lookup!$A$2:$A$1300,0))</f>
        <v>West Midlands</v>
      </c>
    </row>
    <row r="1142" spans="1:26" ht="28.15" customHeight="1" x14ac:dyDescent="0.2">
      <c r="A1142" s="6" t="s">
        <v>978</v>
      </c>
      <c r="B1142" s="1" t="s">
        <v>978</v>
      </c>
      <c r="C1142" s="2">
        <v>6231</v>
      </c>
      <c r="D1142" s="2">
        <v>255974</v>
      </c>
      <c r="E1142" s="2">
        <v>14</v>
      </c>
      <c r="F1142" s="2">
        <v>1584</v>
      </c>
      <c r="G1142" s="2">
        <v>1</v>
      </c>
      <c r="H1142" s="2">
        <v>266</v>
      </c>
      <c r="I1142" s="2">
        <v>222</v>
      </c>
      <c r="J1142" s="2">
        <v>20790</v>
      </c>
      <c r="K1142" s="2">
        <v>13</v>
      </c>
      <c r="L1142" s="2">
        <v>410</v>
      </c>
      <c r="M1142" s="2">
        <v>720</v>
      </c>
      <c r="N1142" s="2">
        <v>26886</v>
      </c>
      <c r="O1142" s="2">
        <v>20</v>
      </c>
      <c r="P1142" s="2">
        <v>79310</v>
      </c>
      <c r="Q1142" s="2">
        <v>1009</v>
      </c>
      <c r="R1142" s="2">
        <v>67654</v>
      </c>
      <c r="S1142" s="2">
        <v>453883</v>
      </c>
      <c r="T1142" s="10">
        <f t="shared" si="58"/>
        <v>257824</v>
      </c>
      <c r="U1142" s="8">
        <f t="shared" si="59"/>
        <v>0.56804066246147134</v>
      </c>
      <c r="V1142" s="9" t="s">
        <v>5270</v>
      </c>
      <c r="W1142" s="9" t="str">
        <f t="shared" si="60"/>
        <v>Kidsgrove UD</v>
      </c>
      <c r="X1142" s="9" t="str">
        <f>INDEX(Lookup!$A$2:$A$1349, MATCH(W1142, Lookup!$B$2:$B$1349,0))</f>
        <v>J04000693</v>
      </c>
      <c r="Y1142" s="9" t="str">
        <f>INDEX(Lookup!$F$2:$F$1349, MATCH(W1142, Lookup!$B$2:$B$1349,0))</f>
        <v>e330949</v>
      </c>
      <c r="Z1142" s="6" t="str">
        <f>INDEX(Lookup!$C$2:$C$1300, MATCH(X1142, Lookup!$A$2:$A$1300,0))</f>
        <v>Staffordshire</v>
      </c>
    </row>
    <row r="1143" spans="1:26" ht="28.15" customHeight="1" x14ac:dyDescent="0.2">
      <c r="A1143" s="6" t="s">
        <v>979</v>
      </c>
      <c r="B1143" s="1" t="s">
        <v>979</v>
      </c>
      <c r="C1143" s="2">
        <v>6419</v>
      </c>
      <c r="D1143" s="2">
        <v>272487</v>
      </c>
      <c r="E1143" s="2">
        <v>180</v>
      </c>
      <c r="F1143" s="2">
        <v>23006</v>
      </c>
      <c r="G1143" s="2">
        <v>21</v>
      </c>
      <c r="H1143" s="2">
        <v>4823</v>
      </c>
      <c r="I1143" s="2">
        <v>458</v>
      </c>
      <c r="J1143" s="2">
        <v>77666</v>
      </c>
      <c r="K1143" s="2">
        <v>61</v>
      </c>
      <c r="L1143" s="2">
        <v>11145</v>
      </c>
      <c r="M1143" s="2">
        <v>883</v>
      </c>
      <c r="N1143" s="2">
        <v>36719</v>
      </c>
      <c r="O1143" s="2">
        <v>88</v>
      </c>
      <c r="P1143" s="2">
        <v>156137</v>
      </c>
      <c r="Q1143" s="2">
        <v>2964</v>
      </c>
      <c r="R1143" s="2">
        <v>65756</v>
      </c>
      <c r="S1143" s="2">
        <v>650703</v>
      </c>
      <c r="T1143" s="10">
        <f t="shared" si="58"/>
        <v>300316</v>
      </c>
      <c r="U1143" s="8">
        <f t="shared" si="59"/>
        <v>0.46152545785097043</v>
      </c>
      <c r="V1143" s="9" t="s">
        <v>5270</v>
      </c>
      <c r="W1143" s="9" t="str">
        <f t="shared" si="60"/>
        <v>Leek UD</v>
      </c>
      <c r="X1143" s="9" t="str">
        <f>INDEX(Lookup!$A$2:$A$1349, MATCH(W1143, Lookup!$B$2:$B$1349,0))</f>
        <v>J04000729</v>
      </c>
      <c r="Y1143" s="9" t="str">
        <f>INDEX(Lookup!$F$2:$F$1349, MATCH(W1143, Lookup!$B$2:$B$1349,0))</f>
        <v>e330950</v>
      </c>
      <c r="Z1143" s="6" t="str">
        <f>INDEX(Lookup!$C$2:$C$1300, MATCH(X1143, Lookup!$A$2:$A$1300,0))</f>
        <v>Staffordshire</v>
      </c>
    </row>
    <row r="1144" spans="1:26" ht="28.15" customHeight="1" x14ac:dyDescent="0.2">
      <c r="A1144" s="6" t="s">
        <v>980</v>
      </c>
      <c r="B1144" s="1" t="s">
        <v>980</v>
      </c>
      <c r="C1144" s="2">
        <v>3980</v>
      </c>
      <c r="D1144" s="2">
        <v>203671</v>
      </c>
      <c r="E1144" s="2">
        <v>120</v>
      </c>
      <c r="F1144" s="2">
        <v>14302</v>
      </c>
      <c r="G1144" s="2">
        <v>1</v>
      </c>
      <c r="H1144" s="2">
        <v>210</v>
      </c>
      <c r="I1144" s="2">
        <v>166</v>
      </c>
      <c r="J1144" s="2">
        <v>26910</v>
      </c>
      <c r="K1144" s="2">
        <v>44</v>
      </c>
      <c r="L1144" s="2">
        <v>2168</v>
      </c>
      <c r="M1144" s="2">
        <v>420</v>
      </c>
      <c r="N1144" s="2">
        <v>26258</v>
      </c>
      <c r="O1144" s="2">
        <v>18</v>
      </c>
      <c r="P1144" s="2">
        <v>24285</v>
      </c>
      <c r="Q1144" s="2">
        <v>1085</v>
      </c>
      <c r="R1144" s="2">
        <v>113387</v>
      </c>
      <c r="S1144" s="2">
        <v>412276</v>
      </c>
      <c r="T1144" s="10">
        <f t="shared" si="58"/>
        <v>218183</v>
      </c>
      <c r="U1144" s="8">
        <f t="shared" si="59"/>
        <v>0.52921586510007856</v>
      </c>
      <c r="V1144" s="9" t="s">
        <v>5270</v>
      </c>
      <c r="W1144" s="9" t="str">
        <f t="shared" si="60"/>
        <v>Rugeley UD</v>
      </c>
      <c r="X1144" s="9" t="str">
        <f>INDEX(Lookup!$A$2:$A$1349, MATCH(W1144, Lookup!$B$2:$B$1349,0))</f>
        <v>J04001079</v>
      </c>
      <c r="Y1144" s="9" t="str">
        <f>INDEX(Lookup!$F$2:$F$1349, MATCH(W1144, Lookup!$B$2:$B$1349,0))</f>
        <v>e330953</v>
      </c>
      <c r="Z1144" s="6" t="str">
        <f>INDEX(Lookup!$C$2:$C$1300, MATCH(X1144, Lookup!$A$2:$A$1300,0))</f>
        <v>Staffordshire</v>
      </c>
    </row>
    <row r="1145" spans="1:26" ht="28.15" customHeight="1" x14ac:dyDescent="0.2">
      <c r="A1145" s="6" t="s">
        <v>981</v>
      </c>
      <c r="B1145" s="1" t="s">
        <v>981</v>
      </c>
      <c r="C1145" s="2">
        <v>8880</v>
      </c>
      <c r="D1145" s="2">
        <v>535665</v>
      </c>
      <c r="E1145" s="2">
        <v>743</v>
      </c>
      <c r="F1145" s="2">
        <v>8799</v>
      </c>
      <c r="G1145" s="2">
        <v>13</v>
      </c>
      <c r="H1145" s="2">
        <v>3445</v>
      </c>
      <c r="I1145" s="2">
        <v>319</v>
      </c>
      <c r="J1145" s="2">
        <v>48702</v>
      </c>
      <c r="K1145" s="2">
        <v>25</v>
      </c>
      <c r="L1145" s="2">
        <v>9406</v>
      </c>
      <c r="M1145" s="2">
        <v>801</v>
      </c>
      <c r="N1145" s="2">
        <v>44861</v>
      </c>
      <c r="O1145" s="2">
        <v>63</v>
      </c>
      <c r="P1145" s="2">
        <v>103201</v>
      </c>
      <c r="Q1145" s="2">
        <v>4040</v>
      </c>
      <c r="R1145" s="2">
        <v>78541</v>
      </c>
      <c r="S1145" s="2">
        <v>915790</v>
      </c>
      <c r="T1145" s="10">
        <f t="shared" si="58"/>
        <v>547909</v>
      </c>
      <c r="U1145" s="8">
        <f t="shared" si="59"/>
        <v>0.59829109293615346</v>
      </c>
      <c r="V1145" s="9" t="s">
        <v>5270</v>
      </c>
      <c r="W1145" s="9" t="str">
        <f t="shared" si="60"/>
        <v>Sedgley UD</v>
      </c>
      <c r="X1145" s="9" t="str">
        <f>INDEX(Lookup!$A$2:$A$1349, MATCH(W1145, Lookup!$B$2:$B$1349,0))</f>
        <v>J04001116</v>
      </c>
      <c r="Y1145" s="9" t="str">
        <f>INDEX(Lookup!$F$2:$F$1349, MATCH(W1145, Lookup!$B$2:$B$1349,0))</f>
        <v>e330941</v>
      </c>
      <c r="Z1145" s="6" t="str">
        <f>INDEX(Lookup!$C$2:$C$1300, MATCH(X1145, Lookup!$A$2:$A$1300,0))</f>
        <v>West Midlands</v>
      </c>
    </row>
    <row r="1146" spans="1:26" ht="28.15" customHeight="1" x14ac:dyDescent="0.2">
      <c r="A1146" s="6" t="s">
        <v>982</v>
      </c>
      <c r="B1146" s="1" t="s">
        <v>982</v>
      </c>
      <c r="C1146" s="2">
        <v>2935</v>
      </c>
      <c r="D1146" s="2">
        <v>136833</v>
      </c>
      <c r="E1146" s="2">
        <v>121</v>
      </c>
      <c r="F1146" s="2">
        <v>15695</v>
      </c>
      <c r="G1146" s="2">
        <v>16</v>
      </c>
      <c r="H1146" s="2">
        <v>3845</v>
      </c>
      <c r="I1146" s="2">
        <v>130</v>
      </c>
      <c r="J1146" s="2">
        <v>21537</v>
      </c>
      <c r="K1146" s="2">
        <v>32</v>
      </c>
      <c r="L1146" s="2">
        <v>2703</v>
      </c>
      <c r="M1146" s="2">
        <v>367</v>
      </c>
      <c r="N1146" s="2">
        <v>17311</v>
      </c>
      <c r="O1146" s="2">
        <v>14</v>
      </c>
      <c r="P1146" s="2">
        <v>73502</v>
      </c>
      <c r="Q1146" s="2">
        <v>1664</v>
      </c>
      <c r="R1146" s="2">
        <v>33352</v>
      </c>
      <c r="S1146" s="2">
        <v>306442</v>
      </c>
      <c r="T1146" s="10">
        <f t="shared" si="58"/>
        <v>156373</v>
      </c>
      <c r="U1146" s="8">
        <f t="shared" si="59"/>
        <v>0.51028579633340077</v>
      </c>
      <c r="V1146" s="9" t="s">
        <v>5270</v>
      </c>
      <c r="W1146" s="9" t="str">
        <f t="shared" si="60"/>
        <v>Stone UD</v>
      </c>
      <c r="X1146" s="9" t="str">
        <f>INDEX(Lookup!$A$2:$A$1349, MATCH(W1146, Lookup!$B$2:$B$1349,0))</f>
        <v>J04001216</v>
      </c>
      <c r="Y1146" s="9" t="str">
        <f>INDEX(Lookup!$F$2:$F$1349, MATCH(W1146, Lookup!$B$2:$B$1349,0))</f>
        <v>e330955</v>
      </c>
      <c r="Z1146" s="6" t="str">
        <f>INDEX(Lookup!$C$2:$C$1300, MATCH(X1146, Lookup!$A$2:$A$1300,0))</f>
        <v>Staffordshire</v>
      </c>
    </row>
    <row r="1147" spans="1:26" ht="28.15" customHeight="1" x14ac:dyDescent="0.2">
      <c r="A1147" s="6" t="s">
        <v>983</v>
      </c>
      <c r="B1147" s="1" t="s">
        <v>983</v>
      </c>
      <c r="C1147" s="2">
        <v>3408</v>
      </c>
      <c r="D1147" s="2">
        <v>205453</v>
      </c>
      <c r="E1147" s="2">
        <v>1204</v>
      </c>
      <c r="F1147" s="2">
        <v>170584</v>
      </c>
      <c r="G1147" s="2">
        <v>218</v>
      </c>
      <c r="H1147" s="2">
        <v>53955</v>
      </c>
      <c r="I1147" s="2">
        <v>107</v>
      </c>
      <c r="J1147" s="2">
        <v>22601</v>
      </c>
      <c r="K1147" s="2">
        <v>8</v>
      </c>
      <c r="L1147" s="2">
        <v>1658</v>
      </c>
      <c r="M1147" s="2">
        <v>624</v>
      </c>
      <c r="N1147" s="2">
        <v>27511</v>
      </c>
      <c r="O1147" s="2">
        <v>4</v>
      </c>
      <c r="P1147" s="2">
        <v>1730</v>
      </c>
      <c r="Q1147" s="2">
        <v>2401</v>
      </c>
      <c r="R1147" s="2">
        <v>62643</v>
      </c>
      <c r="S1147" s="2">
        <v>548536</v>
      </c>
      <c r="T1147" s="10">
        <f t="shared" si="58"/>
        <v>429992</v>
      </c>
      <c r="U1147" s="8">
        <f t="shared" si="59"/>
        <v>0.78389020957603517</v>
      </c>
      <c r="V1147" s="9" t="s">
        <v>5270</v>
      </c>
      <c r="W1147" s="9" t="str">
        <f t="shared" si="60"/>
        <v>Tettenhall UD</v>
      </c>
      <c r="X1147" s="9" t="str">
        <f>INDEX(Lookup!$A$2:$A$1349, MATCH(W1147, Lookup!$B$2:$B$1349,0))</f>
        <v>J04001263</v>
      </c>
      <c r="Y1147" s="9" t="str">
        <f>INDEX(Lookup!$F$2:$F$1349, MATCH(W1147, Lookup!$B$2:$B$1349,0))</f>
        <v>e330945</v>
      </c>
      <c r="Z1147" s="6" t="str">
        <f>INDEX(Lookup!$C$2:$C$1300, MATCH(X1147, Lookup!$A$2:$A$1300,0))</f>
        <v>West Midlands</v>
      </c>
    </row>
    <row r="1148" spans="1:26" ht="28.15" customHeight="1" x14ac:dyDescent="0.2">
      <c r="A1148" s="6" t="s">
        <v>984</v>
      </c>
      <c r="B1148" s="1" t="s">
        <v>984</v>
      </c>
      <c r="C1148" s="2">
        <v>2423</v>
      </c>
      <c r="D1148" s="2">
        <v>116545</v>
      </c>
      <c r="E1148" s="2">
        <v>106</v>
      </c>
      <c r="F1148" s="2">
        <v>13038</v>
      </c>
      <c r="G1148" s="2">
        <v>5</v>
      </c>
      <c r="H1148" s="2">
        <v>1098</v>
      </c>
      <c r="I1148" s="2">
        <v>155</v>
      </c>
      <c r="J1148" s="2">
        <v>25085</v>
      </c>
      <c r="K1148" s="2">
        <v>29</v>
      </c>
      <c r="L1148" s="2">
        <v>4254</v>
      </c>
      <c r="M1148" s="2">
        <v>255</v>
      </c>
      <c r="N1148" s="2">
        <v>23569</v>
      </c>
      <c r="O1148" s="2">
        <v>14</v>
      </c>
      <c r="P1148" s="2">
        <v>78010</v>
      </c>
      <c r="Q1148" s="2">
        <v>2182</v>
      </c>
      <c r="R1148" s="2">
        <v>41013</v>
      </c>
      <c r="S1148" s="2">
        <v>304794</v>
      </c>
      <c r="T1148" s="10">
        <f t="shared" si="58"/>
        <v>130681</v>
      </c>
      <c r="U1148" s="8">
        <f t="shared" si="59"/>
        <v>0.42875187831781464</v>
      </c>
      <c r="V1148" s="9" t="s">
        <v>5270</v>
      </c>
      <c r="W1148" s="9" t="str">
        <f t="shared" si="60"/>
        <v>Uttoxeter UD</v>
      </c>
      <c r="X1148" s="9" t="str">
        <f>INDEX(Lookup!$A$2:$A$1349, MATCH(W1148, Lookup!$B$2:$B$1349,0))</f>
        <v>J04001315</v>
      </c>
      <c r="Y1148" s="9" t="str">
        <f>INDEX(Lookup!$F$2:$F$1349, MATCH(W1148, Lookup!$B$2:$B$1349,0))</f>
        <v>e330957</v>
      </c>
      <c r="Z1148" s="6" t="str">
        <f>INDEX(Lookup!$C$2:$C$1300, MATCH(X1148, Lookup!$A$2:$A$1300,0))</f>
        <v>Staffordshire</v>
      </c>
    </row>
    <row r="1149" spans="1:26" ht="28.15" customHeight="1" x14ac:dyDescent="0.2">
      <c r="A1149" s="6" t="s">
        <v>985</v>
      </c>
      <c r="B1149" s="1" t="s">
        <v>985</v>
      </c>
      <c r="C1149" s="2">
        <v>9980</v>
      </c>
      <c r="D1149" s="2">
        <v>583143</v>
      </c>
      <c r="E1149" s="2">
        <v>319</v>
      </c>
      <c r="F1149" s="2">
        <v>35522</v>
      </c>
      <c r="G1149" s="2">
        <v>1</v>
      </c>
      <c r="H1149" s="2">
        <v>272</v>
      </c>
      <c r="I1149" s="2">
        <v>234</v>
      </c>
      <c r="J1149" s="2">
        <v>42328</v>
      </c>
      <c r="K1149" s="2">
        <v>19</v>
      </c>
      <c r="L1149" s="2">
        <v>10961</v>
      </c>
      <c r="M1149" s="2">
        <v>1330</v>
      </c>
      <c r="N1149" s="2">
        <v>45068</v>
      </c>
      <c r="O1149" s="2">
        <v>80</v>
      </c>
      <c r="P1149" s="2">
        <v>395920</v>
      </c>
      <c r="Q1149" s="2">
        <v>176</v>
      </c>
      <c r="R1149" s="2">
        <v>118070</v>
      </c>
      <c r="S1149" s="2">
        <v>1231460</v>
      </c>
      <c r="T1149" s="10">
        <f t="shared" si="58"/>
        <v>618937</v>
      </c>
      <c r="U1149" s="8">
        <f t="shared" si="59"/>
        <v>0.50260422587822584</v>
      </c>
      <c r="V1149" s="9" t="s">
        <v>5270</v>
      </c>
      <c r="W1149" s="9" t="str">
        <f t="shared" si="60"/>
        <v>Wednesfield UD</v>
      </c>
      <c r="X1149" s="9" t="str">
        <f>INDEX(Lookup!$A$2:$A$1349, MATCH(W1149, Lookup!$B$2:$B$1349,0))</f>
        <v>J04001360</v>
      </c>
      <c r="Y1149" s="9" t="str">
        <f>INDEX(Lookup!$F$2:$F$1349, MATCH(W1149, Lookup!$B$2:$B$1349,0))</f>
        <v>e330945</v>
      </c>
      <c r="Z1149" s="6" t="str">
        <f>INDEX(Lookup!$C$2:$C$1300, MATCH(X1149, Lookup!$A$2:$A$1300,0))</f>
        <v>West Midlands</v>
      </c>
    </row>
    <row r="1150" spans="1:26" ht="28.15" customHeight="1" x14ac:dyDescent="0.2">
      <c r="A1150" s="6" t="s">
        <v>986</v>
      </c>
      <c r="B1150" s="1" t="s">
        <v>986</v>
      </c>
      <c r="C1150" s="2">
        <v>10414</v>
      </c>
      <c r="D1150" s="2">
        <v>540975</v>
      </c>
      <c r="E1150" s="2">
        <v>201</v>
      </c>
      <c r="F1150" s="2">
        <v>24181</v>
      </c>
      <c r="I1150" s="2">
        <v>469</v>
      </c>
      <c r="J1150" s="2">
        <v>75107</v>
      </c>
      <c r="K1150" s="2">
        <v>42</v>
      </c>
      <c r="L1150" s="2">
        <v>8423</v>
      </c>
      <c r="M1150" s="2">
        <v>1105</v>
      </c>
      <c r="N1150" s="2">
        <v>68816</v>
      </c>
      <c r="O1150" s="2">
        <v>29</v>
      </c>
      <c r="P1150" s="2">
        <v>511353</v>
      </c>
      <c r="Q1150" s="2">
        <v>1892</v>
      </c>
      <c r="R1150" s="2">
        <v>114518</v>
      </c>
      <c r="S1150" s="2">
        <v>1345265</v>
      </c>
      <c r="T1150" s="10">
        <f t="shared" si="58"/>
        <v>565156</v>
      </c>
      <c r="U1150" s="8">
        <f t="shared" si="59"/>
        <v>0.42010756245052089</v>
      </c>
      <c r="V1150" s="9" t="s">
        <v>5270</v>
      </c>
      <c r="W1150" s="9" t="str">
        <f t="shared" si="60"/>
        <v>Willenhall UD</v>
      </c>
      <c r="X1150" s="9" t="str">
        <f>INDEX(Lookup!$A$2:$A$1349, MATCH(W1150, Lookup!$B$2:$B$1349,0))</f>
        <v>J04001413</v>
      </c>
      <c r="Y1150" s="9" t="str">
        <f>INDEX(Lookup!$F$2:$F$1349, MATCH(W1150, Lookup!$B$2:$B$1349,0))</f>
        <v>e330943</v>
      </c>
      <c r="Z1150" s="6" t="str">
        <f>INDEX(Lookup!$C$2:$C$1300, MATCH(X1150, Lookup!$A$2:$A$1300,0))</f>
        <v>West Midlands</v>
      </c>
    </row>
    <row r="1151" spans="1:26" ht="28.15" customHeight="1" x14ac:dyDescent="0.2">
      <c r="A1151" s="6" t="s">
        <v>212</v>
      </c>
      <c r="B1151" s="1" t="s">
        <v>212</v>
      </c>
      <c r="T1151" s="10"/>
      <c r="W1151" s="9" t="str">
        <f t="shared" si="60"/>
        <v xml:space="preserve">Rural Districts-- </v>
      </c>
      <c r="X1151" s="9" t="e">
        <f>INDEX(Lookup!$A$2:$A$1349, MATCH(W1151, Lookup!$B$2:$B$1349,0))</f>
        <v>#N/A</v>
      </c>
      <c r="Y1151" s="9" t="e">
        <f>INDEX(Lookup!$F$2:$F$1349, MATCH(W1151, Lookup!$B$2:$B$1349,0))</f>
        <v>#N/A</v>
      </c>
      <c r="Z1151" s="6" t="e">
        <f>INDEX(Lookup!$C$2:$C$1300, MATCH(X1151, Lookup!$A$2:$A$1300,0))</f>
        <v>#N/A</v>
      </c>
    </row>
    <row r="1152" spans="1:26" ht="28.15" customHeight="1" x14ac:dyDescent="0.2">
      <c r="A1152" s="6" t="s">
        <v>975</v>
      </c>
      <c r="B1152" s="1" t="s">
        <v>975</v>
      </c>
      <c r="C1152" s="2">
        <v>8037</v>
      </c>
      <c r="D1152" s="2">
        <v>407738</v>
      </c>
      <c r="E1152" s="2">
        <v>354</v>
      </c>
      <c r="F1152" s="2">
        <v>42745</v>
      </c>
      <c r="G1152" s="2">
        <v>11</v>
      </c>
      <c r="H1152" s="2">
        <v>2870</v>
      </c>
      <c r="I1152" s="2">
        <v>270</v>
      </c>
      <c r="J1152" s="2">
        <v>24970</v>
      </c>
      <c r="K1152" s="2">
        <v>14</v>
      </c>
      <c r="L1152" s="2">
        <v>2895</v>
      </c>
      <c r="M1152" s="2">
        <v>657</v>
      </c>
      <c r="N1152" s="2">
        <v>51353</v>
      </c>
      <c r="O1152" s="2">
        <v>24</v>
      </c>
      <c r="P1152" s="2">
        <v>109072</v>
      </c>
      <c r="Q1152" s="2">
        <v>16034</v>
      </c>
      <c r="R1152" s="2">
        <v>219488</v>
      </c>
      <c r="S1152" s="2">
        <v>877165</v>
      </c>
      <c r="T1152" s="10">
        <f t="shared" si="58"/>
        <v>453353</v>
      </c>
      <c r="U1152" s="8">
        <f t="shared" si="59"/>
        <v>0.51683890716113845</v>
      </c>
      <c r="V1152" s="9" t="s">
        <v>5271</v>
      </c>
      <c r="W1152" s="9" t="str">
        <f t="shared" si="60"/>
        <v>Cannock RD</v>
      </c>
      <c r="X1152" s="9" t="str">
        <f>INDEX(Lookup!$A$2:$A$1349, MATCH(W1152, Lookup!$B$2:$B$1349,0))</f>
        <v>J04000258</v>
      </c>
      <c r="Y1152" s="9" t="str">
        <f>INDEX(Lookup!$F$2:$F$1349, MATCH(W1152, Lookup!$B$2:$B$1349,0))</f>
        <v>e330958</v>
      </c>
      <c r="Z1152" s="6" t="str">
        <f>INDEX(Lookup!$C$2:$C$1300, MATCH(X1152, Lookup!$A$2:$A$1300,0))</f>
        <v>Staffordshire</v>
      </c>
    </row>
    <row r="1153" spans="1:26" ht="28.15" customHeight="1" x14ac:dyDescent="0.2">
      <c r="A1153" s="6" t="s">
        <v>987</v>
      </c>
      <c r="B1153" s="1" t="s">
        <v>987</v>
      </c>
      <c r="C1153" s="2">
        <v>10755</v>
      </c>
      <c r="D1153" s="2">
        <v>502363</v>
      </c>
      <c r="E1153" s="2">
        <v>238</v>
      </c>
      <c r="F1153" s="2">
        <v>29364</v>
      </c>
      <c r="G1153" s="2">
        <v>9</v>
      </c>
      <c r="H1153" s="2">
        <v>2204</v>
      </c>
      <c r="I1153" s="2">
        <v>363</v>
      </c>
      <c r="J1153" s="2">
        <v>35515</v>
      </c>
      <c r="K1153" s="2">
        <v>25</v>
      </c>
      <c r="L1153" s="2">
        <v>5422</v>
      </c>
      <c r="M1153" s="2">
        <v>658</v>
      </c>
      <c r="N1153" s="2">
        <v>44622</v>
      </c>
      <c r="O1153" s="2">
        <v>27</v>
      </c>
      <c r="P1153" s="2">
        <v>259519</v>
      </c>
      <c r="Q1153" s="2">
        <v>15849</v>
      </c>
      <c r="R1153" s="2">
        <v>209433</v>
      </c>
      <c r="S1153" s="2">
        <v>1104291</v>
      </c>
      <c r="T1153" s="10">
        <f t="shared" si="58"/>
        <v>533931</v>
      </c>
      <c r="U1153" s="8">
        <f t="shared" si="59"/>
        <v>0.48350570637630841</v>
      </c>
      <c r="V1153" s="9" t="s">
        <v>5271</v>
      </c>
      <c r="W1153" s="9" t="str">
        <f t="shared" si="60"/>
        <v>Cheadle RD</v>
      </c>
      <c r="X1153" s="9" t="str">
        <f>INDEX(Lookup!$A$2:$A$1349, MATCH(W1153, Lookup!$B$2:$B$1349,0))</f>
        <v>J04000287</v>
      </c>
      <c r="Y1153" s="9" t="str">
        <f>INDEX(Lookup!$F$2:$F$1349, MATCH(W1153, Lookup!$B$2:$B$1349,0))</f>
        <v>e330959</v>
      </c>
      <c r="Z1153" s="6" t="str">
        <f>INDEX(Lookup!$C$2:$C$1300, MATCH(X1153, Lookup!$A$2:$A$1300,0))</f>
        <v>Staffordshire</v>
      </c>
    </row>
    <row r="1154" spans="1:26" ht="28.15" customHeight="1" x14ac:dyDescent="0.2">
      <c r="A1154" s="6" t="s">
        <v>979</v>
      </c>
      <c r="B1154" s="1" t="s">
        <v>979</v>
      </c>
      <c r="C1154" s="2">
        <v>5101</v>
      </c>
      <c r="D1154" s="2">
        <v>244924</v>
      </c>
      <c r="E1154" s="2">
        <v>325</v>
      </c>
      <c r="F1154" s="2">
        <v>39683</v>
      </c>
      <c r="G1154" s="2">
        <v>19</v>
      </c>
      <c r="H1154" s="2">
        <v>3797</v>
      </c>
      <c r="I1154" s="2">
        <v>126</v>
      </c>
      <c r="J1154" s="2">
        <v>11932</v>
      </c>
      <c r="K1154" s="2">
        <v>6</v>
      </c>
      <c r="L1154" s="2">
        <v>220</v>
      </c>
      <c r="M1154" s="2">
        <v>377</v>
      </c>
      <c r="N1154" s="2">
        <v>22348</v>
      </c>
      <c r="O1154" s="2">
        <v>8</v>
      </c>
      <c r="P1154" s="2">
        <v>26757</v>
      </c>
      <c r="Q1154" s="2">
        <v>2506</v>
      </c>
      <c r="R1154" s="2">
        <v>76446</v>
      </c>
      <c r="S1154" s="2">
        <v>428613</v>
      </c>
      <c r="T1154" s="10">
        <f t="shared" si="58"/>
        <v>288404</v>
      </c>
      <c r="U1154" s="8">
        <f t="shared" si="59"/>
        <v>0.67287739755910347</v>
      </c>
      <c r="V1154" s="9" t="s">
        <v>5271</v>
      </c>
      <c r="W1154" s="9" t="str">
        <f t="shared" si="60"/>
        <v>Leek RD</v>
      </c>
      <c r="X1154" s="9" t="str">
        <f>INDEX(Lookup!$A$2:$A$1349, MATCH(W1154, Lookup!$B$2:$B$1349,0))</f>
        <v>J04000728</v>
      </c>
      <c r="Y1154" s="9" t="str">
        <f>INDEX(Lookup!$F$2:$F$1349, MATCH(W1154, Lookup!$B$2:$B$1349,0))</f>
        <v>e330960</v>
      </c>
      <c r="Z1154" s="6" t="str">
        <f>INDEX(Lookup!$C$2:$C$1300, MATCH(X1154, Lookup!$A$2:$A$1300,0))</f>
        <v>Staffordshire</v>
      </c>
    </row>
    <row r="1155" spans="1:26" ht="28.15" customHeight="1" x14ac:dyDescent="0.2">
      <c r="A1155" s="6" t="s">
        <v>963</v>
      </c>
      <c r="B1155" s="1" t="s">
        <v>963</v>
      </c>
      <c r="C1155" s="2">
        <v>10101</v>
      </c>
      <c r="D1155" s="2">
        <v>487580</v>
      </c>
      <c r="E1155" s="2">
        <v>888</v>
      </c>
      <c r="F1155" s="2">
        <v>121372</v>
      </c>
      <c r="G1155" s="2">
        <v>210</v>
      </c>
      <c r="H1155" s="2">
        <v>56447</v>
      </c>
      <c r="I1155" s="2">
        <v>332</v>
      </c>
      <c r="J1155" s="2">
        <v>36980</v>
      </c>
      <c r="K1155" s="2">
        <v>21</v>
      </c>
      <c r="L1155" s="2">
        <v>937</v>
      </c>
      <c r="M1155" s="2">
        <v>991</v>
      </c>
      <c r="N1155" s="2">
        <v>104332</v>
      </c>
      <c r="O1155" s="2">
        <v>43</v>
      </c>
      <c r="P1155" s="2">
        <v>140615</v>
      </c>
      <c r="Q1155" s="2">
        <v>29145</v>
      </c>
      <c r="R1155" s="2">
        <v>407312</v>
      </c>
      <c r="S1155" s="2">
        <v>1384720</v>
      </c>
      <c r="T1155" s="10">
        <f t="shared" si="58"/>
        <v>665399</v>
      </c>
      <c r="U1155" s="8">
        <f t="shared" si="59"/>
        <v>0.48052963776070251</v>
      </c>
      <c r="V1155" s="9" t="s">
        <v>5271</v>
      </c>
      <c r="W1155" s="9" t="str">
        <f t="shared" si="60"/>
        <v>Lichfield RD</v>
      </c>
      <c r="X1155" s="9" t="str">
        <f>INDEX(Lookup!$A$2:$A$1349, MATCH(W1155, Lookup!$B$2:$B$1349,0))</f>
        <v>J04000744</v>
      </c>
      <c r="Y1155" s="9" t="str">
        <f>INDEX(Lookup!$F$2:$F$1349, MATCH(W1155, Lookup!$B$2:$B$1349,0))</f>
        <v>e330961</v>
      </c>
      <c r="Z1155" s="6" t="str">
        <f>INDEX(Lookup!$C$2:$C$1300, MATCH(X1155, Lookup!$A$2:$A$1300,0))</f>
        <v>Staffordshire</v>
      </c>
    </row>
    <row r="1156" spans="1:26" ht="28.15" customHeight="1" x14ac:dyDescent="0.2">
      <c r="A1156" s="6" t="s">
        <v>988</v>
      </c>
      <c r="B1156" s="1" t="s">
        <v>5442</v>
      </c>
      <c r="C1156" s="2">
        <v>4995</v>
      </c>
      <c r="D1156" s="2">
        <v>198864</v>
      </c>
      <c r="E1156" s="2">
        <v>277</v>
      </c>
      <c r="F1156" s="2">
        <v>35765</v>
      </c>
      <c r="G1156" s="2">
        <v>43</v>
      </c>
      <c r="H1156" s="2">
        <v>11029</v>
      </c>
      <c r="I1156" s="2">
        <v>176</v>
      </c>
      <c r="J1156" s="2">
        <v>11599</v>
      </c>
      <c r="K1156" s="2">
        <v>12</v>
      </c>
      <c r="L1156" s="2">
        <v>1341</v>
      </c>
      <c r="M1156" s="2">
        <v>415</v>
      </c>
      <c r="N1156" s="2">
        <v>19492</v>
      </c>
      <c r="O1156" s="2">
        <v>15</v>
      </c>
      <c r="P1156" s="2">
        <v>19201</v>
      </c>
      <c r="Q1156" s="2">
        <v>9012</v>
      </c>
      <c r="R1156" s="2">
        <v>146734</v>
      </c>
      <c r="S1156" s="2">
        <v>453037</v>
      </c>
      <c r="T1156" s="10">
        <f t="shared" ref="T1156:T1219" si="64">SUM(D1156+F1156+H1156)</f>
        <v>245658</v>
      </c>
      <c r="U1156" s="8">
        <f t="shared" ref="U1156:U1219" si="65">T1156/S1156</f>
        <v>0.5422471012301423</v>
      </c>
      <c r="V1156" s="9" t="s">
        <v>5271</v>
      </c>
      <c r="W1156" s="9" t="str">
        <f t="shared" ref="W1156:W1219" si="66">_xlfn.CONCAT(B1156," ",V1156)</f>
        <v>Newcastle under Lyme RD</v>
      </c>
      <c r="X1156" s="9" t="str">
        <f>INDEX(Lookup!$A$2:$A$1349, MATCH(W1156, Lookup!$B$2:$B$1349,0))</f>
        <v>J04000901</v>
      </c>
      <c r="Y1156" s="9" t="str">
        <f>INDEX(Lookup!$F$2:$F$1349, MATCH(W1156, Lookup!$B$2:$B$1349,0))</f>
        <v>e330962</v>
      </c>
      <c r="Z1156" s="6" t="str">
        <f>INDEX(Lookup!$C$2:$C$1300, MATCH(X1156, Lookup!$A$2:$A$1300,0))</f>
        <v>Staffordshire</v>
      </c>
    </row>
    <row r="1157" spans="1:26" ht="28.15" customHeight="1" x14ac:dyDescent="0.2">
      <c r="A1157" s="6" t="s">
        <v>989</v>
      </c>
      <c r="B1157" s="1" t="s">
        <v>5443</v>
      </c>
      <c r="C1157" s="2">
        <v>9959</v>
      </c>
      <c r="D1157" s="2">
        <v>618287</v>
      </c>
      <c r="E1157" s="2">
        <v>1687</v>
      </c>
      <c r="F1157" s="2">
        <v>217364</v>
      </c>
      <c r="G1157" s="2">
        <v>169</v>
      </c>
      <c r="H1157" s="2">
        <v>44894</v>
      </c>
      <c r="I1157" s="2">
        <v>243</v>
      </c>
      <c r="J1157" s="2">
        <v>42728</v>
      </c>
      <c r="K1157" s="2">
        <v>16</v>
      </c>
      <c r="L1157" s="2">
        <v>6818</v>
      </c>
      <c r="M1157" s="2">
        <v>741</v>
      </c>
      <c r="N1157" s="2">
        <v>57771</v>
      </c>
      <c r="O1157" s="2">
        <v>52</v>
      </c>
      <c r="P1157" s="2">
        <v>204919</v>
      </c>
      <c r="Q1157" s="2">
        <v>4204</v>
      </c>
      <c r="R1157" s="2">
        <v>192658</v>
      </c>
      <c r="S1157" s="2">
        <v>1389643</v>
      </c>
      <c r="T1157" s="10">
        <f t="shared" si="64"/>
        <v>880545</v>
      </c>
      <c r="U1157" s="8">
        <f t="shared" si="65"/>
        <v>0.6336483542895549</v>
      </c>
      <c r="V1157" s="9" t="s">
        <v>5271</v>
      </c>
      <c r="W1157" s="9" t="str">
        <f t="shared" si="66"/>
        <v>Seisdon RD</v>
      </c>
      <c r="X1157" s="9" t="str">
        <f>INDEX(Lookup!$A$2:$A$1349, MATCH(W1157, Lookup!$B$2:$B$1349,0))</f>
        <v>J04001117</v>
      </c>
      <c r="Y1157" s="9" t="str">
        <f>INDEX(Lookup!$F$2:$F$1349, MATCH(W1157, Lookup!$B$2:$B$1349,0))</f>
        <v>e330963</v>
      </c>
      <c r="Z1157" s="6" t="str">
        <f>INDEX(Lookup!$C$2:$C$1300, MATCH(X1157, Lookup!$A$2:$A$1300,0))</f>
        <v>Staffordshire</v>
      </c>
    </row>
    <row r="1158" spans="1:26" ht="28.15" customHeight="1" x14ac:dyDescent="0.2">
      <c r="A1158" s="6" t="s">
        <v>966</v>
      </c>
      <c r="B1158" s="1" t="s">
        <v>966</v>
      </c>
      <c r="C1158" s="2">
        <v>3925</v>
      </c>
      <c r="D1158" s="2">
        <v>200202</v>
      </c>
      <c r="E1158" s="2">
        <v>393</v>
      </c>
      <c r="F1158" s="2">
        <v>48715</v>
      </c>
      <c r="G1158" s="2">
        <v>29</v>
      </c>
      <c r="H1158" s="2">
        <v>7537</v>
      </c>
      <c r="I1158" s="2">
        <v>97</v>
      </c>
      <c r="J1158" s="2">
        <v>9257</v>
      </c>
      <c r="K1158" s="2">
        <v>7</v>
      </c>
      <c r="L1158" s="2">
        <v>469</v>
      </c>
      <c r="M1158" s="2">
        <v>356</v>
      </c>
      <c r="N1158" s="2">
        <v>24582</v>
      </c>
      <c r="O1158" s="2">
        <v>11</v>
      </c>
      <c r="P1158" s="2">
        <v>43060</v>
      </c>
      <c r="Q1158" s="2">
        <v>59028</v>
      </c>
      <c r="R1158" s="2">
        <v>113259</v>
      </c>
      <c r="S1158" s="2">
        <v>506109</v>
      </c>
      <c r="T1158" s="10">
        <f t="shared" si="64"/>
        <v>256454</v>
      </c>
      <c r="U1158" s="8">
        <f t="shared" si="65"/>
        <v>0.50671693251848915</v>
      </c>
      <c r="V1158" s="9" t="s">
        <v>5271</v>
      </c>
      <c r="W1158" s="9" t="str">
        <f t="shared" si="66"/>
        <v>Stafford RD</v>
      </c>
      <c r="X1158" s="9" t="str">
        <f>INDEX(Lookup!$A$2:$A$1349, MATCH(W1158, Lookup!$B$2:$B$1349,0))</f>
        <v>J04001197</v>
      </c>
      <c r="Y1158" s="9" t="str">
        <f>INDEX(Lookup!$F$2:$F$1349, MATCH(W1158, Lookup!$B$2:$B$1349,0))</f>
        <v>e330967</v>
      </c>
      <c r="Z1158" s="6" t="str">
        <f>INDEX(Lookup!$C$2:$C$1300, MATCH(X1158, Lookup!$A$2:$A$1300,0))</f>
        <v>Staffordshire</v>
      </c>
    </row>
    <row r="1159" spans="1:26" ht="28.15" customHeight="1" x14ac:dyDescent="0.2">
      <c r="A1159" s="6" t="s">
        <v>990</v>
      </c>
      <c r="B1159" s="1" t="s">
        <v>982</v>
      </c>
      <c r="C1159" s="2">
        <v>3719</v>
      </c>
      <c r="D1159" s="2">
        <v>193640</v>
      </c>
      <c r="E1159" s="2">
        <v>539</v>
      </c>
      <c r="F1159" s="2">
        <v>68008</v>
      </c>
      <c r="G1159" s="2">
        <v>43</v>
      </c>
      <c r="H1159" s="2">
        <v>10780</v>
      </c>
      <c r="I1159" s="2">
        <v>99</v>
      </c>
      <c r="J1159" s="2">
        <v>9721</v>
      </c>
      <c r="K1159" s="2">
        <v>12</v>
      </c>
      <c r="L1159" s="2">
        <v>438</v>
      </c>
      <c r="M1159" s="2">
        <v>467</v>
      </c>
      <c r="N1159" s="2">
        <v>25185</v>
      </c>
      <c r="O1159" s="2">
        <v>12</v>
      </c>
      <c r="P1159" s="2">
        <v>93915</v>
      </c>
      <c r="Q1159" s="2">
        <v>34403</v>
      </c>
      <c r="R1159" s="2">
        <v>297285</v>
      </c>
      <c r="S1159" s="2">
        <v>733375</v>
      </c>
      <c r="T1159" s="10">
        <f t="shared" si="64"/>
        <v>272428</v>
      </c>
      <c r="U1159" s="8">
        <f t="shared" si="65"/>
        <v>0.37147162093062897</v>
      </c>
      <c r="V1159" s="9" t="s">
        <v>5271</v>
      </c>
      <c r="W1159" s="9" t="str">
        <f t="shared" si="66"/>
        <v>Stone RD</v>
      </c>
      <c r="X1159" s="9" t="str">
        <f>INDEX(Lookup!$A$2:$A$1349, MATCH(W1159, Lookup!$B$2:$B$1349,0))</f>
        <v>J04001215</v>
      </c>
      <c r="Y1159" s="9" t="str">
        <f>INDEX(Lookup!$F$2:$F$1349, MATCH(W1159, Lookup!$B$2:$B$1349,0))</f>
        <v>e330968</v>
      </c>
      <c r="Z1159" s="6" t="str">
        <f>INDEX(Lookup!$C$2:$C$1300, MATCH(X1159, Lookup!$A$2:$A$1300,0))</f>
        <v>Staffordshire</v>
      </c>
    </row>
    <row r="1160" spans="1:26" ht="28.15" customHeight="1" x14ac:dyDescent="0.2">
      <c r="A1160" s="6" t="s">
        <v>991</v>
      </c>
      <c r="B1160" s="1" t="s">
        <v>991</v>
      </c>
      <c r="C1160" s="2">
        <v>5068</v>
      </c>
      <c r="D1160" s="2">
        <v>290323</v>
      </c>
      <c r="E1160" s="2">
        <v>327</v>
      </c>
      <c r="F1160" s="2">
        <v>39991</v>
      </c>
      <c r="G1160" s="2">
        <v>17</v>
      </c>
      <c r="H1160" s="2">
        <v>4781</v>
      </c>
      <c r="I1160" s="2">
        <v>124</v>
      </c>
      <c r="J1160" s="2">
        <v>12622</v>
      </c>
      <c r="K1160" s="2">
        <v>9</v>
      </c>
      <c r="L1160" s="2">
        <v>387</v>
      </c>
      <c r="M1160" s="2">
        <v>341</v>
      </c>
      <c r="N1160" s="2">
        <v>24597</v>
      </c>
      <c r="O1160" s="2">
        <v>15</v>
      </c>
      <c r="P1160" s="2">
        <v>100900</v>
      </c>
      <c r="Q1160" s="2">
        <v>43939</v>
      </c>
      <c r="R1160" s="2">
        <v>106870</v>
      </c>
      <c r="S1160" s="2">
        <v>624410</v>
      </c>
      <c r="T1160" s="10">
        <f t="shared" si="64"/>
        <v>335095</v>
      </c>
      <c r="U1160" s="8">
        <f t="shared" si="65"/>
        <v>0.53665860572380331</v>
      </c>
      <c r="V1160" s="9" t="s">
        <v>5271</v>
      </c>
      <c r="W1160" s="9" t="str">
        <f t="shared" si="66"/>
        <v>Tutbury RD</v>
      </c>
      <c r="X1160" s="9" t="str">
        <f>INDEX(Lookup!$A$2:$A$1349, MATCH(W1160, Lookup!$B$2:$B$1349,0))</f>
        <v>J04001302</v>
      </c>
      <c r="Y1160" s="9" t="str">
        <f>INDEX(Lookup!$F$2:$F$1349, MATCH(W1160, Lookup!$B$2:$B$1349,0))</f>
        <v>e330969</v>
      </c>
      <c r="Z1160" s="6" t="str">
        <f>INDEX(Lookup!$C$2:$C$1300, MATCH(X1160, Lookup!$A$2:$A$1300,0))</f>
        <v>Staffordshire</v>
      </c>
    </row>
    <row r="1161" spans="1:26" ht="28.15" customHeight="1" x14ac:dyDescent="0.2">
      <c r="A1161" s="6" t="s">
        <v>984</v>
      </c>
      <c r="B1161" s="1" t="s">
        <v>984</v>
      </c>
      <c r="C1161" s="2">
        <v>2351</v>
      </c>
      <c r="D1161" s="2">
        <v>89161</v>
      </c>
      <c r="E1161" s="2">
        <v>43</v>
      </c>
      <c r="F1161" s="2">
        <v>5417</v>
      </c>
      <c r="G1161" s="2">
        <v>10</v>
      </c>
      <c r="H1161" s="2">
        <v>2702</v>
      </c>
      <c r="I1161" s="2">
        <v>63</v>
      </c>
      <c r="J1161" s="2">
        <v>5114</v>
      </c>
      <c r="K1161" s="2">
        <v>3</v>
      </c>
      <c r="L1161" s="2">
        <v>148</v>
      </c>
      <c r="M1161" s="2">
        <v>222</v>
      </c>
      <c r="N1161" s="2">
        <v>10414</v>
      </c>
      <c r="O1161" s="2">
        <v>8</v>
      </c>
      <c r="P1161" s="2">
        <v>31300</v>
      </c>
      <c r="Q1161" s="2">
        <v>58045</v>
      </c>
      <c r="R1161" s="2">
        <v>99099</v>
      </c>
      <c r="S1161" s="2">
        <v>301400</v>
      </c>
      <c r="T1161" s="10">
        <f t="shared" si="64"/>
        <v>97280</v>
      </c>
      <c r="U1161" s="8">
        <f t="shared" si="65"/>
        <v>0.32276045122760449</v>
      </c>
      <c r="V1161" s="9" t="s">
        <v>5271</v>
      </c>
      <c r="W1161" s="9" t="str">
        <f t="shared" si="66"/>
        <v>Uttoxeter RD</v>
      </c>
      <c r="X1161" s="9" t="str">
        <f>INDEX(Lookup!$A$2:$A$1349, MATCH(W1161, Lookup!$B$2:$B$1349,0))</f>
        <v>J04001314</v>
      </c>
      <c r="Y1161" s="9" t="str">
        <f>INDEX(Lookup!$F$2:$F$1349, MATCH(W1161, Lookup!$B$2:$B$1349,0))</f>
        <v>e330970</v>
      </c>
      <c r="Z1161" s="6" t="str">
        <f>INDEX(Lookup!$C$2:$C$1300, MATCH(X1161, Lookup!$A$2:$A$1300,0))</f>
        <v>Staffordshire</v>
      </c>
    </row>
    <row r="1162" spans="1:26" ht="28.15" customHeight="1" x14ac:dyDescent="0.2">
      <c r="A1162" s="6" t="s">
        <v>992</v>
      </c>
      <c r="B1162" s="1" t="s">
        <v>992</v>
      </c>
      <c r="T1162" s="10"/>
      <c r="W1162" s="9" t="str">
        <f t="shared" si="66"/>
        <v xml:space="preserve">EAST SUFFOLK: </v>
      </c>
      <c r="X1162" s="9" t="e">
        <f>INDEX(Lookup!$A$2:$A$1349, MATCH(W1162, Lookup!$B$2:$B$1349,0))</f>
        <v>#N/A</v>
      </c>
      <c r="Y1162" s="9" t="e">
        <f>INDEX(Lookup!$F$2:$F$1349, MATCH(W1162, Lookup!$B$2:$B$1349,0))</f>
        <v>#N/A</v>
      </c>
      <c r="Z1162" s="6" t="e">
        <f>INDEX(Lookup!$C$2:$C$1300, MATCH(X1162, Lookup!$A$2:$A$1300,0))</f>
        <v>#N/A</v>
      </c>
    </row>
    <row r="1163" spans="1:26" ht="28.15" customHeight="1" x14ac:dyDescent="0.2">
      <c r="A1163" s="6" t="s">
        <v>175</v>
      </c>
      <c r="B1163" s="1" t="s">
        <v>175</v>
      </c>
      <c r="T1163" s="10"/>
      <c r="W1163" s="9" t="str">
        <f t="shared" si="66"/>
        <v xml:space="preserve">Non-County Boroughs-- </v>
      </c>
      <c r="X1163" s="9" t="e">
        <f>INDEX(Lookup!$A$2:$A$1349, MATCH(W1163, Lookup!$B$2:$B$1349,0))</f>
        <v>#N/A</v>
      </c>
      <c r="Y1163" s="9" t="e">
        <f>INDEX(Lookup!$F$2:$F$1349, MATCH(W1163, Lookup!$B$2:$B$1349,0))</f>
        <v>#N/A</v>
      </c>
      <c r="Z1163" s="6" t="e">
        <f>INDEX(Lookup!$C$2:$C$1300, MATCH(X1163, Lookup!$A$2:$A$1300,0))</f>
        <v>#N/A</v>
      </c>
    </row>
    <row r="1164" spans="1:26" ht="28.15" customHeight="1" x14ac:dyDescent="0.2">
      <c r="A1164" s="6" t="s">
        <v>993</v>
      </c>
      <c r="B1164" s="1" t="s">
        <v>993</v>
      </c>
      <c r="C1164" s="2">
        <v>972</v>
      </c>
      <c r="D1164" s="2">
        <v>51743</v>
      </c>
      <c r="E1164" s="2">
        <v>179</v>
      </c>
      <c r="F1164" s="2">
        <v>23130</v>
      </c>
      <c r="G1164" s="2">
        <v>26</v>
      </c>
      <c r="H1164" s="2">
        <v>6356</v>
      </c>
      <c r="I1164" s="2">
        <v>74</v>
      </c>
      <c r="J1164" s="2">
        <v>9516</v>
      </c>
      <c r="K1164" s="2">
        <v>3</v>
      </c>
      <c r="L1164" s="2">
        <v>150</v>
      </c>
      <c r="M1164" s="2">
        <v>146</v>
      </c>
      <c r="N1164" s="2">
        <v>9636</v>
      </c>
      <c r="O1164" s="2">
        <v>2</v>
      </c>
      <c r="P1164" s="2">
        <v>800</v>
      </c>
      <c r="Q1164" s="2">
        <v>1179</v>
      </c>
      <c r="R1164" s="2">
        <v>7479</v>
      </c>
      <c r="S1164" s="2">
        <v>109989</v>
      </c>
      <c r="T1164" s="10">
        <f t="shared" si="64"/>
        <v>81229</v>
      </c>
      <c r="U1164" s="8">
        <f t="shared" si="65"/>
        <v>0.7385193064761022</v>
      </c>
      <c r="V1164" s="9" t="s">
        <v>5268</v>
      </c>
      <c r="W1164" s="9" t="str">
        <f t="shared" si="66"/>
        <v>Aldeburgh MB</v>
      </c>
      <c r="X1164" s="9" t="str">
        <f>INDEX(Lookup!$A$2:$A$1349, MATCH(W1164, Lookup!$B$2:$B$1349,0))</f>
        <v>J04000021</v>
      </c>
      <c r="Y1164" s="9" t="str">
        <f>INDEX(Lookup!$F$2:$F$1349, MATCH(W1164, Lookup!$B$2:$B$1349,0))</f>
        <v>e340972</v>
      </c>
      <c r="Z1164" s="6" t="str">
        <f>INDEX(Lookup!$C$2:$C$1300, MATCH(X1164, Lookup!$A$2:$A$1300,0))</f>
        <v>Suffolk</v>
      </c>
    </row>
    <row r="1165" spans="1:26" ht="28.15" customHeight="1" x14ac:dyDescent="0.2">
      <c r="A1165" s="6" t="s">
        <v>994</v>
      </c>
      <c r="B1165" s="1" t="s">
        <v>994</v>
      </c>
      <c r="C1165" s="2">
        <v>2508</v>
      </c>
      <c r="D1165" s="2">
        <v>108125</v>
      </c>
      <c r="E1165" s="2">
        <v>110</v>
      </c>
      <c r="F1165" s="2">
        <v>13664</v>
      </c>
      <c r="G1165" s="2">
        <v>1</v>
      </c>
      <c r="H1165" s="2">
        <v>202</v>
      </c>
      <c r="I1165" s="2">
        <v>171</v>
      </c>
      <c r="J1165" s="2">
        <v>25395</v>
      </c>
      <c r="K1165" s="2">
        <v>23</v>
      </c>
      <c r="L1165" s="2">
        <v>1477</v>
      </c>
      <c r="M1165" s="2">
        <v>291</v>
      </c>
      <c r="N1165" s="2">
        <v>13357</v>
      </c>
      <c r="O1165" s="2">
        <v>19</v>
      </c>
      <c r="P1165" s="2">
        <v>38783</v>
      </c>
      <c r="Q1165" s="2">
        <v>1130</v>
      </c>
      <c r="R1165" s="2">
        <v>32079</v>
      </c>
      <c r="S1165" s="2">
        <v>234212</v>
      </c>
      <c r="T1165" s="10">
        <f t="shared" si="64"/>
        <v>121991</v>
      </c>
      <c r="U1165" s="8">
        <f t="shared" si="65"/>
        <v>0.52085717213464722</v>
      </c>
      <c r="V1165" s="9" t="s">
        <v>5268</v>
      </c>
      <c r="W1165" s="9" t="str">
        <f t="shared" si="66"/>
        <v>Beccles MB</v>
      </c>
      <c r="X1165" s="9" t="str">
        <f>INDEX(Lookup!$A$2:$A$1349, MATCH(W1165, Lookup!$B$2:$B$1349,0))</f>
        <v>J04000108</v>
      </c>
      <c r="Y1165" s="9" t="str">
        <f>INDEX(Lookup!$F$2:$F$1349, MATCH(W1165, Lookup!$B$2:$B$1349,0))</f>
        <v>e340973</v>
      </c>
      <c r="Z1165" s="6" t="str">
        <f>INDEX(Lookup!$C$2:$C$1300, MATCH(X1165, Lookup!$A$2:$A$1300,0))</f>
        <v>Suffolk</v>
      </c>
    </row>
    <row r="1166" spans="1:26" ht="28.15" customHeight="1" x14ac:dyDescent="0.2">
      <c r="A1166" s="6" t="s">
        <v>995</v>
      </c>
      <c r="B1166" s="1" t="s">
        <v>995</v>
      </c>
      <c r="C1166" s="2">
        <v>460</v>
      </c>
      <c r="D1166" s="2">
        <v>15970</v>
      </c>
      <c r="E1166" s="2">
        <v>19</v>
      </c>
      <c r="F1166" s="2">
        <v>2402</v>
      </c>
      <c r="G1166" s="2">
        <v>1</v>
      </c>
      <c r="H1166" s="2">
        <v>206</v>
      </c>
      <c r="I1166" s="2">
        <v>44</v>
      </c>
      <c r="J1166" s="2">
        <v>4222</v>
      </c>
      <c r="K1166" s="2">
        <v>11</v>
      </c>
      <c r="L1166" s="2">
        <v>1335</v>
      </c>
      <c r="M1166" s="2">
        <v>55</v>
      </c>
      <c r="N1166" s="2">
        <v>3201</v>
      </c>
      <c r="O1166" s="2">
        <v>4</v>
      </c>
      <c r="P1166" s="2">
        <v>2200</v>
      </c>
      <c r="Q1166" s="2">
        <v>1754</v>
      </c>
      <c r="R1166" s="2">
        <v>9192</v>
      </c>
      <c r="S1166" s="2">
        <v>40482</v>
      </c>
      <c r="T1166" s="10">
        <f t="shared" si="64"/>
        <v>18578</v>
      </c>
      <c r="U1166" s="8">
        <f t="shared" si="65"/>
        <v>0.4589200138333086</v>
      </c>
      <c r="V1166" s="9" t="s">
        <v>5268</v>
      </c>
      <c r="W1166" s="9" t="str">
        <f t="shared" si="66"/>
        <v>Eye MB</v>
      </c>
      <c r="X1166" s="9" t="str">
        <f>INDEX(Lookup!$A$2:$A$1349, MATCH(W1166, Lookup!$B$2:$B$1349,0))</f>
        <v>J04000488</v>
      </c>
      <c r="Y1166" s="9" t="str">
        <f>INDEX(Lookup!$F$2:$F$1349, MATCH(W1166, Lookup!$B$2:$B$1349,0))</f>
        <v>e340975</v>
      </c>
      <c r="Z1166" s="6" t="str">
        <f>INDEX(Lookup!$C$2:$C$1300, MATCH(X1166, Lookup!$A$2:$A$1300,0))</f>
        <v>Suffolk</v>
      </c>
    </row>
    <row r="1167" spans="1:26" ht="28.15" customHeight="1" x14ac:dyDescent="0.2">
      <c r="A1167" s="6" t="s">
        <v>996</v>
      </c>
      <c r="B1167" s="1" t="s">
        <v>996</v>
      </c>
      <c r="T1167" s="10"/>
      <c r="W1167" s="9" t="str">
        <f t="shared" si="66"/>
        <v xml:space="preserve">EAST SUFFOLK-contd. </v>
      </c>
      <c r="X1167" s="9" t="e">
        <f>INDEX(Lookup!$A$2:$A$1349, MATCH(W1167, Lookup!$B$2:$B$1349,0))</f>
        <v>#N/A</v>
      </c>
      <c r="Y1167" s="9" t="e">
        <f>INDEX(Lookup!$F$2:$F$1349, MATCH(W1167, Lookup!$B$2:$B$1349,0))</f>
        <v>#N/A</v>
      </c>
      <c r="Z1167" s="6" t="e">
        <f>INDEX(Lookup!$C$2:$C$1300, MATCH(X1167, Lookup!$A$2:$A$1300,0))</f>
        <v>#N/A</v>
      </c>
    </row>
    <row r="1168" spans="1:26" ht="28.15" customHeight="1" x14ac:dyDescent="0.2">
      <c r="A1168" s="6" t="s">
        <v>997</v>
      </c>
      <c r="B1168" s="1" t="s">
        <v>997</v>
      </c>
      <c r="T1168" s="10"/>
      <c r="W1168" s="9" t="str">
        <f t="shared" si="66"/>
        <v xml:space="preserve">Non-County Boroughs-contd. </v>
      </c>
      <c r="X1168" s="9" t="e">
        <f>INDEX(Lookup!$A$2:$A$1349, MATCH(W1168, Lookup!$B$2:$B$1349,0))</f>
        <v>#N/A</v>
      </c>
      <c r="Y1168" s="9" t="e">
        <f>INDEX(Lookup!$F$2:$F$1349, MATCH(W1168, Lookup!$B$2:$B$1349,0))</f>
        <v>#N/A</v>
      </c>
      <c r="Z1168" s="6" t="e">
        <f>INDEX(Lookup!$C$2:$C$1300, MATCH(X1168, Lookup!$A$2:$A$1300,0))</f>
        <v>#N/A</v>
      </c>
    </row>
    <row r="1169" spans="1:26" ht="28.15" customHeight="1" x14ac:dyDescent="0.2">
      <c r="A1169" s="6" t="s">
        <v>998</v>
      </c>
      <c r="B1169" s="1" t="s">
        <v>998</v>
      </c>
      <c r="C1169" s="2">
        <v>14733</v>
      </c>
      <c r="D1169" s="2">
        <v>677312</v>
      </c>
      <c r="E1169" s="2">
        <v>608</v>
      </c>
      <c r="F1169" s="2">
        <v>75720</v>
      </c>
      <c r="G1169" s="2">
        <v>29</v>
      </c>
      <c r="H1169" s="2">
        <v>7678</v>
      </c>
      <c r="I1169" s="2">
        <v>862</v>
      </c>
      <c r="J1169" s="2">
        <v>236920</v>
      </c>
      <c r="K1169" s="2">
        <v>223</v>
      </c>
      <c r="L1169" s="2">
        <v>27092</v>
      </c>
      <c r="M1169" s="2">
        <v>1294</v>
      </c>
      <c r="N1169" s="2">
        <v>153716</v>
      </c>
      <c r="O1169" s="2">
        <v>127</v>
      </c>
      <c r="P1169" s="2">
        <v>277657</v>
      </c>
      <c r="Q1169" s="2">
        <v>9275</v>
      </c>
      <c r="R1169" s="2">
        <v>164560</v>
      </c>
      <c r="S1169" s="2">
        <v>1629930</v>
      </c>
      <c r="T1169" s="10">
        <f t="shared" si="64"/>
        <v>760710</v>
      </c>
      <c r="U1169" s="8">
        <f t="shared" si="65"/>
        <v>0.46671329443595738</v>
      </c>
      <c r="V1169" s="9" t="s">
        <v>5268</v>
      </c>
      <c r="W1169" s="9" t="str">
        <f t="shared" si="66"/>
        <v>Lowestoft MB</v>
      </c>
      <c r="X1169" s="9" t="str">
        <f>INDEX(Lookup!$A$2:$A$1349, MATCH(W1169, Lookup!$B$2:$B$1349,0))</f>
        <v>J04000786</v>
      </c>
      <c r="Y1169" s="9" t="str">
        <f>INDEX(Lookup!$F$2:$F$1349, MATCH(W1169, Lookup!$B$2:$B$1349,0))</f>
        <v>e340979</v>
      </c>
      <c r="Z1169" s="6" t="str">
        <f>INDEX(Lookup!$C$2:$C$1300, MATCH(X1169, Lookup!$A$2:$A$1300,0))</f>
        <v>Suffolk</v>
      </c>
    </row>
    <row r="1170" spans="1:26" ht="28.15" customHeight="1" x14ac:dyDescent="0.2">
      <c r="A1170" s="6" t="s">
        <v>999</v>
      </c>
      <c r="B1170" s="1" t="s">
        <v>999</v>
      </c>
      <c r="C1170" s="2">
        <v>891</v>
      </c>
      <c r="D1170" s="2">
        <v>45787</v>
      </c>
      <c r="E1170" s="2">
        <v>137</v>
      </c>
      <c r="F1170" s="2">
        <v>17606</v>
      </c>
      <c r="G1170" s="2">
        <v>8</v>
      </c>
      <c r="H1170" s="2">
        <v>1808</v>
      </c>
      <c r="I1170" s="2">
        <v>104</v>
      </c>
      <c r="J1170" s="2">
        <v>13983</v>
      </c>
      <c r="K1170" s="2">
        <v>11</v>
      </c>
      <c r="L1170" s="2">
        <v>899</v>
      </c>
      <c r="M1170" s="2">
        <v>124</v>
      </c>
      <c r="N1170" s="2">
        <v>8746</v>
      </c>
      <c r="O1170" s="2">
        <v>7</v>
      </c>
      <c r="P1170" s="2">
        <v>6715</v>
      </c>
      <c r="Q1170" s="2">
        <v>552</v>
      </c>
      <c r="R1170" s="2">
        <v>7696</v>
      </c>
      <c r="S1170" s="2">
        <v>103792</v>
      </c>
      <c r="T1170" s="10">
        <f t="shared" si="64"/>
        <v>65201</v>
      </c>
      <c r="U1170" s="8">
        <f t="shared" si="65"/>
        <v>0.62818907044858951</v>
      </c>
      <c r="V1170" s="9" t="s">
        <v>5268</v>
      </c>
      <c r="W1170" s="9" t="str">
        <f t="shared" si="66"/>
        <v>Southwold MB</v>
      </c>
      <c r="X1170" s="9" t="str">
        <f>INDEX(Lookup!$A$2:$A$1349, MATCH(W1170, Lookup!$B$2:$B$1349,0))</f>
        <v>J04001172</v>
      </c>
      <c r="Y1170" s="9" t="str">
        <f>INDEX(Lookup!$F$2:$F$1349, MATCH(W1170, Lookup!$B$2:$B$1349,0))</f>
        <v>e340981</v>
      </c>
      <c r="Z1170" s="6" t="str">
        <f>INDEX(Lookup!$C$2:$C$1300, MATCH(X1170, Lookup!$A$2:$A$1300,0))</f>
        <v>Suffolk</v>
      </c>
    </row>
    <row r="1171" spans="1:26" ht="28.15" customHeight="1" x14ac:dyDescent="0.2">
      <c r="A1171" s="6" t="s">
        <v>1000</v>
      </c>
      <c r="B1171" s="1" t="s">
        <v>1000</v>
      </c>
      <c r="T1171" s="10"/>
      <c r="W1171" s="9" t="str">
        <f t="shared" si="66"/>
        <v xml:space="preserve">Urban Districts- </v>
      </c>
      <c r="X1171" s="9" t="e">
        <f>INDEX(Lookup!$A$2:$A$1349, MATCH(W1171, Lookup!$B$2:$B$1349,0))</f>
        <v>#N/A</v>
      </c>
      <c r="Y1171" s="9" t="e">
        <f>INDEX(Lookup!$F$2:$F$1349, MATCH(W1171, Lookup!$B$2:$B$1349,0))</f>
        <v>#N/A</v>
      </c>
      <c r="Z1171" s="6" t="e">
        <f>INDEX(Lookup!$C$2:$C$1300, MATCH(X1171, Lookup!$A$2:$A$1300,0))</f>
        <v>#N/A</v>
      </c>
    </row>
    <row r="1172" spans="1:26" ht="28.15" customHeight="1" x14ac:dyDescent="0.2">
      <c r="A1172" s="6" t="s">
        <v>1001</v>
      </c>
      <c r="B1172" s="1" t="s">
        <v>1001</v>
      </c>
      <c r="C1172" s="2">
        <v>1166</v>
      </c>
      <c r="D1172" s="2">
        <v>47324</v>
      </c>
      <c r="E1172" s="2">
        <v>14</v>
      </c>
      <c r="F1172" s="2">
        <v>1764</v>
      </c>
      <c r="G1172" s="2">
        <v>2</v>
      </c>
      <c r="H1172" s="2">
        <v>412</v>
      </c>
      <c r="I1172" s="2">
        <v>103</v>
      </c>
      <c r="J1172" s="2">
        <v>14231</v>
      </c>
      <c r="K1172" s="2">
        <v>17</v>
      </c>
      <c r="L1172" s="2">
        <v>1040</v>
      </c>
      <c r="M1172" s="2">
        <v>236</v>
      </c>
      <c r="N1172" s="2">
        <v>7314</v>
      </c>
      <c r="O1172" s="2">
        <v>8</v>
      </c>
      <c r="P1172" s="2">
        <v>24702</v>
      </c>
      <c r="Q1172" s="2">
        <v>538</v>
      </c>
      <c r="R1172" s="2">
        <v>16387</v>
      </c>
      <c r="S1172" s="2">
        <v>113712</v>
      </c>
      <c r="T1172" s="10">
        <f t="shared" si="64"/>
        <v>49500</v>
      </c>
      <c r="U1172" s="8">
        <f t="shared" si="65"/>
        <v>0.43531025749261293</v>
      </c>
      <c r="V1172" s="9" t="s">
        <v>5270</v>
      </c>
      <c r="W1172" s="9" t="str">
        <f t="shared" si="66"/>
        <v>Bungay UD</v>
      </c>
      <c r="X1172" s="9" t="str">
        <f>INDEX(Lookup!$A$2:$A$1349, MATCH(W1172, Lookup!$B$2:$B$1349,0))</f>
        <v>J04000235</v>
      </c>
      <c r="Y1172" s="9" t="str">
        <f>INDEX(Lookup!$F$2:$F$1349, MATCH(W1172, Lookup!$B$2:$B$1349,0))</f>
        <v>e340974</v>
      </c>
      <c r="Z1172" s="6" t="str">
        <f>INDEX(Lookup!$C$2:$C$1300, MATCH(X1172, Lookup!$A$2:$A$1300,0))</f>
        <v>Suffolk</v>
      </c>
    </row>
    <row r="1173" spans="1:26" ht="28.15" customHeight="1" x14ac:dyDescent="0.2">
      <c r="A1173" s="6" t="s">
        <v>1002</v>
      </c>
      <c r="B1173" s="1" t="s">
        <v>1002</v>
      </c>
      <c r="C1173" s="2">
        <v>4483</v>
      </c>
      <c r="D1173" s="2">
        <v>265974</v>
      </c>
      <c r="E1173" s="2">
        <v>1012</v>
      </c>
      <c r="F1173" s="2">
        <v>123575</v>
      </c>
      <c r="G1173" s="2">
        <v>25</v>
      </c>
      <c r="H1173" s="2">
        <v>4506</v>
      </c>
      <c r="I1173" s="2">
        <v>335</v>
      </c>
      <c r="J1173" s="2">
        <v>60847</v>
      </c>
      <c r="K1173" s="2">
        <v>44</v>
      </c>
      <c r="L1173" s="2">
        <v>16348</v>
      </c>
      <c r="M1173" s="2">
        <v>493</v>
      </c>
      <c r="N1173" s="2">
        <v>40423</v>
      </c>
      <c r="O1173" s="2">
        <v>15</v>
      </c>
      <c r="P1173" s="2">
        <v>9725</v>
      </c>
      <c r="Q1173" s="2">
        <v>17229</v>
      </c>
      <c r="R1173" s="2">
        <v>81892</v>
      </c>
      <c r="S1173" s="2">
        <v>620519</v>
      </c>
      <c r="T1173" s="10">
        <f t="shared" si="64"/>
        <v>394055</v>
      </c>
      <c r="U1173" s="8">
        <f t="shared" si="65"/>
        <v>0.63504098988105118</v>
      </c>
      <c r="V1173" s="9" t="s">
        <v>5270</v>
      </c>
      <c r="W1173" s="9" t="str">
        <f t="shared" si="66"/>
        <v>Felixstowe UD</v>
      </c>
      <c r="X1173" s="9" t="str">
        <f>INDEX(Lookup!$A$2:$A$1349, MATCH(W1173, Lookup!$B$2:$B$1349,0))</f>
        <v>J04000498</v>
      </c>
      <c r="Y1173" s="9" t="str">
        <f>INDEX(Lookup!$F$2:$F$1349, MATCH(W1173, Lookup!$B$2:$B$1349,0))</f>
        <v>e340976</v>
      </c>
      <c r="Z1173" s="6" t="str">
        <f>INDEX(Lookup!$C$2:$C$1300, MATCH(X1173, Lookup!$A$2:$A$1300,0))</f>
        <v>Suffolk</v>
      </c>
    </row>
    <row r="1174" spans="1:26" ht="28.15" customHeight="1" x14ac:dyDescent="0.2">
      <c r="A1174" s="6" t="s">
        <v>1003</v>
      </c>
      <c r="B1174" s="1" t="s">
        <v>1003</v>
      </c>
      <c r="C1174" s="2">
        <v>808</v>
      </c>
      <c r="D1174" s="2">
        <v>34105</v>
      </c>
      <c r="E1174" s="2">
        <v>15</v>
      </c>
      <c r="F1174" s="2">
        <v>1834</v>
      </c>
      <c r="G1174" s="2">
        <v>1</v>
      </c>
      <c r="H1174" s="2">
        <v>226</v>
      </c>
      <c r="I1174" s="2">
        <v>80</v>
      </c>
      <c r="J1174" s="2">
        <v>11042</v>
      </c>
      <c r="K1174" s="2">
        <v>12</v>
      </c>
      <c r="L1174" s="2">
        <v>784</v>
      </c>
      <c r="M1174" s="2">
        <v>121</v>
      </c>
      <c r="N1174" s="2">
        <v>5352</v>
      </c>
      <c r="O1174" s="2">
        <v>9</v>
      </c>
      <c r="P1174" s="2">
        <v>4475</v>
      </c>
      <c r="Q1174" s="2">
        <v>869</v>
      </c>
      <c r="R1174" s="2">
        <v>10214</v>
      </c>
      <c r="S1174" s="2">
        <v>68901</v>
      </c>
      <c r="T1174" s="10">
        <f t="shared" si="64"/>
        <v>36165</v>
      </c>
      <c r="U1174" s="8">
        <f t="shared" si="65"/>
        <v>0.52488352854095011</v>
      </c>
      <c r="V1174" s="9" t="s">
        <v>5270</v>
      </c>
      <c r="W1174" s="9" t="str">
        <f t="shared" si="66"/>
        <v>Halesworth UD</v>
      </c>
      <c r="X1174" s="9" t="str">
        <f>INDEX(Lookup!$A$2:$A$1349, MATCH(W1174, Lookup!$B$2:$B$1349,0))</f>
        <v>J04000565</v>
      </c>
      <c r="Y1174" s="9" t="str">
        <f>INDEX(Lookup!$F$2:$F$1349, MATCH(W1174, Lookup!$B$2:$B$1349,0))</f>
        <v>e340977</v>
      </c>
      <c r="Z1174" s="6" t="str">
        <f>INDEX(Lookup!$C$2:$C$1300, MATCH(X1174, Lookup!$A$2:$A$1300,0))</f>
        <v>Suffolk</v>
      </c>
    </row>
    <row r="1175" spans="1:26" ht="28.15" customHeight="1" x14ac:dyDescent="0.2">
      <c r="A1175" s="6" t="s">
        <v>1004</v>
      </c>
      <c r="B1175" s="1" t="s">
        <v>5444</v>
      </c>
      <c r="C1175" s="2">
        <v>1483</v>
      </c>
      <c r="D1175" s="2">
        <v>57761</v>
      </c>
      <c r="E1175" s="2">
        <v>18</v>
      </c>
      <c r="F1175" s="2">
        <v>2092</v>
      </c>
      <c r="I1175" s="2">
        <v>83</v>
      </c>
      <c r="J1175" s="2">
        <v>13907</v>
      </c>
      <c r="K1175" s="2">
        <v>39</v>
      </c>
      <c r="L1175" s="2">
        <v>2867</v>
      </c>
      <c r="M1175" s="2">
        <v>178</v>
      </c>
      <c r="N1175" s="2">
        <v>14246</v>
      </c>
      <c r="O1175" s="2">
        <v>5</v>
      </c>
      <c r="P1175" s="2">
        <v>23850</v>
      </c>
      <c r="Q1175" s="2">
        <v>405</v>
      </c>
      <c r="R1175" s="2">
        <v>27596</v>
      </c>
      <c r="S1175" s="2">
        <v>142724</v>
      </c>
      <c r="T1175" s="10">
        <f t="shared" si="64"/>
        <v>59853</v>
      </c>
      <c r="U1175" s="8">
        <f t="shared" si="65"/>
        <v>0.41936184523976344</v>
      </c>
      <c r="V1175" s="9" t="s">
        <v>5270</v>
      </c>
      <c r="W1175" s="9" t="str">
        <f t="shared" si="66"/>
        <v>Leiston cum Sizewell UD</v>
      </c>
      <c r="X1175" s="9" t="str">
        <f>INDEX(Lookup!$A$2:$A$1349, MATCH(W1175, Lookup!$B$2:$B$1349,0))</f>
        <v>J04000734</v>
      </c>
      <c r="Y1175" s="9" t="str">
        <f>INDEX(Lookup!$F$2:$F$1349, MATCH(W1175, Lookup!$B$2:$B$1349,0))</f>
        <v>e340978</v>
      </c>
      <c r="Z1175" s="6" t="str">
        <f>INDEX(Lookup!$C$2:$C$1300, MATCH(X1175, Lookup!$A$2:$A$1300,0))</f>
        <v>Suffolk</v>
      </c>
    </row>
    <row r="1176" spans="1:26" ht="28.15" customHeight="1" x14ac:dyDescent="0.2">
      <c r="A1176" s="6" t="s">
        <v>1005</v>
      </c>
      <c r="B1176" s="1" t="s">
        <v>1005</v>
      </c>
      <c r="C1176" s="2">
        <v>488</v>
      </c>
      <c r="D1176" s="2">
        <v>19989</v>
      </c>
      <c r="E1176" s="2">
        <v>20</v>
      </c>
      <c r="F1176" s="2">
        <v>2428</v>
      </c>
      <c r="I1176" s="2">
        <v>59</v>
      </c>
      <c r="J1176" s="2">
        <v>8988</v>
      </c>
      <c r="K1176" s="2">
        <v>10</v>
      </c>
      <c r="L1176" s="2">
        <v>787</v>
      </c>
      <c r="M1176" s="2">
        <v>72</v>
      </c>
      <c r="N1176" s="2">
        <v>5877</v>
      </c>
      <c r="O1176" s="2">
        <v>2</v>
      </c>
      <c r="P1176" s="2">
        <v>1100</v>
      </c>
      <c r="Q1176" s="2">
        <v>1385</v>
      </c>
      <c r="R1176" s="2">
        <v>10007</v>
      </c>
      <c r="S1176" s="2">
        <v>50561</v>
      </c>
      <c r="T1176" s="10">
        <f t="shared" si="64"/>
        <v>22417</v>
      </c>
      <c r="U1176" s="8">
        <f t="shared" si="65"/>
        <v>0.44336543976582743</v>
      </c>
      <c r="V1176" s="9" t="s">
        <v>5270</v>
      </c>
      <c r="W1176" s="9" t="str">
        <f t="shared" si="66"/>
        <v>Saxmundham UD</v>
      </c>
      <c r="X1176" s="9" t="str">
        <f>INDEX(Lookup!$A$2:$A$1349, MATCH(W1176, Lookup!$B$2:$B$1349,0))</f>
        <v>J04001105</v>
      </c>
      <c r="Y1176" s="9" t="str">
        <f>INDEX(Lookup!$F$2:$F$1349, MATCH(W1176, Lookup!$B$2:$B$1349,0))</f>
        <v>e340980</v>
      </c>
      <c r="Z1176" s="6" t="str">
        <f>INDEX(Lookup!$C$2:$C$1300, MATCH(X1176, Lookup!$A$2:$A$1300,0))</f>
        <v>Suffolk</v>
      </c>
    </row>
    <row r="1177" spans="1:26" ht="28.15" customHeight="1" x14ac:dyDescent="0.2">
      <c r="A1177" s="6" t="s">
        <v>1006</v>
      </c>
      <c r="B1177" s="1" t="s">
        <v>1006</v>
      </c>
      <c r="C1177" s="2">
        <v>2446</v>
      </c>
      <c r="D1177" s="2">
        <v>115015</v>
      </c>
      <c r="E1177" s="2">
        <v>124</v>
      </c>
      <c r="F1177" s="2">
        <v>14451</v>
      </c>
      <c r="G1177" s="2">
        <v>2</v>
      </c>
      <c r="H1177" s="2">
        <v>412</v>
      </c>
      <c r="I1177" s="2">
        <v>159</v>
      </c>
      <c r="J1177" s="2">
        <v>27693</v>
      </c>
      <c r="K1177" s="2">
        <v>23</v>
      </c>
      <c r="L1177" s="2">
        <v>3342</v>
      </c>
      <c r="M1177" s="2">
        <v>307</v>
      </c>
      <c r="N1177" s="2">
        <v>22880</v>
      </c>
      <c r="O1177" s="2">
        <v>26</v>
      </c>
      <c r="P1177" s="2">
        <v>144975</v>
      </c>
      <c r="Q1177" s="2">
        <v>1144</v>
      </c>
      <c r="R1177" s="2">
        <v>41100</v>
      </c>
      <c r="S1177" s="2">
        <v>371012</v>
      </c>
      <c r="T1177" s="10">
        <f t="shared" si="64"/>
        <v>129878</v>
      </c>
      <c r="U1177" s="8">
        <f t="shared" si="65"/>
        <v>0.35006414886850024</v>
      </c>
      <c r="V1177" s="9" t="s">
        <v>5270</v>
      </c>
      <c r="W1177" s="9" t="str">
        <f t="shared" si="66"/>
        <v>Stowmarket UD</v>
      </c>
      <c r="X1177" s="9" t="str">
        <f>INDEX(Lookup!$A$2:$A$1349, MATCH(W1177, Lookup!$B$2:$B$1349,0))</f>
        <v>J04001219</v>
      </c>
      <c r="Y1177" s="9" t="str">
        <f>INDEX(Lookup!$F$2:$F$1349, MATCH(W1177, Lookup!$B$2:$B$1349,0))</f>
        <v>e340982</v>
      </c>
      <c r="Z1177" s="6" t="str">
        <f>INDEX(Lookup!$C$2:$C$1300, MATCH(X1177, Lookup!$A$2:$A$1300,0))</f>
        <v>Suffolk</v>
      </c>
    </row>
    <row r="1178" spans="1:26" ht="28.15" customHeight="1" x14ac:dyDescent="0.2">
      <c r="A1178" s="6" t="s">
        <v>1007</v>
      </c>
      <c r="B1178" s="1" t="s">
        <v>1007</v>
      </c>
      <c r="C1178" s="2">
        <v>1938</v>
      </c>
      <c r="D1178" s="2">
        <v>89434</v>
      </c>
      <c r="E1178" s="2">
        <v>156</v>
      </c>
      <c r="F1178" s="2">
        <v>19444</v>
      </c>
      <c r="G1178" s="2">
        <v>10</v>
      </c>
      <c r="H1178" s="2">
        <v>2341</v>
      </c>
      <c r="I1178" s="2">
        <v>157</v>
      </c>
      <c r="J1178" s="2">
        <v>19335</v>
      </c>
      <c r="K1178" s="2">
        <v>26</v>
      </c>
      <c r="L1178" s="2">
        <v>1930</v>
      </c>
      <c r="M1178" s="2">
        <v>217</v>
      </c>
      <c r="N1178" s="2">
        <v>11500</v>
      </c>
      <c r="O1178" s="2">
        <v>10</v>
      </c>
      <c r="P1178" s="2">
        <v>9038</v>
      </c>
      <c r="Q1178" s="2">
        <v>644</v>
      </c>
      <c r="R1178" s="2">
        <v>21667</v>
      </c>
      <c r="S1178" s="2">
        <v>175333</v>
      </c>
      <c r="T1178" s="10">
        <f t="shared" si="64"/>
        <v>111219</v>
      </c>
      <c r="U1178" s="8">
        <f t="shared" si="65"/>
        <v>0.63433010328916972</v>
      </c>
      <c r="V1178" s="9" t="s">
        <v>5270</v>
      </c>
      <c r="W1178" s="9" t="str">
        <f t="shared" si="66"/>
        <v>Woodbridge UD</v>
      </c>
      <c r="X1178" s="9" t="str">
        <f>INDEX(Lookup!$A$2:$A$1349, MATCH(W1178, Lookup!$B$2:$B$1349,0))</f>
        <v>J04001446</v>
      </c>
      <c r="Y1178" s="9" t="str">
        <f>INDEX(Lookup!$F$2:$F$1349, MATCH(W1178, Lookup!$B$2:$B$1349,0))</f>
        <v>e340983</v>
      </c>
      <c r="Z1178" s="6" t="str">
        <f>INDEX(Lookup!$C$2:$C$1300, MATCH(X1178, Lookup!$A$2:$A$1300,0))</f>
        <v>Suffolk</v>
      </c>
    </row>
    <row r="1179" spans="1:26" ht="28.15" customHeight="1" x14ac:dyDescent="0.2">
      <c r="A1179" s="6" t="s">
        <v>212</v>
      </c>
      <c r="B1179" s="1" t="s">
        <v>212</v>
      </c>
      <c r="T1179" s="10"/>
      <c r="W1179" s="9" t="str">
        <f t="shared" si="66"/>
        <v xml:space="preserve">Rural Districts-- </v>
      </c>
      <c r="X1179" s="9" t="e">
        <f>INDEX(Lookup!$A$2:$A$1349, MATCH(W1179, Lookup!$B$2:$B$1349,0))</f>
        <v>#N/A</v>
      </c>
      <c r="Y1179" s="9" t="e">
        <f>INDEX(Lookup!$F$2:$F$1349, MATCH(W1179, Lookup!$B$2:$B$1349,0))</f>
        <v>#N/A</v>
      </c>
      <c r="Z1179" s="6" t="e">
        <f>INDEX(Lookup!$C$2:$C$1300, MATCH(X1179, Lookup!$A$2:$A$1300,0))</f>
        <v>#N/A</v>
      </c>
    </row>
    <row r="1180" spans="1:26" ht="28.15" customHeight="1" x14ac:dyDescent="0.2">
      <c r="A1180" s="6" t="s">
        <v>855</v>
      </c>
      <c r="B1180" s="1" t="s">
        <v>855</v>
      </c>
      <c r="C1180" s="2">
        <v>2010</v>
      </c>
      <c r="D1180" s="2">
        <v>163287</v>
      </c>
      <c r="E1180" s="2">
        <v>249</v>
      </c>
      <c r="F1180" s="2">
        <v>31876</v>
      </c>
      <c r="G1180" s="2">
        <v>32</v>
      </c>
      <c r="H1180" s="2">
        <v>8479</v>
      </c>
      <c r="I1180" s="2">
        <v>208</v>
      </c>
      <c r="J1180" s="2">
        <v>17448</v>
      </c>
      <c r="K1180" s="2">
        <v>11</v>
      </c>
      <c r="L1180" s="2">
        <v>1365</v>
      </c>
      <c r="M1180" s="2">
        <v>328</v>
      </c>
      <c r="N1180" s="2">
        <v>21699</v>
      </c>
      <c r="O1180" s="2">
        <v>20</v>
      </c>
      <c r="P1180" s="2">
        <v>7795</v>
      </c>
      <c r="Q1180" s="2">
        <v>1478</v>
      </c>
      <c r="R1180" s="2">
        <v>81549</v>
      </c>
      <c r="S1180" s="2">
        <v>334976</v>
      </c>
      <c r="T1180" s="10">
        <f t="shared" si="64"/>
        <v>203642</v>
      </c>
      <c r="U1180" s="8">
        <f t="shared" si="65"/>
        <v>0.60793012036683225</v>
      </c>
      <c r="V1180" s="9" t="s">
        <v>5271</v>
      </c>
      <c r="W1180" s="9" t="str">
        <f t="shared" si="66"/>
        <v>Blyth RD</v>
      </c>
      <c r="X1180" s="9" t="str">
        <f>INDEX(Lookup!$A$2:$A$1349, MATCH(W1180, Lookup!$B$2:$B$1349,0))</f>
        <v>J04000167</v>
      </c>
      <c r="Y1180" s="9" t="str">
        <f>INDEX(Lookup!$F$2:$F$1349, MATCH(W1180, Lookup!$B$2:$B$1349,0))</f>
        <v>e340984</v>
      </c>
      <c r="Z1180" s="6" t="str">
        <f>INDEX(Lookup!$C$2:$C$1300, MATCH(X1180, Lookup!$A$2:$A$1300,0))</f>
        <v>Suffolk</v>
      </c>
    </row>
    <row r="1181" spans="1:26" ht="28.15" customHeight="1" x14ac:dyDescent="0.2">
      <c r="A1181" s="6" t="s">
        <v>1008</v>
      </c>
      <c r="B1181" s="1" t="s">
        <v>5329</v>
      </c>
      <c r="C1181" s="2">
        <v>8354</v>
      </c>
      <c r="D1181" s="2">
        <v>383643</v>
      </c>
      <c r="E1181" s="2">
        <v>585</v>
      </c>
      <c r="F1181" s="2">
        <v>74549</v>
      </c>
      <c r="G1181" s="2">
        <v>42</v>
      </c>
      <c r="H1181" s="2">
        <v>9748</v>
      </c>
      <c r="I1181" s="2">
        <v>170</v>
      </c>
      <c r="J1181" s="2">
        <v>13495</v>
      </c>
      <c r="K1181" s="2">
        <v>13</v>
      </c>
      <c r="L1181" s="2">
        <v>969</v>
      </c>
      <c r="M1181" s="2">
        <v>381</v>
      </c>
      <c r="N1181" s="2">
        <v>29103</v>
      </c>
      <c r="O1181" s="2">
        <v>15</v>
      </c>
      <c r="P1181" s="2">
        <v>11781</v>
      </c>
      <c r="Q1181" s="2">
        <v>79985</v>
      </c>
      <c r="R1181" s="2">
        <v>117961</v>
      </c>
      <c r="S1181" s="2">
        <v>721234</v>
      </c>
      <c r="T1181" s="10">
        <f t="shared" si="64"/>
        <v>467940</v>
      </c>
      <c r="U1181" s="8">
        <f t="shared" si="65"/>
        <v>0.64880468752166431</v>
      </c>
      <c r="V1181" s="9" t="s">
        <v>5271</v>
      </c>
      <c r="W1181" s="9" t="str">
        <f t="shared" si="66"/>
        <v>Deben RD</v>
      </c>
      <c r="X1181" s="9" t="str">
        <f>INDEX(Lookup!$A$2:$A$1349, MATCH(W1181, Lookup!$B$2:$B$1349,0))</f>
        <v>J04000394</v>
      </c>
      <c r="Y1181" s="9" t="str">
        <f>INDEX(Lookup!$F$2:$F$1349, MATCH(W1181, Lookup!$B$2:$B$1349,0))</f>
        <v>e340985</v>
      </c>
      <c r="Z1181" s="6" t="str">
        <f>INDEX(Lookup!$C$2:$C$1300, MATCH(X1181, Lookup!$A$2:$A$1300,0))</f>
        <v>Suffolk</v>
      </c>
    </row>
    <row r="1182" spans="1:26" ht="28.15" customHeight="1" x14ac:dyDescent="0.2">
      <c r="A1182" s="6" t="s">
        <v>1009</v>
      </c>
      <c r="B1182" s="1" t="s">
        <v>1009</v>
      </c>
      <c r="C1182" s="2">
        <v>4826</v>
      </c>
      <c r="D1182" s="2">
        <v>180875</v>
      </c>
      <c r="E1182" s="2">
        <v>119</v>
      </c>
      <c r="F1182" s="2">
        <v>14938</v>
      </c>
      <c r="G1182" s="2">
        <v>12</v>
      </c>
      <c r="H1182" s="2">
        <v>3278</v>
      </c>
      <c r="I1182" s="2">
        <v>157</v>
      </c>
      <c r="J1182" s="2">
        <v>11049</v>
      </c>
      <c r="K1182" s="2">
        <v>10</v>
      </c>
      <c r="L1182" s="2">
        <v>1920</v>
      </c>
      <c r="M1182" s="2">
        <v>343</v>
      </c>
      <c r="N1182" s="2">
        <v>21995</v>
      </c>
      <c r="O1182" s="2">
        <v>23</v>
      </c>
      <c r="P1182" s="2">
        <v>66028</v>
      </c>
      <c r="Q1182" s="2">
        <v>30043</v>
      </c>
      <c r="R1182" s="2">
        <v>109098</v>
      </c>
      <c r="S1182" s="2">
        <v>439224</v>
      </c>
      <c r="T1182" s="10">
        <f t="shared" si="64"/>
        <v>199091</v>
      </c>
      <c r="U1182" s="8">
        <f t="shared" si="65"/>
        <v>0.45327896471959639</v>
      </c>
      <c r="V1182" s="9" t="s">
        <v>5271</v>
      </c>
      <c r="W1182" s="9" t="str">
        <f t="shared" si="66"/>
        <v>Gipping RD</v>
      </c>
      <c r="X1182" s="9" t="str">
        <f>INDEX(Lookup!$A$2:$A$1349, MATCH(W1182, Lookup!$B$2:$B$1349,0))</f>
        <v>J04000531</v>
      </c>
      <c r="Y1182" s="9" t="str">
        <f>INDEX(Lookup!$F$2:$F$1349, MATCH(W1182, Lookup!$B$2:$B$1349,0))</f>
        <v>e340986</v>
      </c>
      <c r="Z1182" s="6" t="str">
        <f>INDEX(Lookup!$C$2:$C$1300, MATCH(X1182, Lookup!$A$2:$A$1300,0))</f>
        <v>Suffolk</v>
      </c>
    </row>
    <row r="1183" spans="1:26" ht="28.15" customHeight="1" x14ac:dyDescent="0.2">
      <c r="A1183" s="6" t="s">
        <v>1010</v>
      </c>
      <c r="B1183" s="1" t="s">
        <v>5445</v>
      </c>
      <c r="C1183" s="2">
        <v>4095</v>
      </c>
      <c r="D1183" s="2">
        <v>125057</v>
      </c>
      <c r="E1183" s="2">
        <v>109</v>
      </c>
      <c r="F1183" s="2">
        <v>13898</v>
      </c>
      <c r="G1183" s="2">
        <v>10</v>
      </c>
      <c r="H1183" s="2">
        <v>2855</v>
      </c>
      <c r="I1183" s="2">
        <v>145</v>
      </c>
      <c r="J1183" s="2">
        <v>10900</v>
      </c>
      <c r="K1183" s="2">
        <v>4</v>
      </c>
      <c r="L1183" s="2">
        <v>250</v>
      </c>
      <c r="M1183" s="2">
        <v>336</v>
      </c>
      <c r="N1183" s="2">
        <v>20025</v>
      </c>
      <c r="O1183" s="2">
        <v>8</v>
      </c>
      <c r="P1183" s="2">
        <v>4863</v>
      </c>
      <c r="Q1183" s="2">
        <v>236</v>
      </c>
      <c r="R1183" s="2">
        <v>100035</v>
      </c>
      <c r="S1183" s="2">
        <v>278119</v>
      </c>
      <c r="T1183" s="10">
        <f t="shared" si="64"/>
        <v>141810</v>
      </c>
      <c r="U1183" s="8">
        <f t="shared" si="65"/>
        <v>0.50988965155203347</v>
      </c>
      <c r="V1183" s="9" t="s">
        <v>5271</v>
      </c>
      <c r="W1183" s="9" t="str">
        <f t="shared" si="66"/>
        <v>Hartismere RD</v>
      </c>
      <c r="X1183" s="9" t="str">
        <f>INDEX(Lookup!$A$2:$A$1349, MATCH(W1183, Lookup!$B$2:$B$1349,0))</f>
        <v>J04000578</v>
      </c>
      <c r="Y1183" s="9" t="str">
        <f>INDEX(Lookup!$F$2:$F$1349, MATCH(W1183, Lookup!$B$2:$B$1349,0))</f>
        <v>e340987</v>
      </c>
      <c r="Z1183" s="6" t="str">
        <f>INDEX(Lookup!$C$2:$C$1300, MATCH(X1183, Lookup!$A$2:$A$1300,0))</f>
        <v>Suffolk</v>
      </c>
    </row>
    <row r="1184" spans="1:26" ht="28.15" customHeight="1" x14ac:dyDescent="0.2">
      <c r="A1184" s="6" t="s">
        <v>1011</v>
      </c>
      <c r="B1184" s="1" t="s">
        <v>1011</v>
      </c>
      <c r="C1184" s="2">
        <v>5186</v>
      </c>
      <c r="D1184" s="2">
        <v>205041</v>
      </c>
      <c r="E1184" s="2">
        <v>104</v>
      </c>
      <c r="F1184" s="2">
        <v>13124</v>
      </c>
      <c r="G1184" s="2">
        <v>16</v>
      </c>
      <c r="H1184" s="2">
        <v>3893</v>
      </c>
      <c r="I1184" s="2">
        <v>133</v>
      </c>
      <c r="J1184" s="2">
        <v>11029</v>
      </c>
      <c r="K1184" s="2">
        <v>7</v>
      </c>
      <c r="L1184" s="2">
        <v>761</v>
      </c>
      <c r="M1184" s="2">
        <v>320</v>
      </c>
      <c r="N1184" s="2">
        <v>102342</v>
      </c>
      <c r="O1184" s="2">
        <v>7</v>
      </c>
      <c r="P1184" s="2">
        <v>2335</v>
      </c>
      <c r="Q1184" s="2">
        <v>1238</v>
      </c>
      <c r="R1184" s="2">
        <v>92721</v>
      </c>
      <c r="S1184" s="2">
        <v>432484</v>
      </c>
      <c r="T1184" s="10">
        <f t="shared" si="64"/>
        <v>222058</v>
      </c>
      <c r="U1184" s="8">
        <f t="shared" si="65"/>
        <v>0.51344789633836163</v>
      </c>
      <c r="V1184" s="9" t="s">
        <v>5271</v>
      </c>
      <c r="W1184" s="9" t="str">
        <f t="shared" si="66"/>
        <v>Lothingland RD</v>
      </c>
      <c r="X1184" s="9" t="str">
        <f>INDEX(Lookup!$A$2:$A$1349, MATCH(W1184, Lookup!$B$2:$B$1349,0))</f>
        <v>J04000782</v>
      </c>
      <c r="Y1184" s="9" t="str">
        <f>INDEX(Lookup!$F$2:$F$1349, MATCH(W1184, Lookup!$B$2:$B$1349,0))</f>
        <v>e340988</v>
      </c>
      <c r="Z1184" s="6" t="str">
        <f>INDEX(Lookup!$C$2:$C$1300, MATCH(X1184, Lookup!$A$2:$A$1300,0))</f>
        <v>Suffolk</v>
      </c>
    </row>
    <row r="1185" spans="1:26" ht="28.15" customHeight="1" x14ac:dyDescent="0.2">
      <c r="A1185" s="6" t="s">
        <v>1012</v>
      </c>
      <c r="B1185" s="1" t="s">
        <v>1012</v>
      </c>
      <c r="C1185" s="2">
        <v>4055</v>
      </c>
      <c r="D1185" s="2">
        <v>171087</v>
      </c>
      <c r="E1185" s="2">
        <v>175</v>
      </c>
      <c r="F1185" s="2">
        <v>23350</v>
      </c>
      <c r="G1185" s="2">
        <v>15</v>
      </c>
      <c r="H1185" s="2">
        <v>4297</v>
      </c>
      <c r="I1185" s="2">
        <v>93</v>
      </c>
      <c r="J1185" s="2">
        <v>8113</v>
      </c>
      <c r="K1185" s="2">
        <v>7</v>
      </c>
      <c r="L1185" s="2">
        <v>4631</v>
      </c>
      <c r="M1185" s="2">
        <v>172</v>
      </c>
      <c r="N1185" s="2">
        <v>11279</v>
      </c>
      <c r="O1185" s="2">
        <v>11</v>
      </c>
      <c r="P1185" s="2">
        <v>136889</v>
      </c>
      <c r="Q1185" s="2">
        <v>35959</v>
      </c>
      <c r="R1185" s="2">
        <v>70337</v>
      </c>
      <c r="S1185" s="2">
        <v>465942</v>
      </c>
      <c r="T1185" s="10">
        <f t="shared" si="64"/>
        <v>198734</v>
      </c>
      <c r="U1185" s="8">
        <f t="shared" si="65"/>
        <v>0.42652089745075566</v>
      </c>
      <c r="V1185" s="9" t="s">
        <v>5271</v>
      </c>
      <c r="W1185" s="9" t="str">
        <f t="shared" si="66"/>
        <v>Samford RD</v>
      </c>
      <c r="X1185" s="9" t="str">
        <f>INDEX(Lookup!$A$2:$A$1349, MATCH(W1185, Lookup!$B$2:$B$1349,0))</f>
        <v>J04001099</v>
      </c>
      <c r="Y1185" s="9" t="str">
        <f>INDEX(Lookup!$F$2:$F$1349, MATCH(W1185, Lookup!$B$2:$B$1349,0))</f>
        <v>e340989</v>
      </c>
      <c r="Z1185" s="6" t="str">
        <f>INDEX(Lookup!$C$2:$C$1300, MATCH(X1185, Lookup!$A$2:$A$1300,0))</f>
        <v>Suffolk</v>
      </c>
    </row>
    <row r="1186" spans="1:26" ht="28.15" customHeight="1" x14ac:dyDescent="0.2">
      <c r="A1186" s="6" t="s">
        <v>1013</v>
      </c>
      <c r="B1186" s="1" t="s">
        <v>1013</v>
      </c>
      <c r="C1186" s="2">
        <v>1441</v>
      </c>
      <c r="D1186" s="2">
        <v>49267</v>
      </c>
      <c r="E1186" s="2">
        <v>21</v>
      </c>
      <c r="F1186" s="2">
        <v>2742</v>
      </c>
      <c r="G1186" s="2">
        <v>4</v>
      </c>
      <c r="H1186" s="2">
        <v>1045</v>
      </c>
      <c r="I1186" s="2">
        <v>28</v>
      </c>
      <c r="J1186" s="2">
        <v>1663</v>
      </c>
      <c r="L1186" s="2" t="s">
        <v>5467</v>
      </c>
      <c r="M1186" s="2">
        <v>80</v>
      </c>
      <c r="N1186" s="2">
        <v>5029</v>
      </c>
      <c r="O1186" s="2">
        <v>8</v>
      </c>
      <c r="P1186" s="2">
        <v>4398</v>
      </c>
      <c r="Q1186" s="2">
        <v>412</v>
      </c>
      <c r="R1186" s="2">
        <v>45458</v>
      </c>
      <c r="S1186" s="2">
        <v>110014</v>
      </c>
      <c r="T1186" s="10">
        <f t="shared" si="64"/>
        <v>53054</v>
      </c>
      <c r="U1186" s="8">
        <f t="shared" si="65"/>
        <v>0.48224771392731836</v>
      </c>
      <c r="V1186" s="9" t="s">
        <v>5271</v>
      </c>
      <c r="W1186" s="9" t="str">
        <f t="shared" si="66"/>
        <v>Wainford RD</v>
      </c>
      <c r="X1186" s="9" t="str">
        <f>INDEX(Lookup!$A$2:$A$1349, MATCH(W1186, Lookup!$B$2:$B$1349,0))</f>
        <v>J04001321</v>
      </c>
      <c r="Y1186" s="9" t="str">
        <f>INDEX(Lookup!$F$2:$F$1349, MATCH(W1186, Lookup!$B$2:$B$1349,0))</f>
        <v>e340990</v>
      </c>
      <c r="Z1186" s="6" t="str">
        <f>INDEX(Lookup!$C$2:$C$1300, MATCH(X1186, Lookup!$A$2:$A$1300,0))</f>
        <v>Suffolk</v>
      </c>
    </row>
    <row r="1187" spans="1:26" ht="28.15" customHeight="1" x14ac:dyDescent="0.2">
      <c r="A1187" s="6" t="s">
        <v>1014</v>
      </c>
      <c r="B1187" s="1" t="s">
        <v>1014</v>
      </c>
      <c r="T1187" s="10"/>
      <c r="W1187" s="9" t="str">
        <f t="shared" si="66"/>
        <v xml:space="preserve">WEST SUFFOLK: </v>
      </c>
      <c r="X1187" s="9" t="e">
        <f>INDEX(Lookup!$A$2:$A$1349, MATCH(W1187, Lookup!$B$2:$B$1349,0))</f>
        <v>#N/A</v>
      </c>
      <c r="Y1187" s="9" t="e">
        <f>INDEX(Lookup!$F$2:$F$1349, MATCH(W1187, Lookup!$B$2:$B$1349,0))</f>
        <v>#N/A</v>
      </c>
      <c r="Z1187" s="6" t="e">
        <f>INDEX(Lookup!$C$2:$C$1300, MATCH(X1187, Lookup!$A$2:$A$1300,0))</f>
        <v>#N/A</v>
      </c>
    </row>
    <row r="1188" spans="1:26" ht="28.15" customHeight="1" x14ac:dyDescent="0.2">
      <c r="A1188" s="6" t="s">
        <v>175</v>
      </c>
      <c r="B1188" s="1" t="s">
        <v>175</v>
      </c>
      <c r="T1188" s="10"/>
      <c r="W1188" s="9" t="str">
        <f t="shared" si="66"/>
        <v xml:space="preserve">Non-County Boroughs-- </v>
      </c>
      <c r="X1188" s="9" t="e">
        <f>INDEX(Lookup!$A$2:$A$1349, MATCH(W1188, Lookup!$B$2:$B$1349,0))</f>
        <v>#N/A</v>
      </c>
      <c r="Y1188" s="9" t="e">
        <f>INDEX(Lookup!$F$2:$F$1349, MATCH(W1188, Lookup!$B$2:$B$1349,0))</f>
        <v>#N/A</v>
      </c>
      <c r="Z1188" s="6" t="e">
        <f>INDEX(Lookup!$C$2:$C$1300, MATCH(X1188, Lookup!$A$2:$A$1300,0))</f>
        <v>#N/A</v>
      </c>
    </row>
    <row r="1189" spans="1:26" ht="28.15" customHeight="1" x14ac:dyDescent="0.2">
      <c r="A1189" s="6" t="s">
        <v>1015</v>
      </c>
      <c r="B1189" s="1" t="s">
        <v>5354</v>
      </c>
      <c r="C1189" s="2">
        <v>5818</v>
      </c>
      <c r="D1189" s="2">
        <v>291193</v>
      </c>
      <c r="E1189" s="2">
        <v>882</v>
      </c>
      <c r="F1189" s="2">
        <v>106952</v>
      </c>
      <c r="G1189" s="2">
        <v>31</v>
      </c>
      <c r="H1189" s="2">
        <v>6738</v>
      </c>
      <c r="I1189" s="2">
        <v>393</v>
      </c>
      <c r="J1189" s="2">
        <v>112852</v>
      </c>
      <c r="K1189" s="2">
        <v>115</v>
      </c>
      <c r="L1189" s="2">
        <v>16409</v>
      </c>
      <c r="M1189" s="2">
        <v>711</v>
      </c>
      <c r="N1189" s="2">
        <v>65470</v>
      </c>
      <c r="O1189" s="2">
        <v>62</v>
      </c>
      <c r="P1189" s="2">
        <v>184725</v>
      </c>
      <c r="Q1189" s="2">
        <v>11835</v>
      </c>
      <c r="R1189" s="2">
        <v>95270</v>
      </c>
      <c r="S1189" s="2">
        <v>891444</v>
      </c>
      <c r="T1189" s="10">
        <f t="shared" si="64"/>
        <v>404883</v>
      </c>
      <c r="U1189" s="8">
        <f t="shared" si="65"/>
        <v>0.45418781213402076</v>
      </c>
      <c r="V1189" s="9" t="s">
        <v>5268</v>
      </c>
      <c r="W1189" s="9" t="str">
        <f t="shared" si="66"/>
        <v>Bury St. Edmunds MB</v>
      </c>
      <c r="X1189" s="9" t="str">
        <f>INDEX(Lookup!$A$2:$A$1349, MATCH(W1189, Lookup!$B$2:$B$1349,0))</f>
        <v>J04000245</v>
      </c>
      <c r="Y1189" s="9" t="str">
        <f>INDEX(Lookup!$F$2:$F$1349, MATCH(W1189, Lookup!$B$2:$B$1349,0))</f>
        <v>e350991</v>
      </c>
      <c r="Z1189" s="6" t="str">
        <f>INDEX(Lookup!$C$2:$C$1300, MATCH(X1189, Lookup!$A$2:$A$1300,0))</f>
        <v>Suffolk</v>
      </c>
    </row>
    <row r="1190" spans="1:26" ht="28.15" customHeight="1" x14ac:dyDescent="0.2">
      <c r="A1190" s="6" t="s">
        <v>1016</v>
      </c>
      <c r="B1190" s="1" t="s">
        <v>1016</v>
      </c>
      <c r="C1190" s="2">
        <v>2243</v>
      </c>
      <c r="D1190" s="2">
        <v>94863</v>
      </c>
      <c r="E1190" s="2">
        <v>88</v>
      </c>
      <c r="F1190" s="2">
        <v>10580</v>
      </c>
      <c r="G1190" s="2">
        <v>1</v>
      </c>
      <c r="H1190" s="2">
        <v>226</v>
      </c>
      <c r="I1190" s="2">
        <v>190</v>
      </c>
      <c r="J1190" s="2">
        <v>44470</v>
      </c>
      <c r="K1190" s="2">
        <v>29</v>
      </c>
      <c r="L1190" s="2">
        <v>3180</v>
      </c>
      <c r="M1190" s="2">
        <v>225</v>
      </c>
      <c r="N1190" s="2">
        <v>16390</v>
      </c>
      <c r="O1190" s="2">
        <v>25</v>
      </c>
      <c r="P1190" s="2">
        <v>30776</v>
      </c>
      <c r="Q1190" s="2">
        <v>3023</v>
      </c>
      <c r="R1190" s="2">
        <v>27885</v>
      </c>
      <c r="S1190" s="2">
        <v>231393</v>
      </c>
      <c r="T1190" s="10">
        <f t="shared" si="64"/>
        <v>105669</v>
      </c>
      <c r="U1190" s="8">
        <f t="shared" si="65"/>
        <v>0.45666463549026981</v>
      </c>
      <c r="V1190" s="9" t="s">
        <v>5268</v>
      </c>
      <c r="W1190" s="9" t="str">
        <f t="shared" si="66"/>
        <v>Sudbury MB</v>
      </c>
      <c r="X1190" s="9" t="str">
        <f>INDEX(Lookup!$A$2:$A$1349, MATCH(W1190, Lookup!$B$2:$B$1349,0))</f>
        <v>J04001229</v>
      </c>
      <c r="Y1190" s="9" t="str">
        <f>INDEX(Lookup!$F$2:$F$1349, MATCH(W1190, Lookup!$B$2:$B$1349,0))</f>
        <v>e350995</v>
      </c>
      <c r="Z1190" s="6" t="str">
        <f>INDEX(Lookup!$C$2:$C$1300, MATCH(X1190, Lookup!$A$2:$A$1300,0))</f>
        <v>Suffolk</v>
      </c>
    </row>
    <row r="1191" spans="1:26" ht="28.15" customHeight="1" x14ac:dyDescent="0.2">
      <c r="A1191" s="6" t="s">
        <v>179</v>
      </c>
      <c r="B1191" s="1" t="s">
        <v>179</v>
      </c>
      <c r="T1191" s="10"/>
      <c r="W1191" s="9" t="str">
        <f t="shared" si="66"/>
        <v xml:space="preserve">Urban Districts-- </v>
      </c>
      <c r="X1191" s="9" t="e">
        <f>INDEX(Lookup!$A$2:$A$1349, MATCH(W1191, Lookup!$B$2:$B$1349,0))</f>
        <v>#N/A</v>
      </c>
      <c r="Y1191" s="9" t="e">
        <f>INDEX(Lookup!$F$2:$F$1349, MATCH(W1191, Lookup!$B$2:$B$1349,0))</f>
        <v>#N/A</v>
      </c>
      <c r="Z1191" s="6" t="e">
        <f>INDEX(Lookup!$C$2:$C$1300, MATCH(X1191, Lookup!$A$2:$A$1300,0))</f>
        <v>#N/A</v>
      </c>
    </row>
    <row r="1192" spans="1:26" ht="28.15" customHeight="1" x14ac:dyDescent="0.2">
      <c r="A1192" s="6" t="s">
        <v>1275</v>
      </c>
      <c r="B1192" s="1" t="s">
        <v>1275</v>
      </c>
      <c r="C1192" s="2">
        <v>1113</v>
      </c>
      <c r="D1192" s="2">
        <v>46201</v>
      </c>
      <c r="E1192" s="2">
        <v>30</v>
      </c>
      <c r="F1192" s="2">
        <v>3476</v>
      </c>
      <c r="G1192" s="2">
        <v>1</v>
      </c>
      <c r="H1192" s="2">
        <v>266</v>
      </c>
      <c r="I1192" s="2">
        <v>68</v>
      </c>
      <c r="J1192" s="2">
        <v>6679</v>
      </c>
      <c r="K1192" s="2">
        <v>10</v>
      </c>
      <c r="L1192" s="2">
        <v>871</v>
      </c>
      <c r="M1192" s="2">
        <v>136</v>
      </c>
      <c r="N1192" s="2">
        <v>8316</v>
      </c>
      <c r="O1192" s="2">
        <v>12</v>
      </c>
      <c r="P1192" s="2">
        <v>9465</v>
      </c>
      <c r="Q1192" s="2">
        <v>2279</v>
      </c>
      <c r="R1192" s="2">
        <v>10268</v>
      </c>
      <c r="S1192" s="2">
        <v>87821</v>
      </c>
      <c r="T1192" s="10">
        <f t="shared" si="64"/>
        <v>49943</v>
      </c>
      <c r="U1192" s="8">
        <f t="shared" si="65"/>
        <v>0.56869085981712797</v>
      </c>
      <c r="V1192" s="9" t="s">
        <v>5270</v>
      </c>
      <c r="W1192" s="9" t="str">
        <f t="shared" si="66"/>
        <v>Hadleigh UD</v>
      </c>
      <c r="X1192" s="9" t="str">
        <f>INDEX(Lookup!$A$2:$A$1349, MATCH(W1192, Lookup!$B$2:$B$1349,0))</f>
        <v>J04000561</v>
      </c>
      <c r="Y1192" s="9" t="str">
        <f>INDEX(Lookup!$F$2:$F$1349, MATCH(W1192, Lookup!$B$2:$B$1349,0))</f>
        <v>e350992</v>
      </c>
      <c r="Z1192" s="6" t="str">
        <f>INDEX(Lookup!$C$2:$C$1300, MATCH(X1192, Lookup!$A$2:$A$1300,0))</f>
        <v>Suffolk</v>
      </c>
    </row>
    <row r="1193" spans="1:26" ht="28.15" customHeight="1" x14ac:dyDescent="0.2">
      <c r="A1193" s="6" t="s">
        <v>1276</v>
      </c>
      <c r="B1193" s="1" t="s">
        <v>1276</v>
      </c>
      <c r="C1193" s="2">
        <v>2140</v>
      </c>
      <c r="D1193" s="2">
        <v>89865</v>
      </c>
      <c r="E1193" s="2">
        <v>24</v>
      </c>
      <c r="F1193" s="2">
        <v>2832</v>
      </c>
      <c r="G1193" s="2">
        <v>1</v>
      </c>
      <c r="H1193" s="2">
        <v>206</v>
      </c>
      <c r="I1193" s="2">
        <v>123</v>
      </c>
      <c r="J1193" s="2">
        <v>23869</v>
      </c>
      <c r="M1193" s="2">
        <v>431</v>
      </c>
      <c r="N1193" s="2">
        <v>9892</v>
      </c>
      <c r="O1193" s="2">
        <v>34</v>
      </c>
      <c r="P1193" s="2">
        <v>51860</v>
      </c>
      <c r="Q1193" s="2">
        <v>1774</v>
      </c>
      <c r="R1193" s="2">
        <v>12712</v>
      </c>
      <c r="S1193" s="2">
        <v>193010</v>
      </c>
      <c r="T1193" s="10">
        <f t="shared" si="64"/>
        <v>92903</v>
      </c>
      <c r="U1193" s="8">
        <f t="shared" si="65"/>
        <v>0.48133775452049116</v>
      </c>
      <c r="V1193" s="9" t="s">
        <v>5270</v>
      </c>
      <c r="W1193" s="9" t="str">
        <f t="shared" si="66"/>
        <v>Haverhill UD</v>
      </c>
      <c r="X1193" s="9" t="str">
        <f>INDEX(Lookup!$A$2:$A$1349, MATCH(W1193, Lookup!$B$2:$B$1349,0))</f>
        <v>J04000589</v>
      </c>
      <c r="Y1193" s="9" t="str">
        <f>INDEX(Lookup!$F$2:$F$1349, MATCH(W1193, Lookup!$B$2:$B$1349,0))</f>
        <v>e350993</v>
      </c>
      <c r="Z1193" s="6" t="str">
        <f>INDEX(Lookup!$C$2:$C$1300, MATCH(X1193, Lookup!$A$2:$A$1300,0))</f>
        <v>Suffolk</v>
      </c>
    </row>
    <row r="1194" spans="1:26" ht="28.15" customHeight="1" x14ac:dyDescent="0.2">
      <c r="A1194" s="6" t="s">
        <v>221</v>
      </c>
      <c r="B1194" s="1" t="s">
        <v>221</v>
      </c>
      <c r="C1194" s="2">
        <v>3308</v>
      </c>
      <c r="D1194" s="2">
        <v>147334</v>
      </c>
      <c r="E1194" s="2">
        <v>206</v>
      </c>
      <c r="F1194" s="2">
        <v>26608</v>
      </c>
      <c r="G1194" s="2">
        <v>45</v>
      </c>
      <c r="H1194" s="2">
        <v>12119</v>
      </c>
      <c r="I1194" s="2">
        <v>220</v>
      </c>
      <c r="J1194" s="2">
        <v>42544</v>
      </c>
      <c r="K1194" s="2">
        <v>45</v>
      </c>
      <c r="L1194" s="2">
        <v>3561</v>
      </c>
      <c r="M1194" s="2">
        <v>384</v>
      </c>
      <c r="N1194" s="2">
        <v>25640</v>
      </c>
      <c r="O1194" s="2">
        <v>22</v>
      </c>
      <c r="P1194" s="2">
        <v>32357</v>
      </c>
      <c r="Q1194" s="2">
        <v>9760</v>
      </c>
      <c r="R1194" s="2">
        <v>59681</v>
      </c>
      <c r="S1194" s="2">
        <v>359604</v>
      </c>
      <c r="T1194" s="10">
        <f t="shared" si="64"/>
        <v>186061</v>
      </c>
      <c r="U1194" s="8">
        <f t="shared" si="65"/>
        <v>0.51740525689369421</v>
      </c>
      <c r="V1194" s="9" t="s">
        <v>5270</v>
      </c>
      <c r="W1194" s="9" t="str">
        <f t="shared" si="66"/>
        <v>Newmarket UD</v>
      </c>
      <c r="X1194" s="9" t="str">
        <f>INDEX(Lookup!$A$2:$A$1349, MATCH(W1194, Lookup!$B$2:$B$1349,0))</f>
        <v>J04000906</v>
      </c>
      <c r="Y1194" s="9" t="str">
        <f>INDEX(Lookup!$F$2:$F$1349, MATCH(W1194, Lookup!$B$2:$B$1349,0))</f>
        <v>e350994</v>
      </c>
      <c r="Z1194" s="6" t="str">
        <f>INDEX(Lookup!$C$2:$C$1300, MATCH(X1194, Lookup!$A$2:$A$1300,0))</f>
        <v>Suffolk</v>
      </c>
    </row>
    <row r="1195" spans="1:26" ht="28.15" customHeight="1" x14ac:dyDescent="0.2">
      <c r="A1195" s="6" t="s">
        <v>212</v>
      </c>
      <c r="B1195" s="1" t="s">
        <v>212</v>
      </c>
      <c r="T1195" s="10"/>
      <c r="W1195" s="9" t="str">
        <f t="shared" si="66"/>
        <v xml:space="preserve">Rural Districts-- </v>
      </c>
      <c r="X1195" s="9" t="e">
        <f>INDEX(Lookup!$A$2:$A$1349, MATCH(W1195, Lookup!$B$2:$B$1349,0))</f>
        <v>#N/A</v>
      </c>
      <c r="Y1195" s="9" t="e">
        <f>INDEX(Lookup!$F$2:$F$1349, MATCH(W1195, Lookup!$B$2:$B$1349,0))</f>
        <v>#N/A</v>
      </c>
      <c r="Z1195" s="6" t="e">
        <f>INDEX(Lookup!$C$2:$C$1300, MATCH(X1195, Lookup!$A$2:$A$1300,0))</f>
        <v>#N/A</v>
      </c>
    </row>
    <row r="1196" spans="1:26" ht="28.15" customHeight="1" x14ac:dyDescent="0.2">
      <c r="A1196" s="6" t="s">
        <v>1017</v>
      </c>
      <c r="B1196" s="1" t="s">
        <v>1017</v>
      </c>
      <c r="C1196" s="2">
        <v>2318</v>
      </c>
      <c r="D1196" s="2">
        <v>67412</v>
      </c>
      <c r="E1196" s="2">
        <v>47</v>
      </c>
      <c r="F1196" s="2">
        <v>6278</v>
      </c>
      <c r="G1196" s="2">
        <v>7</v>
      </c>
      <c r="H1196" s="2">
        <v>1966</v>
      </c>
      <c r="I1196" s="2">
        <v>70</v>
      </c>
      <c r="J1196" s="2">
        <v>4943</v>
      </c>
      <c r="K1196" s="2">
        <v>2</v>
      </c>
      <c r="L1196" s="2">
        <v>252</v>
      </c>
      <c r="M1196" s="2">
        <v>152</v>
      </c>
      <c r="N1196" s="2">
        <v>7073</v>
      </c>
      <c r="O1196" s="2">
        <v>8</v>
      </c>
      <c r="P1196" s="2">
        <v>8105</v>
      </c>
      <c r="Q1196" s="2">
        <v>32359</v>
      </c>
      <c r="R1196" s="2">
        <v>34688</v>
      </c>
      <c r="S1196" s="2">
        <v>163076</v>
      </c>
      <c r="T1196" s="10">
        <f t="shared" si="64"/>
        <v>75656</v>
      </c>
      <c r="U1196" s="8">
        <f t="shared" si="65"/>
        <v>0.46393092791091273</v>
      </c>
      <c r="V1196" s="9" t="s">
        <v>5271</v>
      </c>
      <c r="W1196" s="9" t="str">
        <f t="shared" si="66"/>
        <v>Clare RD</v>
      </c>
      <c r="X1196" s="9" t="str">
        <f>INDEX(Lookup!$A$2:$A$1349, MATCH(W1196, Lookup!$B$2:$B$1349,0))</f>
        <v>J04000323</v>
      </c>
      <c r="Y1196" s="9" t="str">
        <f>INDEX(Lookup!$F$2:$F$1349, MATCH(W1196, Lookup!$B$2:$B$1349,0))</f>
        <v>e350996</v>
      </c>
      <c r="Z1196" s="6" t="str">
        <f>INDEX(Lookup!$C$2:$C$1300, MATCH(X1196, Lookup!$A$2:$A$1300,0))</f>
        <v>Suffolk</v>
      </c>
    </row>
    <row r="1197" spans="1:26" ht="28.15" customHeight="1" x14ac:dyDescent="0.2">
      <c r="A1197" s="6" t="s">
        <v>1018</v>
      </c>
      <c r="B1197" s="1" t="s">
        <v>1018</v>
      </c>
      <c r="C1197" s="2">
        <v>2683</v>
      </c>
      <c r="D1197" s="2">
        <v>99374</v>
      </c>
      <c r="E1197" s="2">
        <v>111</v>
      </c>
      <c r="F1197" s="2">
        <v>14718</v>
      </c>
      <c r="G1197" s="2">
        <v>10</v>
      </c>
      <c r="H1197" s="2">
        <v>2662</v>
      </c>
      <c r="I1197" s="2">
        <v>82</v>
      </c>
      <c r="J1197" s="2">
        <v>6035</v>
      </c>
      <c r="K1197" s="2">
        <v>6</v>
      </c>
      <c r="L1197" s="2">
        <v>66</v>
      </c>
      <c r="M1197" s="2">
        <v>196</v>
      </c>
      <c r="N1197" s="2">
        <v>9362</v>
      </c>
      <c r="O1197" s="2">
        <v>11</v>
      </c>
      <c r="P1197" s="2">
        <v>7841</v>
      </c>
      <c r="Q1197" s="2">
        <v>5461</v>
      </c>
      <c r="R1197" s="2">
        <v>44225</v>
      </c>
      <c r="S1197" s="2">
        <v>189744</v>
      </c>
      <c r="T1197" s="10">
        <f t="shared" si="64"/>
        <v>116754</v>
      </c>
      <c r="U1197" s="8">
        <f t="shared" si="65"/>
        <v>0.61532380470528714</v>
      </c>
      <c r="V1197" s="9" t="s">
        <v>5271</v>
      </c>
      <c r="W1197" s="9" t="str">
        <f t="shared" si="66"/>
        <v>Cosford RD</v>
      </c>
      <c r="X1197" s="9" t="str">
        <f>INDEX(Lookup!$A$2:$A$1349, MATCH(W1197, Lookup!$B$2:$B$1349,0))</f>
        <v>J04000350</v>
      </c>
      <c r="Y1197" s="9" t="str">
        <f>INDEX(Lookup!$F$2:$F$1349, MATCH(W1197, Lookup!$B$2:$B$1349,0))</f>
        <v>e350998</v>
      </c>
      <c r="Z1197" s="6" t="str">
        <f>INDEX(Lookup!$C$2:$C$1300, MATCH(X1197, Lookup!$A$2:$A$1300,0))</f>
        <v>Suffolk</v>
      </c>
    </row>
    <row r="1198" spans="1:26" ht="28.15" customHeight="1" x14ac:dyDescent="0.2">
      <c r="A1198" s="6" t="s">
        <v>1019</v>
      </c>
      <c r="B1198" s="1" t="s">
        <v>1019</v>
      </c>
      <c r="C1198" s="2">
        <v>4058</v>
      </c>
      <c r="D1198" s="2">
        <v>161733</v>
      </c>
      <c r="E1198" s="2">
        <v>180</v>
      </c>
      <c r="F1198" s="2">
        <v>23700</v>
      </c>
      <c r="G1198" s="2">
        <v>21</v>
      </c>
      <c r="H1198" s="2">
        <v>5004</v>
      </c>
      <c r="I1198" s="2">
        <v>118</v>
      </c>
      <c r="J1198" s="2">
        <v>9448</v>
      </c>
      <c r="K1198" s="2">
        <v>9</v>
      </c>
      <c r="L1198" s="2">
        <v>597</v>
      </c>
      <c r="M1198" s="2">
        <v>329</v>
      </c>
      <c r="N1198" s="2">
        <v>13597</v>
      </c>
      <c r="O1198" s="2">
        <v>29</v>
      </c>
      <c r="P1198" s="2">
        <v>39897</v>
      </c>
      <c r="Q1198" s="2">
        <v>2566</v>
      </c>
      <c r="R1198" s="2">
        <v>51031</v>
      </c>
      <c r="S1198" s="2">
        <v>307573</v>
      </c>
      <c r="T1198" s="10">
        <f t="shared" si="64"/>
        <v>190437</v>
      </c>
      <c r="U1198" s="8">
        <f t="shared" si="65"/>
        <v>0.61916032941773169</v>
      </c>
      <c r="V1198" s="9" t="s">
        <v>5271</v>
      </c>
      <c r="W1198" s="9" t="str">
        <f t="shared" si="66"/>
        <v>Melford RD</v>
      </c>
      <c r="X1198" s="9" t="str">
        <f>INDEX(Lookup!$A$2:$A$1349, MATCH(W1198, Lookup!$B$2:$B$1349,0))</f>
        <v>J04000841</v>
      </c>
      <c r="Y1198" s="9" t="str">
        <f>INDEX(Lookup!$F$2:$F$1349, MATCH(W1198, Lookup!$B$2:$B$1349,0))</f>
        <v>e350999</v>
      </c>
      <c r="Z1198" s="6" t="str">
        <f>INDEX(Lookup!$C$2:$C$1300, MATCH(X1198, Lookup!$A$2:$A$1300,0))</f>
        <v>Suffolk</v>
      </c>
    </row>
    <row r="1199" spans="1:26" ht="28.15" customHeight="1" x14ac:dyDescent="0.2">
      <c r="A1199" s="6" t="s">
        <v>1020</v>
      </c>
      <c r="B1199" s="1" t="s">
        <v>1020</v>
      </c>
      <c r="C1199" s="2">
        <v>4312</v>
      </c>
      <c r="D1199" s="2">
        <v>157320</v>
      </c>
      <c r="E1199" s="2">
        <v>67</v>
      </c>
      <c r="F1199" s="2">
        <v>9018</v>
      </c>
      <c r="G1199" s="2">
        <v>14</v>
      </c>
      <c r="H1199" s="2">
        <v>3886</v>
      </c>
      <c r="I1199" s="2">
        <v>180</v>
      </c>
      <c r="J1199" s="2">
        <v>19343</v>
      </c>
      <c r="K1199" s="2">
        <v>9</v>
      </c>
      <c r="L1199" s="2">
        <v>498</v>
      </c>
      <c r="M1199" s="2">
        <v>283</v>
      </c>
      <c r="N1199" s="2">
        <v>23651</v>
      </c>
      <c r="O1199" s="2">
        <v>22</v>
      </c>
      <c r="P1199" s="2">
        <v>16355</v>
      </c>
      <c r="Q1199" s="2">
        <v>107247</v>
      </c>
      <c r="R1199" s="2">
        <v>68849</v>
      </c>
      <c r="S1199" s="2">
        <v>406167</v>
      </c>
      <c r="T1199" s="10">
        <f t="shared" si="64"/>
        <v>170224</v>
      </c>
      <c r="U1199" s="8">
        <f t="shared" si="65"/>
        <v>0.41909854813414188</v>
      </c>
      <c r="V1199" s="9" t="s">
        <v>5271</v>
      </c>
      <c r="W1199" s="9" t="str">
        <f t="shared" si="66"/>
        <v>Mildenhall RD</v>
      </c>
      <c r="X1199" s="9" t="str">
        <f>INDEX(Lookup!$A$2:$A$1349, MATCH(W1199, Lookup!$B$2:$B$1349,0))</f>
        <v>J04000856</v>
      </c>
      <c r="Y1199" s="9" t="str">
        <f>INDEX(Lookup!$F$2:$F$1349, MATCH(W1199, Lookup!$B$2:$B$1349,0))</f>
        <v>e351000</v>
      </c>
      <c r="Z1199" s="6" t="str">
        <f>INDEX(Lookup!$C$2:$C$1300, MATCH(X1199, Lookup!$A$2:$A$1300,0))</f>
        <v>Suffolk</v>
      </c>
    </row>
    <row r="1200" spans="1:26" ht="28.15" customHeight="1" x14ac:dyDescent="0.2">
      <c r="A1200" s="6" t="s">
        <v>1021</v>
      </c>
      <c r="B1200" s="1" t="s">
        <v>1021</v>
      </c>
      <c r="C1200" s="2">
        <v>2627</v>
      </c>
      <c r="D1200" s="2">
        <v>87457</v>
      </c>
      <c r="E1200" s="2">
        <v>39</v>
      </c>
      <c r="F1200" s="2">
        <v>5099</v>
      </c>
      <c r="G1200" s="2">
        <v>13</v>
      </c>
      <c r="H1200" s="2">
        <v>3482</v>
      </c>
      <c r="I1200" s="2">
        <v>60</v>
      </c>
      <c r="J1200" s="2">
        <v>4366</v>
      </c>
      <c r="K1200" s="2">
        <v>1</v>
      </c>
      <c r="L1200" s="2">
        <v>3</v>
      </c>
      <c r="M1200" s="2">
        <v>141</v>
      </c>
      <c r="N1200" s="2">
        <v>9563</v>
      </c>
      <c r="O1200" s="2">
        <v>12</v>
      </c>
      <c r="P1200" s="2">
        <v>11750</v>
      </c>
      <c r="Q1200" s="2">
        <v>2035</v>
      </c>
      <c r="R1200" s="2">
        <v>31880</v>
      </c>
      <c r="S1200" s="2">
        <v>155635</v>
      </c>
      <c r="T1200" s="10">
        <f t="shared" si="64"/>
        <v>96038</v>
      </c>
      <c r="U1200" s="8">
        <f t="shared" si="65"/>
        <v>0.6170719953737912</v>
      </c>
      <c r="V1200" s="9" t="s">
        <v>5271</v>
      </c>
      <c r="W1200" s="9" t="str">
        <f t="shared" si="66"/>
        <v>Thedwastre RD</v>
      </c>
      <c r="X1200" s="9" t="str">
        <f>INDEX(Lookup!$A$2:$A$1349, MATCH(W1200, Lookup!$B$2:$B$1349,0))</f>
        <v>J04001266</v>
      </c>
      <c r="Y1200" s="9" t="str">
        <f>INDEX(Lookup!$F$2:$F$1349, MATCH(W1200, Lookup!$B$2:$B$1349,0))</f>
        <v>e351002</v>
      </c>
      <c r="Z1200" s="6" t="str">
        <f>INDEX(Lookup!$C$2:$C$1300, MATCH(X1200, Lookup!$A$2:$A$1300,0))</f>
        <v>Suffolk</v>
      </c>
    </row>
    <row r="1201" spans="1:26" ht="28.15" customHeight="1" x14ac:dyDescent="0.2">
      <c r="A1201" s="6" t="s">
        <v>1022</v>
      </c>
      <c r="B1201" s="1" t="s">
        <v>1022</v>
      </c>
      <c r="C1201" s="2">
        <v>4437</v>
      </c>
      <c r="D1201" s="2">
        <v>148158</v>
      </c>
      <c r="E1201" s="2">
        <v>121</v>
      </c>
      <c r="F1201" s="2">
        <v>15631</v>
      </c>
      <c r="G1201" s="2">
        <v>32</v>
      </c>
      <c r="H1201" s="2">
        <v>8638</v>
      </c>
      <c r="I1201" s="2">
        <v>97</v>
      </c>
      <c r="J1201" s="2">
        <v>6099</v>
      </c>
      <c r="K1201" s="2">
        <v>3</v>
      </c>
      <c r="L1201" s="2">
        <v>124</v>
      </c>
      <c r="M1201" s="2">
        <v>295</v>
      </c>
      <c r="N1201" s="2">
        <v>15583</v>
      </c>
      <c r="O1201" s="2">
        <v>17</v>
      </c>
      <c r="P1201" s="2">
        <v>13025</v>
      </c>
      <c r="Q1201" s="2">
        <v>55130</v>
      </c>
      <c r="R1201" s="2">
        <v>97724</v>
      </c>
      <c r="S1201" s="2">
        <v>360112</v>
      </c>
      <c r="T1201" s="10">
        <f t="shared" si="64"/>
        <v>172427</v>
      </c>
      <c r="U1201" s="8">
        <f t="shared" si="65"/>
        <v>0.4788149242457902</v>
      </c>
      <c r="V1201" s="9" t="s">
        <v>5271</v>
      </c>
      <c r="W1201" s="9" t="str">
        <f t="shared" si="66"/>
        <v>Thingoe RD</v>
      </c>
      <c r="X1201" s="9" t="str">
        <f>INDEX(Lookup!$A$2:$A$1349, MATCH(W1201, Lookup!$B$2:$B$1349,0))</f>
        <v>J04001268</v>
      </c>
      <c r="Y1201" s="9" t="str">
        <f>INDEX(Lookup!$F$2:$F$1349, MATCH(W1201, Lookup!$B$2:$B$1349,0))</f>
        <v>e351003</v>
      </c>
      <c r="Z1201" s="6" t="str">
        <f>INDEX(Lookup!$C$2:$C$1300, MATCH(X1201, Lookup!$A$2:$A$1300,0))</f>
        <v>Suffolk</v>
      </c>
    </row>
    <row r="1202" spans="1:26" ht="28.15" customHeight="1" x14ac:dyDescent="0.2">
      <c r="A1202" s="6" t="s">
        <v>1023</v>
      </c>
      <c r="B1202" s="1" t="s">
        <v>1023</v>
      </c>
      <c r="T1202" s="10"/>
      <c r="W1202" s="9" t="str">
        <f t="shared" si="66"/>
        <v xml:space="preserve">SURREY: </v>
      </c>
      <c r="X1202" s="9" t="e">
        <f>INDEX(Lookup!$A$2:$A$1349, MATCH(W1202, Lookup!$B$2:$B$1349,0))</f>
        <v>#N/A</v>
      </c>
      <c r="Y1202" s="9" t="e">
        <f>INDEX(Lookup!$F$2:$F$1349, MATCH(W1202, Lookup!$B$2:$B$1349,0))</f>
        <v>#N/A</v>
      </c>
      <c r="Z1202" s="6" t="e">
        <f>INDEX(Lookup!$C$2:$C$1300, MATCH(X1202, Lookup!$A$2:$A$1300,0))</f>
        <v>#N/A</v>
      </c>
    </row>
    <row r="1203" spans="1:26" ht="28.15" customHeight="1" x14ac:dyDescent="0.2">
      <c r="A1203" s="6" t="s">
        <v>175</v>
      </c>
      <c r="B1203" s="1" t="s">
        <v>175</v>
      </c>
      <c r="T1203" s="10"/>
      <c r="W1203" s="9" t="str">
        <f t="shared" si="66"/>
        <v xml:space="preserve">Non-County Boroughs-- </v>
      </c>
      <c r="X1203" s="9" t="e">
        <f>INDEX(Lookup!$A$2:$A$1349, MATCH(W1203, Lookup!$B$2:$B$1349,0))</f>
        <v>#N/A</v>
      </c>
      <c r="Y1203" s="9" t="e">
        <f>INDEX(Lookup!$F$2:$F$1349, MATCH(W1203, Lookup!$B$2:$B$1349,0))</f>
        <v>#N/A</v>
      </c>
      <c r="Z1203" s="6" t="e">
        <f>INDEX(Lookup!$C$2:$C$1300, MATCH(X1203, Lookup!$A$2:$A$1300,0))</f>
        <v>#N/A</v>
      </c>
    </row>
    <row r="1204" spans="1:26" ht="28.15" customHeight="1" x14ac:dyDescent="0.2">
      <c r="A1204" s="6" t="s">
        <v>1024</v>
      </c>
      <c r="B1204" s="1" t="s">
        <v>1024</v>
      </c>
      <c r="C1204" s="2">
        <v>4237</v>
      </c>
      <c r="D1204" s="2">
        <v>337954</v>
      </c>
      <c r="E1204" s="2">
        <v>6662</v>
      </c>
      <c r="F1204" s="2">
        <v>940504</v>
      </c>
      <c r="G1204" s="2">
        <v>1835</v>
      </c>
      <c r="H1204" s="2">
        <v>467390</v>
      </c>
      <c r="I1204" s="2">
        <v>601</v>
      </c>
      <c r="J1204" s="2">
        <v>137635</v>
      </c>
      <c r="K1204" s="2">
        <v>50</v>
      </c>
      <c r="L1204" s="2">
        <v>14925</v>
      </c>
      <c r="M1204" s="2">
        <v>1297</v>
      </c>
      <c r="N1204" s="2">
        <v>119364</v>
      </c>
      <c r="O1204" s="2">
        <v>65</v>
      </c>
      <c r="P1204" s="2">
        <v>183215</v>
      </c>
      <c r="Q1204" s="2">
        <v>9466</v>
      </c>
      <c r="R1204" s="2">
        <v>197497</v>
      </c>
      <c r="S1204" s="2">
        <v>2407950</v>
      </c>
      <c r="T1204" s="10">
        <f t="shared" si="64"/>
        <v>1745848</v>
      </c>
      <c r="U1204" s="8">
        <f t="shared" si="65"/>
        <v>0.72503498826802881</v>
      </c>
      <c r="V1204" s="9" t="s">
        <v>5268</v>
      </c>
      <c r="W1204" s="9" t="str">
        <f t="shared" si="66"/>
        <v>Barnes MB</v>
      </c>
      <c r="X1204" s="9" t="str">
        <f>INDEX(Lookup!$A$2:$A$1349, MATCH(W1204, Lookup!$B$2:$B$1349,0))</f>
        <v>J04000084</v>
      </c>
      <c r="Y1204" s="9" t="str">
        <f>INDEX(Lookup!$F$2:$F$1349, MATCH(W1204, Lookup!$B$2:$B$1349,0))</f>
        <v>e140401</v>
      </c>
      <c r="Z1204" s="6" t="str">
        <f>INDEX(Lookup!$C$2:$C$1300, MATCH(X1204, Lookup!$A$2:$A$1300,0))</f>
        <v>Outer London</v>
      </c>
    </row>
    <row r="1205" spans="1:26" ht="28.15" customHeight="1" x14ac:dyDescent="0.2">
      <c r="A1205" s="6" t="s">
        <v>1025</v>
      </c>
      <c r="B1205" s="1" t="s">
        <v>5387</v>
      </c>
      <c r="C1205" s="2">
        <v>3290</v>
      </c>
      <c r="D1205" s="2">
        <v>257429</v>
      </c>
      <c r="E1205" s="2">
        <v>6671</v>
      </c>
      <c r="F1205" s="2">
        <v>875558</v>
      </c>
      <c r="G1205" s="2">
        <v>406</v>
      </c>
      <c r="H1205" s="2">
        <v>92062</v>
      </c>
      <c r="I1205" s="2">
        <v>451</v>
      </c>
      <c r="J1205" s="2">
        <v>112482</v>
      </c>
      <c r="K1205" s="2">
        <v>76</v>
      </c>
      <c r="L1205" s="2">
        <v>24912</v>
      </c>
      <c r="M1205" s="2">
        <v>985</v>
      </c>
      <c r="N1205" s="2">
        <v>142410</v>
      </c>
      <c r="O1205" s="2">
        <v>86</v>
      </c>
      <c r="P1205" s="2">
        <v>584889</v>
      </c>
      <c r="Q1205" s="2">
        <v>10358</v>
      </c>
      <c r="R1205" s="2">
        <v>153314</v>
      </c>
      <c r="S1205" s="2">
        <v>2253441</v>
      </c>
      <c r="T1205" s="10">
        <f t="shared" si="64"/>
        <v>1225049</v>
      </c>
      <c r="U1205" s="8">
        <f t="shared" si="65"/>
        <v>0.54363482336568825</v>
      </c>
      <c r="V1205" s="9" t="s">
        <v>5268</v>
      </c>
      <c r="W1205" s="9" t="str">
        <f t="shared" si="66"/>
        <v>Beddington and Wallington MB</v>
      </c>
      <c r="X1205" s="9" t="str">
        <f>INDEX(Lookup!$A$2:$A$1349, MATCH(W1205, Lookup!$B$2:$B$1349,0))</f>
        <v>J04000111</v>
      </c>
      <c r="Y1205" s="9" t="str">
        <f>INDEX(Lookup!$F$2:$F$1349, MATCH(W1205, Lookup!$B$2:$B$1349,0))</f>
        <v>e140404</v>
      </c>
      <c r="Z1205" s="6" t="str">
        <f>INDEX(Lookup!$C$2:$C$1300, MATCH(X1205, Lookup!$A$2:$A$1300,0))</f>
        <v>Outer London</v>
      </c>
    </row>
    <row r="1206" spans="1:26" ht="28.15" customHeight="1" x14ac:dyDescent="0.2">
      <c r="A1206" s="6" t="s">
        <v>1026</v>
      </c>
      <c r="B1206" s="1" t="s">
        <v>4754</v>
      </c>
      <c r="C1206" s="2">
        <v>6757</v>
      </c>
      <c r="D1206" s="2">
        <v>543903</v>
      </c>
      <c r="E1206" s="2">
        <v>12629</v>
      </c>
      <c r="F1206" s="2">
        <v>1681170</v>
      </c>
      <c r="G1206" s="2">
        <v>1375</v>
      </c>
      <c r="H1206" s="2">
        <v>330549</v>
      </c>
      <c r="I1206" s="2">
        <v>699</v>
      </c>
      <c r="J1206" s="2">
        <v>304713</v>
      </c>
      <c r="K1206" s="2">
        <v>134</v>
      </c>
      <c r="L1206" s="2">
        <v>67748</v>
      </c>
      <c r="M1206" s="2">
        <v>1166</v>
      </c>
      <c r="N1206" s="2">
        <v>123205</v>
      </c>
      <c r="O1206" s="2">
        <v>54</v>
      </c>
      <c r="P1206" s="2">
        <v>69495</v>
      </c>
      <c r="Q1206" s="2">
        <v>106767</v>
      </c>
      <c r="R1206" s="2">
        <v>326768</v>
      </c>
      <c r="S1206" s="2">
        <v>3554318</v>
      </c>
      <c r="T1206" s="10">
        <f t="shared" si="64"/>
        <v>2555622</v>
      </c>
      <c r="U1206" s="8">
        <f t="shared" si="65"/>
        <v>0.7190189510336441</v>
      </c>
      <c r="V1206" s="9" t="s">
        <v>5268</v>
      </c>
      <c r="W1206" s="9" t="str">
        <f t="shared" si="66"/>
        <v>Epsom and Ewell MB</v>
      </c>
      <c r="X1206" s="9" t="str">
        <f>INDEX(Lookup!$A$2:$A$1349, MATCH(W1206, Lookup!$B$2:$B$1349,0))</f>
        <v>J04000477</v>
      </c>
      <c r="Y1206" s="9" t="str">
        <f>INDEX(Lookup!$F$2:$F$1349, MATCH(W1206, Lookup!$B$2:$B$1349,0))</f>
        <v>e361009</v>
      </c>
      <c r="Z1206" s="6" t="str">
        <f>INDEX(Lookup!$C$2:$C$1300, MATCH(X1206, Lookup!$A$2:$A$1300,0))</f>
        <v>Surrey</v>
      </c>
    </row>
    <row r="1207" spans="1:26" ht="28.15" customHeight="1" x14ac:dyDescent="0.2">
      <c r="A1207" s="6" t="s">
        <v>1027</v>
      </c>
      <c r="B1207" s="1" t="s">
        <v>1027</v>
      </c>
      <c r="C1207" s="2">
        <v>3878</v>
      </c>
      <c r="D1207" s="2">
        <v>264877</v>
      </c>
      <c r="E1207" s="2">
        <v>1190</v>
      </c>
      <c r="F1207" s="2">
        <v>153829</v>
      </c>
      <c r="G1207" s="2">
        <v>164</v>
      </c>
      <c r="H1207" s="2">
        <v>40924</v>
      </c>
      <c r="I1207" s="2">
        <v>269</v>
      </c>
      <c r="J1207" s="2">
        <v>78434</v>
      </c>
      <c r="K1207" s="2">
        <v>50</v>
      </c>
      <c r="L1207" s="2">
        <v>7791</v>
      </c>
      <c r="M1207" s="2">
        <v>321</v>
      </c>
      <c r="N1207" s="2">
        <v>41236</v>
      </c>
      <c r="O1207" s="2">
        <v>50</v>
      </c>
      <c r="P1207" s="2">
        <v>101282</v>
      </c>
      <c r="Q1207" s="2">
        <v>3006</v>
      </c>
      <c r="R1207" s="2">
        <v>75472</v>
      </c>
      <c r="S1207" s="2">
        <v>766851</v>
      </c>
      <c r="T1207" s="10">
        <f t="shared" si="64"/>
        <v>459630</v>
      </c>
      <c r="U1207" s="8">
        <f t="shared" si="65"/>
        <v>0.59937328111980037</v>
      </c>
      <c r="V1207" s="9" t="s">
        <v>5268</v>
      </c>
      <c r="W1207" s="9" t="str">
        <f t="shared" si="66"/>
        <v>Godalming MB</v>
      </c>
      <c r="X1207" s="9" t="str">
        <f>INDEX(Lookup!$A$2:$A$1349, MATCH(W1207, Lookup!$B$2:$B$1349,0))</f>
        <v>J04000539</v>
      </c>
      <c r="Y1207" s="9" t="str">
        <f>INDEX(Lookup!$F$2:$F$1349, MATCH(W1207, Lookup!$B$2:$B$1349,0))</f>
        <v>e361013</v>
      </c>
      <c r="Z1207" s="6" t="str">
        <f>INDEX(Lookup!$C$2:$C$1300, MATCH(X1207, Lookup!$A$2:$A$1300,0))</f>
        <v>Surrey</v>
      </c>
    </row>
    <row r="1208" spans="1:26" ht="28.15" customHeight="1" x14ac:dyDescent="0.2">
      <c r="A1208" s="6" t="s">
        <v>1028</v>
      </c>
      <c r="B1208" s="1" t="s">
        <v>1028</v>
      </c>
      <c r="C1208" s="2">
        <v>9321</v>
      </c>
      <c r="D1208" s="2">
        <v>679876</v>
      </c>
      <c r="E1208" s="2">
        <v>6193</v>
      </c>
      <c r="F1208" s="2">
        <v>845991</v>
      </c>
      <c r="G1208" s="2">
        <v>1325</v>
      </c>
      <c r="H1208" s="2">
        <v>338486</v>
      </c>
      <c r="I1208" s="2">
        <v>755</v>
      </c>
      <c r="J1208" s="2">
        <v>730073</v>
      </c>
      <c r="K1208" s="2">
        <v>266</v>
      </c>
      <c r="L1208" s="2">
        <v>138017</v>
      </c>
      <c r="M1208" s="2">
        <v>1017</v>
      </c>
      <c r="N1208" s="2">
        <v>225669</v>
      </c>
      <c r="O1208" s="2">
        <v>100</v>
      </c>
      <c r="P1208" s="2">
        <v>278676</v>
      </c>
      <c r="Q1208" s="2">
        <v>50707</v>
      </c>
      <c r="R1208" s="2">
        <v>315798</v>
      </c>
      <c r="S1208" s="2">
        <v>3603293</v>
      </c>
      <c r="T1208" s="10">
        <f t="shared" si="64"/>
        <v>1864353</v>
      </c>
      <c r="U1208" s="8">
        <f t="shared" si="65"/>
        <v>0.51740255371961152</v>
      </c>
      <c r="V1208" s="9" t="s">
        <v>5268</v>
      </c>
      <c r="W1208" s="9" t="str">
        <f t="shared" si="66"/>
        <v>Guildford MB</v>
      </c>
      <c r="X1208" s="9" t="str">
        <f>INDEX(Lookup!$A$2:$A$1349, MATCH(W1208, Lookup!$B$2:$B$1349,0))</f>
        <v>J04000556</v>
      </c>
      <c r="Y1208" s="9" t="str">
        <f>INDEX(Lookup!$F$2:$F$1349, MATCH(W1208, Lookup!$B$2:$B$1349,0))</f>
        <v>e361014</v>
      </c>
      <c r="Z1208" s="6" t="str">
        <f>INDEX(Lookup!$C$2:$C$1300, MATCH(X1208, Lookup!$A$2:$A$1300,0))</f>
        <v>Surrey</v>
      </c>
    </row>
    <row r="1209" spans="1:26" ht="28.15" customHeight="1" x14ac:dyDescent="0.2">
      <c r="A1209" s="6" t="s">
        <v>1029</v>
      </c>
      <c r="B1209" s="1" t="s">
        <v>5446</v>
      </c>
      <c r="C1209" s="2">
        <v>6679</v>
      </c>
      <c r="D1209" s="2">
        <v>482442</v>
      </c>
      <c r="E1209" s="2">
        <v>4923</v>
      </c>
      <c r="F1209" s="2">
        <v>606946</v>
      </c>
      <c r="G1209" s="2">
        <v>126</v>
      </c>
      <c r="H1209" s="2">
        <v>29862</v>
      </c>
      <c r="I1209" s="2">
        <v>994</v>
      </c>
      <c r="J1209" s="2">
        <v>1022658</v>
      </c>
      <c r="K1209" s="2">
        <v>322</v>
      </c>
      <c r="L1209" s="2">
        <v>133414</v>
      </c>
      <c r="M1209" s="2">
        <v>1515</v>
      </c>
      <c r="N1209" s="2">
        <v>238347</v>
      </c>
      <c r="O1209" s="2">
        <v>143</v>
      </c>
      <c r="P1209" s="2">
        <v>467238</v>
      </c>
      <c r="Q1209" s="2">
        <v>26279</v>
      </c>
      <c r="R1209" s="2">
        <v>391332</v>
      </c>
      <c r="S1209" s="2">
        <v>3398518</v>
      </c>
      <c r="T1209" s="10">
        <f t="shared" si="64"/>
        <v>1119250</v>
      </c>
      <c r="U1209" s="8">
        <f t="shared" si="65"/>
        <v>0.32933472766658878</v>
      </c>
      <c r="V1209" s="9" t="s">
        <v>5268</v>
      </c>
      <c r="W1209" s="9" t="str">
        <f t="shared" si="66"/>
        <v>Kingston upon Thames (Royal Borough) MB</v>
      </c>
      <c r="X1209" s="9" t="str">
        <f>INDEX(Lookup!$A$2:$A$1349, MATCH(W1209, Lookup!$B$2:$B$1349,0))</f>
        <v>J04000700</v>
      </c>
      <c r="Y1209" s="9" t="str">
        <f>INDEX(Lookup!$F$2:$F$1349, MATCH(W1209, Lookup!$B$2:$B$1349,0))</f>
        <v>e140394</v>
      </c>
      <c r="Z1209" s="6" t="str">
        <f>INDEX(Lookup!$C$2:$C$1300, MATCH(X1209, Lookup!$A$2:$A$1300,0))</f>
        <v>Outer London</v>
      </c>
    </row>
    <row r="1210" spans="1:26" ht="28.15" customHeight="1" x14ac:dyDescent="0.2">
      <c r="A1210" s="6" t="s">
        <v>1030</v>
      </c>
      <c r="B1210" s="1" t="s">
        <v>5388</v>
      </c>
      <c r="C1210" s="2">
        <v>4817</v>
      </c>
      <c r="D1210" s="2">
        <v>388165</v>
      </c>
      <c r="E1210" s="2">
        <v>8641</v>
      </c>
      <c r="F1210" s="2">
        <v>1141860</v>
      </c>
      <c r="G1210" s="2">
        <v>948</v>
      </c>
      <c r="H1210" s="2">
        <v>265435</v>
      </c>
      <c r="I1210" s="2">
        <v>400</v>
      </c>
      <c r="J1210" s="2">
        <v>119585</v>
      </c>
      <c r="K1210" s="2">
        <v>82</v>
      </c>
      <c r="L1210" s="2">
        <v>15931</v>
      </c>
      <c r="M1210" s="2">
        <v>956</v>
      </c>
      <c r="N1210" s="2">
        <v>60597</v>
      </c>
      <c r="O1210" s="2">
        <v>50</v>
      </c>
      <c r="P1210" s="2">
        <v>77175</v>
      </c>
      <c r="Q1210" s="2">
        <v>6705</v>
      </c>
      <c r="R1210" s="2">
        <v>236549</v>
      </c>
      <c r="S1210" s="2">
        <v>2312002</v>
      </c>
      <c r="T1210" s="10">
        <f t="shared" si="64"/>
        <v>1795460</v>
      </c>
      <c r="U1210" s="8">
        <f t="shared" si="65"/>
        <v>0.7765823731986391</v>
      </c>
      <c r="V1210" s="9" t="s">
        <v>5268</v>
      </c>
      <c r="W1210" s="9" t="str">
        <f t="shared" si="66"/>
        <v>Malden and Coombe MB</v>
      </c>
      <c r="X1210" s="9" t="str">
        <f>INDEX(Lookup!$A$2:$A$1349, MATCH(W1210, Lookup!$B$2:$B$1349,0))</f>
        <v>J04000811</v>
      </c>
      <c r="Y1210" s="9" t="str">
        <f>INDEX(Lookup!$F$2:$F$1349, MATCH(W1210, Lookup!$B$2:$B$1349,0))</f>
        <v>e140394</v>
      </c>
      <c r="Z1210" s="6" t="str">
        <f>INDEX(Lookup!$C$2:$C$1300, MATCH(X1210, Lookup!$A$2:$A$1300,0))</f>
        <v>Outer London</v>
      </c>
    </row>
    <row r="1211" spans="1:26" ht="28.15" customHeight="1" x14ac:dyDescent="0.2">
      <c r="A1211" s="6" t="s">
        <v>1031</v>
      </c>
      <c r="B1211" s="1" t="s">
        <v>5330</v>
      </c>
      <c r="C1211" s="2">
        <v>11515</v>
      </c>
      <c r="D1211" s="2">
        <v>895008</v>
      </c>
      <c r="E1211" s="2">
        <v>8431</v>
      </c>
      <c r="F1211" s="2">
        <v>946832</v>
      </c>
      <c r="G1211" s="2">
        <v>41</v>
      </c>
      <c r="H1211" s="2">
        <v>9198</v>
      </c>
      <c r="I1211" s="2">
        <v>720</v>
      </c>
      <c r="J1211" s="2">
        <v>155080</v>
      </c>
      <c r="K1211" s="2">
        <v>58</v>
      </c>
      <c r="L1211" s="2">
        <v>18295</v>
      </c>
      <c r="M1211" s="2">
        <v>1610</v>
      </c>
      <c r="N1211" s="2">
        <v>118346</v>
      </c>
      <c r="O1211" s="2">
        <v>189</v>
      </c>
      <c r="P1211" s="2">
        <v>897133</v>
      </c>
      <c r="Q1211" s="2">
        <v>11983</v>
      </c>
      <c r="R1211" s="2">
        <v>212668</v>
      </c>
      <c r="S1211" s="2">
        <v>3264543</v>
      </c>
      <c r="T1211" s="10">
        <f t="shared" si="64"/>
        <v>1851038</v>
      </c>
      <c r="U1211" s="8">
        <f t="shared" si="65"/>
        <v>0.56701290195901843</v>
      </c>
      <c r="V1211" s="9" t="s">
        <v>5268</v>
      </c>
      <c r="W1211" s="9" t="str">
        <f t="shared" si="66"/>
        <v>Mitcham MB</v>
      </c>
      <c r="X1211" s="9" t="str">
        <f>INDEX(Lookup!$A$2:$A$1349, MATCH(W1211, Lookup!$B$2:$B$1349,0))</f>
        <v>J04000862</v>
      </c>
      <c r="Y1211" s="9" t="str">
        <f>INDEX(Lookup!$F$2:$F$1349, MATCH(W1211, Lookup!$B$2:$B$1349,0))</f>
        <v>e140398</v>
      </c>
      <c r="Z1211" s="6" t="str">
        <f>INDEX(Lookup!$C$2:$C$1300, MATCH(X1211, Lookup!$A$2:$A$1300,0))</f>
        <v>Outer London</v>
      </c>
    </row>
    <row r="1212" spans="1:26" ht="28.15" customHeight="1" x14ac:dyDescent="0.2">
      <c r="A1212" s="6" t="s">
        <v>1032</v>
      </c>
      <c r="B1212" s="1" t="s">
        <v>1032</v>
      </c>
      <c r="C1212" s="2">
        <v>11107</v>
      </c>
      <c r="D1212" s="2">
        <v>844789</v>
      </c>
      <c r="E1212" s="2">
        <v>4270</v>
      </c>
      <c r="F1212" s="2">
        <v>566301</v>
      </c>
      <c r="G1212" s="2">
        <v>676</v>
      </c>
      <c r="H1212" s="2">
        <v>168915</v>
      </c>
      <c r="I1212" s="2">
        <v>765</v>
      </c>
      <c r="J1212" s="2">
        <v>336705</v>
      </c>
      <c r="K1212" s="2">
        <v>164</v>
      </c>
      <c r="L1212" s="2">
        <v>70543</v>
      </c>
      <c r="M1212" s="2">
        <v>1932</v>
      </c>
      <c r="N1212" s="2">
        <v>138239</v>
      </c>
      <c r="O1212" s="2">
        <v>98</v>
      </c>
      <c r="P1212" s="2">
        <v>235355</v>
      </c>
      <c r="Q1212" s="2">
        <v>30546</v>
      </c>
      <c r="R1212" s="2">
        <v>276397</v>
      </c>
      <c r="S1212" s="2">
        <v>2667790</v>
      </c>
      <c r="T1212" s="10">
        <f t="shared" si="64"/>
        <v>1580005</v>
      </c>
      <c r="U1212" s="8">
        <f t="shared" si="65"/>
        <v>0.59225238868126806</v>
      </c>
      <c r="V1212" s="9" t="s">
        <v>5268</v>
      </c>
      <c r="W1212" s="9" t="str">
        <f t="shared" si="66"/>
        <v>Reigate MB</v>
      </c>
      <c r="X1212" s="9" t="str">
        <f>INDEX(Lookup!$A$2:$A$1349, MATCH(W1212, Lookup!$B$2:$B$1349,0))</f>
        <v>J04001040</v>
      </c>
      <c r="Y1212" s="9" t="str">
        <f>INDEX(Lookup!$F$2:$F$1349, MATCH(W1212, Lookup!$B$2:$B$1349,0))</f>
        <v>e361017</v>
      </c>
      <c r="Z1212" s="6" t="str">
        <f>INDEX(Lookup!$C$2:$C$1300, MATCH(X1212, Lookup!$A$2:$A$1300,0))</f>
        <v>Surrey</v>
      </c>
    </row>
    <row r="1213" spans="1:26" ht="28.15" customHeight="1" x14ac:dyDescent="0.2">
      <c r="A1213" s="6" t="s">
        <v>1033</v>
      </c>
      <c r="B1213" s="1" t="s">
        <v>1033</v>
      </c>
      <c r="C1213" s="2">
        <v>5679</v>
      </c>
      <c r="D1213" s="2">
        <v>419848</v>
      </c>
      <c r="E1213" s="2">
        <v>5465</v>
      </c>
      <c r="F1213" s="2">
        <v>761137</v>
      </c>
      <c r="G1213" s="2">
        <v>1437</v>
      </c>
      <c r="H1213" s="2">
        <v>397172</v>
      </c>
      <c r="I1213" s="2">
        <v>713</v>
      </c>
      <c r="J1213" s="2">
        <v>367202</v>
      </c>
      <c r="K1213" s="2">
        <v>179</v>
      </c>
      <c r="L1213" s="2">
        <v>79039</v>
      </c>
      <c r="M1213" s="2">
        <v>1659</v>
      </c>
      <c r="N1213" s="2">
        <v>174940</v>
      </c>
      <c r="O1213" s="2">
        <v>39</v>
      </c>
      <c r="P1213" s="2">
        <v>83310</v>
      </c>
      <c r="Q1213" s="2">
        <v>48422</v>
      </c>
      <c r="R1213" s="2">
        <v>219221</v>
      </c>
      <c r="S1213" s="2">
        <v>2550291</v>
      </c>
      <c r="T1213" s="10">
        <f t="shared" si="64"/>
        <v>1578157</v>
      </c>
      <c r="U1213" s="8">
        <f t="shared" si="65"/>
        <v>0.61881448038674802</v>
      </c>
      <c r="V1213" s="9" t="s">
        <v>5268</v>
      </c>
      <c r="W1213" s="9" t="str">
        <f t="shared" si="66"/>
        <v>Richmond MB</v>
      </c>
      <c r="X1213" s="9" t="str">
        <f>INDEX(Lookup!$A$2:$A$1349, MATCH(W1213, Lookup!$B$2:$B$1349,0))</f>
        <v>J04001047</v>
      </c>
      <c r="Y1213" s="9" t="str">
        <f>INDEX(Lookup!$F$2:$F$1349, MATCH(W1213, Lookup!$B$2:$B$1349,0))</f>
        <v>e451173</v>
      </c>
      <c r="Z1213" s="6" t="str">
        <f>INDEX(Lookup!$C$2:$C$1300, MATCH(X1213, Lookup!$A$2:$A$1300,0))</f>
        <v>North Yorkshire</v>
      </c>
    </row>
    <row r="1214" spans="1:26" ht="28.15" customHeight="1" x14ac:dyDescent="0.2">
      <c r="A1214" s="6" t="s">
        <v>1034</v>
      </c>
      <c r="B1214" s="1" t="s">
        <v>1034</v>
      </c>
      <c r="C1214" s="2">
        <v>8965</v>
      </c>
      <c r="D1214" s="2">
        <v>715171</v>
      </c>
      <c r="E1214" s="2">
        <v>10616</v>
      </c>
      <c r="F1214" s="2">
        <v>1326053</v>
      </c>
      <c r="G1214" s="2">
        <v>564</v>
      </c>
      <c r="H1214" s="2">
        <v>133365</v>
      </c>
      <c r="I1214" s="2">
        <v>786</v>
      </c>
      <c r="J1214" s="2">
        <v>319328</v>
      </c>
      <c r="K1214" s="2">
        <v>112</v>
      </c>
      <c r="L1214" s="2">
        <v>89968</v>
      </c>
      <c r="M1214" s="2">
        <v>2241</v>
      </c>
      <c r="N1214" s="2">
        <v>145914</v>
      </c>
      <c r="O1214" s="2">
        <v>147</v>
      </c>
      <c r="P1214" s="2">
        <v>486331</v>
      </c>
      <c r="Q1214" s="2">
        <v>69698</v>
      </c>
      <c r="R1214" s="2">
        <v>252151</v>
      </c>
      <c r="S1214" s="2">
        <v>3537979</v>
      </c>
      <c r="T1214" s="10">
        <f t="shared" si="64"/>
        <v>2174589</v>
      </c>
      <c r="U1214" s="8">
        <f t="shared" si="65"/>
        <v>0.61464157927449536</v>
      </c>
      <c r="V1214" s="9" t="s">
        <v>5268</v>
      </c>
      <c r="W1214" s="9" t="str">
        <f t="shared" si="66"/>
        <v>Surbiton MB</v>
      </c>
      <c r="X1214" s="9" t="str">
        <f>INDEX(Lookup!$A$2:$A$1349, MATCH(W1214, Lookup!$B$2:$B$1349,0))</f>
        <v>J04001233</v>
      </c>
      <c r="Y1214" s="9" t="str">
        <f>INDEX(Lookup!$F$2:$F$1349, MATCH(W1214, Lookup!$B$2:$B$1349,0))</f>
        <v>e140394</v>
      </c>
      <c r="Z1214" s="6" t="str">
        <f>INDEX(Lookup!$C$2:$C$1300, MATCH(X1214, Lookup!$A$2:$A$1300,0))</f>
        <v>Outer London</v>
      </c>
    </row>
    <row r="1215" spans="1:26" ht="28.15" customHeight="1" x14ac:dyDescent="0.2">
      <c r="A1215" s="6" t="s">
        <v>1035</v>
      </c>
      <c r="B1215" s="1" t="s">
        <v>5389</v>
      </c>
      <c r="C1215" s="2">
        <v>9659</v>
      </c>
      <c r="D1215" s="2">
        <v>793813</v>
      </c>
      <c r="E1215" s="2">
        <v>14462</v>
      </c>
      <c r="F1215" s="2">
        <v>1818606</v>
      </c>
      <c r="G1215" s="2">
        <v>1554</v>
      </c>
      <c r="H1215" s="2">
        <v>392281</v>
      </c>
      <c r="I1215" s="2">
        <v>1245</v>
      </c>
      <c r="J1215" s="2">
        <v>737998</v>
      </c>
      <c r="K1215" s="2">
        <v>234</v>
      </c>
      <c r="L1215" s="2">
        <v>113925</v>
      </c>
      <c r="M1215" s="2">
        <v>2282</v>
      </c>
      <c r="N1215" s="2">
        <v>161814</v>
      </c>
      <c r="O1215" s="2">
        <v>125</v>
      </c>
      <c r="P1215" s="2">
        <v>133215</v>
      </c>
      <c r="Q1215" s="2">
        <v>48724</v>
      </c>
      <c r="R1215" s="2">
        <v>242769</v>
      </c>
      <c r="S1215" s="2">
        <v>4443145</v>
      </c>
      <c r="T1215" s="10">
        <f t="shared" si="64"/>
        <v>3004700</v>
      </c>
      <c r="U1215" s="8">
        <f t="shared" si="65"/>
        <v>0.67625522011998263</v>
      </c>
      <c r="V1215" s="9" t="s">
        <v>5268</v>
      </c>
      <c r="W1215" s="9" t="str">
        <f t="shared" si="66"/>
        <v>Sutton and Cheam MB</v>
      </c>
      <c r="X1215" s="9" t="str">
        <f>INDEX(Lookup!$A$2:$A$1349, MATCH(W1215, Lookup!$B$2:$B$1349,0))</f>
        <v>J04001234</v>
      </c>
      <c r="Y1215" s="9" t="str">
        <f>INDEX(Lookup!$F$2:$F$1349, MATCH(W1215, Lookup!$B$2:$B$1349,0))</f>
        <v>e140404</v>
      </c>
      <c r="Z1215" s="6" t="str">
        <f>INDEX(Lookup!$C$2:$C$1300, MATCH(X1215, Lookup!$A$2:$A$1300,0))</f>
        <v>Outer London</v>
      </c>
    </row>
    <row r="1216" spans="1:26" ht="28.15" customHeight="1" x14ac:dyDescent="0.2">
      <c r="A1216" s="6" t="s">
        <v>1036</v>
      </c>
      <c r="B1216" s="1" t="s">
        <v>1036</v>
      </c>
      <c r="C1216" s="2">
        <v>7685</v>
      </c>
      <c r="D1216" s="2">
        <v>578945</v>
      </c>
      <c r="E1216" s="2">
        <v>7597</v>
      </c>
      <c r="F1216" s="2">
        <v>1024704</v>
      </c>
      <c r="G1216" s="2">
        <v>2343</v>
      </c>
      <c r="H1216" s="2">
        <v>668691</v>
      </c>
      <c r="I1216" s="2">
        <v>1080</v>
      </c>
      <c r="J1216" s="2">
        <v>395905</v>
      </c>
      <c r="K1216" s="2">
        <v>207</v>
      </c>
      <c r="L1216" s="2">
        <v>85096</v>
      </c>
      <c r="M1216" s="2">
        <v>1943</v>
      </c>
      <c r="N1216" s="2">
        <v>202188</v>
      </c>
      <c r="O1216" s="2">
        <v>139</v>
      </c>
      <c r="P1216" s="2">
        <v>251945</v>
      </c>
      <c r="Q1216" s="2">
        <v>39211</v>
      </c>
      <c r="R1216" s="2">
        <v>320751</v>
      </c>
      <c r="S1216" s="2">
        <v>3567436</v>
      </c>
      <c r="T1216" s="10">
        <f t="shared" si="64"/>
        <v>2272340</v>
      </c>
      <c r="U1216" s="8">
        <f t="shared" si="65"/>
        <v>0.63696727845993595</v>
      </c>
      <c r="V1216" s="9" t="s">
        <v>5268</v>
      </c>
      <c r="W1216" s="9" t="str">
        <f t="shared" si="66"/>
        <v>Wimbledon MB</v>
      </c>
      <c r="X1216" s="9" t="str">
        <f>INDEX(Lookup!$A$2:$A$1349, MATCH(W1216, Lookup!$B$2:$B$1349,0))</f>
        <v>J04001418</v>
      </c>
      <c r="Y1216" s="9" t="str">
        <f>INDEX(Lookup!$F$2:$F$1349, MATCH(W1216, Lookup!$B$2:$B$1349,0))</f>
        <v>e140398</v>
      </c>
      <c r="Z1216" s="6" t="str">
        <f>INDEX(Lookup!$C$2:$C$1300, MATCH(X1216, Lookup!$A$2:$A$1300,0))</f>
        <v>Outer London</v>
      </c>
    </row>
    <row r="1217" spans="1:26" ht="28.15" customHeight="1" x14ac:dyDescent="0.2">
      <c r="A1217" s="6" t="s">
        <v>1037</v>
      </c>
      <c r="B1217" s="1" t="s">
        <v>1037</v>
      </c>
      <c r="T1217" s="10"/>
      <c r="W1217" s="9" t="str">
        <f t="shared" si="66"/>
        <v xml:space="preserve">Urban Distircts-- </v>
      </c>
      <c r="X1217" s="9" t="e">
        <f>INDEX(Lookup!$A$2:$A$1349, MATCH(W1217, Lookup!$B$2:$B$1349,0))</f>
        <v>#N/A</v>
      </c>
      <c r="Y1217" s="9" t="e">
        <f>INDEX(Lookup!$F$2:$F$1349, MATCH(W1217, Lookup!$B$2:$B$1349,0))</f>
        <v>#N/A</v>
      </c>
      <c r="Z1217" s="6" t="e">
        <f>INDEX(Lookup!$C$2:$C$1300, MATCH(X1217, Lookup!$A$2:$A$1300,0))</f>
        <v>#N/A</v>
      </c>
    </row>
    <row r="1218" spans="1:26" ht="28.15" customHeight="1" x14ac:dyDescent="0.2">
      <c r="A1218" s="6" t="s">
        <v>1038</v>
      </c>
      <c r="B1218" s="1" t="s">
        <v>1038</v>
      </c>
      <c r="C1218" s="2">
        <v>4034</v>
      </c>
      <c r="D1218" s="2">
        <v>321877</v>
      </c>
      <c r="E1218" s="2">
        <v>6877</v>
      </c>
      <c r="F1218" s="2">
        <v>943580</v>
      </c>
      <c r="G1218" s="2">
        <v>1235</v>
      </c>
      <c r="H1218" s="2">
        <v>313307</v>
      </c>
      <c r="I1218" s="2">
        <v>360</v>
      </c>
      <c r="J1218" s="2">
        <v>88780</v>
      </c>
      <c r="K1218" s="2">
        <v>57</v>
      </c>
      <c r="L1218" s="2">
        <v>46792</v>
      </c>
      <c r="M1218" s="2">
        <v>767</v>
      </c>
      <c r="N1218" s="2">
        <v>60020</v>
      </c>
      <c r="O1218" s="2">
        <v>16</v>
      </c>
      <c r="P1218" s="2">
        <v>42555</v>
      </c>
      <c r="Q1218" s="2">
        <v>29464</v>
      </c>
      <c r="R1218" s="2">
        <v>199855</v>
      </c>
      <c r="S1218" s="2">
        <v>2046230</v>
      </c>
      <c r="T1218" s="10">
        <f t="shared" si="64"/>
        <v>1578764</v>
      </c>
      <c r="U1218" s="8">
        <f t="shared" si="65"/>
        <v>0.77154767548125092</v>
      </c>
      <c r="V1218" s="9" t="s">
        <v>5270</v>
      </c>
      <c r="W1218" s="9" t="str">
        <f t="shared" si="66"/>
        <v>Banstead UD</v>
      </c>
      <c r="X1218" s="9" t="str">
        <f>INDEX(Lookup!$A$2:$A$1349, MATCH(W1218, Lookup!$B$2:$B$1349,0))</f>
        <v>J04000078</v>
      </c>
      <c r="Y1218" s="9" t="str">
        <f>INDEX(Lookup!$F$2:$F$1349, MATCH(W1218, Lookup!$B$2:$B$1349,0))</f>
        <v>e361004</v>
      </c>
      <c r="Z1218" s="6" t="str">
        <f>INDEX(Lookup!$C$2:$C$1300, MATCH(X1218, Lookup!$A$2:$A$1300,0))</f>
        <v>Surrey</v>
      </c>
    </row>
    <row r="1219" spans="1:26" ht="28.15" customHeight="1" x14ac:dyDescent="0.2">
      <c r="A1219" s="6" t="s">
        <v>1039</v>
      </c>
      <c r="B1219" s="1" t="s">
        <v>1039</v>
      </c>
      <c r="C1219" s="2">
        <v>10277</v>
      </c>
      <c r="D1219" s="2">
        <v>764977</v>
      </c>
      <c r="E1219" s="2">
        <v>6639</v>
      </c>
      <c r="F1219" s="2">
        <v>873469</v>
      </c>
      <c r="G1219" s="2">
        <v>414</v>
      </c>
      <c r="H1219" s="2">
        <v>92173</v>
      </c>
      <c r="I1219" s="2">
        <v>485</v>
      </c>
      <c r="J1219" s="2">
        <v>129761</v>
      </c>
      <c r="K1219" s="2">
        <v>31</v>
      </c>
      <c r="L1219" s="2">
        <v>11630</v>
      </c>
      <c r="M1219" s="2">
        <v>863</v>
      </c>
      <c r="N1219" s="2">
        <v>58164</v>
      </c>
      <c r="O1219" s="2">
        <v>49</v>
      </c>
      <c r="P1219" s="2">
        <v>70764</v>
      </c>
      <c r="Q1219" s="2">
        <v>52576</v>
      </c>
      <c r="R1219" s="2">
        <v>167293</v>
      </c>
      <c r="S1219" s="2">
        <v>2220807</v>
      </c>
      <c r="T1219" s="10">
        <f t="shared" si="64"/>
        <v>1730619</v>
      </c>
      <c r="U1219" s="8">
        <f t="shared" si="65"/>
        <v>0.77927483117623464</v>
      </c>
      <c r="V1219" s="9" t="s">
        <v>5270</v>
      </c>
      <c r="W1219" s="9" t="str">
        <f t="shared" si="66"/>
        <v>Carshalton UD</v>
      </c>
      <c r="X1219" s="9" t="str">
        <f>INDEX(Lookup!$A$2:$A$1349, MATCH(W1219, Lookup!$B$2:$B$1349,0))</f>
        <v>J04000270</v>
      </c>
      <c r="Y1219" s="9" t="str">
        <f>INDEX(Lookup!$F$2:$F$1349, MATCH(W1219, Lookup!$B$2:$B$1349,0))</f>
        <v>e140404</v>
      </c>
      <c r="Z1219" s="6" t="str">
        <f>INDEX(Lookup!$C$2:$C$1300, MATCH(X1219, Lookup!$A$2:$A$1300,0))</f>
        <v>Outer London</v>
      </c>
    </row>
    <row r="1220" spans="1:26" ht="28.15" customHeight="1" x14ac:dyDescent="0.2">
      <c r="A1220" s="6" t="s">
        <v>1040</v>
      </c>
      <c r="B1220" s="1" t="s">
        <v>1040</v>
      </c>
      <c r="C1220" s="2">
        <v>5525</v>
      </c>
      <c r="D1220" s="2">
        <v>433191</v>
      </c>
      <c r="E1220" s="2">
        <v>3664</v>
      </c>
      <c r="F1220" s="2">
        <v>481111</v>
      </c>
      <c r="G1220" s="2">
        <v>409</v>
      </c>
      <c r="H1220" s="2">
        <v>104783</v>
      </c>
      <c r="I1220" s="2">
        <v>404</v>
      </c>
      <c r="J1220" s="2">
        <v>85739</v>
      </c>
      <c r="K1220" s="2">
        <v>53</v>
      </c>
      <c r="L1220" s="2">
        <v>26881</v>
      </c>
      <c r="M1220" s="2">
        <v>511</v>
      </c>
      <c r="N1220" s="2">
        <v>44313</v>
      </c>
      <c r="O1220" s="2">
        <v>29</v>
      </c>
      <c r="P1220" s="2">
        <v>29960</v>
      </c>
      <c r="Q1220" s="2">
        <v>33460</v>
      </c>
      <c r="R1220" s="2">
        <v>108971</v>
      </c>
      <c r="S1220" s="2">
        <v>1348409</v>
      </c>
      <c r="T1220" s="10">
        <f t="shared" ref="T1220:T1283" si="67">SUM(D1220+F1220+H1220)</f>
        <v>1019085</v>
      </c>
      <c r="U1220" s="8">
        <f t="shared" ref="U1220:U1283" si="68">T1220/S1220</f>
        <v>0.75576846490938576</v>
      </c>
      <c r="V1220" s="9" t="s">
        <v>5270</v>
      </c>
      <c r="W1220" s="9" t="str">
        <f t="shared" ref="W1220:W1283" si="69">_xlfn.CONCAT(B1220," ",V1220)</f>
        <v>Caterham and Warlingham UD</v>
      </c>
      <c r="X1220" s="9" t="str">
        <f>INDEX(Lookup!$A$2:$A$1349, MATCH(W1220, Lookup!$B$2:$B$1349,0))</f>
        <v>J04000274</v>
      </c>
      <c r="Y1220" s="9" t="str">
        <f>INDEX(Lookup!$F$2:$F$1349, MATCH(W1220, Lookup!$B$2:$B$1349,0))</f>
        <v>e361005</v>
      </c>
      <c r="Z1220" s="6" t="str">
        <f>INDEX(Lookup!$C$2:$C$1300, MATCH(X1220, Lookup!$A$2:$A$1300,0))</f>
        <v>Surrey</v>
      </c>
    </row>
    <row r="1221" spans="1:26" ht="28.15" customHeight="1" x14ac:dyDescent="0.2">
      <c r="A1221" s="6" t="s">
        <v>1041</v>
      </c>
      <c r="B1221" s="1" t="s">
        <v>1041</v>
      </c>
      <c r="C1221" s="2">
        <v>7784</v>
      </c>
      <c r="D1221" s="2">
        <v>536942</v>
      </c>
      <c r="E1221" s="2">
        <v>2394</v>
      </c>
      <c r="F1221" s="2">
        <v>289264</v>
      </c>
      <c r="G1221" s="2">
        <v>93</v>
      </c>
      <c r="H1221" s="2">
        <v>24597</v>
      </c>
      <c r="I1221" s="2">
        <v>406</v>
      </c>
      <c r="J1221" s="2">
        <v>97204</v>
      </c>
      <c r="K1221" s="2">
        <v>63</v>
      </c>
      <c r="L1221" s="2">
        <v>13475</v>
      </c>
      <c r="M1221" s="2">
        <v>865</v>
      </c>
      <c r="N1221" s="2">
        <v>96125</v>
      </c>
      <c r="O1221" s="2">
        <v>98</v>
      </c>
      <c r="P1221" s="2">
        <v>353155</v>
      </c>
      <c r="Q1221" s="2">
        <v>42930</v>
      </c>
      <c r="R1221" s="2">
        <v>146877</v>
      </c>
      <c r="S1221" s="2">
        <v>1600569</v>
      </c>
      <c r="T1221" s="10">
        <f t="shared" si="67"/>
        <v>850803</v>
      </c>
      <c r="U1221" s="8">
        <f t="shared" si="68"/>
        <v>0.53156283796574844</v>
      </c>
      <c r="V1221" s="9" t="s">
        <v>5270</v>
      </c>
      <c r="W1221" s="9" t="str">
        <f t="shared" si="69"/>
        <v>Chertsey UD</v>
      </c>
      <c r="X1221" s="9" t="str">
        <f>INDEX(Lookup!$A$2:$A$1349, MATCH(W1221, Lookup!$B$2:$B$1349,0))</f>
        <v>J04000295</v>
      </c>
      <c r="Y1221" s="9" t="str">
        <f>INDEX(Lookup!$F$2:$F$1349, MATCH(W1221, Lookup!$B$2:$B$1349,0))</f>
        <v>e361006</v>
      </c>
      <c r="Z1221" s="6" t="str">
        <f>INDEX(Lookup!$C$2:$C$1300, MATCH(X1221, Lookup!$A$2:$A$1300,0))</f>
        <v>Surrey</v>
      </c>
    </row>
    <row r="1222" spans="1:26" ht="28.15" customHeight="1" x14ac:dyDescent="0.2">
      <c r="A1222" s="6" t="s">
        <v>1042</v>
      </c>
      <c r="B1222" s="1" t="s">
        <v>5390</v>
      </c>
      <c r="C1222" s="2">
        <v>4088</v>
      </c>
      <c r="D1222" s="2">
        <v>326909</v>
      </c>
      <c r="E1222" s="2">
        <v>15198</v>
      </c>
      <c r="F1222" s="2">
        <v>2156461</v>
      </c>
      <c r="G1222" s="2">
        <v>2706</v>
      </c>
      <c r="H1222" s="2">
        <v>673008</v>
      </c>
      <c r="I1222" s="2">
        <v>626</v>
      </c>
      <c r="J1222" s="2">
        <v>177437</v>
      </c>
      <c r="K1222" s="2">
        <v>63</v>
      </c>
      <c r="L1222" s="2">
        <v>18172</v>
      </c>
      <c r="M1222" s="2">
        <v>965</v>
      </c>
      <c r="N1222" s="2">
        <v>75600</v>
      </c>
      <c r="O1222" s="2">
        <v>39</v>
      </c>
      <c r="P1222" s="2">
        <v>28826</v>
      </c>
      <c r="Q1222" s="2">
        <v>48023</v>
      </c>
      <c r="R1222" s="2">
        <v>234736</v>
      </c>
      <c r="S1222" s="2">
        <v>3739172</v>
      </c>
      <c r="T1222" s="10">
        <f t="shared" si="67"/>
        <v>3156378</v>
      </c>
      <c r="U1222" s="8">
        <f t="shared" si="68"/>
        <v>0.84413822097512492</v>
      </c>
      <c r="V1222" s="9" t="s">
        <v>5270</v>
      </c>
      <c r="W1222" s="9" t="str">
        <f t="shared" si="69"/>
        <v>Coulsdon and Purley UD</v>
      </c>
      <c r="X1222" s="9" t="str">
        <f>INDEX(Lookup!$A$2:$A$1349, MATCH(W1222, Lookup!$B$2:$B$1349,0))</f>
        <v>J04000351</v>
      </c>
      <c r="Y1222" s="9" t="str">
        <f>INDEX(Lookup!$F$2:$F$1349, MATCH(W1222, Lookup!$B$2:$B$1349,0))</f>
        <v>e140378</v>
      </c>
      <c r="Z1222" s="6" t="str">
        <f>INDEX(Lookup!$C$2:$C$1300, MATCH(X1222, Lookup!$A$2:$A$1300,0))</f>
        <v>Outer London</v>
      </c>
    </row>
    <row r="1223" spans="1:26" ht="28.15" customHeight="1" x14ac:dyDescent="0.2">
      <c r="A1223" s="6" t="s">
        <v>1043</v>
      </c>
      <c r="B1223" s="1" t="s">
        <v>1043</v>
      </c>
      <c r="T1223" s="10"/>
      <c r="W1223" s="9" t="str">
        <f t="shared" si="69"/>
        <v xml:space="preserve">SURREY-contd. </v>
      </c>
      <c r="X1223" s="9" t="e">
        <f>INDEX(Lookup!$A$2:$A$1349, MATCH(W1223, Lookup!$B$2:$B$1349,0))</f>
        <v>#N/A</v>
      </c>
      <c r="Y1223" s="9" t="e">
        <f>INDEX(Lookup!$F$2:$F$1349, MATCH(W1223, Lookup!$B$2:$B$1349,0))</f>
        <v>#N/A</v>
      </c>
      <c r="Z1223" s="6" t="e">
        <f>INDEX(Lookup!$C$2:$C$1300, MATCH(X1223, Lookup!$A$2:$A$1300,0))</f>
        <v>#N/A</v>
      </c>
    </row>
    <row r="1224" spans="1:26" ht="28.15" customHeight="1" x14ac:dyDescent="0.2">
      <c r="A1224" s="6" t="s">
        <v>1044</v>
      </c>
      <c r="B1224" s="1" t="s">
        <v>1044</v>
      </c>
      <c r="T1224" s="10"/>
      <c r="W1224" s="9" t="str">
        <f t="shared" si="69"/>
        <v xml:space="preserve">Urban Districts-Contd. </v>
      </c>
      <c r="X1224" s="9" t="e">
        <f>INDEX(Lookup!$A$2:$A$1349, MATCH(W1224, Lookup!$B$2:$B$1349,0))</f>
        <v>#N/A</v>
      </c>
      <c r="Y1224" s="9" t="e">
        <f>INDEX(Lookup!$F$2:$F$1349, MATCH(W1224, Lookup!$B$2:$B$1349,0))</f>
        <v>#N/A</v>
      </c>
      <c r="Z1224" s="6" t="e">
        <f>INDEX(Lookup!$C$2:$C$1300, MATCH(X1224, Lookup!$A$2:$A$1300,0))</f>
        <v>#N/A</v>
      </c>
    </row>
    <row r="1225" spans="1:26" ht="28.15" customHeight="1" x14ac:dyDescent="0.2">
      <c r="A1225" s="6" t="s">
        <v>1045</v>
      </c>
      <c r="B1225" s="1" t="s">
        <v>5331</v>
      </c>
      <c r="C1225" s="2">
        <v>4310</v>
      </c>
      <c r="D1225" s="2">
        <v>293434</v>
      </c>
      <c r="E1225" s="2">
        <v>2113</v>
      </c>
      <c r="F1225" s="2">
        <v>286318</v>
      </c>
      <c r="G1225" s="2">
        <v>382</v>
      </c>
      <c r="H1225" s="2">
        <v>96699</v>
      </c>
      <c r="I1225" s="2">
        <v>339</v>
      </c>
      <c r="J1225" s="2">
        <v>107907</v>
      </c>
      <c r="K1225" s="2">
        <v>73</v>
      </c>
      <c r="L1225" s="2">
        <v>37625</v>
      </c>
      <c r="M1225" s="2">
        <v>505</v>
      </c>
      <c r="N1225" s="2">
        <v>74722</v>
      </c>
      <c r="O1225" s="2">
        <v>44</v>
      </c>
      <c r="P1225" s="2">
        <v>54777</v>
      </c>
      <c r="Q1225" s="2">
        <v>5303</v>
      </c>
      <c r="R1225" s="2">
        <v>94319</v>
      </c>
      <c r="S1225" s="2">
        <v>1051104</v>
      </c>
      <c r="T1225" s="10">
        <f t="shared" si="67"/>
        <v>676451</v>
      </c>
      <c r="U1225" s="8">
        <f t="shared" si="68"/>
        <v>0.64356238773708407</v>
      </c>
      <c r="V1225" s="9" t="s">
        <v>5270</v>
      </c>
      <c r="W1225" s="9" t="str">
        <f t="shared" si="69"/>
        <v>Dorking UD</v>
      </c>
      <c r="X1225" s="9" t="str">
        <f>INDEX(Lookup!$A$2:$A$1349, MATCH(W1225, Lookup!$B$2:$B$1349,0))</f>
        <v>J04000420</v>
      </c>
      <c r="Y1225" s="9" t="str">
        <f>INDEX(Lookup!$F$2:$F$1349, MATCH(W1225, Lookup!$B$2:$B$1349,0))</f>
        <v>e361007</v>
      </c>
      <c r="Z1225" s="6" t="str">
        <f>INDEX(Lookup!$C$2:$C$1300, MATCH(X1225, Lookup!$A$2:$A$1300,0))</f>
        <v>Surrey</v>
      </c>
    </row>
    <row r="1226" spans="1:26" ht="28.15" customHeight="1" x14ac:dyDescent="0.2">
      <c r="A1226" s="6" t="s">
        <v>1046</v>
      </c>
      <c r="B1226" s="1" t="s">
        <v>1046</v>
      </c>
      <c r="C1226" s="2">
        <v>5930</v>
      </c>
      <c r="D1226" s="2">
        <v>406041</v>
      </c>
      <c r="E1226" s="2">
        <v>2027</v>
      </c>
      <c r="F1226" s="2">
        <v>275216</v>
      </c>
      <c r="G1226" s="2">
        <v>677</v>
      </c>
      <c r="H1226" s="2">
        <v>192256</v>
      </c>
      <c r="I1226" s="2">
        <v>330</v>
      </c>
      <c r="J1226" s="2">
        <v>77069</v>
      </c>
      <c r="K1226" s="2">
        <v>37</v>
      </c>
      <c r="L1226" s="2">
        <v>7928</v>
      </c>
      <c r="M1226" s="2">
        <v>668</v>
      </c>
      <c r="N1226" s="2">
        <v>102613</v>
      </c>
      <c r="O1226" s="2">
        <v>28</v>
      </c>
      <c r="P1226" s="2">
        <v>177365</v>
      </c>
      <c r="Q1226" s="2">
        <v>31325</v>
      </c>
      <c r="R1226" s="2">
        <v>233530</v>
      </c>
      <c r="S1226" s="2">
        <v>1503343</v>
      </c>
      <c r="T1226" s="10">
        <f t="shared" si="67"/>
        <v>873513</v>
      </c>
      <c r="U1226" s="8">
        <f t="shared" si="68"/>
        <v>0.58104703983056427</v>
      </c>
      <c r="V1226" s="9" t="s">
        <v>5270</v>
      </c>
      <c r="W1226" s="9" t="str">
        <f t="shared" si="69"/>
        <v>Egham UD</v>
      </c>
      <c r="X1226" s="9" t="str">
        <f>INDEX(Lookup!$A$2:$A$1349, MATCH(W1226, Lookup!$B$2:$B$1349,0))</f>
        <v>J04000464</v>
      </c>
      <c r="Y1226" s="9" t="str">
        <f>INDEX(Lookup!$F$2:$F$1349, MATCH(W1226, Lookup!$B$2:$B$1349,0))</f>
        <v>e361008</v>
      </c>
      <c r="Z1226" s="6" t="str">
        <f>INDEX(Lookup!$C$2:$C$1300, MATCH(X1226, Lookup!$A$2:$A$1300,0))</f>
        <v>Surrey</v>
      </c>
    </row>
    <row r="1227" spans="1:26" ht="28.15" customHeight="1" x14ac:dyDescent="0.2">
      <c r="A1227" s="6" t="s">
        <v>1047</v>
      </c>
      <c r="B1227" s="1" t="s">
        <v>1047</v>
      </c>
      <c r="C1227" s="2">
        <v>7319</v>
      </c>
      <c r="D1227" s="2">
        <v>534881</v>
      </c>
      <c r="E1227" s="2">
        <v>8628</v>
      </c>
      <c r="F1227" s="2">
        <v>1215493</v>
      </c>
      <c r="G1227" s="2">
        <v>3195</v>
      </c>
      <c r="H1227" s="2">
        <v>849374</v>
      </c>
      <c r="I1227" s="2">
        <v>748</v>
      </c>
      <c r="J1227" s="2">
        <v>217138</v>
      </c>
      <c r="K1227" s="2">
        <v>97</v>
      </c>
      <c r="L1227" s="2">
        <v>91165</v>
      </c>
      <c r="M1227" s="2">
        <v>1506</v>
      </c>
      <c r="N1227" s="2">
        <v>123276</v>
      </c>
      <c r="O1227" s="2">
        <v>117</v>
      </c>
      <c r="P1227" s="2">
        <v>330431</v>
      </c>
      <c r="Q1227" s="2">
        <v>31198</v>
      </c>
      <c r="R1227" s="2">
        <v>363673</v>
      </c>
      <c r="S1227" s="2">
        <v>3756629</v>
      </c>
      <c r="T1227" s="10">
        <f t="shared" si="67"/>
        <v>2599748</v>
      </c>
      <c r="U1227" s="8">
        <f t="shared" si="68"/>
        <v>0.69204278623201809</v>
      </c>
      <c r="V1227" s="9" t="s">
        <v>5270</v>
      </c>
      <c r="W1227" s="9" t="str">
        <f t="shared" si="69"/>
        <v>Esher UD</v>
      </c>
      <c r="X1227" s="9" t="str">
        <f>INDEX(Lookup!$A$2:$A$1349, MATCH(W1227, Lookup!$B$2:$B$1349,0))</f>
        <v>J04000480</v>
      </c>
      <c r="Y1227" s="9" t="str">
        <f>INDEX(Lookup!$F$2:$F$1349, MATCH(W1227, Lookup!$B$2:$B$1349,0))</f>
        <v>e361010</v>
      </c>
      <c r="Z1227" s="6" t="str">
        <f>INDEX(Lookup!$C$2:$C$1300, MATCH(X1227, Lookup!$A$2:$A$1300,0))</f>
        <v>Surrey</v>
      </c>
    </row>
    <row r="1228" spans="1:26" ht="28.15" customHeight="1" x14ac:dyDescent="0.2">
      <c r="A1228" s="6" t="s">
        <v>1048</v>
      </c>
      <c r="B1228" s="1" t="s">
        <v>1048</v>
      </c>
      <c r="C1228" s="2">
        <v>4907</v>
      </c>
      <c r="D1228" s="2">
        <v>310594</v>
      </c>
      <c r="E1228" s="2">
        <v>3635</v>
      </c>
      <c r="F1228" s="2">
        <v>481678</v>
      </c>
      <c r="G1228" s="2">
        <v>676</v>
      </c>
      <c r="H1228" s="2">
        <v>179072</v>
      </c>
      <c r="I1228" s="2">
        <v>390</v>
      </c>
      <c r="J1228" s="2">
        <v>132781</v>
      </c>
      <c r="K1228" s="2">
        <v>72</v>
      </c>
      <c r="L1228" s="2">
        <v>15874</v>
      </c>
      <c r="M1228" s="2">
        <v>372</v>
      </c>
      <c r="N1228" s="2">
        <v>109621</v>
      </c>
      <c r="O1228" s="2">
        <v>50</v>
      </c>
      <c r="P1228" s="2">
        <v>99563</v>
      </c>
      <c r="Q1228" s="2">
        <v>12014</v>
      </c>
      <c r="R1228" s="2">
        <v>166102</v>
      </c>
      <c r="S1228" s="2">
        <v>1507299</v>
      </c>
      <c r="T1228" s="10">
        <f t="shared" si="67"/>
        <v>971344</v>
      </c>
      <c r="U1228" s="8">
        <f t="shared" si="68"/>
        <v>0.64442688544210536</v>
      </c>
      <c r="V1228" s="9" t="s">
        <v>5270</v>
      </c>
      <c r="W1228" s="9" t="str">
        <f t="shared" si="69"/>
        <v>Farnham UD</v>
      </c>
      <c r="X1228" s="9" t="str">
        <f>INDEX(Lookup!$A$2:$A$1349, MATCH(W1228, Lookup!$B$2:$B$1349,0))</f>
        <v>J04000494</v>
      </c>
      <c r="Y1228" s="9" t="str">
        <f>INDEX(Lookup!$F$2:$F$1349, MATCH(W1228, Lookup!$B$2:$B$1349,0))</f>
        <v>e361011</v>
      </c>
      <c r="Z1228" s="6" t="str">
        <f>INDEX(Lookup!$C$2:$C$1300, MATCH(X1228, Lookup!$A$2:$A$1300,0))</f>
        <v>Surrey</v>
      </c>
    </row>
    <row r="1229" spans="1:26" ht="28.15" customHeight="1" x14ac:dyDescent="0.2">
      <c r="A1229" s="6" t="s">
        <v>1049</v>
      </c>
      <c r="B1229" s="1" t="s">
        <v>5391</v>
      </c>
      <c r="C1229" s="2">
        <v>5574</v>
      </c>
      <c r="D1229" s="2">
        <v>426370</v>
      </c>
      <c r="E1229" s="2">
        <v>2511</v>
      </c>
      <c r="F1229" s="2">
        <v>347467</v>
      </c>
      <c r="G1229" s="2">
        <v>653</v>
      </c>
      <c r="H1229" s="2">
        <v>161697</v>
      </c>
      <c r="I1229" s="2">
        <v>451</v>
      </c>
      <c r="J1229" s="2">
        <v>132506</v>
      </c>
      <c r="K1229" s="2">
        <v>83</v>
      </c>
      <c r="L1229" s="2">
        <v>34858</v>
      </c>
      <c r="M1229" s="2">
        <v>593</v>
      </c>
      <c r="N1229" s="2">
        <v>88372</v>
      </c>
      <c r="O1229" s="2">
        <v>45</v>
      </c>
      <c r="P1229" s="2">
        <v>250250</v>
      </c>
      <c r="Q1229" s="2">
        <v>60977</v>
      </c>
      <c r="R1229" s="2">
        <v>125631</v>
      </c>
      <c r="S1229" s="2">
        <v>1628128</v>
      </c>
      <c r="T1229" s="10">
        <f t="shared" si="67"/>
        <v>935534</v>
      </c>
      <c r="U1229" s="8">
        <f t="shared" si="68"/>
        <v>0.57460715619410763</v>
      </c>
      <c r="V1229" s="9" t="s">
        <v>5270</v>
      </c>
      <c r="W1229" s="9" t="str">
        <f t="shared" si="69"/>
        <v>Frimley and Camberley UD</v>
      </c>
      <c r="X1229" s="9" t="str">
        <f>INDEX(Lookup!$A$2:$A$1349, MATCH(W1229, Lookup!$B$2:$B$1349,0))</f>
        <v>J04000517</v>
      </c>
      <c r="Y1229" s="9" t="str">
        <f>INDEX(Lookup!$F$2:$F$1349, MATCH(W1229, Lookup!$B$2:$B$1349,0))</f>
        <v>e361012</v>
      </c>
      <c r="Z1229" s="6" t="str">
        <f>INDEX(Lookup!$C$2:$C$1300, MATCH(X1229, Lookup!$A$2:$A$1300,0))</f>
        <v>Surrey</v>
      </c>
    </row>
    <row r="1230" spans="1:26" ht="28.15" customHeight="1" x14ac:dyDescent="0.2">
      <c r="A1230" s="6" t="s">
        <v>1050</v>
      </c>
      <c r="B1230" s="1" t="s">
        <v>1050</v>
      </c>
      <c r="C1230" s="2">
        <v>2153</v>
      </c>
      <c r="D1230" s="2">
        <v>143411</v>
      </c>
      <c r="E1230" s="2">
        <v>1007</v>
      </c>
      <c r="F1230" s="2">
        <v>142645</v>
      </c>
      <c r="G1230" s="2">
        <v>529</v>
      </c>
      <c r="H1230" s="2">
        <v>150703</v>
      </c>
      <c r="I1230" s="2">
        <v>261</v>
      </c>
      <c r="J1230" s="2">
        <v>62788</v>
      </c>
      <c r="K1230" s="2">
        <v>36</v>
      </c>
      <c r="L1230" s="2">
        <v>5108</v>
      </c>
      <c r="M1230" s="2">
        <v>261</v>
      </c>
      <c r="N1230" s="2">
        <v>46008</v>
      </c>
      <c r="O1230" s="2">
        <v>17</v>
      </c>
      <c r="P1230" s="2">
        <v>14400</v>
      </c>
      <c r="Q1230" s="2">
        <v>7618</v>
      </c>
      <c r="R1230" s="2">
        <v>79252</v>
      </c>
      <c r="S1230" s="2">
        <v>651933</v>
      </c>
      <c r="T1230" s="10">
        <f t="shared" si="67"/>
        <v>436759</v>
      </c>
      <c r="U1230" s="8">
        <f t="shared" si="68"/>
        <v>0.66994461087258972</v>
      </c>
      <c r="V1230" s="9" t="s">
        <v>5270</v>
      </c>
      <c r="W1230" s="9" t="str">
        <f t="shared" si="69"/>
        <v>Haslemere UD</v>
      </c>
      <c r="X1230" s="9" t="str">
        <f>INDEX(Lookup!$A$2:$A$1349, MATCH(W1230, Lookup!$B$2:$B$1349,0))</f>
        <v>J04000582</v>
      </c>
      <c r="Y1230" s="9" t="str">
        <f>INDEX(Lookup!$F$2:$F$1349, MATCH(W1230, Lookup!$B$2:$B$1349,0))</f>
        <v>e361015</v>
      </c>
      <c r="Z1230" s="6" t="str">
        <f>INDEX(Lookup!$C$2:$C$1300, MATCH(X1230, Lookup!$A$2:$A$1300,0))</f>
        <v>Surrey</v>
      </c>
    </row>
    <row r="1231" spans="1:26" ht="28.15" customHeight="1" x14ac:dyDescent="0.2">
      <c r="A1231" s="6" t="s">
        <v>1051</v>
      </c>
      <c r="B1231" s="1" t="s">
        <v>1051</v>
      </c>
      <c r="C1231" s="2">
        <v>4367</v>
      </c>
      <c r="D1231" s="2">
        <v>313586</v>
      </c>
      <c r="E1231" s="2">
        <v>6007</v>
      </c>
      <c r="F1231" s="2">
        <v>799332</v>
      </c>
      <c r="G1231" s="2">
        <v>885</v>
      </c>
      <c r="H1231" s="2">
        <v>232276</v>
      </c>
      <c r="I1231" s="2">
        <v>378</v>
      </c>
      <c r="J1231" s="2">
        <v>120049</v>
      </c>
      <c r="K1231" s="2">
        <v>121</v>
      </c>
      <c r="L1231" s="2">
        <v>34330</v>
      </c>
      <c r="M1231" s="2">
        <v>649</v>
      </c>
      <c r="N1231" s="2">
        <v>62468</v>
      </c>
      <c r="O1231" s="2">
        <v>46</v>
      </c>
      <c r="P1231" s="2">
        <v>185384</v>
      </c>
      <c r="Q1231" s="2">
        <v>5970</v>
      </c>
      <c r="R1231" s="2">
        <v>193553</v>
      </c>
      <c r="S1231" s="2">
        <v>1946948</v>
      </c>
      <c r="T1231" s="10">
        <f t="shared" si="67"/>
        <v>1345194</v>
      </c>
      <c r="U1231" s="8">
        <f t="shared" si="68"/>
        <v>0.69092446228661475</v>
      </c>
      <c r="V1231" s="9" t="s">
        <v>5270</v>
      </c>
      <c r="W1231" s="9" t="str">
        <f t="shared" si="69"/>
        <v>Leatherhead UD</v>
      </c>
      <c r="X1231" s="9" t="str">
        <f>INDEX(Lookup!$A$2:$A$1349, MATCH(W1231, Lookup!$B$2:$B$1349,0))</f>
        <v>J04000724</v>
      </c>
      <c r="Y1231" s="9" t="str">
        <f>INDEX(Lookup!$F$2:$F$1349, MATCH(W1231, Lookup!$B$2:$B$1349,0))</f>
        <v>e361016</v>
      </c>
      <c r="Z1231" s="6" t="str">
        <f>INDEX(Lookup!$C$2:$C$1300, MATCH(X1231, Lookup!$A$2:$A$1300,0))</f>
        <v>Surrey</v>
      </c>
    </row>
    <row r="1232" spans="1:26" ht="28.15" customHeight="1" x14ac:dyDescent="0.2">
      <c r="A1232" s="6" t="s">
        <v>1052</v>
      </c>
      <c r="B1232" s="1" t="s">
        <v>1052</v>
      </c>
      <c r="C1232" s="2">
        <v>10063</v>
      </c>
      <c r="D1232" s="2">
        <v>806999</v>
      </c>
      <c r="E1232" s="2">
        <v>12375</v>
      </c>
      <c r="F1232" s="2">
        <v>1521609</v>
      </c>
      <c r="G1232" s="2">
        <v>178</v>
      </c>
      <c r="H1232" s="2">
        <v>41461</v>
      </c>
      <c r="I1232" s="2">
        <v>655</v>
      </c>
      <c r="J1232" s="2">
        <v>225987</v>
      </c>
      <c r="K1232" s="2">
        <v>69</v>
      </c>
      <c r="L1232" s="2">
        <v>71698</v>
      </c>
      <c r="M1232" s="2">
        <v>1319</v>
      </c>
      <c r="N1232" s="2">
        <v>199235</v>
      </c>
      <c r="O1232" s="2">
        <v>108</v>
      </c>
      <c r="P1232" s="2">
        <v>838755</v>
      </c>
      <c r="Q1232" s="2">
        <v>10333</v>
      </c>
      <c r="R1232" s="2">
        <v>233629</v>
      </c>
      <c r="S1232" s="2">
        <v>3949706</v>
      </c>
      <c r="T1232" s="10">
        <f t="shared" si="67"/>
        <v>2370069</v>
      </c>
      <c r="U1232" s="8">
        <f t="shared" si="68"/>
        <v>0.6000621312067278</v>
      </c>
      <c r="V1232" s="9" t="s">
        <v>5270</v>
      </c>
      <c r="W1232" s="9" t="str">
        <f t="shared" si="69"/>
        <v>Merton and Morden UD</v>
      </c>
      <c r="X1232" s="9" t="str">
        <f>INDEX(Lookup!$A$2:$A$1349, MATCH(W1232, Lookup!$B$2:$B$1349,0))</f>
        <v>J04000850</v>
      </c>
      <c r="Y1232" s="9" t="str">
        <f>INDEX(Lookup!$F$2:$F$1349, MATCH(W1232, Lookup!$B$2:$B$1349,0))</f>
        <v>e140398</v>
      </c>
      <c r="Z1232" s="6" t="str">
        <f>INDEX(Lookup!$C$2:$C$1300, MATCH(X1232, Lookup!$A$2:$A$1300,0))</f>
        <v>Outer London</v>
      </c>
    </row>
    <row r="1233" spans="1:26" ht="28.15" customHeight="1" x14ac:dyDescent="0.2">
      <c r="A1233" s="6" t="s">
        <v>1053</v>
      </c>
      <c r="B1233" s="1" t="s">
        <v>5392</v>
      </c>
      <c r="C1233" s="2">
        <v>7781</v>
      </c>
      <c r="D1233" s="2">
        <v>558313</v>
      </c>
      <c r="E1233" s="2">
        <v>4638</v>
      </c>
      <c r="F1233" s="2">
        <v>638013</v>
      </c>
      <c r="G1233" s="2">
        <v>1456</v>
      </c>
      <c r="H1233" s="2">
        <v>376197</v>
      </c>
      <c r="I1233" s="2">
        <v>582</v>
      </c>
      <c r="J1233" s="2">
        <v>194181</v>
      </c>
      <c r="K1233" s="2">
        <v>150</v>
      </c>
      <c r="L1233" s="2">
        <v>95009</v>
      </c>
      <c r="M1233" s="2">
        <v>1341</v>
      </c>
      <c r="N1233" s="2">
        <v>129259</v>
      </c>
      <c r="O1233" s="2">
        <v>63</v>
      </c>
      <c r="P1233" s="2">
        <v>632435</v>
      </c>
      <c r="Q1233" s="2">
        <v>16134</v>
      </c>
      <c r="R1233" s="2">
        <v>275531</v>
      </c>
      <c r="S1233" s="2">
        <v>2915072</v>
      </c>
      <c r="T1233" s="10">
        <f t="shared" si="67"/>
        <v>1572523</v>
      </c>
      <c r="U1233" s="8">
        <f t="shared" si="68"/>
        <v>0.53944568093000789</v>
      </c>
      <c r="V1233" s="9" t="s">
        <v>5270</v>
      </c>
      <c r="W1233" s="9" t="str">
        <f t="shared" si="69"/>
        <v>Walton and Weybridge UD</v>
      </c>
      <c r="X1233" s="9" t="str">
        <f>INDEX(Lookup!$A$2:$A$1349, MATCH(W1233, Lookup!$B$2:$B$1349,0))</f>
        <v>J04001332</v>
      </c>
      <c r="Y1233" s="9" t="str">
        <f>INDEX(Lookup!$F$2:$F$1349, MATCH(W1233, Lookup!$B$2:$B$1349,0))</f>
        <v>e361020</v>
      </c>
      <c r="Z1233" s="6" t="str">
        <f>INDEX(Lookup!$C$2:$C$1300, MATCH(X1233, Lookup!$A$2:$A$1300,0))</f>
        <v>Surrey</v>
      </c>
    </row>
    <row r="1234" spans="1:26" ht="28.15" customHeight="1" x14ac:dyDescent="0.2">
      <c r="A1234" s="6" t="s">
        <v>192</v>
      </c>
      <c r="B1234" s="1" t="s">
        <v>4803</v>
      </c>
      <c r="C1234" s="2">
        <v>12321</v>
      </c>
      <c r="D1234" s="2">
        <v>921012</v>
      </c>
      <c r="E1234" s="2">
        <v>6142</v>
      </c>
      <c r="F1234" s="2">
        <v>834835</v>
      </c>
      <c r="G1234" s="2">
        <v>1223</v>
      </c>
      <c r="H1234" s="2">
        <v>313466</v>
      </c>
      <c r="I1234" s="2">
        <v>832</v>
      </c>
      <c r="J1234" s="2">
        <v>271380</v>
      </c>
      <c r="K1234" s="2">
        <v>149</v>
      </c>
      <c r="L1234" s="2">
        <v>43831</v>
      </c>
      <c r="M1234" s="2">
        <v>1190</v>
      </c>
      <c r="N1234" s="2">
        <v>126903</v>
      </c>
      <c r="O1234" s="2">
        <v>116</v>
      </c>
      <c r="P1234" s="2">
        <v>350575</v>
      </c>
      <c r="Q1234" s="2">
        <v>48011</v>
      </c>
      <c r="R1234" s="2">
        <v>258239</v>
      </c>
      <c r="S1234" s="2">
        <v>3168252</v>
      </c>
      <c r="T1234" s="10">
        <f t="shared" si="67"/>
        <v>2069313</v>
      </c>
      <c r="U1234" s="8">
        <f t="shared" si="68"/>
        <v>0.65314028050798989</v>
      </c>
      <c r="V1234" s="9" t="s">
        <v>5270</v>
      </c>
      <c r="W1234" s="9" t="str">
        <f t="shared" si="69"/>
        <v>Woking UD</v>
      </c>
      <c r="X1234" s="9" t="str">
        <f>INDEX(Lookup!$A$2:$A$1349, MATCH(W1234, Lookup!$B$2:$B$1349,0))</f>
        <v>J04001439</v>
      </c>
      <c r="Y1234" s="9" t="str">
        <f>INDEX(Lookup!$F$2:$F$1349, MATCH(W1234, Lookup!$B$2:$B$1349,0))</f>
        <v>e361021</v>
      </c>
      <c r="Z1234" s="6" t="str">
        <f>INDEX(Lookup!$C$2:$C$1300, MATCH(X1234, Lookup!$A$2:$A$1300,0))</f>
        <v>Surrey</v>
      </c>
    </row>
    <row r="1235" spans="1:26" ht="28.15" customHeight="1" x14ac:dyDescent="0.2">
      <c r="A1235" s="6" t="s">
        <v>212</v>
      </c>
      <c r="B1235" s="1" t="s">
        <v>212</v>
      </c>
      <c r="T1235" s="10"/>
      <c r="W1235" s="9" t="str">
        <f t="shared" si="69"/>
        <v xml:space="preserve">Rural Districts-- </v>
      </c>
      <c r="X1235" s="9" t="e">
        <f>INDEX(Lookup!$A$2:$A$1349, MATCH(W1235, Lookup!$B$2:$B$1349,0))</f>
        <v>#N/A</v>
      </c>
      <c r="Y1235" s="9" t="e">
        <f>INDEX(Lookup!$F$2:$F$1349, MATCH(W1235, Lookup!$B$2:$B$1349,0))</f>
        <v>#N/A</v>
      </c>
      <c r="Z1235" s="6" t="e">
        <f>INDEX(Lookup!$C$2:$C$1300, MATCH(X1235, Lookup!$A$2:$A$1300,0))</f>
        <v>#N/A</v>
      </c>
    </row>
    <row r="1236" spans="1:26" ht="28.15" customHeight="1" x14ac:dyDescent="0.2">
      <c r="A1236" s="6" t="s">
        <v>1054</v>
      </c>
      <c r="B1236" s="1" t="s">
        <v>5332</v>
      </c>
      <c r="C1236" s="2">
        <v>3369</v>
      </c>
      <c r="D1236" s="2">
        <v>210460</v>
      </c>
      <c r="E1236" s="2">
        <v>1235</v>
      </c>
      <c r="F1236" s="2">
        <v>159022</v>
      </c>
      <c r="G1236" s="2">
        <v>398</v>
      </c>
      <c r="H1236" s="2">
        <v>120461</v>
      </c>
      <c r="I1236" s="2">
        <v>171</v>
      </c>
      <c r="J1236" s="2">
        <v>31225</v>
      </c>
      <c r="K1236" s="2">
        <v>29</v>
      </c>
      <c r="L1236" s="2">
        <v>4675</v>
      </c>
      <c r="M1236" s="2">
        <v>256</v>
      </c>
      <c r="N1236" s="2">
        <v>44764</v>
      </c>
      <c r="O1236" s="2">
        <v>8</v>
      </c>
      <c r="P1236" s="2">
        <v>16825</v>
      </c>
      <c r="Q1236" s="2">
        <v>8028</v>
      </c>
      <c r="R1236" s="2">
        <v>68405</v>
      </c>
      <c r="S1236" s="2">
        <v>663865</v>
      </c>
      <c r="T1236" s="10">
        <f t="shared" si="67"/>
        <v>489943</v>
      </c>
      <c r="U1236" s="8">
        <f t="shared" si="68"/>
        <v>0.7380160122916557</v>
      </c>
      <c r="V1236" s="9" t="s">
        <v>5271</v>
      </c>
      <c r="W1236" s="9" t="str">
        <f t="shared" si="69"/>
        <v>Bagshot RD</v>
      </c>
      <c r="X1236" s="9" t="str">
        <f>INDEX(Lookup!$A$2:$A$1349, MATCH(W1236, Lookup!$B$2:$B$1349,0))</f>
        <v>J04000069</v>
      </c>
      <c r="Y1236" s="9" t="str">
        <f>INDEX(Lookup!$F$2:$F$1349, MATCH(W1236, Lookup!$B$2:$B$1349,0))</f>
        <v>e361022</v>
      </c>
      <c r="Z1236" s="6" t="str">
        <f>INDEX(Lookup!$C$2:$C$1300, MATCH(X1236, Lookup!$A$2:$A$1300,0))</f>
        <v>Surrey</v>
      </c>
    </row>
    <row r="1237" spans="1:26" ht="28.15" customHeight="1" x14ac:dyDescent="0.2">
      <c r="A1237" s="6" t="s">
        <v>1055</v>
      </c>
      <c r="B1237" s="1" t="s">
        <v>5393</v>
      </c>
      <c r="C1237" s="2">
        <v>6365</v>
      </c>
      <c r="D1237" s="2">
        <v>458368</v>
      </c>
      <c r="E1237" s="2">
        <v>2436</v>
      </c>
      <c r="F1237" s="2">
        <v>311960</v>
      </c>
      <c r="G1237" s="2">
        <v>378</v>
      </c>
      <c r="H1237" s="2">
        <v>109201</v>
      </c>
      <c r="I1237" s="2">
        <v>282</v>
      </c>
      <c r="J1237" s="2">
        <v>92801</v>
      </c>
      <c r="K1237" s="2">
        <v>126</v>
      </c>
      <c r="L1237" s="2">
        <v>49454</v>
      </c>
      <c r="M1237" s="2">
        <v>630</v>
      </c>
      <c r="N1237" s="2">
        <v>133088</v>
      </c>
      <c r="O1237" s="2">
        <v>76</v>
      </c>
      <c r="P1237" s="2">
        <v>301151</v>
      </c>
      <c r="Q1237" s="2">
        <v>56955</v>
      </c>
      <c r="R1237" s="2">
        <v>199657</v>
      </c>
      <c r="S1237" s="2">
        <v>1712635</v>
      </c>
      <c r="T1237" s="10">
        <f t="shared" si="67"/>
        <v>879529</v>
      </c>
      <c r="U1237" s="8">
        <f t="shared" si="68"/>
        <v>0.51355309216499723</v>
      </c>
      <c r="V1237" s="9" t="s">
        <v>5271</v>
      </c>
      <c r="W1237" s="9" t="str">
        <f t="shared" si="69"/>
        <v>Dorking and Horley RD</v>
      </c>
      <c r="X1237" s="9" t="str">
        <f>INDEX(Lookup!$A$2:$A$1349, MATCH(W1237, Lookup!$B$2:$B$1349,0))</f>
        <v>J04000419</v>
      </c>
      <c r="Y1237" s="9" t="str">
        <f>INDEX(Lookup!$F$2:$F$1349, MATCH(W1237, Lookup!$B$2:$B$1349,0))</f>
        <v>e361023</v>
      </c>
      <c r="Z1237" s="6" t="str">
        <f>INDEX(Lookup!$C$2:$C$1300, MATCH(X1237, Lookup!$A$2:$A$1300,0))</f>
        <v>Surrey</v>
      </c>
    </row>
    <row r="1238" spans="1:26" ht="28.15" customHeight="1" x14ac:dyDescent="0.2">
      <c r="A1238" s="6" t="s">
        <v>1056</v>
      </c>
      <c r="B1238" s="1" t="s">
        <v>1056</v>
      </c>
      <c r="C1238" s="2">
        <v>6548</v>
      </c>
      <c r="D1238" s="2">
        <v>427075</v>
      </c>
      <c r="E1238" s="2">
        <v>3791</v>
      </c>
      <c r="F1238" s="2">
        <v>503299</v>
      </c>
      <c r="G1238" s="2">
        <v>954</v>
      </c>
      <c r="H1238" s="2">
        <v>259491</v>
      </c>
      <c r="I1238" s="2">
        <v>301</v>
      </c>
      <c r="J1238" s="2">
        <v>68098</v>
      </c>
      <c r="K1238" s="2">
        <v>54</v>
      </c>
      <c r="L1238" s="2">
        <v>15476</v>
      </c>
      <c r="M1238" s="2">
        <v>680</v>
      </c>
      <c r="N1238" s="2">
        <v>54341</v>
      </c>
      <c r="O1238" s="2">
        <v>38</v>
      </c>
      <c r="P1238" s="2">
        <v>61880</v>
      </c>
      <c r="Q1238" s="2">
        <v>26575</v>
      </c>
      <c r="R1238" s="2">
        <v>284508</v>
      </c>
      <c r="S1238" s="2">
        <v>1700743</v>
      </c>
      <c r="T1238" s="10">
        <f t="shared" si="67"/>
        <v>1189865</v>
      </c>
      <c r="U1238" s="8">
        <f t="shared" si="68"/>
        <v>0.69961481540714854</v>
      </c>
      <c r="V1238" s="9" t="s">
        <v>5271</v>
      </c>
      <c r="W1238" s="9" t="str">
        <f t="shared" si="69"/>
        <v>Godstone RD</v>
      </c>
      <c r="X1238" s="9" t="str">
        <f>INDEX(Lookup!$A$2:$A$1349, MATCH(W1238, Lookup!$B$2:$B$1349,0))</f>
        <v>J04000540</v>
      </c>
      <c r="Y1238" s="9" t="str">
        <f>INDEX(Lookup!$F$2:$F$1349, MATCH(W1238, Lookup!$B$2:$B$1349,0))</f>
        <v>e361026</v>
      </c>
      <c r="Z1238" s="6" t="str">
        <f>INDEX(Lookup!$C$2:$C$1300, MATCH(X1238, Lookup!$A$2:$A$1300,0))</f>
        <v>Surrey</v>
      </c>
    </row>
    <row r="1239" spans="1:26" ht="28.15" customHeight="1" x14ac:dyDescent="0.2">
      <c r="A1239" s="6" t="s">
        <v>1028</v>
      </c>
      <c r="B1239" s="1" t="s">
        <v>1028</v>
      </c>
      <c r="C1239" s="2">
        <v>9626</v>
      </c>
      <c r="D1239" s="2">
        <v>659685</v>
      </c>
      <c r="E1239" s="2">
        <v>4995</v>
      </c>
      <c r="F1239" s="2">
        <v>626156</v>
      </c>
      <c r="G1239" s="2">
        <v>1150</v>
      </c>
      <c r="H1239" s="2">
        <v>322317</v>
      </c>
      <c r="I1239" s="2">
        <v>374</v>
      </c>
      <c r="J1239" s="2">
        <v>67734</v>
      </c>
      <c r="K1239" s="2">
        <v>28</v>
      </c>
      <c r="L1239" s="2">
        <v>6608</v>
      </c>
      <c r="M1239" s="2">
        <v>563</v>
      </c>
      <c r="N1239" s="2">
        <v>126627</v>
      </c>
      <c r="O1239" s="2">
        <v>78</v>
      </c>
      <c r="P1239" s="2">
        <v>250825</v>
      </c>
      <c r="Q1239" s="2">
        <v>49312</v>
      </c>
      <c r="R1239" s="2">
        <v>238804</v>
      </c>
      <c r="S1239" s="2">
        <v>2378068</v>
      </c>
      <c r="T1239" s="10">
        <f t="shared" si="67"/>
        <v>1608158</v>
      </c>
      <c r="U1239" s="8">
        <f t="shared" si="68"/>
        <v>0.67624559095871106</v>
      </c>
      <c r="V1239" s="9" t="s">
        <v>5271</v>
      </c>
      <c r="W1239" s="9" t="str">
        <f t="shared" si="69"/>
        <v>Guildford RD</v>
      </c>
      <c r="X1239" s="9" t="str">
        <f>INDEX(Lookup!$A$2:$A$1349, MATCH(W1239, Lookup!$B$2:$B$1349,0))</f>
        <v>J04000557</v>
      </c>
      <c r="Y1239" s="9" t="str">
        <f>INDEX(Lookup!$F$2:$F$1349, MATCH(W1239, Lookup!$B$2:$B$1349,0))</f>
        <v>e361027</v>
      </c>
      <c r="Z1239" s="6" t="str">
        <f>INDEX(Lookup!$C$2:$C$1300, MATCH(X1239, Lookup!$A$2:$A$1300,0))</f>
        <v>Surrey</v>
      </c>
    </row>
    <row r="1240" spans="1:26" ht="28.15" customHeight="1" x14ac:dyDescent="0.2">
      <c r="A1240" s="6" t="s">
        <v>1057</v>
      </c>
      <c r="B1240" s="1" t="s">
        <v>1057</v>
      </c>
      <c r="C1240" s="2">
        <v>6433</v>
      </c>
      <c r="D1240" s="2">
        <v>452713</v>
      </c>
      <c r="E1240" s="2">
        <v>2624</v>
      </c>
      <c r="F1240" s="2">
        <v>353904</v>
      </c>
      <c r="G1240" s="2">
        <v>877</v>
      </c>
      <c r="H1240" s="2">
        <v>244135</v>
      </c>
      <c r="I1240" s="2">
        <v>277</v>
      </c>
      <c r="J1240" s="2">
        <v>39778</v>
      </c>
      <c r="K1240" s="2">
        <v>16</v>
      </c>
      <c r="L1240" s="2">
        <v>1416</v>
      </c>
      <c r="M1240" s="2">
        <v>451</v>
      </c>
      <c r="N1240" s="2">
        <v>53017</v>
      </c>
      <c r="O1240" s="2">
        <v>32</v>
      </c>
      <c r="P1240" s="2">
        <v>87730</v>
      </c>
      <c r="Q1240" s="2">
        <v>15446</v>
      </c>
      <c r="R1240" s="2">
        <v>209152</v>
      </c>
      <c r="S1240" s="2">
        <v>1457291</v>
      </c>
      <c r="T1240" s="10">
        <f t="shared" si="67"/>
        <v>1050752</v>
      </c>
      <c r="U1240" s="8">
        <f t="shared" si="68"/>
        <v>0.72103100890625138</v>
      </c>
      <c r="V1240" s="9" t="s">
        <v>5271</v>
      </c>
      <c r="W1240" s="9" t="str">
        <f t="shared" si="69"/>
        <v>Hambledon RD</v>
      </c>
      <c r="X1240" s="9" t="str">
        <f>INDEX(Lookup!$A$2:$A$1349, MATCH(W1240, Lookup!$B$2:$B$1349,0))</f>
        <v>J04000571</v>
      </c>
      <c r="Y1240" s="9" t="str">
        <f>INDEX(Lookup!$F$2:$F$1349, MATCH(W1240, Lookup!$B$2:$B$1349,0))</f>
        <v>e361028</v>
      </c>
      <c r="Z1240" s="6" t="str">
        <f>INDEX(Lookup!$C$2:$C$1300, MATCH(X1240, Lookup!$A$2:$A$1300,0))</f>
        <v>Surrey</v>
      </c>
    </row>
    <row r="1241" spans="1:26" ht="28.15" customHeight="1" x14ac:dyDescent="0.2">
      <c r="A1241" s="6" t="s">
        <v>1058</v>
      </c>
      <c r="B1241" s="1" t="s">
        <v>1058</v>
      </c>
      <c r="T1241" s="10"/>
      <c r="W1241" s="9" t="str">
        <f t="shared" si="69"/>
        <v xml:space="preserve">EAST SUSSEX: </v>
      </c>
      <c r="X1241" s="9" t="e">
        <f>INDEX(Lookup!$A$2:$A$1349, MATCH(W1241, Lookup!$B$2:$B$1349,0))</f>
        <v>#N/A</v>
      </c>
      <c r="Y1241" s="9" t="e">
        <f>INDEX(Lookup!$F$2:$F$1349, MATCH(W1241, Lookup!$B$2:$B$1349,0))</f>
        <v>#N/A</v>
      </c>
      <c r="Z1241" s="6" t="e">
        <f>INDEX(Lookup!$C$2:$C$1300, MATCH(X1241, Lookup!$A$2:$A$1300,0))</f>
        <v>#N/A</v>
      </c>
    </row>
    <row r="1242" spans="1:26" ht="28.15" customHeight="1" x14ac:dyDescent="0.2">
      <c r="A1242" s="6" t="s">
        <v>175</v>
      </c>
      <c r="B1242" s="1" t="s">
        <v>175</v>
      </c>
      <c r="T1242" s="10"/>
      <c r="W1242" s="9" t="str">
        <f t="shared" si="69"/>
        <v xml:space="preserve">Non-County Boroughs-- </v>
      </c>
      <c r="X1242" s="9" t="e">
        <f>INDEX(Lookup!$A$2:$A$1349, MATCH(W1242, Lookup!$B$2:$B$1349,0))</f>
        <v>#N/A</v>
      </c>
      <c r="Y1242" s="9" t="e">
        <f>INDEX(Lookup!$F$2:$F$1349, MATCH(W1242, Lookup!$B$2:$B$1349,0))</f>
        <v>#N/A</v>
      </c>
      <c r="Z1242" s="6" t="e">
        <f>INDEX(Lookup!$C$2:$C$1300, MATCH(X1242, Lookup!$A$2:$A$1300,0))</f>
        <v>#N/A</v>
      </c>
    </row>
    <row r="1243" spans="1:26" ht="28.15" customHeight="1" x14ac:dyDescent="0.2">
      <c r="A1243" s="6" t="s">
        <v>1059</v>
      </c>
      <c r="B1243" s="1" t="s">
        <v>1059</v>
      </c>
      <c r="C1243" s="2">
        <v>5384</v>
      </c>
      <c r="D1243" s="2">
        <v>355998</v>
      </c>
      <c r="E1243" s="2">
        <v>5201</v>
      </c>
      <c r="F1243" s="2">
        <v>723800</v>
      </c>
      <c r="G1243" s="2">
        <v>716</v>
      </c>
      <c r="H1243" s="2">
        <v>169542</v>
      </c>
      <c r="I1243" s="2">
        <v>579</v>
      </c>
      <c r="J1243" s="2">
        <v>135202</v>
      </c>
      <c r="K1243" s="2">
        <v>99</v>
      </c>
      <c r="L1243" s="2">
        <v>11642</v>
      </c>
      <c r="M1243" s="2">
        <v>723</v>
      </c>
      <c r="N1243" s="2">
        <v>58102</v>
      </c>
      <c r="O1243" s="2">
        <v>31</v>
      </c>
      <c r="P1243" s="2">
        <v>11497</v>
      </c>
      <c r="Q1243" s="2">
        <v>13001</v>
      </c>
      <c r="R1243" s="2">
        <v>149835</v>
      </c>
      <c r="S1243" s="2">
        <v>1628619</v>
      </c>
      <c r="T1243" s="10">
        <f t="shared" si="67"/>
        <v>1249340</v>
      </c>
      <c r="U1243" s="8">
        <f t="shared" si="68"/>
        <v>0.76711618862361297</v>
      </c>
      <c r="V1243" s="9" t="s">
        <v>5268</v>
      </c>
      <c r="W1243" s="9" t="str">
        <f t="shared" si="69"/>
        <v>Bexhill MB</v>
      </c>
      <c r="X1243" s="9" t="str">
        <f>INDEX(Lookup!$A$2:$A$1349, MATCH(W1243, Lookup!$B$2:$B$1349,0))</f>
        <v>J04000135</v>
      </c>
      <c r="Y1243" s="9" t="str">
        <f>INDEX(Lookup!$F$2:$F$1349, MATCH(W1243, Lookup!$B$2:$B$1349,0))</f>
        <v>e371032</v>
      </c>
      <c r="Z1243" s="6" t="str">
        <f>INDEX(Lookup!$C$2:$C$1300, MATCH(X1243, Lookup!$A$2:$A$1300,0))</f>
        <v>East Sussex</v>
      </c>
    </row>
    <row r="1244" spans="1:26" ht="28.15" customHeight="1" x14ac:dyDescent="0.2">
      <c r="A1244" s="6" t="s">
        <v>1060</v>
      </c>
      <c r="B1244" s="1" t="s">
        <v>1060</v>
      </c>
      <c r="C1244" s="2">
        <v>7060</v>
      </c>
      <c r="D1244" s="2">
        <v>552376</v>
      </c>
      <c r="E1244" s="2">
        <v>14492</v>
      </c>
      <c r="F1244" s="2">
        <v>2071930</v>
      </c>
      <c r="G1244" s="2">
        <v>5618</v>
      </c>
      <c r="H1244" s="2">
        <v>1504768</v>
      </c>
      <c r="I1244" s="2">
        <v>1270</v>
      </c>
      <c r="J1244" s="2">
        <v>489655</v>
      </c>
      <c r="K1244" s="2">
        <v>221</v>
      </c>
      <c r="L1244" s="2">
        <v>51934</v>
      </c>
      <c r="M1244" s="2">
        <v>2557</v>
      </c>
      <c r="N1244" s="2">
        <v>300379</v>
      </c>
      <c r="O1244" s="2">
        <v>143</v>
      </c>
      <c r="P1244" s="2">
        <v>361558</v>
      </c>
      <c r="Q1244" s="2">
        <v>13992</v>
      </c>
      <c r="R1244" s="2">
        <v>357700</v>
      </c>
      <c r="S1244" s="2">
        <v>5704292</v>
      </c>
      <c r="T1244" s="10">
        <f t="shared" si="67"/>
        <v>4129074</v>
      </c>
      <c r="U1244" s="8">
        <f t="shared" si="68"/>
        <v>0.72385389808235623</v>
      </c>
      <c r="V1244" s="9" t="s">
        <v>5268</v>
      </c>
      <c r="W1244" s="9" t="str">
        <f t="shared" si="69"/>
        <v>Hove MB</v>
      </c>
      <c r="X1244" s="9" t="str">
        <f>INDEX(Lookup!$A$2:$A$1349, MATCH(W1244, Lookup!$B$2:$B$1349,0))</f>
        <v>J04000652</v>
      </c>
      <c r="Y1244" s="9" t="str">
        <f>INDEX(Lookup!$F$2:$F$1349, MATCH(W1244, Lookup!$B$2:$B$1349,0))</f>
        <v>e371036</v>
      </c>
      <c r="Z1244" s="6" t="str">
        <f>INDEX(Lookup!$C$2:$C$1300, MATCH(X1244, Lookup!$A$2:$A$1300,0))</f>
        <v>East Sussex</v>
      </c>
    </row>
    <row r="1245" spans="1:26" ht="28.15" customHeight="1" x14ac:dyDescent="0.2">
      <c r="A1245" s="6" t="s">
        <v>1061</v>
      </c>
      <c r="B1245" s="1" t="s">
        <v>1061</v>
      </c>
      <c r="C1245" s="2">
        <v>3263</v>
      </c>
      <c r="D1245" s="2">
        <v>195702</v>
      </c>
      <c r="E1245" s="2">
        <v>1026</v>
      </c>
      <c r="F1245" s="2">
        <v>137248</v>
      </c>
      <c r="G1245" s="2">
        <v>166</v>
      </c>
      <c r="H1245" s="2">
        <v>42808</v>
      </c>
      <c r="I1245" s="2">
        <v>331</v>
      </c>
      <c r="J1245" s="2">
        <v>104087</v>
      </c>
      <c r="K1245" s="2">
        <v>82</v>
      </c>
      <c r="L1245" s="2">
        <v>19292</v>
      </c>
      <c r="M1245" s="2">
        <v>503</v>
      </c>
      <c r="N1245" s="2">
        <v>50830</v>
      </c>
      <c r="O1245" s="2">
        <v>37</v>
      </c>
      <c r="P1245" s="2">
        <v>42240</v>
      </c>
      <c r="Q1245" s="2">
        <v>12878</v>
      </c>
      <c r="R1245" s="2">
        <v>89977</v>
      </c>
      <c r="S1245" s="2">
        <v>695062</v>
      </c>
      <c r="T1245" s="10">
        <f t="shared" si="67"/>
        <v>375758</v>
      </c>
      <c r="U1245" s="8">
        <f t="shared" si="68"/>
        <v>0.54061076565831534</v>
      </c>
      <c r="V1245" s="9" t="s">
        <v>5268</v>
      </c>
      <c r="W1245" s="9" t="str">
        <f t="shared" si="69"/>
        <v>Lewes MB</v>
      </c>
      <c r="X1245" s="9" t="str">
        <f>INDEX(Lookup!$A$2:$A$1349, MATCH(W1245, Lookup!$B$2:$B$1349,0))</f>
        <v>J04000738</v>
      </c>
      <c r="Y1245" s="9" t="str">
        <f>INDEX(Lookup!$F$2:$F$1349, MATCH(W1245, Lookup!$B$2:$B$1349,0))</f>
        <v>e371037</v>
      </c>
      <c r="Z1245" s="6" t="str">
        <f>INDEX(Lookup!$C$2:$C$1300, MATCH(X1245, Lookup!$A$2:$A$1300,0))</f>
        <v>East Sussex</v>
      </c>
    </row>
    <row r="1246" spans="1:26" ht="28.15" customHeight="1" x14ac:dyDescent="0.2">
      <c r="A1246" s="6" t="s">
        <v>1062</v>
      </c>
      <c r="B1246" s="1" t="s">
        <v>1062</v>
      </c>
      <c r="C1246" s="2">
        <v>1353</v>
      </c>
      <c r="D1246" s="2">
        <v>80318</v>
      </c>
      <c r="E1246" s="2">
        <v>128</v>
      </c>
      <c r="F1246" s="2">
        <v>16665</v>
      </c>
      <c r="G1246" s="2">
        <v>21</v>
      </c>
      <c r="H1246" s="2">
        <v>5253</v>
      </c>
      <c r="I1246" s="2">
        <v>161</v>
      </c>
      <c r="J1246" s="2">
        <v>23012</v>
      </c>
      <c r="K1246" s="2">
        <v>23</v>
      </c>
      <c r="L1246" s="2">
        <v>2327</v>
      </c>
      <c r="M1246" s="2">
        <v>229</v>
      </c>
      <c r="N1246" s="2">
        <v>13635</v>
      </c>
      <c r="O1246" s="2">
        <v>24</v>
      </c>
      <c r="P1246" s="2">
        <v>9499</v>
      </c>
      <c r="Q1246" s="2">
        <v>614</v>
      </c>
      <c r="R1246" s="2">
        <v>19328</v>
      </c>
      <c r="S1246" s="2">
        <v>170651</v>
      </c>
      <c r="T1246" s="10">
        <f t="shared" si="67"/>
        <v>102236</v>
      </c>
      <c r="U1246" s="8">
        <f t="shared" si="68"/>
        <v>0.59909405746230615</v>
      </c>
      <c r="V1246" s="9" t="s">
        <v>5268</v>
      </c>
      <c r="W1246" s="9" t="str">
        <f t="shared" si="69"/>
        <v>Rye MB</v>
      </c>
      <c r="X1246" s="9" t="str">
        <f>INDEX(Lookup!$A$2:$A$1349, MATCH(W1246, Lookup!$B$2:$B$1349,0))</f>
        <v>J04001087</v>
      </c>
      <c r="Y1246" s="9" t="str">
        <f>INDEX(Lookup!$F$2:$F$1349, MATCH(W1246, Lookup!$B$2:$B$1349,0))</f>
        <v>e371040</v>
      </c>
      <c r="Z1246" s="6" t="str">
        <f>INDEX(Lookup!$C$2:$C$1300, MATCH(X1246, Lookup!$A$2:$A$1300,0))</f>
        <v>East Sussex</v>
      </c>
    </row>
    <row r="1247" spans="1:26" ht="28.15" customHeight="1" x14ac:dyDescent="0.2">
      <c r="A1247" s="6" t="s">
        <v>179</v>
      </c>
      <c r="B1247" s="1" t="s">
        <v>179</v>
      </c>
      <c r="T1247" s="10"/>
      <c r="W1247" s="9" t="str">
        <f t="shared" si="69"/>
        <v xml:space="preserve">Urban Districts-- </v>
      </c>
      <c r="X1247" s="9" t="e">
        <f>INDEX(Lookup!$A$2:$A$1349, MATCH(W1247, Lookup!$B$2:$B$1349,0))</f>
        <v>#N/A</v>
      </c>
      <c r="Y1247" s="9" t="e">
        <f>INDEX(Lookup!$F$2:$F$1349, MATCH(W1247, Lookup!$B$2:$B$1349,0))</f>
        <v>#N/A</v>
      </c>
      <c r="Z1247" s="6" t="e">
        <f>INDEX(Lookup!$C$2:$C$1300, MATCH(X1247, Lookup!$A$2:$A$1300,0))</f>
        <v>#N/A</v>
      </c>
    </row>
    <row r="1248" spans="1:26" ht="28.15" customHeight="1" x14ac:dyDescent="0.2">
      <c r="A1248" s="6" t="s">
        <v>1063</v>
      </c>
      <c r="B1248" s="1" t="s">
        <v>1063</v>
      </c>
      <c r="C1248" s="2">
        <v>2351</v>
      </c>
      <c r="D1248" s="2">
        <v>162675</v>
      </c>
      <c r="E1248" s="2">
        <v>2409</v>
      </c>
      <c r="F1248" s="2">
        <v>300328</v>
      </c>
      <c r="G1248" s="2">
        <v>58</v>
      </c>
      <c r="H1248" s="2">
        <v>13790</v>
      </c>
      <c r="I1248" s="2">
        <v>213</v>
      </c>
      <c r="J1248" s="2">
        <v>62069</v>
      </c>
      <c r="K1248" s="2">
        <v>41</v>
      </c>
      <c r="L1248" s="2">
        <v>13710</v>
      </c>
      <c r="M1248" s="2">
        <v>240</v>
      </c>
      <c r="N1248" s="2">
        <v>23307</v>
      </c>
      <c r="O1248" s="2">
        <v>54</v>
      </c>
      <c r="P1248" s="2">
        <v>122716</v>
      </c>
      <c r="Q1248" s="2">
        <v>542</v>
      </c>
      <c r="R1248" s="2">
        <v>55417</v>
      </c>
      <c r="S1248" s="2">
        <v>754554</v>
      </c>
      <c r="T1248" s="10">
        <f t="shared" si="67"/>
        <v>476793</v>
      </c>
      <c r="U1248" s="8">
        <f t="shared" si="68"/>
        <v>0.6318871810367449</v>
      </c>
      <c r="V1248" s="9" t="s">
        <v>5270</v>
      </c>
      <c r="W1248" s="9" t="str">
        <f t="shared" si="69"/>
        <v>Burgess Hill UD</v>
      </c>
      <c r="X1248" s="9" t="str">
        <f>INDEX(Lookup!$A$2:$A$1349, MATCH(W1248, Lookup!$B$2:$B$1349,0))</f>
        <v>J04000236</v>
      </c>
      <c r="Y1248" s="9" t="str">
        <f>INDEX(Lookup!$F$2:$F$1349, MATCH(W1248, Lookup!$B$2:$B$1349,0))</f>
        <v>e371033</v>
      </c>
      <c r="Z1248" s="6" t="str">
        <f>INDEX(Lookup!$C$2:$C$1300, MATCH(X1248, Lookup!$A$2:$A$1300,0))</f>
        <v>West Sussex</v>
      </c>
    </row>
    <row r="1249" spans="1:26" ht="28.15" customHeight="1" x14ac:dyDescent="0.2">
      <c r="A1249" s="6" t="s">
        <v>1064</v>
      </c>
      <c r="B1249" s="1" t="s">
        <v>5333</v>
      </c>
      <c r="C1249" s="2">
        <v>3485</v>
      </c>
      <c r="D1249" s="2">
        <v>232499</v>
      </c>
      <c r="E1249" s="2">
        <v>2712</v>
      </c>
      <c r="F1249" s="2">
        <v>388016</v>
      </c>
      <c r="G1249" s="2">
        <v>358</v>
      </c>
      <c r="H1249" s="2">
        <v>89304</v>
      </c>
      <c r="I1249" s="2">
        <v>334</v>
      </c>
      <c r="J1249" s="2">
        <v>110111</v>
      </c>
      <c r="K1249" s="2">
        <v>77</v>
      </c>
      <c r="L1249" s="2">
        <v>19615</v>
      </c>
      <c r="M1249" s="2">
        <v>523</v>
      </c>
      <c r="N1249" s="2">
        <v>44259</v>
      </c>
      <c r="O1249" s="2">
        <v>15</v>
      </c>
      <c r="P1249" s="2">
        <v>19810</v>
      </c>
      <c r="Q1249" s="2">
        <v>17375</v>
      </c>
      <c r="R1249" s="2">
        <v>90594</v>
      </c>
      <c r="S1249" s="2">
        <v>1011583</v>
      </c>
      <c r="T1249" s="10">
        <f t="shared" si="67"/>
        <v>709819</v>
      </c>
      <c r="U1249" s="8">
        <f t="shared" si="68"/>
        <v>0.70169130956135084</v>
      </c>
      <c r="V1249" s="9" t="s">
        <v>5270</v>
      </c>
      <c r="W1249" s="9" t="str">
        <f t="shared" si="69"/>
        <v>Cuckfield UD</v>
      </c>
      <c r="X1249" s="9" t="str">
        <f>INDEX(Lookup!$A$2:$A$1349, MATCH(W1249, Lookup!$B$2:$B$1349,0))</f>
        <v>J04000373</v>
      </c>
      <c r="Y1249" s="9" t="str">
        <f>INDEX(Lookup!$F$2:$F$1349, MATCH(W1249, Lookup!$B$2:$B$1349,0))</f>
        <v>e371034</v>
      </c>
      <c r="Z1249" s="6" t="str">
        <f>INDEX(Lookup!$C$2:$C$1300, MATCH(X1249, Lookup!$A$2:$A$1300,0))</f>
        <v>West Sussex</v>
      </c>
    </row>
    <row r="1250" spans="1:26" ht="28.15" customHeight="1" x14ac:dyDescent="0.2">
      <c r="A1250" s="6" t="s">
        <v>1065</v>
      </c>
      <c r="B1250" s="1" t="s">
        <v>5334</v>
      </c>
      <c r="C1250" s="2">
        <v>2787</v>
      </c>
      <c r="D1250" s="2">
        <v>187858</v>
      </c>
      <c r="E1250" s="2">
        <v>2016</v>
      </c>
      <c r="F1250" s="2">
        <v>251437</v>
      </c>
      <c r="G1250" s="2">
        <v>102</v>
      </c>
      <c r="H1250" s="2">
        <v>27412</v>
      </c>
      <c r="I1250" s="2">
        <v>256</v>
      </c>
      <c r="J1250" s="2">
        <v>108815</v>
      </c>
      <c r="K1250" s="2">
        <v>55</v>
      </c>
      <c r="L1250" s="2">
        <v>15633</v>
      </c>
      <c r="M1250" s="2">
        <v>421</v>
      </c>
      <c r="N1250" s="2">
        <v>41341</v>
      </c>
      <c r="O1250" s="2">
        <v>30</v>
      </c>
      <c r="P1250" s="2">
        <v>25245</v>
      </c>
      <c r="Q1250" s="2">
        <v>7781</v>
      </c>
      <c r="R1250" s="2">
        <v>91852</v>
      </c>
      <c r="S1250" s="2">
        <v>757374</v>
      </c>
      <c r="T1250" s="10">
        <f t="shared" si="67"/>
        <v>466707</v>
      </c>
      <c r="U1250" s="8">
        <f t="shared" si="68"/>
        <v>0.61621735100491959</v>
      </c>
      <c r="V1250" s="9" t="s">
        <v>5270</v>
      </c>
      <c r="W1250" s="9" t="str">
        <f t="shared" si="69"/>
        <v>East Grinstead UD</v>
      </c>
      <c r="X1250" s="9" t="str">
        <f>INDEX(Lookup!$A$2:$A$1349, MATCH(W1250, Lookup!$B$2:$B$1349,0))</f>
        <v>J04000450</v>
      </c>
      <c r="Y1250" s="9" t="str">
        <f>INDEX(Lookup!$F$2:$F$1349, MATCH(W1250, Lookup!$B$2:$B$1349,0))</f>
        <v>e371035</v>
      </c>
      <c r="Z1250" s="6" t="str">
        <f>INDEX(Lookup!$C$2:$C$1300, MATCH(X1250, Lookup!$A$2:$A$1300,0))</f>
        <v>West Sussex</v>
      </c>
    </row>
    <row r="1251" spans="1:26" ht="28.15" customHeight="1" x14ac:dyDescent="0.2">
      <c r="A1251" s="6" t="s">
        <v>1066</v>
      </c>
      <c r="B1251" s="1" t="s">
        <v>1066</v>
      </c>
      <c r="C1251" s="2">
        <v>2376</v>
      </c>
      <c r="D1251" s="2">
        <v>150649</v>
      </c>
      <c r="E1251" s="2">
        <v>351</v>
      </c>
      <c r="F1251" s="2">
        <v>40806</v>
      </c>
      <c r="G1251" s="2">
        <v>5</v>
      </c>
      <c r="H1251" s="2">
        <v>1162</v>
      </c>
      <c r="I1251" s="2">
        <v>127</v>
      </c>
      <c r="J1251" s="2">
        <v>29691</v>
      </c>
      <c r="K1251" s="2">
        <v>39</v>
      </c>
      <c r="L1251" s="2">
        <v>5123</v>
      </c>
      <c r="M1251" s="2">
        <v>227</v>
      </c>
      <c r="N1251" s="2">
        <v>20053</v>
      </c>
      <c r="O1251" s="2">
        <v>39</v>
      </c>
      <c r="P1251" s="2">
        <v>83290</v>
      </c>
      <c r="Q1251" s="2">
        <v>2958</v>
      </c>
      <c r="R1251" s="2">
        <v>26893</v>
      </c>
      <c r="S1251" s="2">
        <v>360625</v>
      </c>
      <c r="T1251" s="10">
        <f t="shared" si="67"/>
        <v>192617</v>
      </c>
      <c r="U1251" s="8">
        <f t="shared" si="68"/>
        <v>0.5341199306759099</v>
      </c>
      <c r="V1251" s="9" t="s">
        <v>5270</v>
      </c>
      <c r="W1251" s="9" t="str">
        <f t="shared" si="69"/>
        <v>Newhaven UD</v>
      </c>
      <c r="X1251" s="9" t="str">
        <f>INDEX(Lookup!$A$2:$A$1349, MATCH(W1251, Lookup!$B$2:$B$1349,0))</f>
        <v>J04000904</v>
      </c>
      <c r="Y1251" s="9" t="str">
        <f>INDEX(Lookup!$F$2:$F$1349, MATCH(W1251, Lookup!$B$2:$B$1349,0))</f>
        <v>e371038</v>
      </c>
      <c r="Z1251" s="6" t="str">
        <f>INDEX(Lookup!$C$2:$C$1300, MATCH(X1251, Lookup!$A$2:$A$1300,0))</f>
        <v>East Sussex</v>
      </c>
    </row>
    <row r="1252" spans="1:26" ht="28.15" customHeight="1" x14ac:dyDescent="0.2">
      <c r="A1252" s="6" t="s">
        <v>1067</v>
      </c>
      <c r="B1252" s="1" t="s">
        <v>1067</v>
      </c>
      <c r="C1252" s="2">
        <v>2956</v>
      </c>
      <c r="D1252" s="2">
        <v>237147</v>
      </c>
      <c r="E1252" s="2">
        <v>2555</v>
      </c>
      <c r="F1252" s="2">
        <v>299093</v>
      </c>
      <c r="G1252" s="2">
        <v>26</v>
      </c>
      <c r="H1252" s="2">
        <v>5784</v>
      </c>
      <c r="I1252" s="2">
        <v>259</v>
      </c>
      <c r="J1252" s="2">
        <v>57908</v>
      </c>
      <c r="K1252" s="2">
        <v>16</v>
      </c>
      <c r="L1252" s="2">
        <v>5918</v>
      </c>
      <c r="M1252" s="2">
        <v>424</v>
      </c>
      <c r="N1252" s="2">
        <v>45164</v>
      </c>
      <c r="O1252" s="2">
        <v>57</v>
      </c>
      <c r="P1252" s="2">
        <v>165860</v>
      </c>
      <c r="Q1252" s="2">
        <v>1060</v>
      </c>
      <c r="R1252" s="2">
        <v>114086</v>
      </c>
      <c r="S1252" s="2">
        <v>932020</v>
      </c>
      <c r="T1252" s="10">
        <f t="shared" si="67"/>
        <v>542024</v>
      </c>
      <c r="U1252" s="8">
        <f t="shared" si="68"/>
        <v>0.58155833565803305</v>
      </c>
      <c r="V1252" s="9" t="s">
        <v>5270</v>
      </c>
      <c r="W1252" s="9" t="str">
        <f t="shared" si="69"/>
        <v>Portslade-by-Sea UD</v>
      </c>
      <c r="X1252" s="9" t="str">
        <f>INDEX(Lookup!$A$2:$A$1349, MATCH(W1252, Lookup!$B$2:$B$1349,0))</f>
        <v>J04001011</v>
      </c>
      <c r="Y1252" s="9" t="str">
        <f>INDEX(Lookup!$F$2:$F$1349, MATCH(W1252, Lookup!$B$2:$B$1349,0))</f>
        <v>e371039</v>
      </c>
      <c r="Z1252" s="6" t="str">
        <f>INDEX(Lookup!$C$2:$C$1300, MATCH(X1252, Lookup!$A$2:$A$1300,0))</f>
        <v>East Sussex</v>
      </c>
    </row>
    <row r="1253" spans="1:26" ht="28.15" customHeight="1" x14ac:dyDescent="0.2">
      <c r="A1253" s="6" t="s">
        <v>1068</v>
      </c>
      <c r="B1253" s="1" t="s">
        <v>1068</v>
      </c>
      <c r="C1253" s="2">
        <v>2535</v>
      </c>
      <c r="D1253" s="2">
        <v>181818</v>
      </c>
      <c r="E1253" s="2">
        <v>1636</v>
      </c>
      <c r="F1253" s="2">
        <v>213362</v>
      </c>
      <c r="G1253" s="2">
        <v>96</v>
      </c>
      <c r="H1253" s="2">
        <v>22743</v>
      </c>
      <c r="I1253" s="2">
        <v>223</v>
      </c>
      <c r="J1253" s="2">
        <v>34229</v>
      </c>
      <c r="K1253" s="2">
        <v>22</v>
      </c>
      <c r="L1253" s="2">
        <v>2469</v>
      </c>
      <c r="M1253" s="2">
        <v>299</v>
      </c>
      <c r="N1253" s="2">
        <v>18219</v>
      </c>
      <c r="O1253" s="2">
        <v>10</v>
      </c>
      <c r="P1253" s="2">
        <v>1900</v>
      </c>
      <c r="Q1253" s="2">
        <v>805</v>
      </c>
      <c r="R1253" s="2">
        <v>57736</v>
      </c>
      <c r="S1253" s="2">
        <v>533281</v>
      </c>
      <c r="T1253" s="10">
        <f t="shared" si="67"/>
        <v>417923</v>
      </c>
      <c r="U1253" s="8">
        <f t="shared" si="68"/>
        <v>0.78368252384765258</v>
      </c>
      <c r="V1253" s="9" t="s">
        <v>5270</v>
      </c>
      <c r="W1253" s="9" t="str">
        <f t="shared" si="69"/>
        <v>Seaford UD</v>
      </c>
      <c r="X1253" s="9" t="str">
        <f>INDEX(Lookup!$A$2:$A$1349, MATCH(W1253, Lookup!$B$2:$B$1349,0))</f>
        <v>J04001110</v>
      </c>
      <c r="Y1253" s="9" t="str">
        <f>INDEX(Lookup!$F$2:$F$1349, MATCH(W1253, Lookup!$B$2:$B$1349,0))</f>
        <v>e371041</v>
      </c>
      <c r="Z1253" s="6" t="str">
        <f>INDEX(Lookup!$C$2:$C$1300, MATCH(X1253, Lookup!$A$2:$A$1300,0))</f>
        <v>East Sussex</v>
      </c>
    </row>
    <row r="1254" spans="1:26" ht="28.15" customHeight="1" x14ac:dyDescent="0.2">
      <c r="A1254" s="6" t="s">
        <v>212</v>
      </c>
      <c r="B1254" s="1" t="s">
        <v>212</v>
      </c>
      <c r="T1254" s="10"/>
      <c r="W1254" s="9" t="str">
        <f t="shared" si="69"/>
        <v xml:space="preserve">Rural Districts-- </v>
      </c>
      <c r="X1254" s="9" t="e">
        <f>INDEX(Lookup!$A$2:$A$1349, MATCH(W1254, Lookup!$B$2:$B$1349,0))</f>
        <v>#N/A</v>
      </c>
      <c r="Y1254" s="9" t="e">
        <f>INDEX(Lookup!$F$2:$F$1349, MATCH(W1254, Lookup!$B$2:$B$1349,0))</f>
        <v>#N/A</v>
      </c>
      <c r="Z1254" s="6" t="e">
        <f>INDEX(Lookup!$C$2:$C$1300, MATCH(X1254, Lookup!$A$2:$A$1300,0))</f>
        <v>#N/A</v>
      </c>
    </row>
    <row r="1255" spans="1:26" ht="28.15" customHeight="1" x14ac:dyDescent="0.2">
      <c r="A1255" s="6" t="s">
        <v>1069</v>
      </c>
      <c r="B1255" s="1" t="s">
        <v>1069</v>
      </c>
      <c r="C1255" s="2">
        <v>8155</v>
      </c>
      <c r="D1255" s="2">
        <v>439420</v>
      </c>
      <c r="E1255" s="2">
        <v>1328</v>
      </c>
      <c r="F1255" s="2">
        <v>165936</v>
      </c>
      <c r="G1255" s="2">
        <v>117</v>
      </c>
      <c r="H1255" s="2">
        <v>31380</v>
      </c>
      <c r="I1255" s="2">
        <v>369</v>
      </c>
      <c r="J1255" s="2">
        <v>38289</v>
      </c>
      <c r="K1255" s="2">
        <v>39</v>
      </c>
      <c r="L1255" s="2">
        <v>3570</v>
      </c>
      <c r="M1255" s="2">
        <v>757</v>
      </c>
      <c r="N1255" s="2">
        <v>56460</v>
      </c>
      <c r="O1255" s="2">
        <v>40</v>
      </c>
      <c r="P1255" s="2">
        <v>36849</v>
      </c>
      <c r="Q1255" s="2">
        <v>4543</v>
      </c>
      <c r="R1255" s="2">
        <v>230621</v>
      </c>
      <c r="S1255" s="2">
        <v>1007068</v>
      </c>
      <c r="T1255" s="10">
        <f t="shared" si="67"/>
        <v>636736</v>
      </c>
      <c r="U1255" s="8">
        <f t="shared" si="68"/>
        <v>0.63226713588357486</v>
      </c>
      <c r="V1255" s="9" t="s">
        <v>5271</v>
      </c>
      <c r="W1255" s="9" t="str">
        <f t="shared" si="69"/>
        <v>Battle RD</v>
      </c>
      <c r="X1255" s="9" t="str">
        <f>INDEX(Lookup!$A$2:$A$1349, MATCH(W1255, Lookup!$B$2:$B$1349,0))</f>
        <v>J04000103</v>
      </c>
      <c r="Y1255" s="9" t="str">
        <f>INDEX(Lookup!$F$2:$F$1349, MATCH(W1255, Lookup!$B$2:$B$1349,0))</f>
        <v>e371042</v>
      </c>
      <c r="Z1255" s="6" t="str">
        <f>INDEX(Lookup!$C$2:$C$1300, MATCH(X1255, Lookup!$A$2:$A$1300,0))</f>
        <v>East Sussex</v>
      </c>
    </row>
    <row r="1256" spans="1:26" ht="28.15" customHeight="1" x14ac:dyDescent="0.2">
      <c r="A1256" s="6" t="s">
        <v>1070</v>
      </c>
      <c r="B1256" s="1" t="s">
        <v>1070</v>
      </c>
      <c r="C1256" s="2">
        <v>3715</v>
      </c>
      <c r="D1256" s="2">
        <v>224807</v>
      </c>
      <c r="E1256" s="2">
        <v>3662</v>
      </c>
      <c r="F1256" s="2">
        <v>503528</v>
      </c>
      <c r="G1256" s="2">
        <v>476</v>
      </c>
      <c r="H1256" s="2">
        <v>140877</v>
      </c>
      <c r="I1256" s="2">
        <v>190</v>
      </c>
      <c r="J1256" s="2">
        <v>28164</v>
      </c>
      <c r="K1256" s="2">
        <v>22</v>
      </c>
      <c r="L1256" s="2">
        <v>2313</v>
      </c>
      <c r="M1256" s="2">
        <v>265</v>
      </c>
      <c r="N1256" s="2">
        <v>28768</v>
      </c>
      <c r="O1256" s="2">
        <v>18</v>
      </c>
      <c r="P1256" s="2">
        <v>19295</v>
      </c>
      <c r="Q1256" s="2">
        <v>6445</v>
      </c>
      <c r="R1256" s="2">
        <v>173894</v>
      </c>
      <c r="S1256" s="2">
        <v>1128091</v>
      </c>
      <c r="T1256" s="10">
        <f t="shared" si="67"/>
        <v>869212</v>
      </c>
      <c r="U1256" s="8">
        <f t="shared" si="68"/>
        <v>0.77051585377420795</v>
      </c>
      <c r="V1256" s="9" t="s">
        <v>5271</v>
      </c>
      <c r="W1256" s="9" t="str">
        <f t="shared" si="69"/>
        <v>Chailey RD</v>
      </c>
      <c r="X1256" s="9" t="str">
        <f>INDEX(Lookup!$A$2:$A$1349, MATCH(W1256, Lookup!$B$2:$B$1349,0))</f>
        <v>J04000278</v>
      </c>
      <c r="Y1256" s="9" t="str">
        <f>INDEX(Lookup!$F$2:$F$1349, MATCH(W1256, Lookup!$B$2:$B$1349,0))</f>
        <v>e371043</v>
      </c>
      <c r="Z1256" s="6" t="str">
        <f>INDEX(Lookup!$C$2:$C$1300, MATCH(X1256, Lookup!$A$2:$A$1300,0))</f>
        <v>East Sussex</v>
      </c>
    </row>
    <row r="1257" spans="1:26" ht="28.15" customHeight="1" x14ac:dyDescent="0.2">
      <c r="A1257" s="6" t="s">
        <v>1064</v>
      </c>
      <c r="B1257" s="1" t="s">
        <v>5333</v>
      </c>
      <c r="C1257" s="2">
        <v>5953</v>
      </c>
      <c r="D1257" s="2">
        <v>360772</v>
      </c>
      <c r="E1257" s="2">
        <v>2278</v>
      </c>
      <c r="F1257" s="2">
        <v>286743</v>
      </c>
      <c r="G1257" s="2">
        <v>360</v>
      </c>
      <c r="H1257" s="2">
        <v>108992</v>
      </c>
      <c r="I1257" s="2">
        <v>247</v>
      </c>
      <c r="J1257" s="2">
        <v>48719</v>
      </c>
      <c r="K1257" s="2">
        <v>26</v>
      </c>
      <c r="L1257" s="2">
        <v>3683</v>
      </c>
      <c r="M1257" s="2">
        <v>595</v>
      </c>
      <c r="N1257" s="2">
        <v>47401</v>
      </c>
      <c r="O1257" s="2">
        <v>32</v>
      </c>
      <c r="P1257" s="2">
        <v>25245</v>
      </c>
      <c r="Q1257" s="2">
        <v>4407</v>
      </c>
      <c r="R1257" s="2">
        <v>175328</v>
      </c>
      <c r="S1257" s="2">
        <v>1061290</v>
      </c>
      <c r="T1257" s="10">
        <f t="shared" si="67"/>
        <v>756507</v>
      </c>
      <c r="U1257" s="8">
        <f t="shared" si="68"/>
        <v>0.71281836255877284</v>
      </c>
      <c r="V1257" s="9" t="s">
        <v>5271</v>
      </c>
      <c r="W1257" s="9" t="str">
        <f t="shared" si="69"/>
        <v>Cuckfield RD</v>
      </c>
      <c r="X1257" s="9" t="str">
        <f>INDEX(Lookup!$A$2:$A$1349, MATCH(W1257, Lookup!$B$2:$B$1349,0))</f>
        <v>J04000372</v>
      </c>
      <c r="Y1257" s="9" t="str">
        <f>INDEX(Lookup!$F$2:$F$1349, MATCH(W1257, Lookup!$B$2:$B$1349,0))</f>
        <v>e371044</v>
      </c>
      <c r="Z1257" s="6" t="str">
        <f>INDEX(Lookup!$C$2:$C$1300, MATCH(X1257, Lookup!$A$2:$A$1300,0))</f>
        <v>West Sussex</v>
      </c>
    </row>
    <row r="1258" spans="1:26" ht="28.15" customHeight="1" x14ac:dyDescent="0.2">
      <c r="A1258" s="6" t="s">
        <v>1071</v>
      </c>
      <c r="B1258" s="1" t="s">
        <v>1071</v>
      </c>
      <c r="C1258" s="2">
        <v>11785</v>
      </c>
      <c r="D1258" s="2">
        <v>719961</v>
      </c>
      <c r="E1258" s="2">
        <v>2702</v>
      </c>
      <c r="F1258" s="2">
        <v>334877</v>
      </c>
      <c r="G1258" s="2">
        <v>165</v>
      </c>
      <c r="H1258" s="2">
        <v>41193</v>
      </c>
      <c r="I1258" s="2">
        <v>528</v>
      </c>
      <c r="J1258" s="2">
        <v>66412</v>
      </c>
      <c r="K1258" s="2">
        <v>59</v>
      </c>
      <c r="L1258" s="2">
        <v>5741</v>
      </c>
      <c r="M1258" s="2">
        <v>720</v>
      </c>
      <c r="N1258" s="2">
        <v>51477</v>
      </c>
      <c r="O1258" s="2">
        <v>68</v>
      </c>
      <c r="P1258" s="2">
        <v>38971</v>
      </c>
      <c r="Q1258" s="2">
        <v>21850</v>
      </c>
      <c r="R1258" s="2">
        <v>175673</v>
      </c>
      <c r="S1258" s="2">
        <v>1456155</v>
      </c>
      <c r="T1258" s="10">
        <f t="shared" si="67"/>
        <v>1096031</v>
      </c>
      <c r="U1258" s="8">
        <f t="shared" si="68"/>
        <v>0.75268841572497436</v>
      </c>
      <c r="V1258" s="9" t="s">
        <v>5271</v>
      </c>
      <c r="W1258" s="9" t="str">
        <f t="shared" si="69"/>
        <v>Hailsham RD</v>
      </c>
      <c r="X1258" s="9" t="str">
        <f>INDEX(Lookup!$A$2:$A$1349, MATCH(W1258, Lookup!$B$2:$B$1349,0))</f>
        <v>J04000562</v>
      </c>
      <c r="Y1258" s="9" t="str">
        <f>INDEX(Lookup!$F$2:$F$1349, MATCH(W1258, Lookup!$B$2:$B$1349,0))</f>
        <v>e371047</v>
      </c>
      <c r="Z1258" s="6" t="str">
        <f>INDEX(Lookup!$C$2:$C$1300, MATCH(X1258, Lookup!$A$2:$A$1300,0))</f>
        <v>East Sussex</v>
      </c>
    </row>
    <row r="1259" spans="1:26" ht="28.15" customHeight="1" x14ac:dyDescent="0.2">
      <c r="A1259" s="6" t="s">
        <v>1072</v>
      </c>
      <c r="B1259" s="1" t="s">
        <v>1072</v>
      </c>
      <c r="C1259" s="2">
        <v>9963</v>
      </c>
      <c r="D1259" s="2">
        <v>514817</v>
      </c>
      <c r="E1259" s="2">
        <v>2888</v>
      </c>
      <c r="F1259" s="2">
        <v>385696</v>
      </c>
      <c r="G1259" s="2">
        <v>379</v>
      </c>
      <c r="H1259" s="2">
        <v>98534</v>
      </c>
      <c r="I1259" s="2">
        <v>591</v>
      </c>
      <c r="J1259" s="2">
        <v>61876</v>
      </c>
      <c r="K1259" s="2">
        <v>64</v>
      </c>
      <c r="L1259" s="2">
        <v>6579</v>
      </c>
      <c r="M1259" s="2">
        <v>819</v>
      </c>
      <c r="N1259" s="2">
        <v>51033</v>
      </c>
      <c r="O1259" s="2">
        <v>38</v>
      </c>
      <c r="P1259" s="2">
        <v>11976</v>
      </c>
      <c r="Q1259" s="2">
        <v>16276</v>
      </c>
      <c r="R1259" s="2">
        <v>258327</v>
      </c>
      <c r="S1259" s="2">
        <v>1405114</v>
      </c>
      <c r="T1259" s="10">
        <f t="shared" si="67"/>
        <v>999047</v>
      </c>
      <c r="U1259" s="8">
        <f t="shared" si="68"/>
        <v>0.71100779011525039</v>
      </c>
      <c r="V1259" s="9" t="s">
        <v>5271</v>
      </c>
      <c r="W1259" s="9" t="str">
        <f t="shared" si="69"/>
        <v>Uckfield RD</v>
      </c>
      <c r="X1259" s="9" t="str">
        <f>INDEX(Lookup!$A$2:$A$1349, MATCH(W1259, Lookup!$B$2:$B$1349,0))</f>
        <v>J04001307</v>
      </c>
      <c r="Y1259" s="9" t="str">
        <f>INDEX(Lookup!$F$2:$F$1349, MATCH(W1259, Lookup!$B$2:$B$1349,0))</f>
        <v>e371048</v>
      </c>
      <c r="Z1259" s="6" t="str">
        <f>INDEX(Lookup!$C$2:$C$1300, MATCH(X1259, Lookup!$A$2:$A$1300,0))</f>
        <v>East Sussex</v>
      </c>
    </row>
    <row r="1260" spans="1:26" ht="28.15" customHeight="1" x14ac:dyDescent="0.2">
      <c r="A1260" s="6" t="s">
        <v>1073</v>
      </c>
      <c r="B1260" s="1" t="s">
        <v>1073</v>
      </c>
      <c r="T1260" s="10"/>
      <c r="W1260" s="9" t="str">
        <f t="shared" si="69"/>
        <v xml:space="preserve">WEST SUSSEX: </v>
      </c>
      <c r="X1260" s="9" t="e">
        <f>INDEX(Lookup!$A$2:$A$1349, MATCH(W1260, Lookup!$B$2:$B$1349,0))</f>
        <v>#N/A</v>
      </c>
      <c r="Y1260" s="9" t="e">
        <f>INDEX(Lookup!$F$2:$F$1349, MATCH(W1260, Lookup!$B$2:$B$1349,0))</f>
        <v>#N/A</v>
      </c>
      <c r="Z1260" s="6" t="e">
        <f>INDEX(Lookup!$C$2:$C$1300, MATCH(X1260, Lookup!$A$2:$A$1300,0))</f>
        <v>#N/A</v>
      </c>
    </row>
    <row r="1261" spans="1:26" ht="28.15" customHeight="1" x14ac:dyDescent="0.2">
      <c r="A1261" s="6" t="s">
        <v>175</v>
      </c>
      <c r="B1261" s="1" t="s">
        <v>175</v>
      </c>
      <c r="T1261" s="10"/>
      <c r="W1261" s="9" t="str">
        <f t="shared" si="69"/>
        <v xml:space="preserve">Non-County Boroughs-- </v>
      </c>
      <c r="X1261" s="9" t="e">
        <f>INDEX(Lookup!$A$2:$A$1349, MATCH(W1261, Lookup!$B$2:$B$1349,0))</f>
        <v>#N/A</v>
      </c>
      <c r="Y1261" s="9" t="e">
        <f>INDEX(Lookup!$F$2:$F$1349, MATCH(W1261, Lookup!$B$2:$B$1349,0))</f>
        <v>#N/A</v>
      </c>
      <c r="Z1261" s="6" t="e">
        <f>INDEX(Lookup!$C$2:$C$1300, MATCH(X1261, Lookup!$A$2:$A$1300,0))</f>
        <v>#N/A</v>
      </c>
    </row>
    <row r="1262" spans="1:26" ht="28.15" customHeight="1" x14ac:dyDescent="0.2">
      <c r="A1262" s="6" t="s">
        <v>1074</v>
      </c>
      <c r="B1262" s="1" t="s">
        <v>1074</v>
      </c>
      <c r="C1262" s="2">
        <v>768</v>
      </c>
      <c r="D1262" s="2">
        <v>44376</v>
      </c>
      <c r="E1262" s="2">
        <v>138</v>
      </c>
      <c r="F1262" s="2">
        <v>18140</v>
      </c>
      <c r="G1262" s="2">
        <v>20</v>
      </c>
      <c r="H1262" s="2">
        <v>7684</v>
      </c>
      <c r="I1262" s="2">
        <v>88</v>
      </c>
      <c r="J1262" s="2">
        <v>13336</v>
      </c>
      <c r="K1262" s="2">
        <v>19</v>
      </c>
      <c r="L1262" s="2">
        <v>2166</v>
      </c>
      <c r="M1262" s="2">
        <v>93</v>
      </c>
      <c r="N1262" s="2">
        <v>10281</v>
      </c>
      <c r="O1262" s="2">
        <v>6</v>
      </c>
      <c r="P1262" s="2">
        <v>6655</v>
      </c>
      <c r="Q1262" s="2">
        <v>785</v>
      </c>
      <c r="R1262" s="2">
        <v>9227</v>
      </c>
      <c r="S1262" s="2">
        <v>112650</v>
      </c>
      <c r="T1262" s="10">
        <f t="shared" si="67"/>
        <v>70200</v>
      </c>
      <c r="U1262" s="8">
        <f t="shared" si="68"/>
        <v>0.62316910785619173</v>
      </c>
      <c r="V1262" s="9" t="s">
        <v>5268</v>
      </c>
      <c r="W1262" s="9" t="str">
        <f t="shared" si="69"/>
        <v>Arundel MB</v>
      </c>
      <c r="X1262" s="9" t="str">
        <f>INDEX(Lookup!$A$2:$A$1349, MATCH(W1262, Lookup!$B$2:$B$1349,0))</f>
        <v>J04000047</v>
      </c>
      <c r="Y1262" s="9" t="str">
        <f>INDEX(Lookup!$F$2:$F$1349, MATCH(W1262, Lookup!$B$2:$B$1349,0))</f>
        <v>e381049</v>
      </c>
      <c r="Z1262" s="6" t="str">
        <f>INDEX(Lookup!$C$2:$C$1300, MATCH(X1262, Lookup!$A$2:$A$1300,0))</f>
        <v>West Sussex</v>
      </c>
    </row>
    <row r="1263" spans="1:26" ht="28.15" customHeight="1" x14ac:dyDescent="0.2">
      <c r="A1263" s="6" t="s">
        <v>1075</v>
      </c>
      <c r="B1263" s="1" t="s">
        <v>5447</v>
      </c>
      <c r="C1263" s="2">
        <v>4778</v>
      </c>
      <c r="D1263" s="2">
        <v>286208</v>
      </c>
      <c r="E1263" s="2">
        <v>1229</v>
      </c>
      <c r="F1263" s="2">
        <v>160994</v>
      </c>
      <c r="G1263" s="2">
        <v>105</v>
      </c>
      <c r="H1263" s="2">
        <v>25285</v>
      </c>
      <c r="I1263" s="2">
        <v>424</v>
      </c>
      <c r="J1263" s="2">
        <v>148816</v>
      </c>
      <c r="K1263" s="2">
        <v>142</v>
      </c>
      <c r="L1263" s="2">
        <v>19811</v>
      </c>
      <c r="M1263" s="2">
        <v>516</v>
      </c>
      <c r="N1263" s="2">
        <v>72599</v>
      </c>
      <c r="O1263" s="2">
        <v>52</v>
      </c>
      <c r="P1263" s="2">
        <v>98011</v>
      </c>
      <c r="Q1263" s="2">
        <v>30627</v>
      </c>
      <c r="R1263" s="2">
        <v>131643</v>
      </c>
      <c r="S1263" s="2">
        <v>973994</v>
      </c>
      <c r="T1263" s="10">
        <f t="shared" si="67"/>
        <v>472487</v>
      </c>
      <c r="U1263" s="8">
        <f t="shared" si="68"/>
        <v>0.48510257763394848</v>
      </c>
      <c r="V1263" s="9" t="s">
        <v>5268</v>
      </c>
      <c r="W1263" s="9" t="str">
        <f t="shared" si="69"/>
        <v>Chichester city MB</v>
      </c>
      <c r="X1263" s="9" t="str">
        <f>INDEX(Lookup!$A$2:$A$1349, MATCH(W1263, Lookup!$B$2:$B$1349,0))</f>
        <v>J04000305</v>
      </c>
      <c r="Y1263" s="9" t="str">
        <f>INDEX(Lookup!$F$2:$F$1349, MATCH(W1263, Lookup!$B$2:$B$1349,0))</f>
        <v>e381051</v>
      </c>
      <c r="Z1263" s="6" t="str">
        <f>INDEX(Lookup!$C$2:$C$1300, MATCH(X1263, Lookup!$A$2:$A$1300,0))</f>
        <v>West Sussex</v>
      </c>
    </row>
    <row r="1264" spans="1:26" ht="28.15" customHeight="1" x14ac:dyDescent="0.2">
      <c r="A1264" s="6" t="s">
        <v>1076</v>
      </c>
      <c r="B1264" s="1" t="s">
        <v>1076</v>
      </c>
      <c r="C1264" s="2">
        <v>12211</v>
      </c>
      <c r="D1264" s="2">
        <v>942145</v>
      </c>
      <c r="E1264" s="2">
        <v>17124</v>
      </c>
      <c r="F1264" s="2">
        <v>2269376</v>
      </c>
      <c r="G1264" s="2">
        <v>1578</v>
      </c>
      <c r="H1264" s="2">
        <v>377110</v>
      </c>
      <c r="I1264" s="2">
        <v>1478</v>
      </c>
      <c r="J1264" s="2">
        <v>562860</v>
      </c>
      <c r="K1264" s="2">
        <v>274</v>
      </c>
      <c r="L1264" s="2">
        <v>65364</v>
      </c>
      <c r="M1264" s="2">
        <v>2769</v>
      </c>
      <c r="N1264" s="2">
        <v>263480</v>
      </c>
      <c r="O1264" s="2">
        <v>91</v>
      </c>
      <c r="P1264" s="2">
        <v>74275</v>
      </c>
      <c r="Q1264" s="2">
        <v>22643</v>
      </c>
      <c r="R1264" s="2">
        <v>380146</v>
      </c>
      <c r="S1264" s="2">
        <v>4957399</v>
      </c>
      <c r="T1264" s="10">
        <f t="shared" si="67"/>
        <v>3588631</v>
      </c>
      <c r="U1264" s="8">
        <f t="shared" si="68"/>
        <v>0.72389392098558136</v>
      </c>
      <c r="V1264" s="9" t="s">
        <v>5268</v>
      </c>
      <c r="W1264" s="9" t="str">
        <f t="shared" si="69"/>
        <v>Worthing MB</v>
      </c>
      <c r="X1264" s="9" t="str">
        <f>INDEX(Lookup!$A$2:$A$1349, MATCH(W1264, Lookup!$B$2:$B$1349,0))</f>
        <v>J04001456</v>
      </c>
      <c r="Y1264" s="9" t="str">
        <f>INDEX(Lookup!$F$2:$F$1349, MATCH(W1264, Lookup!$B$2:$B$1349,0))</f>
        <v>e381057</v>
      </c>
      <c r="Z1264" s="6" t="str">
        <f>INDEX(Lookup!$C$2:$C$1300, MATCH(X1264, Lookup!$A$2:$A$1300,0))</f>
        <v>West Sussex</v>
      </c>
    </row>
    <row r="1265" spans="1:26" ht="28.15" customHeight="1" x14ac:dyDescent="0.2">
      <c r="A1265" s="6" t="s">
        <v>179</v>
      </c>
      <c r="B1265" s="1" t="s">
        <v>179</v>
      </c>
      <c r="T1265" s="10"/>
      <c r="W1265" s="9" t="str">
        <f t="shared" si="69"/>
        <v xml:space="preserve">Urban Districts-- </v>
      </c>
      <c r="X1265" s="9" t="e">
        <f>INDEX(Lookup!$A$2:$A$1349, MATCH(W1265, Lookup!$B$2:$B$1349,0))</f>
        <v>#N/A</v>
      </c>
      <c r="Y1265" s="9" t="e">
        <f>INDEX(Lookup!$F$2:$F$1349, MATCH(W1265, Lookup!$B$2:$B$1349,0))</f>
        <v>#N/A</v>
      </c>
      <c r="Z1265" s="6" t="e">
        <f>INDEX(Lookup!$C$2:$C$1300, MATCH(X1265, Lookup!$A$2:$A$1300,0))</f>
        <v>#N/A</v>
      </c>
    </row>
    <row r="1266" spans="1:26" ht="28.15" customHeight="1" x14ac:dyDescent="0.2">
      <c r="A1266" s="6" t="s">
        <v>1077</v>
      </c>
      <c r="B1266" s="1" t="s">
        <v>1077</v>
      </c>
      <c r="C1266" s="2">
        <v>4761</v>
      </c>
      <c r="D1266" s="2">
        <v>352540</v>
      </c>
      <c r="E1266" s="2">
        <v>5023</v>
      </c>
      <c r="F1266" s="2">
        <v>673274</v>
      </c>
      <c r="G1266" s="2">
        <v>707</v>
      </c>
      <c r="H1266" s="2">
        <v>170945</v>
      </c>
      <c r="I1266" s="2">
        <v>609</v>
      </c>
      <c r="J1266" s="2">
        <v>227357</v>
      </c>
      <c r="K1266" s="2">
        <v>144</v>
      </c>
      <c r="L1266" s="2">
        <v>19296</v>
      </c>
      <c r="M1266" s="2">
        <v>741</v>
      </c>
      <c r="N1266" s="2">
        <v>179517</v>
      </c>
      <c r="O1266" s="2">
        <v>56</v>
      </c>
      <c r="P1266" s="2">
        <v>71151</v>
      </c>
      <c r="Q1266" s="2">
        <v>3506</v>
      </c>
      <c r="R1266" s="2">
        <v>128678</v>
      </c>
      <c r="S1266" s="2">
        <v>1826264</v>
      </c>
      <c r="T1266" s="10">
        <f t="shared" si="67"/>
        <v>1196759</v>
      </c>
      <c r="U1266" s="8">
        <f t="shared" si="68"/>
        <v>0.65530449047892314</v>
      </c>
      <c r="V1266" s="9" t="s">
        <v>5270</v>
      </c>
      <c r="W1266" s="9" t="str">
        <f t="shared" si="69"/>
        <v>Bognor Regis UD</v>
      </c>
      <c r="X1266" s="9" t="str">
        <f>INDEX(Lookup!$A$2:$A$1349, MATCH(W1266, Lookup!$B$2:$B$1349,0))</f>
        <v>J04000169</v>
      </c>
      <c r="Y1266" s="9" t="str">
        <f>INDEX(Lookup!$F$2:$F$1349, MATCH(W1266, Lookup!$B$2:$B$1349,0))</f>
        <v>e381050</v>
      </c>
      <c r="Z1266" s="6" t="str">
        <f>INDEX(Lookup!$C$2:$C$1300, MATCH(X1266, Lookup!$A$2:$A$1300,0))</f>
        <v>West Sussex</v>
      </c>
    </row>
    <row r="1267" spans="1:26" ht="28.15" customHeight="1" x14ac:dyDescent="0.2">
      <c r="A1267" s="6" t="s">
        <v>1078</v>
      </c>
      <c r="B1267" s="1" t="s">
        <v>1078</v>
      </c>
      <c r="C1267" s="2">
        <v>12899</v>
      </c>
      <c r="D1267" s="2">
        <v>1088661</v>
      </c>
      <c r="E1267" s="2">
        <v>3426</v>
      </c>
      <c r="F1267" s="2">
        <v>427721</v>
      </c>
      <c r="G1267" s="2">
        <v>81</v>
      </c>
      <c r="H1267" s="2">
        <v>19289</v>
      </c>
      <c r="I1267" s="2">
        <v>437</v>
      </c>
      <c r="J1267" s="2">
        <v>277775</v>
      </c>
      <c r="K1267" s="2">
        <v>110</v>
      </c>
      <c r="L1267" s="2">
        <v>47539</v>
      </c>
      <c r="M1267" s="2">
        <v>3553</v>
      </c>
      <c r="N1267" s="2">
        <v>129762</v>
      </c>
      <c r="O1267" s="2">
        <v>119</v>
      </c>
      <c r="P1267" s="2">
        <v>874174</v>
      </c>
      <c r="Q1267" s="2">
        <v>21865</v>
      </c>
      <c r="R1267" s="2">
        <v>260995</v>
      </c>
      <c r="S1267" s="2">
        <v>3147781</v>
      </c>
      <c r="T1267" s="10">
        <f t="shared" si="67"/>
        <v>1535671</v>
      </c>
      <c r="U1267" s="8">
        <f t="shared" si="68"/>
        <v>0.48785827222414774</v>
      </c>
      <c r="V1267" s="9" t="s">
        <v>5270</v>
      </c>
      <c r="W1267" s="9" t="str">
        <f t="shared" si="69"/>
        <v>Crawley UD</v>
      </c>
      <c r="X1267" s="9" t="str">
        <f>INDEX(Lookup!$A$2:$A$1349, MATCH(W1267, Lookup!$B$2:$B$1349,0))</f>
        <v>J04000357</v>
      </c>
      <c r="Y1267" s="9" t="str">
        <f>INDEX(Lookup!$F$2:$F$1349, MATCH(W1267, Lookup!$B$2:$B$1349,0))</f>
        <v>e381052</v>
      </c>
      <c r="Z1267" s="6" t="str">
        <f>INDEX(Lookup!$C$2:$C$1300, MATCH(X1267, Lookup!$A$2:$A$1300,0))</f>
        <v>West Sussex</v>
      </c>
    </row>
    <row r="1268" spans="1:26" ht="28.15" customHeight="1" x14ac:dyDescent="0.2">
      <c r="A1268" s="6" t="s">
        <v>1079</v>
      </c>
      <c r="B1268" s="1" t="s">
        <v>1079</v>
      </c>
      <c r="C1268" s="2">
        <v>3974</v>
      </c>
      <c r="D1268" s="2">
        <v>272889</v>
      </c>
      <c r="E1268" s="2">
        <v>3197</v>
      </c>
      <c r="F1268" s="2">
        <v>430305</v>
      </c>
      <c r="G1268" s="2">
        <v>56</v>
      </c>
      <c r="H1268" s="2">
        <v>12948</v>
      </c>
      <c r="I1268" s="2">
        <v>428</v>
      </c>
      <c r="J1268" s="2">
        <v>211971</v>
      </c>
      <c r="K1268" s="2">
        <v>94</v>
      </c>
      <c r="L1268" s="2">
        <v>28023</v>
      </c>
      <c r="M1268" s="2">
        <v>612</v>
      </c>
      <c r="N1268" s="2">
        <v>55398</v>
      </c>
      <c r="O1268" s="2">
        <v>51</v>
      </c>
      <c r="P1268" s="2">
        <v>92330</v>
      </c>
      <c r="Q1268" s="2">
        <v>10451</v>
      </c>
      <c r="R1268" s="2">
        <v>97414</v>
      </c>
      <c r="S1268" s="2">
        <v>1211729</v>
      </c>
      <c r="T1268" s="10">
        <f t="shared" si="67"/>
        <v>716142</v>
      </c>
      <c r="U1268" s="8">
        <f t="shared" si="68"/>
        <v>0.59100838553835056</v>
      </c>
      <c r="V1268" s="9" t="s">
        <v>5270</v>
      </c>
      <c r="W1268" s="9" t="str">
        <f t="shared" si="69"/>
        <v>Horsham UD</v>
      </c>
      <c r="X1268" s="9" t="str">
        <f>INDEX(Lookup!$A$2:$A$1349, MATCH(W1268, Lookup!$B$2:$B$1349,0))</f>
        <v>J04000649</v>
      </c>
      <c r="Y1268" s="9" t="str">
        <f>INDEX(Lookup!$F$2:$F$1349, MATCH(W1268, Lookup!$B$2:$B$1349,0))</f>
        <v>e381053</v>
      </c>
      <c r="Z1268" s="6" t="str">
        <f>INDEX(Lookup!$C$2:$C$1300, MATCH(X1268, Lookup!$A$2:$A$1300,0))</f>
        <v>West Sussex</v>
      </c>
    </row>
    <row r="1269" spans="1:26" ht="28.15" customHeight="1" x14ac:dyDescent="0.2">
      <c r="A1269" s="6" t="s">
        <v>1080</v>
      </c>
      <c r="B1269" s="1" t="s">
        <v>1080</v>
      </c>
      <c r="C1269" s="2">
        <v>3492</v>
      </c>
      <c r="D1269" s="2">
        <v>250464</v>
      </c>
      <c r="E1269" s="2">
        <v>1554</v>
      </c>
      <c r="F1269" s="2">
        <v>192804</v>
      </c>
      <c r="G1269" s="2">
        <v>79</v>
      </c>
      <c r="H1269" s="2">
        <v>18959</v>
      </c>
      <c r="I1269" s="2">
        <v>302</v>
      </c>
      <c r="J1269" s="2">
        <v>75273</v>
      </c>
      <c r="K1269" s="2">
        <v>43</v>
      </c>
      <c r="L1269" s="2">
        <v>7422</v>
      </c>
      <c r="M1269" s="2">
        <v>518</v>
      </c>
      <c r="N1269" s="2">
        <v>53582</v>
      </c>
      <c r="O1269" s="2">
        <v>39</v>
      </c>
      <c r="P1269" s="2">
        <v>36685</v>
      </c>
      <c r="Q1269" s="2">
        <v>6084</v>
      </c>
      <c r="R1269" s="2">
        <v>92125</v>
      </c>
      <c r="S1269" s="2">
        <v>733398</v>
      </c>
      <c r="T1269" s="10">
        <f t="shared" si="67"/>
        <v>462227</v>
      </c>
      <c r="U1269" s="8">
        <f t="shared" si="68"/>
        <v>0.63025396851368565</v>
      </c>
      <c r="V1269" s="9" t="s">
        <v>5270</v>
      </c>
      <c r="W1269" s="9" t="str">
        <f t="shared" si="69"/>
        <v>Littlehampton UD</v>
      </c>
      <c r="X1269" s="9" t="str">
        <f>INDEX(Lookup!$A$2:$A$1349, MATCH(W1269, Lookup!$B$2:$B$1349,0))</f>
        <v>J04000753</v>
      </c>
      <c r="Y1269" s="9" t="str">
        <f>INDEX(Lookup!$F$2:$F$1349, MATCH(W1269, Lookup!$B$2:$B$1349,0))</f>
        <v>e381054</v>
      </c>
      <c r="Z1269" s="6" t="str">
        <f>INDEX(Lookup!$C$2:$C$1300, MATCH(X1269, Lookup!$A$2:$A$1300,0))</f>
        <v>West Sussex</v>
      </c>
    </row>
    <row r="1270" spans="1:26" ht="28.15" customHeight="1" x14ac:dyDescent="0.2">
      <c r="A1270" s="6" t="s">
        <v>1081</v>
      </c>
      <c r="B1270" s="1" t="s">
        <v>1081</v>
      </c>
      <c r="C1270" s="2">
        <v>2268</v>
      </c>
      <c r="D1270" s="2">
        <v>179500</v>
      </c>
      <c r="E1270" s="2">
        <v>3091</v>
      </c>
      <c r="F1270" s="2">
        <v>399346</v>
      </c>
      <c r="G1270" s="2">
        <v>260</v>
      </c>
      <c r="H1270" s="2">
        <v>62283</v>
      </c>
      <c r="I1270" s="2">
        <v>239</v>
      </c>
      <c r="J1270" s="2">
        <v>80364</v>
      </c>
      <c r="K1270" s="2">
        <v>51</v>
      </c>
      <c r="L1270" s="2">
        <v>9059</v>
      </c>
      <c r="M1270" s="2">
        <v>454</v>
      </c>
      <c r="N1270" s="2">
        <v>57646</v>
      </c>
      <c r="O1270" s="2">
        <v>47</v>
      </c>
      <c r="P1270" s="2">
        <v>142120</v>
      </c>
      <c r="Q1270" s="2">
        <v>6967</v>
      </c>
      <c r="R1270" s="2">
        <v>104185</v>
      </c>
      <c r="S1270" s="2">
        <v>1041470</v>
      </c>
      <c r="T1270" s="10">
        <f t="shared" si="67"/>
        <v>641129</v>
      </c>
      <c r="U1270" s="8">
        <f t="shared" si="68"/>
        <v>0.61560006529232714</v>
      </c>
      <c r="V1270" s="9" t="s">
        <v>5270</v>
      </c>
      <c r="W1270" s="9" t="str">
        <f t="shared" si="69"/>
        <v>Shoreham-by-Sea UD</v>
      </c>
      <c r="X1270" s="9" t="str">
        <f>INDEX(Lookup!$A$2:$A$1349, MATCH(W1270, Lookup!$B$2:$B$1349,0))</f>
        <v>J04001139</v>
      </c>
      <c r="Y1270" s="9" t="str">
        <f>INDEX(Lookup!$F$2:$F$1349, MATCH(W1270, Lookup!$B$2:$B$1349,0))</f>
        <v>e381055</v>
      </c>
      <c r="Z1270" s="6" t="str">
        <f>INDEX(Lookup!$C$2:$C$1300, MATCH(X1270, Lookup!$A$2:$A$1300,0))</f>
        <v>West Sussex</v>
      </c>
    </row>
    <row r="1271" spans="1:26" ht="28.15" customHeight="1" x14ac:dyDescent="0.2">
      <c r="A1271" s="6" t="s">
        <v>1082</v>
      </c>
      <c r="B1271" s="1" t="s">
        <v>1082</v>
      </c>
      <c r="C1271" s="2">
        <v>1509</v>
      </c>
      <c r="D1271" s="2">
        <v>114853</v>
      </c>
      <c r="E1271" s="2">
        <v>2584</v>
      </c>
      <c r="F1271" s="2">
        <v>324294</v>
      </c>
      <c r="G1271" s="2">
        <v>51</v>
      </c>
      <c r="H1271" s="2">
        <v>11525</v>
      </c>
      <c r="I1271" s="2">
        <v>175</v>
      </c>
      <c r="J1271" s="2">
        <v>38827</v>
      </c>
      <c r="K1271" s="2">
        <v>21</v>
      </c>
      <c r="L1271" s="2">
        <v>5089</v>
      </c>
      <c r="M1271" s="2">
        <v>337</v>
      </c>
      <c r="N1271" s="2">
        <v>26302</v>
      </c>
      <c r="O1271" s="2">
        <v>22</v>
      </c>
      <c r="P1271" s="2">
        <v>69465</v>
      </c>
      <c r="Q1271" s="2">
        <v>459</v>
      </c>
      <c r="R1271" s="2">
        <v>287469</v>
      </c>
      <c r="S1271" s="2">
        <v>878283</v>
      </c>
      <c r="T1271" s="10">
        <f t="shared" si="67"/>
        <v>450672</v>
      </c>
      <c r="U1271" s="8">
        <f t="shared" si="68"/>
        <v>0.51312845631761062</v>
      </c>
      <c r="V1271" s="9" t="s">
        <v>5270</v>
      </c>
      <c r="W1271" s="9" t="str">
        <f t="shared" si="69"/>
        <v>Southwick UD</v>
      </c>
      <c r="X1271" s="9" t="str">
        <f>INDEX(Lookup!$A$2:$A$1349, MATCH(W1271, Lookup!$B$2:$B$1349,0))</f>
        <v>J04001171</v>
      </c>
      <c r="Y1271" s="9" t="str">
        <f>INDEX(Lookup!$F$2:$F$1349, MATCH(W1271, Lookup!$B$2:$B$1349,0))</f>
        <v>e381056</v>
      </c>
      <c r="Z1271" s="6" t="str">
        <f>INDEX(Lookup!$C$2:$C$1300, MATCH(X1271, Lookup!$A$2:$A$1300,0))</f>
        <v>West Sussex</v>
      </c>
    </row>
    <row r="1272" spans="1:26" ht="28.15" customHeight="1" x14ac:dyDescent="0.2">
      <c r="A1272" s="6" t="s">
        <v>1083</v>
      </c>
      <c r="B1272" s="1" t="s">
        <v>1083</v>
      </c>
      <c r="T1272" s="10"/>
      <c r="W1272" s="9" t="str">
        <f t="shared" si="69"/>
        <v xml:space="preserve">Rural Distircts-- </v>
      </c>
      <c r="X1272" s="9" t="e">
        <f>INDEX(Lookup!$A$2:$A$1349, MATCH(W1272, Lookup!$B$2:$B$1349,0))</f>
        <v>#N/A</v>
      </c>
      <c r="Y1272" s="9" t="e">
        <f>INDEX(Lookup!$F$2:$F$1349, MATCH(W1272, Lookup!$B$2:$B$1349,0))</f>
        <v>#N/A</v>
      </c>
      <c r="Z1272" s="6" t="e">
        <f>INDEX(Lookup!$C$2:$C$1300, MATCH(X1272, Lookup!$A$2:$A$1300,0))</f>
        <v>#N/A</v>
      </c>
    </row>
    <row r="1273" spans="1:26" ht="28.15" customHeight="1" x14ac:dyDescent="0.2">
      <c r="A1273" s="6" t="s">
        <v>1084</v>
      </c>
      <c r="B1273" s="1" t="s">
        <v>1084</v>
      </c>
      <c r="C1273" s="2">
        <v>4874</v>
      </c>
      <c r="D1273" s="2">
        <v>311667</v>
      </c>
      <c r="E1273" s="2">
        <v>2161</v>
      </c>
      <c r="F1273" s="2">
        <v>281604</v>
      </c>
      <c r="G1273" s="2">
        <v>215</v>
      </c>
      <c r="H1273" s="2">
        <v>56496</v>
      </c>
      <c r="I1273" s="2">
        <v>284</v>
      </c>
      <c r="J1273" s="2">
        <v>57202</v>
      </c>
      <c r="K1273" s="2">
        <v>30</v>
      </c>
      <c r="L1273" s="2">
        <v>3862</v>
      </c>
      <c r="M1273" s="2">
        <v>522</v>
      </c>
      <c r="N1273" s="2">
        <v>43363</v>
      </c>
      <c r="O1273" s="2">
        <v>21</v>
      </c>
      <c r="P1273" s="2">
        <v>27525</v>
      </c>
      <c r="Q1273" s="2">
        <v>2162</v>
      </c>
      <c r="R1273" s="2">
        <v>277922</v>
      </c>
      <c r="S1273" s="2">
        <v>1061803</v>
      </c>
      <c r="T1273" s="10">
        <f t="shared" si="67"/>
        <v>649767</v>
      </c>
      <c r="U1273" s="8">
        <f t="shared" si="68"/>
        <v>0.61194684889758266</v>
      </c>
      <c r="V1273" s="9" t="s">
        <v>5271</v>
      </c>
      <c r="W1273" s="9" t="str">
        <f t="shared" si="69"/>
        <v>Chanctonbury RD</v>
      </c>
      <c r="X1273" s="9" t="str">
        <f>INDEX(Lookup!$A$2:$A$1349, MATCH(W1273, Lookup!$B$2:$B$1349,0))</f>
        <v>J04000279</v>
      </c>
      <c r="Y1273" s="9" t="str">
        <f>INDEX(Lookup!$F$2:$F$1349, MATCH(W1273, Lookup!$B$2:$B$1349,0))</f>
        <v>e381058</v>
      </c>
      <c r="Z1273" s="6" t="str">
        <f>INDEX(Lookup!$C$2:$C$1300, MATCH(X1273, Lookup!$A$2:$A$1300,0))</f>
        <v>West Sussex</v>
      </c>
    </row>
    <row r="1274" spans="1:26" ht="28.15" customHeight="1" x14ac:dyDescent="0.2">
      <c r="A1274" s="6" t="s">
        <v>1075</v>
      </c>
      <c r="B1274" s="1" t="s">
        <v>1075</v>
      </c>
      <c r="C1274" s="2">
        <v>10013</v>
      </c>
      <c r="D1274" s="2">
        <v>661340</v>
      </c>
      <c r="E1274" s="2">
        <v>5425</v>
      </c>
      <c r="F1274" s="2">
        <v>700816</v>
      </c>
      <c r="G1274" s="2">
        <v>630</v>
      </c>
      <c r="H1274" s="2">
        <v>161506</v>
      </c>
      <c r="I1274" s="2">
        <v>451</v>
      </c>
      <c r="J1274" s="2">
        <v>57708</v>
      </c>
      <c r="K1274" s="2">
        <v>71</v>
      </c>
      <c r="L1274" s="2">
        <v>6651</v>
      </c>
      <c r="M1274" s="2">
        <v>836</v>
      </c>
      <c r="N1274" s="2">
        <v>194873</v>
      </c>
      <c r="O1274" s="2">
        <v>68</v>
      </c>
      <c r="P1274" s="2">
        <v>56349</v>
      </c>
      <c r="Q1274" s="2">
        <v>79235</v>
      </c>
      <c r="R1274" s="2">
        <v>312235</v>
      </c>
      <c r="S1274" s="2">
        <v>2230713</v>
      </c>
      <c r="T1274" s="10">
        <f t="shared" si="67"/>
        <v>1523662</v>
      </c>
      <c r="U1274" s="8">
        <f t="shared" si="68"/>
        <v>0.68303811382280011</v>
      </c>
      <c r="V1274" s="9" t="s">
        <v>5271</v>
      </c>
      <c r="W1274" s="9" t="str">
        <f t="shared" si="69"/>
        <v>Chichester RD</v>
      </c>
      <c r="X1274" s="9" t="str">
        <f>INDEX(Lookup!$A$2:$A$1349, MATCH(W1274, Lookup!$B$2:$B$1349,0))</f>
        <v>J04000306</v>
      </c>
      <c r="Y1274" s="9" t="str">
        <f>INDEX(Lookup!$F$2:$F$1349, MATCH(W1274, Lookup!$B$2:$B$1349,0))</f>
        <v>e381059</v>
      </c>
      <c r="Z1274" s="6" t="str">
        <f>INDEX(Lookup!$C$2:$C$1300, MATCH(X1274, Lookup!$A$2:$A$1300,0))</f>
        <v>West Sussex</v>
      </c>
    </row>
    <row r="1275" spans="1:26" ht="28.15" customHeight="1" x14ac:dyDescent="0.2">
      <c r="A1275" s="6" t="s">
        <v>1079</v>
      </c>
      <c r="B1275" s="1" t="s">
        <v>1079</v>
      </c>
      <c r="C1275" s="2">
        <v>4225</v>
      </c>
      <c r="D1275" s="2">
        <v>264377</v>
      </c>
      <c r="E1275" s="2">
        <v>1736</v>
      </c>
      <c r="F1275" s="2">
        <v>222720</v>
      </c>
      <c r="G1275" s="2">
        <v>262</v>
      </c>
      <c r="H1275" s="2">
        <v>72345</v>
      </c>
      <c r="I1275" s="2">
        <v>147</v>
      </c>
      <c r="J1275" s="2">
        <v>22694</v>
      </c>
      <c r="K1275" s="2">
        <v>16</v>
      </c>
      <c r="L1275" s="2">
        <v>3524</v>
      </c>
      <c r="M1275" s="2">
        <v>449</v>
      </c>
      <c r="N1275" s="2">
        <v>39994</v>
      </c>
      <c r="O1275" s="2">
        <v>24</v>
      </c>
      <c r="P1275" s="2">
        <v>20791</v>
      </c>
      <c r="Q1275" s="2">
        <v>5771</v>
      </c>
      <c r="R1275" s="2">
        <v>208138</v>
      </c>
      <c r="S1275" s="2">
        <v>860354</v>
      </c>
      <c r="T1275" s="10">
        <f t="shared" si="67"/>
        <v>559442</v>
      </c>
      <c r="U1275" s="8">
        <f t="shared" si="68"/>
        <v>0.65024629396736688</v>
      </c>
      <c r="V1275" s="9" t="s">
        <v>5271</v>
      </c>
      <c r="W1275" s="9" t="str">
        <f t="shared" si="69"/>
        <v>Horsham RD</v>
      </c>
      <c r="X1275" s="9" t="str">
        <f>INDEX(Lookup!$A$2:$A$1349, MATCH(W1275, Lookup!$B$2:$B$1349,0))</f>
        <v>J04000648</v>
      </c>
      <c r="Y1275" s="9" t="str">
        <f>INDEX(Lookup!$F$2:$F$1349, MATCH(W1275, Lookup!$B$2:$B$1349,0))</f>
        <v>e381060</v>
      </c>
      <c r="Z1275" s="6" t="str">
        <f>INDEX(Lookup!$C$2:$C$1300, MATCH(X1275, Lookup!$A$2:$A$1300,0))</f>
        <v>West Sussex</v>
      </c>
    </row>
    <row r="1276" spans="1:26" ht="28.15" customHeight="1" x14ac:dyDescent="0.2">
      <c r="A1276" s="6" t="s">
        <v>1085</v>
      </c>
      <c r="B1276" s="1" t="s">
        <v>1085</v>
      </c>
      <c r="C1276" s="2">
        <v>3705</v>
      </c>
      <c r="D1276" s="2">
        <v>203556</v>
      </c>
      <c r="E1276" s="2">
        <v>963</v>
      </c>
      <c r="F1276" s="2">
        <v>132065</v>
      </c>
      <c r="G1276" s="2">
        <v>337</v>
      </c>
      <c r="H1276" s="2">
        <v>97301</v>
      </c>
      <c r="I1276" s="2">
        <v>162</v>
      </c>
      <c r="J1276" s="2">
        <v>22704</v>
      </c>
      <c r="K1276" s="2">
        <v>33</v>
      </c>
      <c r="L1276" s="2">
        <v>3026</v>
      </c>
      <c r="M1276" s="2">
        <v>446</v>
      </c>
      <c r="N1276" s="2">
        <v>23110</v>
      </c>
      <c r="O1276" s="2">
        <v>26</v>
      </c>
      <c r="P1276" s="2">
        <v>12932</v>
      </c>
      <c r="Q1276" s="2">
        <v>2163</v>
      </c>
      <c r="R1276" s="2">
        <v>146675</v>
      </c>
      <c r="S1276" s="2">
        <v>643532</v>
      </c>
      <c r="T1276" s="10">
        <f t="shared" si="67"/>
        <v>432922</v>
      </c>
      <c r="U1276" s="8">
        <f t="shared" si="68"/>
        <v>0.67272800730965987</v>
      </c>
      <c r="V1276" s="9" t="s">
        <v>5271</v>
      </c>
      <c r="W1276" s="9" t="str">
        <f t="shared" si="69"/>
        <v>Midhurst RD</v>
      </c>
      <c r="X1276" s="9" t="str">
        <f>INDEX(Lookup!$A$2:$A$1349, MATCH(W1276, Lookup!$B$2:$B$1349,0))</f>
        <v>J04000855</v>
      </c>
      <c r="Y1276" s="9" t="str">
        <f>INDEX(Lookup!$F$2:$F$1349, MATCH(W1276, Lookup!$B$2:$B$1349,0))</f>
        <v>e381061</v>
      </c>
      <c r="Z1276" s="6" t="str">
        <f>INDEX(Lookup!$C$2:$C$1300, MATCH(X1276, Lookup!$A$2:$A$1300,0))</f>
        <v>West Sussex</v>
      </c>
    </row>
    <row r="1277" spans="1:26" ht="28.15" customHeight="1" x14ac:dyDescent="0.2">
      <c r="A1277" s="6" t="s">
        <v>1086</v>
      </c>
      <c r="B1277" s="1" t="s">
        <v>1086</v>
      </c>
      <c r="C1277" s="2">
        <v>2026</v>
      </c>
      <c r="D1277" s="2">
        <v>113985</v>
      </c>
      <c r="E1277" s="2">
        <v>545</v>
      </c>
      <c r="F1277" s="2">
        <v>71787</v>
      </c>
      <c r="G1277" s="2">
        <v>113</v>
      </c>
      <c r="H1277" s="2">
        <v>32164</v>
      </c>
      <c r="I1277" s="2">
        <v>104</v>
      </c>
      <c r="J1277" s="2">
        <v>13279</v>
      </c>
      <c r="K1277" s="2">
        <v>13</v>
      </c>
      <c r="L1277" s="2">
        <v>1493</v>
      </c>
      <c r="M1277" s="2">
        <v>274</v>
      </c>
      <c r="N1277" s="2">
        <v>20366</v>
      </c>
      <c r="O1277" s="2">
        <v>5</v>
      </c>
      <c r="P1277" s="2">
        <v>4838</v>
      </c>
      <c r="Q1277" s="2">
        <v>1230</v>
      </c>
      <c r="R1277" s="2">
        <v>68144</v>
      </c>
      <c r="S1277" s="2">
        <v>327286</v>
      </c>
      <c r="T1277" s="10">
        <f t="shared" si="67"/>
        <v>217936</v>
      </c>
      <c r="U1277" s="8">
        <f t="shared" si="68"/>
        <v>0.66588855007546921</v>
      </c>
      <c r="V1277" s="9" t="s">
        <v>5271</v>
      </c>
      <c r="W1277" s="9" t="str">
        <f t="shared" si="69"/>
        <v>Petworth RD</v>
      </c>
      <c r="X1277" s="9" t="str">
        <f>INDEX(Lookup!$A$2:$A$1349, MATCH(W1277, Lookup!$B$2:$B$1349,0))</f>
        <v>J04000991</v>
      </c>
      <c r="Y1277" s="9" t="str">
        <f>INDEX(Lookup!$F$2:$F$1349, MATCH(W1277, Lookup!$B$2:$B$1349,0))</f>
        <v>e381062</v>
      </c>
      <c r="Z1277" s="6" t="str">
        <f>INDEX(Lookup!$C$2:$C$1300, MATCH(X1277, Lookup!$A$2:$A$1300,0))</f>
        <v>West Sussex</v>
      </c>
    </row>
    <row r="1278" spans="1:26" ht="28.15" customHeight="1" x14ac:dyDescent="0.2">
      <c r="A1278" s="6" t="s">
        <v>1076</v>
      </c>
      <c r="B1278" s="1" t="s">
        <v>1076</v>
      </c>
      <c r="C1278" s="2">
        <v>9161</v>
      </c>
      <c r="D1278" s="2">
        <v>705199</v>
      </c>
      <c r="E1278" s="2">
        <v>6074</v>
      </c>
      <c r="F1278" s="2">
        <v>764924</v>
      </c>
      <c r="G1278" s="2">
        <v>476</v>
      </c>
      <c r="H1278" s="2">
        <v>126212</v>
      </c>
      <c r="I1278" s="2">
        <v>497</v>
      </c>
      <c r="J1278" s="2">
        <v>96138</v>
      </c>
      <c r="K1278" s="2">
        <v>87</v>
      </c>
      <c r="L1278" s="2">
        <v>11502</v>
      </c>
      <c r="M1278" s="2">
        <v>1196</v>
      </c>
      <c r="N1278" s="2">
        <v>81947</v>
      </c>
      <c r="O1278" s="2">
        <v>43</v>
      </c>
      <c r="P1278" s="2">
        <v>62080</v>
      </c>
      <c r="Q1278" s="2">
        <v>2145</v>
      </c>
      <c r="R1278" s="2">
        <v>146003</v>
      </c>
      <c r="S1278" s="2">
        <v>1996150</v>
      </c>
      <c r="T1278" s="10">
        <f t="shared" si="67"/>
        <v>1596335</v>
      </c>
      <c r="U1278" s="8">
        <f t="shared" si="68"/>
        <v>0.7997069358515142</v>
      </c>
      <c r="V1278" s="9" t="s">
        <v>5271</v>
      </c>
      <c r="W1278" s="9" t="str">
        <f t="shared" si="69"/>
        <v>Worthing RD</v>
      </c>
      <c r="X1278" s="9" t="str">
        <f>INDEX(Lookup!$A$2:$A$1349, MATCH(W1278, Lookup!$B$2:$B$1349,0))</f>
        <v>J04001457</v>
      </c>
      <c r="Y1278" s="9" t="str">
        <f>INDEX(Lookup!$F$2:$F$1349, MATCH(W1278, Lookup!$B$2:$B$1349,0))</f>
        <v>e381063</v>
      </c>
      <c r="Z1278" s="6" t="str">
        <f>INDEX(Lookup!$C$2:$C$1300, MATCH(X1278, Lookup!$A$2:$A$1300,0))</f>
        <v>West Sussex</v>
      </c>
    </row>
    <row r="1279" spans="1:26" ht="28.15" customHeight="1" x14ac:dyDescent="0.2">
      <c r="A1279" s="6" t="s">
        <v>1087</v>
      </c>
      <c r="B1279" s="1" t="s">
        <v>1087</v>
      </c>
      <c r="T1279" s="10"/>
      <c r="W1279" s="9" t="str">
        <f t="shared" si="69"/>
        <v xml:space="preserve">WARWICKSHIRE: </v>
      </c>
      <c r="X1279" s="9" t="e">
        <f>INDEX(Lookup!$A$2:$A$1349, MATCH(W1279, Lookup!$B$2:$B$1349,0))</f>
        <v>#N/A</v>
      </c>
      <c r="Y1279" s="9" t="e">
        <f>INDEX(Lookup!$F$2:$F$1349, MATCH(W1279, Lookup!$B$2:$B$1349,0))</f>
        <v>#N/A</v>
      </c>
      <c r="Z1279" s="6" t="e">
        <f>INDEX(Lookup!$C$2:$C$1300, MATCH(X1279, Lookup!$A$2:$A$1300,0))</f>
        <v>#N/A</v>
      </c>
    </row>
    <row r="1280" spans="1:26" ht="28.15" customHeight="1" x14ac:dyDescent="0.2">
      <c r="A1280" s="6" t="s">
        <v>175</v>
      </c>
      <c r="B1280" s="1" t="s">
        <v>175</v>
      </c>
      <c r="T1280" s="10"/>
      <c r="W1280" s="9" t="str">
        <f t="shared" si="69"/>
        <v xml:space="preserve">Non-County Boroughs-- </v>
      </c>
      <c r="X1280" s="9" t="e">
        <f>INDEX(Lookup!$A$2:$A$1349, MATCH(W1280, Lookup!$B$2:$B$1349,0))</f>
        <v>#N/A</v>
      </c>
      <c r="Y1280" s="9" t="e">
        <f>INDEX(Lookup!$F$2:$F$1349, MATCH(W1280, Lookup!$B$2:$B$1349,0))</f>
        <v>#N/A</v>
      </c>
      <c r="Z1280" s="6" t="e">
        <f>INDEX(Lookup!$C$2:$C$1300, MATCH(X1280, Lookup!$A$2:$A$1300,0))</f>
        <v>#N/A</v>
      </c>
    </row>
    <row r="1281" spans="1:26" ht="28.15" customHeight="1" x14ac:dyDescent="0.2">
      <c r="A1281" s="6" t="s">
        <v>1088</v>
      </c>
      <c r="B1281" s="1" t="s">
        <v>5448</v>
      </c>
      <c r="C1281" s="2">
        <v>10737</v>
      </c>
      <c r="D1281" s="2">
        <v>644689</v>
      </c>
      <c r="E1281" s="2">
        <v>1895</v>
      </c>
      <c r="F1281" s="2">
        <v>248273</v>
      </c>
      <c r="G1281" s="2">
        <v>130</v>
      </c>
      <c r="H1281" s="2">
        <v>30850</v>
      </c>
      <c r="I1281" s="2">
        <v>757</v>
      </c>
      <c r="J1281" s="2">
        <v>320365</v>
      </c>
      <c r="K1281" s="2">
        <v>185</v>
      </c>
      <c r="L1281" s="2">
        <v>39998</v>
      </c>
      <c r="M1281" s="2">
        <v>2053</v>
      </c>
      <c r="N1281" s="2">
        <v>125409</v>
      </c>
      <c r="O1281" s="2">
        <v>91</v>
      </c>
      <c r="P1281" s="2">
        <v>210526</v>
      </c>
      <c r="Q1281" s="2">
        <v>14756</v>
      </c>
      <c r="R1281" s="2">
        <v>180730</v>
      </c>
      <c r="S1281" s="2">
        <v>1815596</v>
      </c>
      <c r="T1281" s="10">
        <f t="shared" si="67"/>
        <v>923812</v>
      </c>
      <c r="U1281" s="8">
        <f t="shared" si="68"/>
        <v>0.50882024415123184</v>
      </c>
      <c r="V1281" s="9" t="s">
        <v>5268</v>
      </c>
      <c r="W1281" s="9" t="str">
        <f t="shared" si="69"/>
        <v>Royal Leamington Spa MB</v>
      </c>
      <c r="X1281" s="9" t="str">
        <f>INDEX(Lookup!$A$2:$A$1349, MATCH(W1281, Lookup!$B$2:$B$1349,0))</f>
        <v>J04001072</v>
      </c>
      <c r="Y1281" s="9" t="str">
        <f>INDEX(Lookup!$F$2:$F$1349, MATCH(W1281, Lookup!$B$2:$B$1349,0))</f>
        <v>e391072</v>
      </c>
      <c r="Z1281" s="6" t="str">
        <f>INDEX(Lookup!$C$2:$C$1300, MATCH(X1281, Lookup!$A$2:$A$1300,0))</f>
        <v>Warwickshire</v>
      </c>
    </row>
    <row r="1282" spans="1:26" ht="28.15" customHeight="1" x14ac:dyDescent="0.2">
      <c r="A1282" s="6" t="s">
        <v>1089</v>
      </c>
      <c r="B1282" s="1" t="s">
        <v>1089</v>
      </c>
      <c r="C1282" s="2">
        <v>17194</v>
      </c>
      <c r="D1282" s="2">
        <v>938321</v>
      </c>
      <c r="E1282" s="2">
        <v>738</v>
      </c>
      <c r="F1282" s="2">
        <v>91327</v>
      </c>
      <c r="G1282" s="2">
        <v>16</v>
      </c>
      <c r="H1282" s="2">
        <v>3881</v>
      </c>
      <c r="I1282" s="2">
        <v>770</v>
      </c>
      <c r="J1282" s="2">
        <v>251836</v>
      </c>
      <c r="K1282" s="2">
        <v>141</v>
      </c>
      <c r="L1282" s="2">
        <v>22001</v>
      </c>
      <c r="M1282" s="2">
        <v>2307</v>
      </c>
      <c r="N1282" s="2">
        <v>114045</v>
      </c>
      <c r="O1282" s="2">
        <v>112</v>
      </c>
      <c r="P1282" s="2">
        <v>342990</v>
      </c>
      <c r="Q1282" s="2">
        <v>11322</v>
      </c>
      <c r="R1282" s="2">
        <v>249655</v>
      </c>
      <c r="S1282" s="2">
        <v>2025378</v>
      </c>
      <c r="T1282" s="10">
        <f t="shared" si="67"/>
        <v>1033529</v>
      </c>
      <c r="U1282" s="8">
        <f t="shared" si="68"/>
        <v>0.51028943732972309</v>
      </c>
      <c r="V1282" s="9" t="s">
        <v>5268</v>
      </c>
      <c r="W1282" s="9" t="str">
        <f t="shared" si="69"/>
        <v>Nuneaton MB</v>
      </c>
      <c r="X1282" s="9" t="str">
        <f>INDEX(Lookup!$A$2:$A$1349, MATCH(W1282, Lookup!$B$2:$B$1349,0))</f>
        <v>J04000943</v>
      </c>
      <c r="Y1282" s="9" t="str">
        <f>INDEX(Lookup!$F$2:$F$1349, MATCH(W1282, Lookup!$B$2:$B$1349,0))</f>
        <v>e391071</v>
      </c>
      <c r="Z1282" s="6" t="str">
        <f>INDEX(Lookup!$C$2:$C$1300, MATCH(X1282, Lookup!$A$2:$A$1300,0))</f>
        <v>Warwickshire</v>
      </c>
    </row>
    <row r="1283" spans="1:26" ht="28.15" customHeight="1" x14ac:dyDescent="0.2">
      <c r="A1283" s="6" t="s">
        <v>1090</v>
      </c>
      <c r="B1283" s="1" t="s">
        <v>1090</v>
      </c>
      <c r="C1283" s="2">
        <v>15219</v>
      </c>
      <c r="D1283" s="2">
        <v>933819</v>
      </c>
      <c r="E1283" s="2">
        <v>1062</v>
      </c>
      <c r="F1283" s="2">
        <v>132059</v>
      </c>
      <c r="G1283" s="2">
        <v>44</v>
      </c>
      <c r="H1283" s="2">
        <v>10616</v>
      </c>
      <c r="I1283" s="2">
        <v>687</v>
      </c>
      <c r="J1283" s="2">
        <v>232351</v>
      </c>
      <c r="K1283" s="2">
        <v>158</v>
      </c>
      <c r="L1283" s="2">
        <v>35194</v>
      </c>
      <c r="M1283" s="2">
        <v>1998</v>
      </c>
      <c r="N1283" s="2">
        <v>89551</v>
      </c>
      <c r="O1283" s="2">
        <v>43</v>
      </c>
      <c r="P1283" s="2">
        <v>355169</v>
      </c>
      <c r="Q1283" s="2">
        <v>8358</v>
      </c>
      <c r="R1283" s="2">
        <v>268764</v>
      </c>
      <c r="S1283" s="2">
        <v>2065881</v>
      </c>
      <c r="T1283" s="10">
        <f t="shared" si="67"/>
        <v>1076494</v>
      </c>
      <c r="U1283" s="8">
        <f t="shared" si="68"/>
        <v>0.52108228886368579</v>
      </c>
      <c r="V1283" s="9" t="s">
        <v>5268</v>
      </c>
      <c r="W1283" s="9" t="str">
        <f t="shared" si="69"/>
        <v>Rugby MB</v>
      </c>
      <c r="X1283" s="9" t="str">
        <f>INDEX(Lookup!$A$2:$A$1349, MATCH(W1283, Lookup!$B$2:$B$1349,0))</f>
        <v>J04001077</v>
      </c>
      <c r="Y1283" s="9" t="str">
        <f>INDEX(Lookup!$F$2:$F$1349, MATCH(W1283, Lookup!$B$2:$B$1349,0))</f>
        <v>e391073</v>
      </c>
      <c r="Z1283" s="6" t="str">
        <f>INDEX(Lookup!$C$2:$C$1300, MATCH(X1283, Lookup!$A$2:$A$1300,0))</f>
        <v>Warwickshire</v>
      </c>
    </row>
    <row r="1284" spans="1:26" ht="28.15" customHeight="1" x14ac:dyDescent="0.2">
      <c r="A1284" s="6" t="s">
        <v>1091</v>
      </c>
      <c r="B1284" s="1" t="s">
        <v>1091</v>
      </c>
      <c r="C1284" s="2">
        <v>20741</v>
      </c>
      <c r="D1284" s="2">
        <v>1502473</v>
      </c>
      <c r="E1284" s="2">
        <v>9643</v>
      </c>
      <c r="F1284" s="2">
        <v>1250773</v>
      </c>
      <c r="G1284" s="2">
        <v>785</v>
      </c>
      <c r="H1284" s="2">
        <v>200124</v>
      </c>
      <c r="I1284" s="2">
        <v>885</v>
      </c>
      <c r="J1284" s="2">
        <v>367691</v>
      </c>
      <c r="K1284" s="2">
        <v>178</v>
      </c>
      <c r="L1284" s="2">
        <v>39928</v>
      </c>
      <c r="M1284" s="2">
        <v>2022</v>
      </c>
      <c r="N1284" s="2">
        <v>142258</v>
      </c>
      <c r="O1284" s="2">
        <v>71</v>
      </c>
      <c r="P1284" s="2">
        <v>455613</v>
      </c>
      <c r="Q1284" s="2">
        <v>15777</v>
      </c>
      <c r="R1284" s="2">
        <v>374260</v>
      </c>
      <c r="S1284" s="2">
        <v>4348897</v>
      </c>
      <c r="T1284" s="10">
        <f t="shared" ref="T1284:T1347" si="70">SUM(D1284+F1284+H1284)</f>
        <v>2953370</v>
      </c>
      <c r="U1284" s="8">
        <f t="shared" ref="U1284:U1347" si="71">T1284/S1284</f>
        <v>0.67910782895065114</v>
      </c>
      <c r="V1284" s="9" t="s">
        <v>5268</v>
      </c>
      <c r="W1284" s="9" t="str">
        <f t="shared" ref="W1284:W1347" si="72">_xlfn.CONCAT(B1284," ",V1284)</f>
        <v>Solihull MB</v>
      </c>
      <c r="X1284" s="9" t="str">
        <f>INDEX(Lookup!$A$2:$A$1349, MATCH(W1284, Lookup!$B$2:$B$1349,0))</f>
        <v>J04001154</v>
      </c>
      <c r="Y1284" s="9" t="str">
        <f>INDEX(Lookup!$F$2:$F$1349, MATCH(W1284, Lookup!$B$2:$B$1349,0))</f>
        <v>e391068</v>
      </c>
      <c r="Z1284" s="6" t="str">
        <f>INDEX(Lookup!$C$2:$C$1300, MATCH(X1284, Lookup!$A$2:$A$1300,0))</f>
        <v>West Midlands</v>
      </c>
    </row>
    <row r="1285" spans="1:26" ht="28.15" customHeight="1" x14ac:dyDescent="0.2">
      <c r="A1285" s="6" t="s">
        <v>1092</v>
      </c>
      <c r="B1285" s="1" t="s">
        <v>5449</v>
      </c>
      <c r="C1285" s="2">
        <v>4256</v>
      </c>
      <c r="D1285" s="2">
        <v>257682</v>
      </c>
      <c r="E1285" s="2">
        <v>1106</v>
      </c>
      <c r="F1285" s="2">
        <v>14362</v>
      </c>
      <c r="G1285" s="2">
        <v>121</v>
      </c>
      <c r="H1285" s="2">
        <v>34688</v>
      </c>
      <c r="I1285" s="2">
        <v>307</v>
      </c>
      <c r="J1285" s="2">
        <v>169919</v>
      </c>
      <c r="K1285" s="2">
        <v>108</v>
      </c>
      <c r="L1285" s="2">
        <v>32048</v>
      </c>
      <c r="M1285" s="2">
        <v>582</v>
      </c>
      <c r="N1285" s="2">
        <v>93918</v>
      </c>
      <c r="O1285" s="2">
        <v>51</v>
      </c>
      <c r="P1285" s="2">
        <v>109224</v>
      </c>
      <c r="Q1285" s="2">
        <v>12931</v>
      </c>
      <c r="R1285" s="2">
        <v>89186</v>
      </c>
      <c r="S1285" s="2">
        <v>941958</v>
      </c>
      <c r="T1285" s="10">
        <f t="shared" si="70"/>
        <v>306732</v>
      </c>
      <c r="U1285" s="8">
        <f t="shared" si="71"/>
        <v>0.32563235303484867</v>
      </c>
      <c r="V1285" s="9" t="s">
        <v>5268</v>
      </c>
      <c r="W1285" s="9" t="str">
        <f t="shared" si="72"/>
        <v>Stratford upon Avon MB</v>
      </c>
      <c r="X1285" s="9" t="str">
        <f>INDEX(Lookup!$A$2:$A$1349, MATCH(W1285, Lookup!$B$2:$B$1349,0))</f>
        <v>J04001220</v>
      </c>
      <c r="Y1285" s="9" t="str">
        <f>INDEX(Lookup!$F$2:$F$1349, MATCH(W1285, Lookup!$B$2:$B$1349,0))</f>
        <v>e391087</v>
      </c>
      <c r="Z1285" s="6" t="str">
        <f>INDEX(Lookup!$C$2:$C$1300, MATCH(X1285, Lookup!$A$2:$A$1300,0))</f>
        <v>Warwickshire</v>
      </c>
    </row>
    <row r="1286" spans="1:26" ht="28.15" customHeight="1" x14ac:dyDescent="0.2">
      <c r="A1286" s="6" t="s">
        <v>1093</v>
      </c>
      <c r="B1286" s="1" t="s">
        <v>1093</v>
      </c>
      <c r="C1286" s="2">
        <v>14606</v>
      </c>
      <c r="D1286" s="2">
        <v>1061463</v>
      </c>
      <c r="E1286" s="2">
        <v>8737</v>
      </c>
      <c r="F1286" s="2">
        <v>1105567</v>
      </c>
      <c r="G1286" s="2">
        <v>615</v>
      </c>
      <c r="H1286" s="2">
        <v>161844</v>
      </c>
      <c r="I1286" s="2">
        <v>692</v>
      </c>
      <c r="J1286" s="2">
        <v>299740</v>
      </c>
      <c r="K1286" s="2">
        <v>135</v>
      </c>
      <c r="L1286" s="2">
        <v>24164</v>
      </c>
      <c r="M1286" s="2">
        <v>1660</v>
      </c>
      <c r="N1286" s="2">
        <v>127735</v>
      </c>
      <c r="O1286" s="2">
        <v>72</v>
      </c>
      <c r="P1286" s="2">
        <v>129574</v>
      </c>
      <c r="Q1286" s="2">
        <v>19199</v>
      </c>
      <c r="R1286" s="2">
        <v>334181</v>
      </c>
      <c r="S1286" s="2">
        <v>3263467</v>
      </c>
      <c r="T1286" s="10">
        <f t="shared" si="70"/>
        <v>2328874</v>
      </c>
      <c r="U1286" s="8">
        <f t="shared" si="71"/>
        <v>0.71361959535671726</v>
      </c>
      <c r="V1286" s="9" t="s">
        <v>5268</v>
      </c>
      <c r="W1286" s="9" t="str">
        <f t="shared" si="72"/>
        <v>Sutton Coldfield MB</v>
      </c>
      <c r="X1286" s="9" t="str">
        <f>INDEX(Lookup!$A$2:$A$1349, MATCH(W1286, Lookup!$B$2:$B$1349,0))</f>
        <v>J04001235</v>
      </c>
      <c r="Y1286" s="9" t="str">
        <f>INDEX(Lookup!$F$2:$F$1349, MATCH(W1286, Lookup!$B$2:$B$1349,0))</f>
        <v>e391075</v>
      </c>
      <c r="Z1286" s="6" t="str">
        <f>INDEX(Lookup!$C$2:$C$1300, MATCH(X1286, Lookup!$A$2:$A$1300,0))</f>
        <v>West Midlands</v>
      </c>
    </row>
    <row r="1287" spans="1:26" ht="28.15" customHeight="1" x14ac:dyDescent="0.2">
      <c r="A1287" s="6" t="s">
        <v>1094</v>
      </c>
      <c r="B1287" s="1" t="s">
        <v>1094</v>
      </c>
      <c r="C1287" s="2">
        <v>4565</v>
      </c>
      <c r="D1287" s="2">
        <v>251680</v>
      </c>
      <c r="E1287" s="2">
        <v>425</v>
      </c>
      <c r="F1287" s="2">
        <v>53895</v>
      </c>
      <c r="G1287" s="2">
        <v>25</v>
      </c>
      <c r="H1287" s="2">
        <v>7886</v>
      </c>
      <c r="I1287" s="2">
        <v>281</v>
      </c>
      <c r="J1287" s="2">
        <v>61734</v>
      </c>
      <c r="K1287" s="2">
        <v>43</v>
      </c>
      <c r="L1287" s="2">
        <v>10000</v>
      </c>
      <c r="M1287" s="2">
        <v>716</v>
      </c>
      <c r="N1287" s="2">
        <v>54333</v>
      </c>
      <c r="O1287" s="2">
        <v>55</v>
      </c>
      <c r="P1287" s="2">
        <v>213720</v>
      </c>
      <c r="Q1287" s="2">
        <v>6951</v>
      </c>
      <c r="R1287" s="2">
        <v>145412</v>
      </c>
      <c r="S1287" s="2">
        <v>805611</v>
      </c>
      <c r="T1287" s="10">
        <f t="shared" si="70"/>
        <v>313461</v>
      </c>
      <c r="U1287" s="8">
        <f t="shared" si="71"/>
        <v>0.3890972193775904</v>
      </c>
      <c r="V1287" s="9" t="s">
        <v>5268</v>
      </c>
      <c r="W1287" s="9" t="str">
        <f t="shared" si="72"/>
        <v>Warwick MB</v>
      </c>
      <c r="X1287" s="9" t="str">
        <f>INDEX(Lookup!$A$2:$A$1349, MATCH(W1287, Lookup!$B$2:$B$1349,0))</f>
        <v>J04001349</v>
      </c>
      <c r="Y1287" s="9" t="str">
        <f>INDEX(Lookup!$F$2:$F$1349, MATCH(W1287, Lookup!$B$2:$B$1349,0))</f>
        <v>e391076</v>
      </c>
      <c r="Z1287" s="6" t="str">
        <f>INDEX(Lookup!$C$2:$C$1300, MATCH(X1287, Lookup!$A$2:$A$1300,0))</f>
        <v>Warwickshire</v>
      </c>
    </row>
    <row r="1288" spans="1:26" ht="28.15" customHeight="1" x14ac:dyDescent="0.2">
      <c r="A1288" s="6" t="s">
        <v>1037</v>
      </c>
      <c r="B1288" s="1" t="s">
        <v>1037</v>
      </c>
      <c r="T1288" s="10"/>
      <c r="W1288" s="9" t="str">
        <f t="shared" si="72"/>
        <v xml:space="preserve">Urban Distircts-- </v>
      </c>
      <c r="X1288" s="9" t="e">
        <f>INDEX(Lookup!$A$2:$A$1349, MATCH(W1288, Lookup!$B$2:$B$1349,0))</f>
        <v>#N/A</v>
      </c>
      <c r="Y1288" s="9" t="e">
        <f>INDEX(Lookup!$F$2:$F$1349, MATCH(W1288, Lookup!$B$2:$B$1349,0))</f>
        <v>#N/A</v>
      </c>
      <c r="Z1288" s="6" t="e">
        <f>INDEX(Lookup!$C$2:$C$1300, MATCH(X1288, Lookup!$A$2:$A$1300,0))</f>
        <v>#N/A</v>
      </c>
    </row>
    <row r="1289" spans="1:26" ht="28.15" customHeight="1" x14ac:dyDescent="0.2">
      <c r="A1289" s="6" t="s">
        <v>1095</v>
      </c>
      <c r="B1289" s="1" t="s">
        <v>1095</v>
      </c>
      <c r="C1289" s="2">
        <v>9744</v>
      </c>
      <c r="D1289" s="2">
        <v>540057</v>
      </c>
      <c r="E1289" s="2">
        <v>222</v>
      </c>
      <c r="F1289" s="2">
        <v>26299</v>
      </c>
      <c r="I1289" s="2">
        <v>303</v>
      </c>
      <c r="J1289" s="2">
        <v>45482</v>
      </c>
      <c r="K1289" s="2">
        <v>36</v>
      </c>
      <c r="L1289" s="2">
        <v>6233</v>
      </c>
      <c r="M1289" s="2">
        <v>1105</v>
      </c>
      <c r="N1289" s="2">
        <v>42915</v>
      </c>
      <c r="O1289" s="2">
        <v>92</v>
      </c>
      <c r="P1289" s="2">
        <v>118746</v>
      </c>
      <c r="Q1289" s="2">
        <v>1709</v>
      </c>
      <c r="R1289" s="2">
        <v>153176</v>
      </c>
      <c r="S1289" s="2">
        <v>934617</v>
      </c>
      <c r="T1289" s="10">
        <f t="shared" si="70"/>
        <v>566356</v>
      </c>
      <c r="U1289" s="8">
        <f t="shared" si="71"/>
        <v>0.60597656580182047</v>
      </c>
      <c r="V1289" s="9" t="s">
        <v>5270</v>
      </c>
      <c r="W1289" s="9" t="str">
        <f t="shared" si="72"/>
        <v>Bedworth UD</v>
      </c>
      <c r="X1289" s="9" t="str">
        <f>INDEX(Lookup!$A$2:$A$1349, MATCH(W1289, Lookup!$B$2:$B$1349,0))</f>
        <v>J04000117</v>
      </c>
      <c r="Y1289" s="9" t="str">
        <f>INDEX(Lookup!$F$2:$F$1349, MATCH(W1289, Lookup!$B$2:$B$1349,0))</f>
        <v>e391069</v>
      </c>
      <c r="Z1289" s="6" t="str">
        <f>INDEX(Lookup!$C$2:$C$1300, MATCH(X1289, Lookup!$A$2:$A$1300,0))</f>
        <v>Warwickshire</v>
      </c>
    </row>
    <row r="1290" spans="1:26" ht="28.15" customHeight="1" x14ac:dyDescent="0.2">
      <c r="A1290" s="6" t="s">
        <v>1096</v>
      </c>
      <c r="B1290" s="1" t="s">
        <v>1096</v>
      </c>
      <c r="C1290" s="2">
        <v>3967</v>
      </c>
      <c r="D1290" s="2">
        <v>260037</v>
      </c>
      <c r="E1290" s="2">
        <v>1080</v>
      </c>
      <c r="F1290" s="2">
        <v>130170</v>
      </c>
      <c r="G1290" s="2">
        <v>38</v>
      </c>
      <c r="H1290" s="2">
        <v>9855</v>
      </c>
      <c r="I1290" s="2">
        <v>176</v>
      </c>
      <c r="J1290" s="2">
        <v>42564</v>
      </c>
      <c r="K1290" s="2">
        <v>26</v>
      </c>
      <c r="L1290" s="2">
        <v>6738</v>
      </c>
      <c r="M1290" s="2">
        <v>507</v>
      </c>
      <c r="N1290" s="2">
        <v>32525</v>
      </c>
      <c r="O1290" s="2">
        <v>42</v>
      </c>
      <c r="P1290" s="2">
        <v>37535</v>
      </c>
      <c r="Q1290" s="2">
        <v>2063</v>
      </c>
      <c r="R1290" s="2">
        <v>59362</v>
      </c>
      <c r="S1290" s="2">
        <v>580849</v>
      </c>
      <c r="T1290" s="10">
        <f t="shared" si="70"/>
        <v>400062</v>
      </c>
      <c r="U1290" s="8">
        <f t="shared" si="71"/>
        <v>0.68875387579215941</v>
      </c>
      <c r="V1290" s="9" t="s">
        <v>5270</v>
      </c>
      <c r="W1290" s="9" t="str">
        <f t="shared" si="72"/>
        <v>Kenilworth UD</v>
      </c>
      <c r="X1290" s="9" t="str">
        <f>INDEX(Lookup!$A$2:$A$1349, MATCH(W1290, Lookup!$B$2:$B$1349,0))</f>
        <v>J04000683</v>
      </c>
      <c r="Y1290" s="9" t="str">
        <f>INDEX(Lookup!$F$2:$F$1349, MATCH(W1290, Lookup!$B$2:$B$1349,0))</f>
        <v>e391070</v>
      </c>
      <c r="Z1290" s="6" t="str">
        <f>INDEX(Lookup!$C$2:$C$1300, MATCH(X1290, Lookup!$A$2:$A$1300,0))</f>
        <v>Warwickshire</v>
      </c>
    </row>
    <row r="1291" spans="1:26" ht="28.15" customHeight="1" x14ac:dyDescent="0.2">
      <c r="A1291" s="6" t="s">
        <v>212</v>
      </c>
      <c r="B1291" s="1" t="s">
        <v>212</v>
      </c>
      <c r="T1291" s="10"/>
      <c r="W1291" s="9" t="str">
        <f t="shared" si="72"/>
        <v xml:space="preserve">Rural Districts-- </v>
      </c>
      <c r="X1291" s="9" t="e">
        <f>INDEX(Lookup!$A$2:$A$1349, MATCH(W1291, Lookup!$B$2:$B$1349,0))</f>
        <v>#N/A</v>
      </c>
      <c r="Y1291" s="9" t="e">
        <f>INDEX(Lookup!$F$2:$F$1349, MATCH(W1291, Lookup!$B$2:$B$1349,0))</f>
        <v>#N/A</v>
      </c>
      <c r="Z1291" s="6" t="e">
        <f>INDEX(Lookup!$C$2:$C$1300, MATCH(X1291, Lookup!$A$2:$A$1300,0))</f>
        <v>#N/A</v>
      </c>
    </row>
    <row r="1292" spans="1:26" ht="28.15" customHeight="1" x14ac:dyDescent="0.2">
      <c r="A1292" s="6" t="s">
        <v>1097</v>
      </c>
      <c r="B1292" s="1" t="s">
        <v>1097</v>
      </c>
      <c r="C1292" s="2">
        <v>4395</v>
      </c>
      <c r="D1292" s="2">
        <v>227871</v>
      </c>
      <c r="E1292" s="2">
        <v>311</v>
      </c>
      <c r="F1292" s="2">
        <v>38001</v>
      </c>
      <c r="G1292" s="2">
        <v>20</v>
      </c>
      <c r="H1292" s="2">
        <v>5057</v>
      </c>
      <c r="I1292" s="2">
        <v>194</v>
      </c>
      <c r="J1292" s="2">
        <v>38373</v>
      </c>
      <c r="K1292" s="2">
        <v>20</v>
      </c>
      <c r="L1292" s="2">
        <v>3173</v>
      </c>
      <c r="M1292" s="2">
        <v>463</v>
      </c>
      <c r="N1292" s="2">
        <v>31698</v>
      </c>
      <c r="O1292" s="2">
        <v>52</v>
      </c>
      <c r="P1292" s="2">
        <v>100466</v>
      </c>
      <c r="Q1292" s="2">
        <v>805</v>
      </c>
      <c r="R1292" s="2">
        <v>87881</v>
      </c>
      <c r="S1292" s="2">
        <v>533325</v>
      </c>
      <c r="T1292" s="10">
        <f t="shared" si="70"/>
        <v>270929</v>
      </c>
      <c r="U1292" s="8">
        <f t="shared" si="71"/>
        <v>0.50799981249707027</v>
      </c>
      <c r="V1292" s="9" t="s">
        <v>5271</v>
      </c>
      <c r="W1292" s="9" t="str">
        <f t="shared" si="72"/>
        <v>Alcester RD</v>
      </c>
      <c r="X1292" s="9" t="str">
        <f>INDEX(Lookup!$A$2:$A$1349, MATCH(W1292, Lookup!$B$2:$B$1349,0))</f>
        <v>J04000020</v>
      </c>
      <c r="Y1292" s="9" t="str">
        <f>INDEX(Lookup!$F$2:$F$1349, MATCH(W1292, Lookup!$B$2:$B$1349,0))</f>
        <v>e391077</v>
      </c>
      <c r="Z1292" s="6" t="str">
        <f>INDEX(Lookup!$C$2:$C$1300, MATCH(X1292, Lookup!$A$2:$A$1300,0))</f>
        <v>Warwickshire</v>
      </c>
    </row>
    <row r="1293" spans="1:26" ht="28.15" customHeight="1" x14ac:dyDescent="0.2">
      <c r="A1293" s="6" t="s">
        <v>1098</v>
      </c>
      <c r="B1293" s="1" t="s">
        <v>1098</v>
      </c>
      <c r="C1293" s="2">
        <v>7427</v>
      </c>
      <c r="D1293" s="2">
        <v>382505</v>
      </c>
      <c r="E1293" s="2">
        <v>235</v>
      </c>
      <c r="F1293" s="2">
        <v>28840</v>
      </c>
      <c r="G1293" s="2">
        <v>20</v>
      </c>
      <c r="H1293" s="2">
        <v>4894</v>
      </c>
      <c r="I1293" s="2">
        <v>351</v>
      </c>
      <c r="J1293" s="2">
        <v>46242</v>
      </c>
      <c r="K1293" s="2">
        <v>34</v>
      </c>
      <c r="L1293" s="2">
        <v>3120</v>
      </c>
      <c r="M1293" s="2">
        <v>737</v>
      </c>
      <c r="N1293" s="2">
        <v>29704</v>
      </c>
      <c r="O1293" s="2">
        <v>46</v>
      </c>
      <c r="P1293" s="2">
        <v>52056</v>
      </c>
      <c r="Q1293" s="2">
        <v>1059</v>
      </c>
      <c r="R1293" s="2">
        <v>237979</v>
      </c>
      <c r="S1293" s="2">
        <v>786399</v>
      </c>
      <c r="T1293" s="10">
        <f t="shared" si="70"/>
        <v>416239</v>
      </c>
      <c r="U1293" s="8">
        <f t="shared" si="71"/>
        <v>0.52929746858782878</v>
      </c>
      <c r="V1293" s="9" t="s">
        <v>5271</v>
      </c>
      <c r="W1293" s="9" t="str">
        <f t="shared" si="72"/>
        <v>Atherstone RD</v>
      </c>
      <c r="X1293" s="9" t="str">
        <f>INDEX(Lookup!$A$2:$A$1349, MATCH(W1293, Lookup!$B$2:$B$1349,0))</f>
        <v>J04000060</v>
      </c>
      <c r="Y1293" s="9" t="str">
        <f>INDEX(Lookup!$F$2:$F$1349, MATCH(W1293, Lookup!$B$2:$B$1349,0))</f>
        <v>e391079</v>
      </c>
      <c r="Z1293" s="6" t="str">
        <f>INDEX(Lookup!$C$2:$C$1300, MATCH(X1293, Lookup!$A$2:$A$1300,0))</f>
        <v>Warwickshire</v>
      </c>
    </row>
    <row r="1294" spans="1:26" ht="28.15" customHeight="1" x14ac:dyDescent="0.2">
      <c r="A1294" s="6" t="s">
        <v>1099</v>
      </c>
      <c r="B1294" s="1" t="s">
        <v>1099</v>
      </c>
      <c r="C1294" s="2">
        <v>14472</v>
      </c>
      <c r="D1294" s="2">
        <v>955048</v>
      </c>
      <c r="E1294" s="2">
        <v>2018</v>
      </c>
      <c r="F1294" s="2">
        <v>254846</v>
      </c>
      <c r="G1294" s="2">
        <v>111</v>
      </c>
      <c r="H1294" s="2">
        <v>27673</v>
      </c>
      <c r="I1294" s="2">
        <v>445</v>
      </c>
      <c r="J1294" s="2">
        <v>104296</v>
      </c>
      <c r="K1294" s="2">
        <v>74</v>
      </c>
      <c r="L1294" s="2">
        <v>11907</v>
      </c>
      <c r="M1294" s="2">
        <v>1567</v>
      </c>
      <c r="N1294" s="2">
        <v>158869</v>
      </c>
      <c r="O1294" s="2">
        <v>74</v>
      </c>
      <c r="P1294" s="2">
        <v>180106</v>
      </c>
      <c r="Q1294" s="2">
        <v>16004</v>
      </c>
      <c r="R1294" s="2">
        <v>849183</v>
      </c>
      <c r="S1294" s="2">
        <v>2557932</v>
      </c>
      <c r="T1294" s="10">
        <f t="shared" si="70"/>
        <v>1237567</v>
      </c>
      <c r="U1294" s="8">
        <f t="shared" si="71"/>
        <v>0.48381544153636608</v>
      </c>
      <c r="V1294" s="9" t="s">
        <v>5271</v>
      </c>
      <c r="W1294" s="9" t="str">
        <f t="shared" si="72"/>
        <v>Meriden RD</v>
      </c>
      <c r="X1294" s="9" t="str">
        <f>INDEX(Lookup!$A$2:$A$1349, MATCH(W1294, Lookup!$B$2:$B$1349,0))</f>
        <v>J04000848</v>
      </c>
      <c r="Y1294" s="9" t="str">
        <f>INDEX(Lookup!$F$2:$F$1349, MATCH(W1294, Lookup!$B$2:$B$1349,0))</f>
        <v>e391080</v>
      </c>
      <c r="Z1294" s="6" t="str">
        <f>INDEX(Lookup!$C$2:$C$1300, MATCH(X1294, Lookup!$A$2:$A$1300,0))</f>
        <v>West Midlands</v>
      </c>
    </row>
    <row r="1295" spans="1:26" ht="28.15" customHeight="1" x14ac:dyDescent="0.2">
      <c r="A1295" s="6" t="s">
        <v>1090</v>
      </c>
      <c r="B1295" s="1" t="s">
        <v>1090</v>
      </c>
      <c r="C1295" s="2">
        <v>5132</v>
      </c>
      <c r="D1295" s="2">
        <v>260061</v>
      </c>
      <c r="E1295" s="2">
        <v>406</v>
      </c>
      <c r="F1295" s="2">
        <v>49904</v>
      </c>
      <c r="G1295" s="2">
        <v>41</v>
      </c>
      <c r="H1295" s="2">
        <v>10765</v>
      </c>
      <c r="I1295" s="2">
        <v>137</v>
      </c>
      <c r="J1295" s="2">
        <v>13302</v>
      </c>
      <c r="K1295" s="2">
        <v>14</v>
      </c>
      <c r="L1295" s="2">
        <v>770</v>
      </c>
      <c r="M1295" s="2">
        <v>530</v>
      </c>
      <c r="N1295" s="2">
        <v>46266</v>
      </c>
      <c r="O1295" s="2">
        <v>30</v>
      </c>
      <c r="P1295" s="2">
        <v>181596</v>
      </c>
      <c r="Q1295" s="2">
        <v>47125</v>
      </c>
      <c r="R1295" s="2">
        <v>135598</v>
      </c>
      <c r="S1295" s="2">
        <v>745387</v>
      </c>
      <c r="T1295" s="10">
        <f t="shared" si="70"/>
        <v>320730</v>
      </c>
      <c r="U1295" s="8">
        <f t="shared" si="71"/>
        <v>0.4302865491348789</v>
      </c>
      <c r="V1295" s="9" t="s">
        <v>5271</v>
      </c>
      <c r="W1295" s="9" t="str">
        <f t="shared" si="72"/>
        <v>Rugby RD</v>
      </c>
      <c r="X1295" s="9" t="str">
        <f>INDEX(Lookup!$A$2:$A$1349, MATCH(W1295, Lookup!$B$2:$B$1349,0))</f>
        <v>J04001078</v>
      </c>
      <c r="Y1295" s="9" t="str">
        <f>INDEX(Lookup!$F$2:$F$1349, MATCH(W1295, Lookup!$B$2:$B$1349,0))</f>
        <v>e391084</v>
      </c>
      <c r="Z1295" s="6" t="str">
        <f>INDEX(Lookup!$C$2:$C$1300, MATCH(X1295, Lookup!$A$2:$A$1300,0))</f>
        <v>Warwickshire</v>
      </c>
    </row>
    <row r="1296" spans="1:26" ht="28.15" customHeight="1" x14ac:dyDescent="0.2">
      <c r="A1296" s="6" t="s">
        <v>1100</v>
      </c>
      <c r="B1296" s="1" t="s">
        <v>5450</v>
      </c>
      <c r="C1296" s="2">
        <v>2473</v>
      </c>
      <c r="D1296" s="2">
        <v>118708</v>
      </c>
      <c r="E1296" s="2">
        <v>215</v>
      </c>
      <c r="F1296" s="2">
        <v>27688</v>
      </c>
      <c r="G1296" s="2">
        <v>34</v>
      </c>
      <c r="H1296" s="2">
        <v>9124</v>
      </c>
      <c r="I1296" s="2">
        <v>106</v>
      </c>
      <c r="J1296" s="2">
        <v>14476</v>
      </c>
      <c r="K1296" s="2">
        <v>15</v>
      </c>
      <c r="L1296" s="2">
        <v>5031</v>
      </c>
      <c r="M1296" s="2">
        <v>256</v>
      </c>
      <c r="N1296" s="2">
        <v>15860</v>
      </c>
      <c r="O1296" s="2">
        <v>11</v>
      </c>
      <c r="P1296" s="2">
        <v>10520</v>
      </c>
      <c r="Q1296" s="2">
        <v>958</v>
      </c>
      <c r="R1296" s="2">
        <v>59275</v>
      </c>
      <c r="S1296" s="2">
        <v>261640</v>
      </c>
      <c r="T1296" s="10">
        <f t="shared" si="70"/>
        <v>155520</v>
      </c>
      <c r="U1296" s="8">
        <f t="shared" si="71"/>
        <v>0.59440452530194154</v>
      </c>
      <c r="V1296" s="9" t="s">
        <v>5271</v>
      </c>
      <c r="W1296" s="9" t="str">
        <f t="shared" si="72"/>
        <v>Shipston on Stour RD</v>
      </c>
      <c r="X1296" s="9" t="str">
        <f>INDEX(Lookup!$A$2:$A$1349, MATCH(W1296, Lookup!$B$2:$B$1349,0))</f>
        <v>J04001137</v>
      </c>
      <c r="Y1296" s="9" t="str">
        <f>INDEX(Lookup!$F$2:$F$1349, MATCH(W1296, Lookup!$B$2:$B$1349,0))</f>
        <v>e391085</v>
      </c>
      <c r="Z1296" s="6" t="str">
        <f>INDEX(Lookup!$C$2:$C$1300, MATCH(X1296, Lookup!$A$2:$A$1300,0))</f>
        <v>Warwickshire</v>
      </c>
    </row>
    <row r="1297" spans="1:26" ht="28.15" customHeight="1" x14ac:dyDescent="0.2">
      <c r="A1297" s="6" t="s">
        <v>1101</v>
      </c>
      <c r="B1297" s="1" t="s">
        <v>1101</v>
      </c>
      <c r="C1297" s="2">
        <v>3771</v>
      </c>
      <c r="D1297" s="2">
        <v>174633</v>
      </c>
      <c r="E1297" s="2">
        <v>170</v>
      </c>
      <c r="F1297" s="2">
        <v>21066</v>
      </c>
      <c r="G1297" s="2">
        <v>37</v>
      </c>
      <c r="H1297" s="2">
        <v>12038</v>
      </c>
      <c r="I1297" s="2">
        <v>124</v>
      </c>
      <c r="J1297" s="2">
        <v>15065</v>
      </c>
      <c r="K1297" s="2">
        <v>18</v>
      </c>
      <c r="L1297" s="2">
        <v>1344</v>
      </c>
      <c r="M1297" s="2">
        <v>336</v>
      </c>
      <c r="N1297" s="2">
        <v>19901</v>
      </c>
      <c r="O1297" s="2">
        <v>20</v>
      </c>
      <c r="P1297" s="2">
        <v>101562</v>
      </c>
      <c r="Q1297" s="2">
        <v>63355</v>
      </c>
      <c r="R1297" s="2">
        <v>71574</v>
      </c>
      <c r="S1297" s="2">
        <v>480538</v>
      </c>
      <c r="T1297" s="10">
        <f t="shared" si="70"/>
        <v>207737</v>
      </c>
      <c r="U1297" s="8">
        <f t="shared" si="71"/>
        <v>0.43230087943097112</v>
      </c>
      <c r="V1297" s="9" t="s">
        <v>5271</v>
      </c>
      <c r="W1297" s="9" t="str">
        <f t="shared" si="72"/>
        <v>Southam RD</v>
      </c>
      <c r="X1297" s="9" t="str">
        <f>INDEX(Lookup!$A$2:$A$1349, MATCH(W1297, Lookup!$B$2:$B$1349,0))</f>
        <v>J04001163</v>
      </c>
      <c r="Y1297" s="9" t="str">
        <f>INDEX(Lookup!$F$2:$F$1349, MATCH(W1297, Lookup!$B$2:$B$1349,0))</f>
        <v>e391086</v>
      </c>
      <c r="Z1297" s="6" t="str">
        <f>INDEX(Lookup!$C$2:$C$1300, MATCH(X1297, Lookup!$A$2:$A$1300,0))</f>
        <v>Warwickshire</v>
      </c>
    </row>
    <row r="1298" spans="1:26" ht="28.15" customHeight="1" x14ac:dyDescent="0.2">
      <c r="A1298" s="6" t="s">
        <v>1102</v>
      </c>
      <c r="B1298" s="1" t="s">
        <v>1102</v>
      </c>
      <c r="C1298" s="2">
        <v>5035</v>
      </c>
      <c r="D1298" s="2">
        <v>256706</v>
      </c>
      <c r="E1298" s="2">
        <v>813</v>
      </c>
      <c r="F1298" s="2">
        <v>106842</v>
      </c>
      <c r="G1298" s="2">
        <v>167</v>
      </c>
      <c r="H1298" s="2">
        <v>45337</v>
      </c>
      <c r="I1298" s="2">
        <v>184</v>
      </c>
      <c r="J1298" s="2">
        <v>37837</v>
      </c>
      <c r="K1298" s="2">
        <v>32</v>
      </c>
      <c r="L1298" s="2">
        <v>7582</v>
      </c>
      <c r="M1298" s="2">
        <v>572</v>
      </c>
      <c r="N1298" s="2">
        <v>52684</v>
      </c>
      <c r="O1298" s="2">
        <v>25</v>
      </c>
      <c r="P1298" s="2">
        <v>21439</v>
      </c>
      <c r="Q1298" s="2">
        <v>52731</v>
      </c>
      <c r="R1298" s="2">
        <v>131692</v>
      </c>
      <c r="S1298" s="2">
        <v>712850</v>
      </c>
      <c r="T1298" s="10">
        <f t="shared" si="70"/>
        <v>408885</v>
      </c>
      <c r="U1298" s="8">
        <f t="shared" si="71"/>
        <v>0.57359191975871504</v>
      </c>
      <c r="V1298" s="9" t="s">
        <v>5271</v>
      </c>
      <c r="W1298" s="9" t="str">
        <f t="shared" si="72"/>
        <v>Stratford-on-Avon RD</v>
      </c>
      <c r="X1298" s="9" t="str">
        <f>INDEX(Lookup!$A$2:$A$1349, MATCH(W1298, Lookup!$B$2:$B$1349,0))</f>
        <v>J04001221</v>
      </c>
      <c r="Y1298" s="9" t="str">
        <f>INDEX(Lookup!$F$2:$F$1349, MATCH(W1298, Lookup!$B$2:$B$1349,0))</f>
        <v>e391074</v>
      </c>
      <c r="Z1298" s="6" t="str">
        <f>INDEX(Lookup!$C$2:$C$1300, MATCH(X1298, Lookup!$A$2:$A$1300,0))</f>
        <v>Warwickshire</v>
      </c>
    </row>
    <row r="1299" spans="1:26" ht="28.15" customHeight="1" x14ac:dyDescent="0.2">
      <c r="A1299" s="6" t="s">
        <v>967</v>
      </c>
      <c r="B1299" s="1" t="s">
        <v>967</v>
      </c>
      <c r="C1299" s="2">
        <v>5992</v>
      </c>
      <c r="D1299" s="2">
        <v>306907</v>
      </c>
      <c r="E1299" s="2">
        <v>154</v>
      </c>
      <c r="F1299" s="2">
        <v>18333</v>
      </c>
      <c r="G1299" s="2">
        <v>5</v>
      </c>
      <c r="H1299" s="2">
        <v>1060</v>
      </c>
      <c r="I1299" s="2">
        <v>146</v>
      </c>
      <c r="J1299" s="2">
        <v>15194</v>
      </c>
      <c r="K1299" s="2">
        <v>6</v>
      </c>
      <c r="L1299" s="2">
        <v>102</v>
      </c>
      <c r="M1299" s="2">
        <v>500</v>
      </c>
      <c r="N1299" s="2">
        <v>23142</v>
      </c>
      <c r="O1299" s="2">
        <v>37</v>
      </c>
      <c r="P1299" s="2">
        <v>110400</v>
      </c>
      <c r="Q1299" s="2">
        <v>442</v>
      </c>
      <c r="R1299" s="2">
        <v>151244</v>
      </c>
      <c r="S1299" s="2">
        <v>626824</v>
      </c>
      <c r="T1299" s="10">
        <f t="shared" si="70"/>
        <v>326300</v>
      </c>
      <c r="U1299" s="8">
        <f t="shared" si="71"/>
        <v>0.52056079537477828</v>
      </c>
      <c r="V1299" s="9" t="s">
        <v>5271</v>
      </c>
      <c r="W1299" s="9" t="str">
        <f t="shared" si="72"/>
        <v>Tamworth RD</v>
      </c>
      <c r="X1299" s="9" t="str">
        <f>INDEX(Lookup!$A$2:$A$1349, MATCH(W1299, Lookup!$B$2:$B$1349,0))</f>
        <v>J04001249</v>
      </c>
      <c r="Y1299" s="9" t="str">
        <f>INDEX(Lookup!$F$2:$F$1349, MATCH(W1299, Lookup!$B$2:$B$1349,0))</f>
        <v>e330956</v>
      </c>
      <c r="Z1299" s="6" t="str">
        <f>INDEX(Lookup!$C$2:$C$1300, MATCH(X1299, Lookup!$A$2:$A$1300,0))</f>
        <v>Staffordshire</v>
      </c>
    </row>
    <row r="1300" spans="1:26" ht="28.15" customHeight="1" x14ac:dyDescent="0.2">
      <c r="A1300" s="6" t="s">
        <v>1094</v>
      </c>
      <c r="B1300" s="1" t="s">
        <v>1094</v>
      </c>
      <c r="C1300" s="2">
        <v>6357</v>
      </c>
      <c r="D1300" s="2">
        <v>413164</v>
      </c>
      <c r="E1300" s="2">
        <v>919</v>
      </c>
      <c r="F1300" s="2">
        <v>115874</v>
      </c>
      <c r="G1300" s="2">
        <v>216</v>
      </c>
      <c r="H1300" s="2">
        <v>64110</v>
      </c>
      <c r="I1300" s="2">
        <v>102</v>
      </c>
      <c r="J1300" s="2">
        <v>17625</v>
      </c>
      <c r="K1300" s="2">
        <v>13</v>
      </c>
      <c r="L1300" s="2">
        <v>6062</v>
      </c>
      <c r="M1300" s="2">
        <v>382</v>
      </c>
      <c r="N1300" s="2">
        <v>50609</v>
      </c>
      <c r="O1300" s="2">
        <v>26</v>
      </c>
      <c r="P1300" s="2">
        <v>128751</v>
      </c>
      <c r="Q1300" s="2">
        <v>18028</v>
      </c>
      <c r="R1300" s="2">
        <v>186816</v>
      </c>
      <c r="S1300" s="2">
        <v>1001039</v>
      </c>
      <c r="T1300" s="10">
        <f t="shared" si="70"/>
        <v>593148</v>
      </c>
      <c r="U1300" s="8">
        <f t="shared" si="71"/>
        <v>0.59253235887912459</v>
      </c>
      <c r="V1300" s="9" t="s">
        <v>5271</v>
      </c>
      <c r="W1300" s="9" t="str">
        <f t="shared" si="72"/>
        <v>Warwick RD</v>
      </c>
      <c r="X1300" s="9" t="str">
        <f>INDEX(Lookup!$A$2:$A$1349, MATCH(W1300, Lookup!$B$2:$B$1349,0))</f>
        <v>J04001350</v>
      </c>
      <c r="Y1300" s="9" t="str">
        <f>INDEX(Lookup!$F$2:$F$1349, MATCH(W1300, Lookup!$B$2:$B$1349,0))</f>
        <v>e391089</v>
      </c>
      <c r="Z1300" s="6" t="str">
        <f>INDEX(Lookup!$C$2:$C$1300, MATCH(X1300, Lookup!$A$2:$A$1300,0))</f>
        <v>Warwickshire</v>
      </c>
    </row>
    <row r="1301" spans="1:26" ht="28.15" customHeight="1" x14ac:dyDescent="0.2">
      <c r="A1301" s="6" t="s">
        <v>1103</v>
      </c>
      <c r="B1301" s="1" t="s">
        <v>1103</v>
      </c>
      <c r="T1301" s="10"/>
      <c r="W1301" s="9" t="str">
        <f t="shared" si="72"/>
        <v xml:space="preserve">WESTMORLAND: </v>
      </c>
      <c r="X1301" s="9" t="e">
        <f>INDEX(Lookup!$A$2:$A$1349, MATCH(W1301, Lookup!$B$2:$B$1349,0))</f>
        <v>#N/A</v>
      </c>
      <c r="Y1301" s="9" t="e">
        <f>INDEX(Lookup!$F$2:$F$1349, MATCH(W1301, Lookup!$B$2:$B$1349,0))</f>
        <v>#N/A</v>
      </c>
      <c r="Z1301" s="6" t="e">
        <f>INDEX(Lookup!$C$2:$C$1300, MATCH(X1301, Lookup!$A$2:$A$1300,0))</f>
        <v>#N/A</v>
      </c>
    </row>
    <row r="1302" spans="1:26" ht="28.15" customHeight="1" x14ac:dyDescent="0.2">
      <c r="A1302" s="6" t="s">
        <v>332</v>
      </c>
      <c r="B1302" s="1" t="s">
        <v>332</v>
      </c>
      <c r="T1302" s="10"/>
      <c r="W1302" s="9" t="str">
        <f t="shared" si="72"/>
        <v xml:space="preserve">Non-County Boroughs:- </v>
      </c>
      <c r="X1302" s="9" t="e">
        <f>INDEX(Lookup!$A$2:$A$1349, MATCH(W1302, Lookup!$B$2:$B$1349,0))</f>
        <v>#N/A</v>
      </c>
      <c r="Y1302" s="9" t="e">
        <f>INDEX(Lookup!$F$2:$F$1349, MATCH(W1302, Lookup!$B$2:$B$1349,0))</f>
        <v>#N/A</v>
      </c>
      <c r="Z1302" s="6" t="e">
        <f>INDEX(Lookup!$C$2:$C$1300, MATCH(X1302, Lookup!$A$2:$A$1300,0))</f>
        <v>#N/A</v>
      </c>
    </row>
    <row r="1303" spans="1:26" ht="28.15" customHeight="1" x14ac:dyDescent="0.2">
      <c r="A1303" s="6" t="s">
        <v>1104</v>
      </c>
      <c r="B1303" s="1" t="s">
        <v>1104</v>
      </c>
      <c r="C1303" s="2">
        <v>518</v>
      </c>
      <c r="D1303" s="2">
        <v>22255</v>
      </c>
      <c r="E1303" s="2">
        <v>16</v>
      </c>
      <c r="F1303" s="2">
        <v>1932</v>
      </c>
      <c r="G1303" s="2">
        <v>2</v>
      </c>
      <c r="H1303" s="2">
        <v>532</v>
      </c>
      <c r="I1303" s="2">
        <v>55</v>
      </c>
      <c r="J1303" s="2">
        <v>6419</v>
      </c>
      <c r="K1303" s="2">
        <v>11</v>
      </c>
      <c r="L1303" s="2">
        <v>425</v>
      </c>
      <c r="M1303" s="2">
        <v>95</v>
      </c>
      <c r="N1303" s="2">
        <v>5809</v>
      </c>
      <c r="O1303" s="2">
        <v>4</v>
      </c>
      <c r="P1303" s="2">
        <v>12965</v>
      </c>
      <c r="Q1303" s="2">
        <v>473</v>
      </c>
      <c r="R1303" s="2">
        <v>13818</v>
      </c>
      <c r="S1303" s="2">
        <v>64628</v>
      </c>
      <c r="T1303" s="10">
        <f t="shared" si="70"/>
        <v>24719</v>
      </c>
      <c r="U1303" s="8">
        <f t="shared" si="71"/>
        <v>0.38248127746487592</v>
      </c>
      <c r="V1303" s="9" t="s">
        <v>5268</v>
      </c>
      <c r="W1303" s="9" t="str">
        <f t="shared" si="72"/>
        <v>Appleby MB</v>
      </c>
      <c r="X1303" s="9" t="str">
        <f>INDEX(Lookup!$A$2:$A$1349, MATCH(W1303, Lookup!$B$2:$B$1349,0))</f>
        <v>J04000045</v>
      </c>
      <c r="Y1303" s="9" t="str">
        <f>INDEX(Lookup!$F$2:$F$1349, MATCH(W1303, Lookup!$B$2:$B$1349,0))</f>
        <v>e401090</v>
      </c>
      <c r="Z1303" s="6" t="str">
        <f>INDEX(Lookup!$C$2:$C$1300, MATCH(X1303, Lookup!$A$2:$A$1300,0))</f>
        <v>Cumbria</v>
      </c>
    </row>
    <row r="1304" spans="1:26" ht="28.15" customHeight="1" x14ac:dyDescent="0.2">
      <c r="A1304" s="6" t="s">
        <v>1105</v>
      </c>
      <c r="B1304" s="1" t="s">
        <v>1105</v>
      </c>
      <c r="C1304" s="2">
        <v>5951</v>
      </c>
      <c r="D1304" s="2">
        <v>316050</v>
      </c>
      <c r="E1304" s="2">
        <v>324</v>
      </c>
      <c r="F1304" s="2">
        <v>38546</v>
      </c>
      <c r="G1304" s="2">
        <v>3</v>
      </c>
      <c r="H1304" s="2">
        <v>682</v>
      </c>
      <c r="I1304" s="2">
        <v>408</v>
      </c>
      <c r="J1304" s="2">
        <v>83478</v>
      </c>
      <c r="K1304" s="2">
        <v>109</v>
      </c>
      <c r="L1304" s="2">
        <v>19247</v>
      </c>
      <c r="M1304" s="2">
        <v>1217</v>
      </c>
      <c r="N1304" s="2">
        <v>67934</v>
      </c>
      <c r="O1304" s="2">
        <v>39</v>
      </c>
      <c r="P1304" s="2">
        <v>80165</v>
      </c>
      <c r="Q1304" s="2">
        <v>6319</v>
      </c>
      <c r="R1304" s="2">
        <v>85065</v>
      </c>
      <c r="S1304" s="2">
        <v>697486</v>
      </c>
      <c r="T1304" s="10">
        <f t="shared" si="70"/>
        <v>355278</v>
      </c>
      <c r="U1304" s="8">
        <f t="shared" si="71"/>
        <v>0.50936936368615282</v>
      </c>
      <c r="V1304" s="9" t="s">
        <v>5268</v>
      </c>
      <c r="W1304" s="9" t="str">
        <f t="shared" si="72"/>
        <v>Kendal MB</v>
      </c>
      <c r="X1304" s="9" t="str">
        <f>INDEX(Lookup!$A$2:$A$1349, MATCH(W1304, Lookup!$B$2:$B$1349,0))</f>
        <v>J04000682</v>
      </c>
      <c r="Y1304" s="9" t="str">
        <f>INDEX(Lookup!$F$2:$F$1349, MATCH(W1304, Lookup!$B$2:$B$1349,0))</f>
        <v>e401091</v>
      </c>
      <c r="Z1304" s="6" t="str">
        <f>INDEX(Lookup!$C$2:$C$1300, MATCH(X1304, Lookup!$A$2:$A$1300,0))</f>
        <v>Cumbria</v>
      </c>
    </row>
    <row r="1305" spans="1:26" ht="28.15" customHeight="1" x14ac:dyDescent="0.2">
      <c r="A1305" s="6" t="s">
        <v>179</v>
      </c>
      <c r="B1305" s="1" t="s">
        <v>179</v>
      </c>
      <c r="T1305" s="10"/>
      <c r="W1305" s="9" t="str">
        <f t="shared" si="72"/>
        <v xml:space="preserve">Urban Districts-- </v>
      </c>
      <c r="X1305" s="9" t="e">
        <f>INDEX(Lookup!$A$2:$A$1349, MATCH(W1305, Lookup!$B$2:$B$1349,0))</f>
        <v>#N/A</v>
      </c>
      <c r="Y1305" s="9" t="e">
        <f>INDEX(Lookup!$F$2:$F$1349, MATCH(W1305, Lookup!$B$2:$B$1349,0))</f>
        <v>#N/A</v>
      </c>
      <c r="Z1305" s="6" t="e">
        <f>INDEX(Lookup!$C$2:$C$1300, MATCH(X1305, Lookup!$A$2:$A$1300,0))</f>
        <v>#N/A</v>
      </c>
    </row>
    <row r="1306" spans="1:26" ht="28.15" customHeight="1" x14ac:dyDescent="0.2">
      <c r="A1306" s="6" t="s">
        <v>1106</v>
      </c>
      <c r="B1306" s="1" t="s">
        <v>1106</v>
      </c>
      <c r="C1306" s="2">
        <v>1432</v>
      </c>
      <c r="D1306" s="2">
        <v>65892</v>
      </c>
      <c r="E1306" s="2">
        <v>186</v>
      </c>
      <c r="F1306" s="2">
        <v>23285</v>
      </c>
      <c r="G1306" s="2">
        <v>26</v>
      </c>
      <c r="H1306" s="2">
        <v>6233</v>
      </c>
      <c r="I1306" s="2">
        <v>152</v>
      </c>
      <c r="J1306" s="2">
        <v>16496</v>
      </c>
      <c r="K1306" s="2">
        <v>17</v>
      </c>
      <c r="L1306" s="2">
        <v>1002</v>
      </c>
      <c r="M1306" s="2">
        <v>325</v>
      </c>
      <c r="N1306" s="2">
        <v>42820</v>
      </c>
      <c r="O1306" s="2">
        <v>6</v>
      </c>
      <c r="P1306" s="2">
        <v>1752</v>
      </c>
      <c r="Q1306" s="2">
        <v>921</v>
      </c>
      <c r="R1306" s="2">
        <v>46113</v>
      </c>
      <c r="S1306" s="2">
        <v>64628</v>
      </c>
      <c r="T1306" s="10">
        <f t="shared" si="70"/>
        <v>95410</v>
      </c>
      <c r="U1306" s="8">
        <f t="shared" si="71"/>
        <v>1.4762951042891626</v>
      </c>
      <c r="V1306" s="9" t="s">
        <v>5270</v>
      </c>
      <c r="W1306" s="9" t="str">
        <f t="shared" si="72"/>
        <v>Lakes UD</v>
      </c>
      <c r="X1306" s="9" t="str">
        <f>INDEX(Lookup!$A$2:$A$1349, MATCH(W1306, Lookup!$B$2:$B$1349,0))</f>
        <v>J04000715</v>
      </c>
      <c r="Y1306" s="9" t="str">
        <f>INDEX(Lookup!$F$2:$F$1349, MATCH(W1306, Lookup!$B$2:$B$1349,0))</f>
        <v>e401092</v>
      </c>
      <c r="Z1306" s="6" t="str">
        <f>INDEX(Lookup!$C$2:$C$1300, MATCH(X1306, Lookup!$A$2:$A$1300,0))</f>
        <v>Cumbria</v>
      </c>
    </row>
    <row r="1307" spans="1:26" ht="28.15" customHeight="1" x14ac:dyDescent="0.2">
      <c r="A1307" s="6" t="s">
        <v>1107</v>
      </c>
      <c r="B1307" s="1" t="s">
        <v>1107</v>
      </c>
      <c r="C1307" s="2">
        <v>1821</v>
      </c>
      <c r="D1307" s="2">
        <v>97863</v>
      </c>
      <c r="E1307" s="2">
        <v>327</v>
      </c>
      <c r="F1307" s="2">
        <v>43941</v>
      </c>
      <c r="G1307" s="2">
        <v>70</v>
      </c>
      <c r="H1307" s="2">
        <v>18681</v>
      </c>
      <c r="I1307" s="2">
        <v>170</v>
      </c>
      <c r="J1307" s="2">
        <v>22443</v>
      </c>
      <c r="K1307" s="2">
        <v>26</v>
      </c>
      <c r="L1307" s="2">
        <v>1439</v>
      </c>
      <c r="M1307" s="2">
        <v>383</v>
      </c>
      <c r="N1307" s="2">
        <v>67934</v>
      </c>
      <c r="O1307" s="2">
        <v>39</v>
      </c>
      <c r="P1307" s="2">
        <v>80165</v>
      </c>
      <c r="Q1307" s="2">
        <v>6319</v>
      </c>
      <c r="R1307" s="2">
        <v>85065</v>
      </c>
      <c r="S1307" s="2">
        <v>697486</v>
      </c>
      <c r="T1307" s="10">
        <f t="shared" si="70"/>
        <v>160485</v>
      </c>
      <c r="U1307" s="8">
        <f t="shared" si="71"/>
        <v>0.23009063981212527</v>
      </c>
      <c r="V1307" s="9" t="s">
        <v>5270</v>
      </c>
      <c r="W1307" s="9" t="str">
        <f t="shared" si="72"/>
        <v>Windermere UD</v>
      </c>
      <c r="X1307" s="9" t="str">
        <f>INDEX(Lookup!$A$2:$A$1349, MATCH(W1307, Lookup!$B$2:$B$1349,0))</f>
        <v>J04001424</v>
      </c>
      <c r="Y1307" s="9" t="str">
        <f>INDEX(Lookup!$F$2:$F$1349, MATCH(W1307, Lookup!$B$2:$B$1349,0))</f>
        <v>e401093</v>
      </c>
      <c r="Z1307" s="6" t="str">
        <f>INDEX(Lookup!$C$2:$C$1300, MATCH(X1307, Lookup!$A$2:$A$1300,0))</f>
        <v>Cumbria</v>
      </c>
    </row>
    <row r="1308" spans="1:26" ht="28.15" customHeight="1" x14ac:dyDescent="0.2">
      <c r="A1308" s="6" t="s">
        <v>212</v>
      </c>
      <c r="B1308" s="1" t="s">
        <v>212</v>
      </c>
      <c r="T1308" s="10"/>
      <c r="W1308" s="9" t="str">
        <f t="shared" si="72"/>
        <v xml:space="preserve">Rural Districts-- </v>
      </c>
      <c r="X1308" s="9" t="e">
        <f>INDEX(Lookup!$A$2:$A$1349, MATCH(W1308, Lookup!$B$2:$B$1349,0))</f>
        <v>#N/A</v>
      </c>
      <c r="Y1308" s="9" t="e">
        <f>INDEX(Lookup!$F$2:$F$1349, MATCH(W1308, Lookup!$B$2:$B$1349,0))</f>
        <v>#N/A</v>
      </c>
      <c r="Z1308" s="6" t="e">
        <f>INDEX(Lookup!$C$2:$C$1300, MATCH(X1308, Lookup!$A$2:$A$1300,0))</f>
        <v>#N/A</v>
      </c>
    </row>
    <row r="1309" spans="1:26" ht="28.15" customHeight="1" x14ac:dyDescent="0.2">
      <c r="A1309" s="6" t="s">
        <v>1108</v>
      </c>
      <c r="B1309" s="1" t="s">
        <v>1108</v>
      </c>
      <c r="C1309" s="2">
        <v>3615</v>
      </c>
      <c r="D1309" s="2">
        <v>122818</v>
      </c>
      <c r="E1309" s="2">
        <v>52</v>
      </c>
      <c r="F1309" s="2">
        <v>6660</v>
      </c>
      <c r="G1309" s="2">
        <v>3</v>
      </c>
      <c r="H1309" s="2">
        <v>714</v>
      </c>
      <c r="I1309" s="2">
        <v>164</v>
      </c>
      <c r="J1309" s="2">
        <v>11754</v>
      </c>
      <c r="K1309" s="2">
        <v>17</v>
      </c>
      <c r="L1309" s="2">
        <v>591</v>
      </c>
      <c r="M1309" s="2">
        <v>501</v>
      </c>
      <c r="N1309" s="2">
        <v>26494</v>
      </c>
      <c r="O1309" s="2">
        <v>20</v>
      </c>
      <c r="P1309" s="2">
        <v>10884</v>
      </c>
      <c r="Q1309" s="2">
        <v>3916</v>
      </c>
      <c r="R1309" s="2">
        <v>152751</v>
      </c>
      <c r="S1309" s="2">
        <v>336582</v>
      </c>
      <c r="T1309" s="10">
        <f t="shared" si="70"/>
        <v>130192</v>
      </c>
      <c r="U1309" s="8">
        <f t="shared" si="71"/>
        <v>0.38680618690244872</v>
      </c>
      <c r="V1309" s="9" t="s">
        <v>5271</v>
      </c>
      <c r="W1309" s="9" t="str">
        <f t="shared" si="72"/>
        <v>North Westmorland RD</v>
      </c>
      <c r="X1309" s="9" t="str">
        <f>INDEX(Lookup!$A$2:$A$1349, MATCH(W1309, Lookup!$B$2:$B$1349,0))</f>
        <v>J04000927</v>
      </c>
      <c r="Y1309" s="9" t="str">
        <f>INDEX(Lookup!$F$2:$F$1349, MATCH(W1309, Lookup!$B$2:$B$1349,0))</f>
        <v>e401094</v>
      </c>
      <c r="Z1309" s="6" t="str">
        <f>INDEX(Lookup!$C$2:$C$1300, MATCH(X1309, Lookup!$A$2:$A$1300,0))</f>
        <v>Cumbria</v>
      </c>
    </row>
    <row r="1310" spans="1:26" ht="28.15" customHeight="1" x14ac:dyDescent="0.2">
      <c r="A1310" s="6" t="s">
        <v>1109</v>
      </c>
      <c r="B1310" s="1" t="s">
        <v>1109</v>
      </c>
      <c r="C1310" s="2">
        <v>4805</v>
      </c>
      <c r="D1310" s="2">
        <v>229601</v>
      </c>
      <c r="E1310" s="2">
        <v>334</v>
      </c>
      <c r="F1310" s="2">
        <v>41435</v>
      </c>
      <c r="G1310" s="2">
        <v>13</v>
      </c>
      <c r="H1310" s="2">
        <v>3299</v>
      </c>
      <c r="I1310" s="2">
        <v>201</v>
      </c>
      <c r="J1310" s="2">
        <v>16728</v>
      </c>
      <c r="K1310" s="2">
        <v>26</v>
      </c>
      <c r="L1310" s="2">
        <v>1492</v>
      </c>
      <c r="M1310" s="2">
        <v>638</v>
      </c>
      <c r="N1310" s="2">
        <v>35889</v>
      </c>
      <c r="O1310" s="2">
        <v>28</v>
      </c>
      <c r="P1310" s="2">
        <v>51345</v>
      </c>
      <c r="Q1310" s="2">
        <v>3097</v>
      </c>
      <c r="R1310" s="2">
        <v>183899</v>
      </c>
      <c r="S1310" s="2">
        <v>566785</v>
      </c>
      <c r="T1310" s="10">
        <f t="shared" si="70"/>
        <v>274335</v>
      </c>
      <c r="U1310" s="8">
        <f t="shared" si="71"/>
        <v>0.48401951357216583</v>
      </c>
      <c r="V1310" s="9" t="s">
        <v>5271</v>
      </c>
      <c r="W1310" s="9" t="str">
        <f t="shared" si="72"/>
        <v>South Westmorland RD</v>
      </c>
      <c r="X1310" s="9" t="str">
        <f>INDEX(Lookup!$A$2:$A$1349, MATCH(W1310, Lookup!$B$2:$B$1349,0))</f>
        <v>J04001161</v>
      </c>
      <c r="Y1310" s="9" t="str">
        <f>INDEX(Lookup!$F$2:$F$1349, MATCH(W1310, Lookup!$B$2:$B$1349,0))</f>
        <v>e401095</v>
      </c>
      <c r="Z1310" s="6" t="str">
        <f>INDEX(Lookup!$C$2:$C$1300, MATCH(X1310, Lookup!$A$2:$A$1300,0))</f>
        <v>Cumbria</v>
      </c>
    </row>
    <row r="1311" spans="1:26" ht="28.15" customHeight="1" x14ac:dyDescent="0.2">
      <c r="A1311" s="6" t="s">
        <v>1110</v>
      </c>
      <c r="B1311" s="1" t="s">
        <v>1110</v>
      </c>
      <c r="T1311" s="10"/>
      <c r="W1311" s="9" t="str">
        <f t="shared" si="72"/>
        <v xml:space="preserve">WILTSHIRE: </v>
      </c>
      <c r="X1311" s="9" t="e">
        <f>INDEX(Lookup!$A$2:$A$1349, MATCH(W1311, Lookup!$B$2:$B$1349,0))</f>
        <v>#N/A</v>
      </c>
      <c r="Y1311" s="9" t="e">
        <f>INDEX(Lookup!$F$2:$F$1349, MATCH(W1311, Lookup!$B$2:$B$1349,0))</f>
        <v>#N/A</v>
      </c>
      <c r="Z1311" s="6" t="e">
        <f>INDEX(Lookup!$C$2:$C$1300, MATCH(X1311, Lookup!$A$2:$A$1300,0))</f>
        <v>#N/A</v>
      </c>
    </row>
    <row r="1312" spans="1:26" ht="28.15" customHeight="1" x14ac:dyDescent="0.2">
      <c r="A1312" s="6" t="s">
        <v>175</v>
      </c>
      <c r="B1312" s="1" t="s">
        <v>175</v>
      </c>
      <c r="T1312" s="10"/>
      <c r="W1312" s="9" t="str">
        <f t="shared" si="72"/>
        <v xml:space="preserve">Non-County Boroughs-- </v>
      </c>
      <c r="X1312" s="9" t="e">
        <f>INDEX(Lookup!$A$2:$A$1349, MATCH(W1312, Lookup!$B$2:$B$1349,0))</f>
        <v>#N/A</v>
      </c>
      <c r="Y1312" s="9" t="e">
        <f>INDEX(Lookup!$F$2:$F$1349, MATCH(W1312, Lookup!$B$2:$B$1349,0))</f>
        <v>#N/A</v>
      </c>
      <c r="Z1312" s="6" t="e">
        <f>INDEX(Lookup!$C$2:$C$1300, MATCH(X1312, Lookup!$A$2:$A$1300,0))</f>
        <v>#N/A</v>
      </c>
    </row>
    <row r="1313" spans="1:26" ht="28.15" customHeight="1" x14ac:dyDescent="0.2">
      <c r="A1313" s="6" t="s">
        <v>1111</v>
      </c>
      <c r="B1313" s="1" t="s">
        <v>1111</v>
      </c>
      <c r="C1313" s="2">
        <v>2016</v>
      </c>
      <c r="D1313" s="2">
        <v>103602</v>
      </c>
      <c r="E1313" s="2">
        <v>78</v>
      </c>
      <c r="F1313" s="2">
        <v>9220</v>
      </c>
      <c r="G1313" s="2">
        <v>5</v>
      </c>
      <c r="H1313" s="2">
        <v>1332</v>
      </c>
      <c r="I1313" s="2">
        <v>88</v>
      </c>
      <c r="J1313" s="2">
        <v>14356</v>
      </c>
      <c r="K1313" s="2">
        <v>10</v>
      </c>
      <c r="L1313" s="2">
        <v>984</v>
      </c>
      <c r="M1313" s="2">
        <v>268</v>
      </c>
      <c r="N1313" s="2">
        <v>12676</v>
      </c>
      <c r="O1313" s="2">
        <v>10</v>
      </c>
      <c r="P1313" s="2">
        <v>47835</v>
      </c>
      <c r="Q1313" s="2">
        <v>1563</v>
      </c>
      <c r="R1313" s="2">
        <v>27535</v>
      </c>
      <c r="S1313" s="2">
        <v>219103</v>
      </c>
      <c r="T1313" s="10">
        <f t="shared" si="70"/>
        <v>114154</v>
      </c>
      <c r="U1313" s="8">
        <f t="shared" si="71"/>
        <v>0.52100610215286869</v>
      </c>
      <c r="V1313" s="9" t="s">
        <v>5268</v>
      </c>
      <c r="W1313" s="9" t="str">
        <f t="shared" si="72"/>
        <v>Calne MB</v>
      </c>
      <c r="X1313" s="9" t="str">
        <f>INDEX(Lookup!$A$2:$A$1349, MATCH(W1313, Lookup!$B$2:$B$1349,0))</f>
        <v>J04000253</v>
      </c>
      <c r="Y1313" s="9" t="str">
        <f>INDEX(Lookup!$F$2:$F$1349, MATCH(W1313, Lookup!$B$2:$B$1349,0))</f>
        <v>e421103</v>
      </c>
      <c r="Z1313" s="6" t="str">
        <f>INDEX(Lookup!$C$2:$C$1300, MATCH(X1313, Lookup!$A$2:$A$1300,0))</f>
        <v>Wiltshire</v>
      </c>
    </row>
    <row r="1314" spans="1:26" ht="28.15" customHeight="1" x14ac:dyDescent="0.2">
      <c r="A1314" s="6" t="s">
        <v>1112</v>
      </c>
      <c r="B1314" s="1" t="s">
        <v>1112</v>
      </c>
      <c r="C1314" s="2">
        <v>5232</v>
      </c>
      <c r="D1314" s="2">
        <v>286827</v>
      </c>
      <c r="E1314" s="2">
        <v>355</v>
      </c>
      <c r="F1314" s="2">
        <v>42995</v>
      </c>
      <c r="G1314" s="2">
        <v>9</v>
      </c>
      <c r="H1314" s="2">
        <v>2332</v>
      </c>
      <c r="I1314" s="2">
        <v>239</v>
      </c>
      <c r="J1314" s="2">
        <v>86859</v>
      </c>
      <c r="K1314" s="2">
        <v>82</v>
      </c>
      <c r="L1314" s="2">
        <v>15513</v>
      </c>
      <c r="M1314" s="2">
        <v>624</v>
      </c>
      <c r="N1314" s="2">
        <v>54125</v>
      </c>
      <c r="O1314" s="2">
        <v>18</v>
      </c>
      <c r="P1314" s="2">
        <v>95960</v>
      </c>
      <c r="Q1314" s="2">
        <v>6070</v>
      </c>
      <c r="R1314" s="2">
        <v>86536</v>
      </c>
      <c r="S1314" s="2">
        <v>677217</v>
      </c>
      <c r="T1314" s="10">
        <f t="shared" si="70"/>
        <v>332154</v>
      </c>
      <c r="U1314" s="8">
        <f t="shared" si="71"/>
        <v>0.49046908154993157</v>
      </c>
      <c r="V1314" s="9" t="s">
        <v>5268</v>
      </c>
      <c r="W1314" s="9" t="str">
        <f t="shared" si="72"/>
        <v>Chippenham MB</v>
      </c>
      <c r="X1314" s="9" t="str">
        <f>INDEX(Lookup!$A$2:$A$1349, MATCH(W1314, Lookup!$B$2:$B$1349,0))</f>
        <v>J04000309</v>
      </c>
      <c r="Y1314" s="9" t="str">
        <f>INDEX(Lookup!$F$2:$F$1349, MATCH(W1314, Lookup!$B$2:$B$1349,0))</f>
        <v>e421104</v>
      </c>
      <c r="Z1314" s="6" t="str">
        <f>INDEX(Lookup!$C$2:$C$1300, MATCH(X1314, Lookup!$A$2:$A$1300,0))</f>
        <v>Wiltshire</v>
      </c>
    </row>
    <row r="1315" spans="1:26" ht="28.15" customHeight="1" x14ac:dyDescent="0.2">
      <c r="A1315" s="6" t="s">
        <v>1113</v>
      </c>
      <c r="B1315" s="1" t="s">
        <v>1113</v>
      </c>
      <c r="C1315" s="2">
        <v>2574</v>
      </c>
      <c r="D1315" s="2">
        <v>132741</v>
      </c>
      <c r="E1315" s="2">
        <v>215</v>
      </c>
      <c r="F1315" s="2">
        <v>26424</v>
      </c>
      <c r="G1315" s="2">
        <v>3</v>
      </c>
      <c r="H1315" s="2">
        <v>642</v>
      </c>
      <c r="I1315" s="2">
        <v>210</v>
      </c>
      <c r="J1315" s="2">
        <v>68205</v>
      </c>
      <c r="K1315" s="2">
        <v>44</v>
      </c>
      <c r="L1315" s="2">
        <v>8124</v>
      </c>
      <c r="M1315" s="2">
        <v>450</v>
      </c>
      <c r="N1315" s="2">
        <v>21944</v>
      </c>
      <c r="O1315" s="2">
        <v>16</v>
      </c>
      <c r="P1315" s="2">
        <v>23326</v>
      </c>
      <c r="Q1315" s="2">
        <v>6543</v>
      </c>
      <c r="R1315" s="2">
        <v>35528</v>
      </c>
      <c r="S1315" s="2">
        <v>323477</v>
      </c>
      <c r="T1315" s="10">
        <f t="shared" si="70"/>
        <v>159807</v>
      </c>
      <c r="U1315" s="8">
        <f t="shared" si="71"/>
        <v>0.49402894177947737</v>
      </c>
      <c r="V1315" s="9" t="s">
        <v>5268</v>
      </c>
      <c r="W1315" s="9" t="str">
        <f t="shared" si="72"/>
        <v>Devizes MB</v>
      </c>
      <c r="X1315" s="9" t="str">
        <f>INDEX(Lookup!$A$2:$A$1349, MATCH(W1315, Lookup!$B$2:$B$1349,0))</f>
        <v>J04000405</v>
      </c>
      <c r="Y1315" s="9" t="str">
        <f>INDEX(Lookup!$F$2:$F$1349, MATCH(W1315, Lookup!$B$2:$B$1349,0))</f>
        <v>e421105</v>
      </c>
      <c r="Z1315" s="6" t="str">
        <f>INDEX(Lookup!$C$2:$C$1300, MATCH(X1315, Lookup!$A$2:$A$1300,0))</f>
        <v>Wiltshire</v>
      </c>
    </row>
    <row r="1316" spans="1:26" ht="28.15" customHeight="1" x14ac:dyDescent="0.2">
      <c r="A1316" s="6" t="s">
        <v>1114</v>
      </c>
      <c r="B1316" s="1" t="s">
        <v>1114</v>
      </c>
      <c r="C1316" s="2">
        <v>837</v>
      </c>
      <c r="D1316" s="2">
        <v>30566</v>
      </c>
      <c r="E1316" s="2">
        <v>26</v>
      </c>
      <c r="F1316" s="2">
        <v>3444</v>
      </c>
      <c r="G1316" s="2">
        <v>4</v>
      </c>
      <c r="H1316" s="2">
        <v>960</v>
      </c>
      <c r="I1316" s="2">
        <v>86</v>
      </c>
      <c r="J1316" s="2">
        <v>24137</v>
      </c>
      <c r="K1316" s="2">
        <v>17</v>
      </c>
      <c r="L1316" s="2">
        <v>2397</v>
      </c>
      <c r="M1316" s="2">
        <v>181</v>
      </c>
      <c r="N1316" s="2">
        <v>8139</v>
      </c>
      <c r="O1316" s="2">
        <v>7</v>
      </c>
      <c r="P1316" s="2">
        <v>3075</v>
      </c>
      <c r="Q1316" s="2">
        <v>384</v>
      </c>
      <c r="R1316" s="2">
        <v>15734</v>
      </c>
      <c r="S1316" s="2">
        <v>88836</v>
      </c>
      <c r="T1316" s="10">
        <f t="shared" si="70"/>
        <v>34970</v>
      </c>
      <c r="U1316" s="8">
        <f t="shared" si="71"/>
        <v>0.39364671979827998</v>
      </c>
      <c r="V1316" s="9" t="s">
        <v>5268</v>
      </c>
      <c r="W1316" s="9" t="str">
        <f t="shared" si="72"/>
        <v>Malmesbury MB</v>
      </c>
      <c r="X1316" s="9" t="str">
        <f>INDEX(Lookup!$A$2:$A$1349, MATCH(W1316, Lookup!$B$2:$B$1349,0))</f>
        <v>J04000815</v>
      </c>
      <c r="Y1316" s="9" t="str">
        <f>INDEX(Lookup!$F$2:$F$1349, MATCH(W1316, Lookup!$B$2:$B$1349,0))</f>
        <v>e421106</v>
      </c>
      <c r="Z1316" s="6" t="str">
        <f>INDEX(Lookup!$C$2:$C$1300, MATCH(X1316, Lookup!$A$2:$A$1300,0))</f>
        <v>Wiltshire</v>
      </c>
    </row>
    <row r="1317" spans="1:26" ht="28.15" customHeight="1" x14ac:dyDescent="0.2">
      <c r="A1317" s="6" t="s">
        <v>1115</v>
      </c>
      <c r="B1317" s="1" t="s">
        <v>1115</v>
      </c>
      <c r="C1317" s="2">
        <v>1346</v>
      </c>
      <c r="D1317" s="2">
        <v>64620</v>
      </c>
      <c r="E1317" s="2">
        <v>150</v>
      </c>
      <c r="F1317" s="2">
        <v>19976</v>
      </c>
      <c r="G1317" s="2">
        <v>26</v>
      </c>
      <c r="H1317" s="2">
        <v>6136</v>
      </c>
      <c r="I1317" s="2">
        <v>127</v>
      </c>
      <c r="J1317" s="2">
        <v>31757</v>
      </c>
      <c r="K1317" s="2">
        <v>20</v>
      </c>
      <c r="L1317" s="2">
        <v>2717</v>
      </c>
      <c r="M1317" s="2">
        <v>209</v>
      </c>
      <c r="N1317" s="2">
        <v>14737</v>
      </c>
      <c r="O1317" s="2">
        <v>12</v>
      </c>
      <c r="P1317" s="2">
        <v>8435</v>
      </c>
      <c r="Q1317" s="2">
        <v>2297</v>
      </c>
      <c r="R1317" s="2">
        <v>47415</v>
      </c>
      <c r="S1317" s="2">
        <v>198090</v>
      </c>
      <c r="T1317" s="10">
        <f t="shared" si="70"/>
        <v>90732</v>
      </c>
      <c r="U1317" s="8">
        <f t="shared" si="71"/>
        <v>0.4580342268665758</v>
      </c>
      <c r="V1317" s="9" t="s">
        <v>5268</v>
      </c>
      <c r="W1317" s="9" t="str">
        <f t="shared" si="72"/>
        <v>Marlborough MB</v>
      </c>
      <c r="X1317" s="9" t="str">
        <f>INDEX(Lookup!$A$2:$A$1349, MATCH(W1317, Lookup!$B$2:$B$1349,0))</f>
        <v>J04000833</v>
      </c>
      <c r="Y1317" s="9" t="str">
        <f>INDEX(Lookup!$F$2:$F$1349, MATCH(W1317, Lookup!$B$2:$B$1349,0))</f>
        <v>e421107</v>
      </c>
      <c r="Z1317" s="6" t="str">
        <f>INDEX(Lookup!$C$2:$C$1300, MATCH(X1317, Lookup!$A$2:$A$1300,0))</f>
        <v>Wiltshire</v>
      </c>
    </row>
    <row r="1318" spans="1:26" ht="28.15" customHeight="1" x14ac:dyDescent="0.2">
      <c r="A1318" s="6" t="s">
        <v>1116</v>
      </c>
      <c r="B1318" s="1" t="s">
        <v>5451</v>
      </c>
      <c r="C1318" s="2">
        <v>8711</v>
      </c>
      <c r="D1318" s="2">
        <v>548343</v>
      </c>
      <c r="E1318" s="2">
        <v>1994</v>
      </c>
      <c r="F1318" s="2">
        <v>246667</v>
      </c>
      <c r="G1318" s="2">
        <v>99</v>
      </c>
      <c r="H1318" s="2">
        <v>23470</v>
      </c>
      <c r="I1318" s="2">
        <v>600</v>
      </c>
      <c r="J1318" s="2">
        <v>339084</v>
      </c>
      <c r="K1318" s="2">
        <v>188</v>
      </c>
      <c r="L1318" s="2">
        <v>35125</v>
      </c>
      <c r="M1318" s="2">
        <v>1389</v>
      </c>
      <c r="N1318" s="2">
        <v>145304</v>
      </c>
      <c r="O1318" s="2">
        <v>55</v>
      </c>
      <c r="P1318" s="2">
        <v>70674</v>
      </c>
      <c r="Q1318" s="2">
        <v>26521</v>
      </c>
      <c r="R1318" s="2">
        <v>179759</v>
      </c>
      <c r="S1318" s="2">
        <v>1614947</v>
      </c>
      <c r="T1318" s="10">
        <f t="shared" si="70"/>
        <v>818480</v>
      </c>
      <c r="U1318" s="8">
        <f t="shared" si="71"/>
        <v>0.5068153939417207</v>
      </c>
      <c r="V1318" s="9" t="s">
        <v>5268</v>
      </c>
      <c r="W1318" s="9" t="str">
        <f t="shared" si="72"/>
        <v>Salisbury (or New Sarum), city of MB</v>
      </c>
      <c r="X1318" s="9" t="str">
        <f>INDEX(Lookup!$A$2:$A$1349, MATCH(W1318, Lookup!$B$2:$B$1349,0))</f>
        <v>J04001095</v>
      </c>
      <c r="Y1318" s="9" t="str">
        <f>INDEX(Lookup!$F$2:$F$1349, MATCH(W1318, Lookup!$B$2:$B$1349,0))</f>
        <v>e421109</v>
      </c>
      <c r="Z1318" s="6" t="str">
        <f>INDEX(Lookup!$C$2:$C$1300, MATCH(X1318, Lookup!$A$2:$A$1300,0))</f>
        <v>Wiltshire</v>
      </c>
    </row>
    <row r="1319" spans="1:26" ht="28.15" customHeight="1" x14ac:dyDescent="0.2">
      <c r="A1319" s="6" t="s">
        <v>1117</v>
      </c>
      <c r="B1319" s="1" t="s">
        <v>1117</v>
      </c>
      <c r="C1319" s="2">
        <v>26297</v>
      </c>
      <c r="D1319" s="2">
        <v>1426700</v>
      </c>
      <c r="E1319" s="2">
        <v>2457</v>
      </c>
      <c r="F1319" s="2">
        <v>288108</v>
      </c>
      <c r="G1319" s="2">
        <v>25</v>
      </c>
      <c r="H1319" s="2">
        <v>5760</v>
      </c>
      <c r="I1319" s="2">
        <v>1189</v>
      </c>
      <c r="J1319" s="2">
        <v>595607</v>
      </c>
      <c r="K1319" s="2">
        <v>257</v>
      </c>
      <c r="L1319" s="2">
        <v>64110</v>
      </c>
      <c r="M1319" s="2">
        <v>2282</v>
      </c>
      <c r="N1319" s="2">
        <v>188642</v>
      </c>
      <c r="O1319" s="2">
        <v>68</v>
      </c>
      <c r="P1319" s="2">
        <v>420031</v>
      </c>
      <c r="Q1319" s="2">
        <v>35828</v>
      </c>
      <c r="R1319" s="2">
        <v>378487</v>
      </c>
      <c r="S1319" s="2">
        <v>3403273</v>
      </c>
      <c r="T1319" s="10">
        <f t="shared" si="70"/>
        <v>1720568</v>
      </c>
      <c r="U1319" s="8">
        <f t="shared" si="71"/>
        <v>0.50556273328645684</v>
      </c>
      <c r="V1319" s="9" t="s">
        <v>5268</v>
      </c>
      <c r="W1319" s="9" t="str">
        <f t="shared" si="72"/>
        <v>Swindon MB</v>
      </c>
      <c r="X1319" s="9" t="str">
        <f>INDEX(Lookup!$A$2:$A$1349, MATCH(W1319, Lookup!$B$2:$B$1349,0))</f>
        <v>J04001244</v>
      </c>
      <c r="Y1319" s="9" t="str">
        <f>INDEX(Lookup!$F$2:$F$1349, MATCH(W1319, Lookup!$B$2:$B$1349,0))</f>
        <v>e421110</v>
      </c>
      <c r="Z1319" s="6" t="str">
        <f>INDEX(Lookup!$C$2:$C$1300, MATCH(X1319, Lookup!$A$2:$A$1300,0))</f>
        <v>Wiltshire</v>
      </c>
    </row>
    <row r="1320" spans="1:26" ht="28.15" customHeight="1" x14ac:dyDescent="0.2">
      <c r="A1320" s="6" t="s">
        <v>1118</v>
      </c>
      <c r="B1320" s="1" t="s">
        <v>1118</v>
      </c>
      <c r="C1320" s="2">
        <v>860</v>
      </c>
      <c r="D1320" s="2">
        <v>49399</v>
      </c>
      <c r="E1320" s="2">
        <v>126</v>
      </c>
      <c r="F1320" s="2">
        <v>15422</v>
      </c>
      <c r="G1320" s="2">
        <v>10</v>
      </c>
      <c r="H1320" s="2">
        <v>3693</v>
      </c>
      <c r="I1320" s="2">
        <v>44</v>
      </c>
      <c r="J1320" s="2">
        <v>7460</v>
      </c>
      <c r="K1320" s="2">
        <v>3</v>
      </c>
      <c r="L1320" s="2">
        <v>213</v>
      </c>
      <c r="M1320" s="2">
        <v>79</v>
      </c>
      <c r="N1320" s="2">
        <v>11856</v>
      </c>
      <c r="O1320" s="2">
        <v>9</v>
      </c>
      <c r="P1320" s="2">
        <v>13210</v>
      </c>
      <c r="Q1320" s="2">
        <v>10359</v>
      </c>
      <c r="R1320" s="2">
        <v>9738</v>
      </c>
      <c r="S1320" s="2">
        <v>121350</v>
      </c>
      <c r="T1320" s="10">
        <f t="shared" si="70"/>
        <v>68514</v>
      </c>
      <c r="U1320" s="8">
        <f t="shared" si="71"/>
        <v>0.56459826946847957</v>
      </c>
      <c r="V1320" s="9" t="s">
        <v>5268</v>
      </c>
      <c r="W1320" s="9" t="str">
        <f t="shared" si="72"/>
        <v>Wilton MB</v>
      </c>
      <c r="X1320" s="9" t="str">
        <f>INDEX(Lookup!$A$2:$A$1349, MATCH(W1320, Lookup!$B$2:$B$1349,0))</f>
        <v>J04001417</v>
      </c>
      <c r="Y1320" s="9" t="str">
        <f>INDEX(Lookup!$F$2:$F$1349, MATCH(W1320, Lookup!$B$2:$B$1349,0))</f>
        <v>e421114</v>
      </c>
      <c r="Z1320" s="6" t="str">
        <f>INDEX(Lookup!$C$2:$C$1300, MATCH(X1320, Lookup!$A$2:$A$1300,0))</f>
        <v>Wiltshire</v>
      </c>
    </row>
    <row r="1321" spans="1:26" ht="28.15" customHeight="1" x14ac:dyDescent="0.2">
      <c r="A1321" s="6" t="s">
        <v>179</v>
      </c>
      <c r="B1321" s="1" t="s">
        <v>179</v>
      </c>
      <c r="T1321" s="10"/>
      <c r="W1321" s="9" t="str">
        <f t="shared" si="72"/>
        <v xml:space="preserve">Urban Districts-- </v>
      </c>
      <c r="X1321" s="9" t="e">
        <f>INDEX(Lookup!$A$2:$A$1349, MATCH(W1321, Lookup!$B$2:$B$1349,0))</f>
        <v>#N/A</v>
      </c>
      <c r="Y1321" s="9" t="e">
        <f>INDEX(Lookup!$F$2:$F$1349, MATCH(W1321, Lookup!$B$2:$B$1349,0))</f>
        <v>#N/A</v>
      </c>
      <c r="Z1321" s="6" t="e">
        <f>INDEX(Lookup!$C$2:$C$1300, MATCH(X1321, Lookup!$A$2:$A$1300,0))</f>
        <v>#N/A</v>
      </c>
    </row>
    <row r="1322" spans="1:26" ht="28.15" customHeight="1" x14ac:dyDescent="0.2">
      <c r="A1322" s="6" t="s">
        <v>1119</v>
      </c>
      <c r="B1322" s="1" t="s">
        <v>5452</v>
      </c>
      <c r="C1322" s="2">
        <v>1921</v>
      </c>
      <c r="D1322" s="2">
        <v>98826</v>
      </c>
      <c r="E1322" s="2">
        <v>70</v>
      </c>
      <c r="F1322" s="2">
        <v>8411</v>
      </c>
      <c r="G1322" s="2">
        <v>3</v>
      </c>
      <c r="H1322" s="2">
        <v>957</v>
      </c>
      <c r="I1322" s="2">
        <v>87</v>
      </c>
      <c r="J1322" s="2">
        <v>8608</v>
      </c>
      <c r="K1322" s="2">
        <v>9</v>
      </c>
      <c r="L1322" s="2">
        <v>591</v>
      </c>
      <c r="M1322" s="2">
        <v>332</v>
      </c>
      <c r="N1322" s="2">
        <v>9828</v>
      </c>
      <c r="O1322" s="2">
        <v>14</v>
      </c>
      <c r="P1322" s="2">
        <v>27875</v>
      </c>
      <c r="Q1322" s="2">
        <v>1160</v>
      </c>
      <c r="R1322" s="2">
        <v>20052</v>
      </c>
      <c r="S1322" s="2">
        <v>176308</v>
      </c>
      <c r="T1322" s="10">
        <f t="shared" si="70"/>
        <v>108194</v>
      </c>
      <c r="U1322" s="8">
        <f t="shared" si="71"/>
        <v>0.61366472309821452</v>
      </c>
      <c r="V1322" s="9" t="s">
        <v>5270</v>
      </c>
      <c r="W1322" s="9" t="str">
        <f t="shared" si="72"/>
        <v>Bradford on Avon UD</v>
      </c>
      <c r="X1322" s="9" t="str">
        <f>INDEX(Lookup!$A$2:$A$1349, MATCH(W1322, Lookup!$B$2:$B$1349,0))</f>
        <v>J04000186</v>
      </c>
      <c r="Y1322" s="9" t="str">
        <f>INDEX(Lookup!$F$2:$F$1349, MATCH(W1322, Lookup!$B$2:$B$1349,0))</f>
        <v>e421102</v>
      </c>
      <c r="Z1322" s="6" t="str">
        <f>INDEX(Lookup!$C$2:$C$1300, MATCH(X1322, Lookup!$A$2:$A$1300,0))</f>
        <v>Wiltshire</v>
      </c>
    </row>
    <row r="1323" spans="1:26" ht="28.15" customHeight="1" x14ac:dyDescent="0.2">
      <c r="A1323" s="6" t="s">
        <v>1120</v>
      </c>
      <c r="B1323" s="1" t="s">
        <v>1120</v>
      </c>
      <c r="C1323" s="2">
        <v>2528</v>
      </c>
      <c r="D1323" s="2">
        <v>146935</v>
      </c>
      <c r="E1323" s="2">
        <v>134</v>
      </c>
      <c r="F1323" s="2">
        <v>15449</v>
      </c>
      <c r="G1323" s="2">
        <v>1</v>
      </c>
      <c r="H1323" s="2">
        <v>242</v>
      </c>
      <c r="I1323" s="2">
        <v>129</v>
      </c>
      <c r="J1323" s="2">
        <v>30862</v>
      </c>
      <c r="K1323" s="2">
        <v>18</v>
      </c>
      <c r="L1323" s="2">
        <v>1038</v>
      </c>
      <c r="M1323" s="2">
        <v>363</v>
      </c>
      <c r="N1323" s="2">
        <v>16197</v>
      </c>
      <c r="O1323" s="2">
        <v>17</v>
      </c>
      <c r="P1323" s="2">
        <v>121350</v>
      </c>
      <c r="Q1323" s="2">
        <v>2612</v>
      </c>
      <c r="R1323" s="2">
        <v>31039</v>
      </c>
      <c r="S1323" s="2">
        <v>365724</v>
      </c>
      <c r="T1323" s="10">
        <f t="shared" si="70"/>
        <v>162626</v>
      </c>
      <c r="U1323" s="8">
        <f t="shared" si="71"/>
        <v>0.44466865723879212</v>
      </c>
      <c r="V1323" s="9" t="s">
        <v>5270</v>
      </c>
      <c r="W1323" s="9" t="str">
        <f t="shared" si="72"/>
        <v>Melksham UD</v>
      </c>
      <c r="X1323" s="9" t="str">
        <f>INDEX(Lookup!$A$2:$A$1349, MATCH(W1323, Lookup!$B$2:$B$1349,0))</f>
        <v>J04000842</v>
      </c>
      <c r="Y1323" s="9" t="str">
        <f>INDEX(Lookup!$F$2:$F$1349, MATCH(W1323, Lookup!$B$2:$B$1349,0))</f>
        <v>e421108</v>
      </c>
      <c r="Z1323" s="6" t="str">
        <f>INDEX(Lookup!$C$2:$C$1300, MATCH(X1323, Lookup!$A$2:$A$1300,0))</f>
        <v>Wiltshire</v>
      </c>
    </row>
    <row r="1324" spans="1:26" ht="28.15" customHeight="1" x14ac:dyDescent="0.2">
      <c r="A1324" s="6" t="s">
        <v>1121</v>
      </c>
      <c r="B1324" s="1" t="s">
        <v>1121</v>
      </c>
      <c r="C1324" s="2">
        <v>5134</v>
      </c>
      <c r="D1324" s="2">
        <v>288026</v>
      </c>
      <c r="E1324" s="2">
        <v>288</v>
      </c>
      <c r="F1324" s="2">
        <v>34096</v>
      </c>
      <c r="G1324" s="2">
        <v>13</v>
      </c>
      <c r="H1324" s="2">
        <v>3206</v>
      </c>
      <c r="I1324" s="2">
        <v>260</v>
      </c>
      <c r="J1324" s="2">
        <v>97381</v>
      </c>
      <c r="K1324" s="2">
        <v>78</v>
      </c>
      <c r="L1324" s="2">
        <v>30377</v>
      </c>
      <c r="M1324" s="2">
        <v>693</v>
      </c>
      <c r="N1324" s="2">
        <v>44805</v>
      </c>
      <c r="O1324" s="2">
        <v>49</v>
      </c>
      <c r="P1324" s="2">
        <v>125120</v>
      </c>
      <c r="Q1324" s="2">
        <v>3864</v>
      </c>
      <c r="R1324" s="2">
        <v>85861</v>
      </c>
      <c r="S1324" s="2">
        <v>712736</v>
      </c>
      <c r="T1324" s="10">
        <f t="shared" si="70"/>
        <v>325328</v>
      </c>
      <c r="U1324" s="8">
        <f t="shared" si="71"/>
        <v>0.45644951286310781</v>
      </c>
      <c r="V1324" s="9" t="s">
        <v>5270</v>
      </c>
      <c r="W1324" s="9" t="str">
        <f t="shared" si="72"/>
        <v>Trowbridge UD</v>
      </c>
      <c r="X1324" s="9" t="str">
        <f>INDEX(Lookup!$A$2:$A$1349, MATCH(W1324, Lookup!$B$2:$B$1349,0))</f>
        <v>J04001298</v>
      </c>
      <c r="Y1324" s="9" t="str">
        <f>INDEX(Lookup!$F$2:$F$1349, MATCH(W1324, Lookup!$B$2:$B$1349,0))</f>
        <v>e421111</v>
      </c>
      <c r="Z1324" s="6" t="str">
        <f>INDEX(Lookup!$C$2:$C$1300, MATCH(X1324, Lookup!$A$2:$A$1300,0))</f>
        <v>Wiltshire</v>
      </c>
    </row>
    <row r="1325" spans="1:26" ht="28.15" customHeight="1" x14ac:dyDescent="0.2">
      <c r="A1325" s="6" t="s">
        <v>1122</v>
      </c>
      <c r="B1325" s="1" t="s">
        <v>1122</v>
      </c>
      <c r="C1325" s="2">
        <v>2423</v>
      </c>
      <c r="D1325" s="2">
        <v>131017</v>
      </c>
      <c r="E1325" s="2">
        <v>193</v>
      </c>
      <c r="F1325" s="2">
        <v>23943</v>
      </c>
      <c r="G1325" s="2">
        <v>10</v>
      </c>
      <c r="H1325" s="2">
        <v>2484</v>
      </c>
      <c r="I1325" s="2">
        <v>156</v>
      </c>
      <c r="J1325" s="2">
        <v>31770</v>
      </c>
      <c r="K1325" s="2">
        <v>25</v>
      </c>
      <c r="L1325" s="2">
        <v>5556</v>
      </c>
      <c r="M1325" s="2">
        <v>381</v>
      </c>
      <c r="N1325" s="2">
        <v>24938</v>
      </c>
      <c r="O1325" s="2">
        <v>19</v>
      </c>
      <c r="P1325" s="2">
        <v>21265</v>
      </c>
      <c r="Q1325" s="2">
        <v>36300</v>
      </c>
      <c r="R1325" s="2">
        <v>39316</v>
      </c>
      <c r="S1325" s="2">
        <v>316589</v>
      </c>
      <c r="T1325" s="10">
        <f t="shared" si="70"/>
        <v>157444</v>
      </c>
      <c r="U1325" s="8">
        <f t="shared" si="71"/>
        <v>0.49731355163950736</v>
      </c>
      <c r="V1325" s="9" t="s">
        <v>5270</v>
      </c>
      <c r="W1325" s="9" t="str">
        <f t="shared" si="72"/>
        <v>Warminster UD</v>
      </c>
      <c r="X1325" s="9" t="str">
        <f>INDEX(Lookup!$A$2:$A$1349, MATCH(W1325, Lookup!$B$2:$B$1349,0))</f>
        <v>J04001344</v>
      </c>
      <c r="Y1325" s="9" t="str">
        <f>INDEX(Lookup!$F$2:$F$1349, MATCH(W1325, Lookup!$B$2:$B$1349,0))</f>
        <v>e421112</v>
      </c>
      <c r="Z1325" s="6" t="str">
        <f>INDEX(Lookup!$C$2:$C$1300, MATCH(X1325, Lookup!$A$2:$A$1300,0))</f>
        <v>Wiltshire</v>
      </c>
    </row>
    <row r="1326" spans="1:26" ht="28.15" customHeight="1" x14ac:dyDescent="0.2">
      <c r="A1326" s="6" t="s">
        <v>1123</v>
      </c>
      <c r="B1326" s="1" t="s">
        <v>1123</v>
      </c>
      <c r="C1326" s="2">
        <v>1721</v>
      </c>
      <c r="D1326" s="2">
        <v>85458</v>
      </c>
      <c r="E1326" s="2">
        <v>26</v>
      </c>
      <c r="F1326" s="2">
        <v>3108</v>
      </c>
      <c r="I1326" s="2">
        <v>96</v>
      </c>
      <c r="J1326" s="2">
        <v>10773</v>
      </c>
      <c r="K1326" s="2">
        <v>9</v>
      </c>
      <c r="L1326" s="2">
        <v>601</v>
      </c>
      <c r="M1326" s="2">
        <v>151</v>
      </c>
      <c r="N1326" s="2">
        <v>14655</v>
      </c>
      <c r="O1326" s="2">
        <v>21</v>
      </c>
      <c r="P1326" s="2">
        <v>146372</v>
      </c>
      <c r="Q1326" s="2">
        <v>3063</v>
      </c>
      <c r="R1326" s="2">
        <v>30862</v>
      </c>
      <c r="S1326" s="2">
        <v>294892</v>
      </c>
      <c r="T1326" s="10">
        <f t="shared" si="70"/>
        <v>88566</v>
      </c>
      <c r="U1326" s="8">
        <f t="shared" si="71"/>
        <v>0.30033368148339051</v>
      </c>
      <c r="V1326" s="9" t="s">
        <v>5270</v>
      </c>
      <c r="W1326" s="9" t="str">
        <f t="shared" si="72"/>
        <v>Westbury UD</v>
      </c>
      <c r="X1326" s="9" t="str">
        <f>INDEX(Lookup!$A$2:$A$1349, MATCH(W1326, Lookup!$B$2:$B$1349,0))</f>
        <v>J04001389</v>
      </c>
      <c r="Y1326" s="9" t="str">
        <f>INDEX(Lookup!$F$2:$F$1349, MATCH(W1326, Lookup!$B$2:$B$1349,0))</f>
        <v>e421113</v>
      </c>
      <c r="Z1326" s="6" t="str">
        <f>INDEX(Lookup!$C$2:$C$1300, MATCH(X1326, Lookup!$A$2:$A$1300,0))</f>
        <v>Wiltshire</v>
      </c>
    </row>
    <row r="1327" spans="1:26" ht="28.15" customHeight="1" x14ac:dyDescent="0.2">
      <c r="A1327" s="6" t="s">
        <v>212</v>
      </c>
      <c r="B1327" s="1" t="s">
        <v>212</v>
      </c>
      <c r="T1327" s="10"/>
      <c r="W1327" s="9" t="str">
        <f t="shared" si="72"/>
        <v xml:space="preserve">Rural Districts-- </v>
      </c>
      <c r="X1327" s="9" t="e">
        <f>INDEX(Lookup!$A$2:$A$1349, MATCH(W1327, Lookup!$B$2:$B$1349,0))</f>
        <v>#N/A</v>
      </c>
      <c r="Y1327" s="9" t="e">
        <f>INDEX(Lookup!$F$2:$F$1349, MATCH(W1327, Lookup!$B$2:$B$1349,0))</f>
        <v>#N/A</v>
      </c>
      <c r="Z1327" s="6" t="e">
        <f>INDEX(Lookup!$C$2:$C$1300, MATCH(X1327, Lookup!$A$2:$A$1300,0))</f>
        <v>#N/A</v>
      </c>
    </row>
    <row r="1328" spans="1:26" ht="28.15" customHeight="1" x14ac:dyDescent="0.2">
      <c r="A1328" s="6" t="s">
        <v>1124</v>
      </c>
      <c r="B1328" s="1" t="s">
        <v>1124</v>
      </c>
      <c r="C1328" s="2">
        <v>3603</v>
      </c>
      <c r="D1328" s="2">
        <v>211264</v>
      </c>
      <c r="E1328" s="2">
        <v>451</v>
      </c>
      <c r="F1328" s="2">
        <v>57546</v>
      </c>
      <c r="G1328" s="2">
        <v>57</v>
      </c>
      <c r="H1328" s="2">
        <v>17679</v>
      </c>
      <c r="I1328" s="2">
        <v>179</v>
      </c>
      <c r="J1328" s="2">
        <v>29738</v>
      </c>
      <c r="K1328" s="2">
        <v>19</v>
      </c>
      <c r="L1328" s="2">
        <v>4541</v>
      </c>
      <c r="M1328" s="2">
        <v>412</v>
      </c>
      <c r="N1328" s="2">
        <v>36162</v>
      </c>
      <c r="O1328" s="2">
        <v>10</v>
      </c>
      <c r="P1328" s="2">
        <v>10650</v>
      </c>
      <c r="Q1328" s="2">
        <v>184800</v>
      </c>
      <c r="R1328" s="2">
        <v>92037</v>
      </c>
      <c r="S1328" s="2">
        <v>644417</v>
      </c>
      <c r="T1328" s="10">
        <f t="shared" si="70"/>
        <v>286489</v>
      </c>
      <c r="U1328" s="8">
        <f t="shared" si="71"/>
        <v>0.44457082913703394</v>
      </c>
      <c r="V1328" s="9" t="s">
        <v>5271</v>
      </c>
      <c r="W1328" s="9" t="str">
        <f t="shared" si="72"/>
        <v>Amesbury RD</v>
      </c>
      <c r="X1328" s="9" t="str">
        <f>INDEX(Lookup!$A$2:$A$1349, MATCH(W1328, Lookup!$B$2:$B$1349,0))</f>
        <v>J04000038</v>
      </c>
      <c r="Y1328" s="9" t="str">
        <f>INDEX(Lookup!$F$2:$F$1349, MATCH(W1328, Lookup!$B$2:$B$1349,0))</f>
        <v>e421115</v>
      </c>
      <c r="Z1328" s="6" t="str">
        <f>INDEX(Lookup!$C$2:$C$1300, MATCH(X1328, Lookup!$A$2:$A$1300,0))</f>
        <v>Wiltshire</v>
      </c>
    </row>
    <row r="1329" spans="1:26" ht="28.15" customHeight="1" x14ac:dyDescent="0.2">
      <c r="A1329" s="6" t="s">
        <v>1125</v>
      </c>
      <c r="B1329" s="1" t="s">
        <v>1125</v>
      </c>
      <c r="C1329" s="2">
        <v>2817</v>
      </c>
      <c r="D1329" s="2">
        <v>126785</v>
      </c>
      <c r="E1329" s="2">
        <v>220</v>
      </c>
      <c r="F1329" s="2">
        <v>27868</v>
      </c>
      <c r="G1329" s="2">
        <v>38</v>
      </c>
      <c r="H1329" s="2">
        <v>9686</v>
      </c>
      <c r="I1329" s="2">
        <v>45</v>
      </c>
      <c r="J1329" s="2">
        <v>2982</v>
      </c>
      <c r="K1329" s="2">
        <v>1</v>
      </c>
      <c r="L1329" s="2">
        <v>34</v>
      </c>
      <c r="M1329" s="2">
        <v>286</v>
      </c>
      <c r="N1329" s="2">
        <v>10422</v>
      </c>
      <c r="O1329" s="2">
        <v>12</v>
      </c>
      <c r="P1329" s="2">
        <v>20493</v>
      </c>
      <c r="Q1329" s="2">
        <v>31704</v>
      </c>
      <c r="R1329" s="2">
        <v>38533</v>
      </c>
      <c r="S1329" s="2">
        <v>268507</v>
      </c>
      <c r="T1329" s="10">
        <f t="shared" si="70"/>
        <v>164339</v>
      </c>
      <c r="U1329" s="8">
        <f t="shared" si="71"/>
        <v>0.61204735816943323</v>
      </c>
      <c r="V1329" s="9" t="s">
        <v>5271</v>
      </c>
      <c r="W1329" s="9" t="str">
        <f t="shared" si="72"/>
        <v>Bradford and Melksham RD</v>
      </c>
      <c r="X1329" s="9" t="str">
        <f>INDEX(Lookup!$A$2:$A$1349, MATCH(W1329, Lookup!$B$2:$B$1349,0))</f>
        <v>J04000185</v>
      </c>
      <c r="Y1329" s="9" t="str">
        <f>INDEX(Lookup!$F$2:$F$1349, MATCH(W1329, Lookup!$B$2:$B$1349,0))</f>
        <v>e421116</v>
      </c>
      <c r="Z1329" s="6" t="str">
        <f>INDEX(Lookup!$C$2:$C$1300, MATCH(X1329, Lookup!$A$2:$A$1300,0))</f>
        <v>Wiltshire</v>
      </c>
    </row>
    <row r="1330" spans="1:26" ht="28.15" customHeight="1" x14ac:dyDescent="0.2">
      <c r="A1330" s="6" t="s">
        <v>1126</v>
      </c>
      <c r="B1330" s="1" t="s">
        <v>1126</v>
      </c>
      <c r="C1330" s="2">
        <v>6546</v>
      </c>
      <c r="D1330" s="2">
        <v>269160</v>
      </c>
      <c r="E1330" s="2">
        <v>361</v>
      </c>
      <c r="F1330" s="2">
        <v>46458</v>
      </c>
      <c r="G1330" s="2">
        <v>68</v>
      </c>
      <c r="H1330" s="2">
        <v>19187</v>
      </c>
      <c r="I1330" s="2">
        <v>162</v>
      </c>
      <c r="J1330" s="2">
        <v>21118</v>
      </c>
      <c r="K1330" s="2">
        <v>11</v>
      </c>
      <c r="L1330" s="2">
        <v>2087</v>
      </c>
      <c r="M1330" s="2">
        <v>688</v>
      </c>
      <c r="N1330" s="2">
        <v>48964</v>
      </c>
      <c r="O1330" s="2">
        <v>27</v>
      </c>
      <c r="P1330" s="2">
        <v>24397</v>
      </c>
      <c r="Q1330" s="2">
        <v>165157</v>
      </c>
      <c r="R1330" s="2">
        <v>137613</v>
      </c>
      <c r="S1330" s="2">
        <v>734141</v>
      </c>
      <c r="T1330" s="10">
        <f t="shared" si="70"/>
        <v>334805</v>
      </c>
      <c r="U1330" s="8">
        <f t="shared" si="71"/>
        <v>0.45604999584548472</v>
      </c>
      <c r="V1330" s="9" t="s">
        <v>5271</v>
      </c>
      <c r="W1330" s="9" t="str">
        <f t="shared" si="72"/>
        <v>Calne and Chippenham RD</v>
      </c>
      <c r="X1330" s="9" t="str">
        <f>INDEX(Lookup!$A$2:$A$1349, MATCH(W1330, Lookup!$B$2:$B$1349,0))</f>
        <v>J04000252</v>
      </c>
      <c r="Y1330" s="9" t="str">
        <f>INDEX(Lookup!$F$2:$F$1349, MATCH(W1330, Lookup!$B$2:$B$1349,0))</f>
        <v>e421117</v>
      </c>
      <c r="Z1330" s="6" t="str">
        <f>INDEX(Lookup!$C$2:$C$1300, MATCH(X1330, Lookup!$A$2:$A$1300,0))</f>
        <v>Wiltshire</v>
      </c>
    </row>
    <row r="1331" spans="1:26" ht="28.15" customHeight="1" x14ac:dyDescent="0.2">
      <c r="A1331" s="6" t="s">
        <v>1127</v>
      </c>
      <c r="B1331" s="1" t="s">
        <v>1127</v>
      </c>
      <c r="C1331" s="2">
        <v>3956</v>
      </c>
      <c r="D1331" s="2">
        <v>198559</v>
      </c>
      <c r="E1331" s="2">
        <v>184</v>
      </c>
      <c r="F1331" s="2">
        <v>23294</v>
      </c>
      <c r="G1331" s="2">
        <v>13</v>
      </c>
      <c r="H1331" s="2">
        <v>3481</v>
      </c>
      <c r="I1331" s="2">
        <v>146</v>
      </c>
      <c r="J1331" s="2">
        <v>22113</v>
      </c>
      <c r="K1331" s="2">
        <v>8</v>
      </c>
      <c r="L1331" s="2">
        <v>1213</v>
      </c>
      <c r="M1331" s="2">
        <v>349</v>
      </c>
      <c r="N1331" s="2">
        <v>21454</v>
      </c>
      <c r="O1331" s="2">
        <v>12</v>
      </c>
      <c r="P1331" s="2">
        <v>21222</v>
      </c>
      <c r="Q1331" s="2">
        <v>56973</v>
      </c>
      <c r="R1331" s="2">
        <v>86199</v>
      </c>
      <c r="S1331" s="2">
        <v>434508</v>
      </c>
      <c r="T1331" s="10">
        <f t="shared" si="70"/>
        <v>225334</v>
      </c>
      <c r="U1331" s="8">
        <f t="shared" si="71"/>
        <v>0.51859574507258788</v>
      </c>
      <c r="V1331" s="9" t="s">
        <v>5271</v>
      </c>
      <c r="W1331" s="9" t="str">
        <f t="shared" si="72"/>
        <v>Cricklade and Wootton Bassett RD</v>
      </c>
      <c r="X1331" s="9" t="str">
        <f>INDEX(Lookup!$A$2:$A$1349, MATCH(W1331, Lookup!$B$2:$B$1349,0))</f>
        <v>J04000365</v>
      </c>
      <c r="Y1331" s="9" t="str">
        <f>INDEX(Lookup!$F$2:$F$1349, MATCH(W1331, Lookup!$B$2:$B$1349,0))</f>
        <v>e421118</v>
      </c>
      <c r="Z1331" s="6" t="str">
        <f>INDEX(Lookup!$C$2:$C$1300, MATCH(X1331, Lookup!$A$2:$A$1300,0))</f>
        <v>Wiltshire</v>
      </c>
    </row>
    <row r="1332" spans="1:26" ht="28.15" customHeight="1" x14ac:dyDescent="0.2">
      <c r="A1332" s="6" t="s">
        <v>1128</v>
      </c>
      <c r="B1332" s="1" t="s">
        <v>1128</v>
      </c>
      <c r="T1332" s="10"/>
      <c r="W1332" s="9" t="str">
        <f t="shared" si="72"/>
        <v xml:space="preserve">WILTSHIRE-contd. </v>
      </c>
      <c r="X1332" s="9" t="e">
        <f>INDEX(Lookup!$A$2:$A$1349, MATCH(W1332, Lookup!$B$2:$B$1349,0))</f>
        <v>#N/A</v>
      </c>
      <c r="Y1332" s="9" t="e">
        <f>INDEX(Lookup!$F$2:$F$1349, MATCH(W1332, Lookup!$B$2:$B$1349,0))</f>
        <v>#N/A</v>
      </c>
      <c r="Z1332" s="6" t="e">
        <f>INDEX(Lookup!$C$2:$C$1300, MATCH(X1332, Lookup!$A$2:$A$1300,0))</f>
        <v>#N/A</v>
      </c>
    </row>
    <row r="1333" spans="1:26" ht="28.15" customHeight="1" x14ac:dyDescent="0.2">
      <c r="A1333" s="6" t="s">
        <v>955</v>
      </c>
      <c r="B1333" s="1" t="s">
        <v>955</v>
      </c>
      <c r="T1333" s="10"/>
      <c r="W1333" s="9" t="str">
        <f t="shared" si="72"/>
        <v xml:space="preserve">Rural Districts--contd. </v>
      </c>
      <c r="X1333" s="9" t="e">
        <f>INDEX(Lookup!$A$2:$A$1349, MATCH(W1333, Lookup!$B$2:$B$1349,0))</f>
        <v>#N/A</v>
      </c>
      <c r="Y1333" s="9" t="e">
        <f>INDEX(Lookup!$F$2:$F$1349, MATCH(W1333, Lookup!$B$2:$B$1349,0))</f>
        <v>#N/A</v>
      </c>
      <c r="Z1333" s="6" t="e">
        <f>INDEX(Lookup!$C$2:$C$1300, MATCH(X1333, Lookup!$A$2:$A$1300,0))</f>
        <v>#N/A</v>
      </c>
    </row>
    <row r="1334" spans="1:26" ht="28.15" customHeight="1" x14ac:dyDescent="0.2">
      <c r="A1334" s="6" t="s">
        <v>1113</v>
      </c>
      <c r="B1334" s="1" t="s">
        <v>1113</v>
      </c>
      <c r="C1334" s="2">
        <v>3137</v>
      </c>
      <c r="D1334" s="2">
        <v>129869</v>
      </c>
      <c r="E1334" s="2">
        <v>139</v>
      </c>
      <c r="F1334" s="2">
        <v>18508</v>
      </c>
      <c r="G1334" s="2">
        <v>20</v>
      </c>
      <c r="H1334" s="2">
        <v>6199</v>
      </c>
      <c r="I1334" s="2">
        <v>70</v>
      </c>
      <c r="J1334" s="2">
        <v>5663</v>
      </c>
      <c r="K1334" s="2">
        <v>5</v>
      </c>
      <c r="L1334" s="2">
        <v>888</v>
      </c>
      <c r="M1334" s="2">
        <v>286</v>
      </c>
      <c r="N1334" s="2">
        <v>16785</v>
      </c>
      <c r="O1334" s="2">
        <v>15</v>
      </c>
      <c r="P1334" s="2">
        <v>7965</v>
      </c>
      <c r="Q1334" s="2">
        <v>26948</v>
      </c>
      <c r="R1334" s="2">
        <v>69409</v>
      </c>
      <c r="S1334" s="2">
        <v>282234</v>
      </c>
      <c r="T1334" s="10">
        <f t="shared" si="70"/>
        <v>154576</v>
      </c>
      <c r="U1334" s="8">
        <f t="shared" si="71"/>
        <v>0.54768737997548134</v>
      </c>
      <c r="V1334" s="9" t="s">
        <v>5271</v>
      </c>
      <c r="W1334" s="9" t="str">
        <f t="shared" si="72"/>
        <v>Devizes RD</v>
      </c>
      <c r="X1334" s="9" t="str">
        <f>INDEX(Lookup!$A$2:$A$1349, MATCH(W1334, Lookup!$B$2:$B$1349,0))</f>
        <v>J04000406</v>
      </c>
      <c r="Y1334" s="9" t="str">
        <f>INDEX(Lookup!$F$2:$F$1349, MATCH(W1334, Lookup!$B$2:$B$1349,0))</f>
        <v>e421119</v>
      </c>
      <c r="Z1334" s="6" t="str">
        <f>INDEX(Lookup!$C$2:$C$1300, MATCH(X1334, Lookup!$A$2:$A$1300,0))</f>
        <v>Wiltshire</v>
      </c>
    </row>
    <row r="1335" spans="1:26" ht="28.15" customHeight="1" x14ac:dyDescent="0.2">
      <c r="A1335" s="6" t="s">
        <v>1129</v>
      </c>
      <c r="B1335" s="1" t="s">
        <v>1129</v>
      </c>
      <c r="C1335" s="2">
        <v>7597</v>
      </c>
      <c r="D1335" s="2">
        <v>440093</v>
      </c>
      <c r="E1335" s="2">
        <v>257</v>
      </c>
      <c r="F1335" s="2">
        <v>32390</v>
      </c>
      <c r="G1335" s="2">
        <v>13</v>
      </c>
      <c r="H1335" s="2">
        <v>4290</v>
      </c>
      <c r="I1335" s="2">
        <v>150</v>
      </c>
      <c r="J1335" s="2">
        <v>27989</v>
      </c>
      <c r="K1335" s="2">
        <v>13</v>
      </c>
      <c r="L1335" s="2">
        <v>758</v>
      </c>
      <c r="M1335" s="2">
        <v>406</v>
      </c>
      <c r="N1335" s="2">
        <v>49746</v>
      </c>
      <c r="O1335" s="2">
        <v>30</v>
      </c>
      <c r="P1335" s="2">
        <v>686585</v>
      </c>
      <c r="Q1335" s="2">
        <v>58338</v>
      </c>
      <c r="R1335" s="2">
        <v>108138</v>
      </c>
      <c r="S1335" s="2">
        <v>1408327</v>
      </c>
      <c r="T1335" s="10">
        <f t="shared" si="70"/>
        <v>476773</v>
      </c>
      <c r="U1335" s="8">
        <f t="shared" si="71"/>
        <v>0.33853856384206227</v>
      </c>
      <c r="V1335" s="9" t="s">
        <v>5271</v>
      </c>
      <c r="W1335" s="9" t="str">
        <f t="shared" si="72"/>
        <v>Highworth RD</v>
      </c>
      <c r="X1335" s="9" t="str">
        <f>INDEX(Lookup!$A$2:$A$1349, MATCH(W1335, Lookup!$B$2:$B$1349,0))</f>
        <v>J04000623</v>
      </c>
      <c r="Y1335" s="9" t="str">
        <f>INDEX(Lookup!$F$2:$F$1349, MATCH(W1335, Lookup!$B$2:$B$1349,0))</f>
        <v>e421120</v>
      </c>
      <c r="Z1335" s="6" t="str">
        <f>INDEX(Lookup!$C$2:$C$1300, MATCH(X1335, Lookup!$A$2:$A$1300,0))</f>
        <v>Wiltshire</v>
      </c>
    </row>
    <row r="1336" spans="1:26" ht="28.15" customHeight="1" x14ac:dyDescent="0.2">
      <c r="A1336" s="6" t="s">
        <v>1114</v>
      </c>
      <c r="B1336" s="1" t="s">
        <v>1114</v>
      </c>
      <c r="C1336" s="2">
        <v>2219</v>
      </c>
      <c r="D1336" s="2">
        <v>86817</v>
      </c>
      <c r="E1336" s="2">
        <v>90</v>
      </c>
      <c r="F1336" s="2">
        <v>11532</v>
      </c>
      <c r="G1336" s="2">
        <v>51</v>
      </c>
      <c r="H1336" s="2">
        <v>15630</v>
      </c>
      <c r="I1336" s="2">
        <v>49</v>
      </c>
      <c r="J1336" s="2">
        <v>4418</v>
      </c>
      <c r="K1336" s="2">
        <v>4</v>
      </c>
      <c r="L1336" s="2">
        <v>422</v>
      </c>
      <c r="M1336" s="2">
        <v>185</v>
      </c>
      <c r="N1336" s="2">
        <v>12574</v>
      </c>
      <c r="O1336" s="2">
        <v>5</v>
      </c>
      <c r="P1336" s="2">
        <v>12814</v>
      </c>
      <c r="Q1336" s="2">
        <v>36536</v>
      </c>
      <c r="R1336" s="2">
        <v>51457</v>
      </c>
      <c r="S1336" s="2">
        <v>232200</v>
      </c>
      <c r="T1336" s="10">
        <f t="shared" si="70"/>
        <v>113979</v>
      </c>
      <c r="U1336" s="8">
        <f t="shared" si="71"/>
        <v>0.49086563307493541</v>
      </c>
      <c r="V1336" s="9" t="s">
        <v>5271</v>
      </c>
      <c r="W1336" s="9" t="str">
        <f t="shared" si="72"/>
        <v>Malmesbury RD</v>
      </c>
      <c r="X1336" s="9" t="str">
        <f>INDEX(Lookup!$A$2:$A$1349, MATCH(W1336, Lookup!$B$2:$B$1349,0))</f>
        <v>J04000816</v>
      </c>
      <c r="Y1336" s="9" t="str">
        <f>INDEX(Lookup!$F$2:$F$1349, MATCH(W1336, Lookup!$B$2:$B$1349,0))</f>
        <v>e421121</v>
      </c>
      <c r="Z1336" s="6" t="str">
        <f>INDEX(Lookup!$C$2:$C$1300, MATCH(X1336, Lookup!$A$2:$A$1300,0))</f>
        <v>Wiltshire</v>
      </c>
    </row>
    <row r="1337" spans="1:26" ht="28.15" customHeight="1" x14ac:dyDescent="0.2">
      <c r="A1337" s="6" t="s">
        <v>1130</v>
      </c>
      <c r="B1337" s="1" t="s">
        <v>5394</v>
      </c>
      <c r="C1337" s="2">
        <v>2099</v>
      </c>
      <c r="D1337" s="2">
        <v>85538</v>
      </c>
      <c r="E1337" s="2">
        <v>191</v>
      </c>
      <c r="F1337" s="2">
        <v>24882</v>
      </c>
      <c r="G1337" s="2">
        <v>36</v>
      </c>
      <c r="H1337" s="2">
        <v>10680</v>
      </c>
      <c r="I1337" s="2">
        <v>69</v>
      </c>
      <c r="J1337" s="2">
        <v>6693</v>
      </c>
      <c r="K1337" s="2">
        <v>8</v>
      </c>
      <c r="L1337" s="2">
        <v>1038</v>
      </c>
      <c r="M1337" s="2">
        <v>189</v>
      </c>
      <c r="N1337" s="2">
        <v>12884</v>
      </c>
      <c r="O1337" s="2">
        <v>4</v>
      </c>
      <c r="P1337" s="2">
        <v>1015</v>
      </c>
      <c r="Q1337" s="2">
        <v>4881</v>
      </c>
      <c r="R1337" s="2">
        <v>65225</v>
      </c>
      <c r="S1337" s="2">
        <v>212836</v>
      </c>
      <c r="T1337" s="10">
        <f t="shared" si="70"/>
        <v>121100</v>
      </c>
      <c r="U1337" s="8">
        <f t="shared" si="71"/>
        <v>0.56898269089815634</v>
      </c>
      <c r="V1337" s="9" t="s">
        <v>5271</v>
      </c>
      <c r="W1337" s="9" t="str">
        <f t="shared" si="72"/>
        <v>Marlborough and Ramsbury RD</v>
      </c>
      <c r="X1337" s="9" t="str">
        <f>INDEX(Lookup!$A$2:$A$1349, MATCH(W1337, Lookup!$B$2:$B$1349,0))</f>
        <v>J04000832</v>
      </c>
      <c r="Y1337" s="9" t="str">
        <f>INDEX(Lookup!$F$2:$F$1349, MATCH(W1337, Lookup!$B$2:$B$1349,0))</f>
        <v>e421122</v>
      </c>
      <c r="Z1337" s="6" t="str">
        <f>INDEX(Lookup!$C$2:$C$1300, MATCH(X1337, Lookup!$A$2:$A$1300,0))</f>
        <v>Wiltshire</v>
      </c>
    </row>
    <row r="1338" spans="1:26" ht="28.15" customHeight="1" x14ac:dyDescent="0.2">
      <c r="A1338" s="6" t="s">
        <v>1131</v>
      </c>
      <c r="B1338" s="1" t="s">
        <v>1131</v>
      </c>
      <c r="C1338" s="2">
        <v>2794</v>
      </c>
      <c r="D1338" s="2">
        <v>110629</v>
      </c>
      <c r="E1338" s="2">
        <v>159</v>
      </c>
      <c r="F1338" s="2">
        <v>21194</v>
      </c>
      <c r="G1338" s="2">
        <v>48</v>
      </c>
      <c r="H1338" s="2">
        <v>16235</v>
      </c>
      <c r="I1338" s="2">
        <v>116</v>
      </c>
      <c r="J1338" s="2">
        <v>10970</v>
      </c>
      <c r="K1338" s="2">
        <v>18</v>
      </c>
      <c r="L1338" s="2">
        <v>479</v>
      </c>
      <c r="M1338" s="2">
        <v>267</v>
      </c>
      <c r="N1338" s="2">
        <v>20027</v>
      </c>
      <c r="O1338" s="2">
        <v>16</v>
      </c>
      <c r="P1338" s="2">
        <v>10190</v>
      </c>
      <c r="Q1338" s="2">
        <v>5571</v>
      </c>
      <c r="R1338" s="2">
        <v>74623</v>
      </c>
      <c r="S1338" s="2">
        <v>269918</v>
      </c>
      <c r="T1338" s="10">
        <f t="shared" si="70"/>
        <v>148058</v>
      </c>
      <c r="U1338" s="8">
        <f t="shared" si="71"/>
        <v>0.54852955341992748</v>
      </c>
      <c r="V1338" s="9" t="s">
        <v>5271</v>
      </c>
      <c r="W1338" s="9" t="str">
        <f t="shared" si="72"/>
        <v>Mere and Tisbury RD</v>
      </c>
      <c r="X1338" s="9" t="str">
        <f>INDEX(Lookup!$A$2:$A$1349, MATCH(W1338, Lookup!$B$2:$B$1349,0))</f>
        <v>J04000847</v>
      </c>
      <c r="Y1338" s="9" t="str">
        <f>INDEX(Lookup!$F$2:$F$1349, MATCH(W1338, Lookup!$B$2:$B$1349,0))</f>
        <v>e421123</v>
      </c>
      <c r="Z1338" s="6" t="str">
        <f>INDEX(Lookup!$C$2:$C$1300, MATCH(X1338, Lookup!$A$2:$A$1300,0))</f>
        <v>Wiltshire</v>
      </c>
    </row>
    <row r="1339" spans="1:26" ht="28.15" customHeight="1" x14ac:dyDescent="0.2">
      <c r="A1339" s="6" t="s">
        <v>1132</v>
      </c>
      <c r="B1339" s="1" t="s">
        <v>1132</v>
      </c>
      <c r="C1339" s="2">
        <v>3489</v>
      </c>
      <c r="D1339" s="2">
        <v>152580</v>
      </c>
      <c r="E1339" s="2">
        <v>134</v>
      </c>
      <c r="F1339" s="2">
        <v>17762</v>
      </c>
      <c r="G1339" s="2">
        <v>29</v>
      </c>
      <c r="H1339" s="2">
        <v>9237</v>
      </c>
      <c r="I1339" s="2">
        <v>147</v>
      </c>
      <c r="J1339" s="2">
        <v>15041</v>
      </c>
      <c r="K1339" s="2">
        <v>14</v>
      </c>
      <c r="L1339" s="2">
        <v>764</v>
      </c>
      <c r="M1339" s="2">
        <v>406</v>
      </c>
      <c r="N1339" s="2">
        <v>20949</v>
      </c>
      <c r="O1339" s="2">
        <v>9</v>
      </c>
      <c r="P1339" s="2">
        <v>2831</v>
      </c>
      <c r="Q1339" s="2">
        <v>125501</v>
      </c>
      <c r="R1339" s="2">
        <v>68623</v>
      </c>
      <c r="S1339" s="2">
        <v>413288</v>
      </c>
      <c r="T1339" s="10">
        <f t="shared" si="70"/>
        <v>179579</v>
      </c>
      <c r="U1339" s="8">
        <f t="shared" si="71"/>
        <v>0.43451297884284085</v>
      </c>
      <c r="V1339" s="9" t="s">
        <v>5271</v>
      </c>
      <c r="W1339" s="9" t="str">
        <f t="shared" si="72"/>
        <v>Pewsey RD</v>
      </c>
      <c r="X1339" s="9" t="str">
        <f>INDEX(Lookup!$A$2:$A$1349, MATCH(W1339, Lookup!$B$2:$B$1349,0))</f>
        <v>J04000992</v>
      </c>
      <c r="Y1339" s="9" t="str">
        <f>INDEX(Lookup!$F$2:$F$1349, MATCH(W1339, Lookup!$B$2:$B$1349,0))</f>
        <v>e421124</v>
      </c>
      <c r="Z1339" s="6" t="str">
        <f>INDEX(Lookup!$C$2:$C$1300, MATCH(X1339, Lookup!$A$2:$A$1300,0))</f>
        <v>Wiltshire</v>
      </c>
    </row>
    <row r="1340" spans="1:26" ht="28.15" customHeight="1" x14ac:dyDescent="0.2">
      <c r="A1340" s="6" t="s">
        <v>1133</v>
      </c>
      <c r="B1340" s="1" t="s">
        <v>1133</v>
      </c>
      <c r="C1340" s="2">
        <v>4369</v>
      </c>
      <c r="D1340" s="2">
        <v>231090</v>
      </c>
      <c r="E1340" s="2">
        <v>490</v>
      </c>
      <c r="F1340" s="2">
        <v>62379</v>
      </c>
      <c r="G1340" s="2">
        <v>110</v>
      </c>
      <c r="H1340" s="2">
        <v>35526</v>
      </c>
      <c r="I1340" s="2">
        <v>101</v>
      </c>
      <c r="J1340" s="2">
        <v>12025</v>
      </c>
      <c r="K1340" s="2">
        <v>11</v>
      </c>
      <c r="L1340" s="2">
        <v>1604</v>
      </c>
      <c r="M1340" s="2">
        <v>309</v>
      </c>
      <c r="N1340" s="2">
        <v>29131</v>
      </c>
      <c r="O1340" s="2">
        <v>24</v>
      </c>
      <c r="P1340" s="2">
        <v>32495</v>
      </c>
      <c r="Q1340" s="2">
        <v>29423</v>
      </c>
      <c r="R1340" s="2">
        <v>115993</v>
      </c>
      <c r="S1340" s="2">
        <v>549666</v>
      </c>
      <c r="T1340" s="10">
        <f t="shared" si="70"/>
        <v>328995</v>
      </c>
      <c r="U1340" s="8">
        <f t="shared" si="71"/>
        <v>0.59853620198447788</v>
      </c>
      <c r="V1340" s="9" t="s">
        <v>5271</v>
      </c>
      <c r="W1340" s="9" t="str">
        <f t="shared" si="72"/>
        <v>Salisbury and Wilton RD</v>
      </c>
      <c r="X1340" s="9" t="str">
        <f>INDEX(Lookup!$A$2:$A$1349, MATCH(W1340, Lookup!$B$2:$B$1349,0))</f>
        <v>J04001096</v>
      </c>
      <c r="Y1340" s="9" t="str">
        <f>INDEX(Lookup!$F$2:$F$1349, MATCH(W1340, Lookup!$B$2:$B$1349,0))</f>
        <v>e421125</v>
      </c>
      <c r="Z1340" s="6" t="str">
        <f>INDEX(Lookup!$C$2:$C$1300, MATCH(X1340, Lookup!$A$2:$A$1300,0))</f>
        <v>Wiltshire</v>
      </c>
    </row>
    <row r="1341" spans="1:26" ht="28.15" customHeight="1" x14ac:dyDescent="0.2">
      <c r="A1341" s="6" t="s">
        <v>1134</v>
      </c>
      <c r="B1341" s="1" t="s">
        <v>5395</v>
      </c>
      <c r="C1341" s="2">
        <v>3346</v>
      </c>
      <c r="D1341" s="2">
        <v>129180</v>
      </c>
      <c r="E1341" s="2">
        <v>147</v>
      </c>
      <c r="F1341" s="2">
        <v>19846</v>
      </c>
      <c r="G1341" s="2">
        <v>31</v>
      </c>
      <c r="H1341" s="2">
        <v>11256</v>
      </c>
      <c r="I1341" s="2">
        <v>72</v>
      </c>
      <c r="J1341" s="2">
        <v>5532</v>
      </c>
      <c r="K1341" s="2">
        <v>5</v>
      </c>
      <c r="L1341" s="2">
        <v>219</v>
      </c>
      <c r="M1341" s="2">
        <v>284</v>
      </c>
      <c r="N1341" s="2">
        <v>21710</v>
      </c>
      <c r="O1341" s="2">
        <v>8</v>
      </c>
      <c r="P1341" s="2">
        <v>4790</v>
      </c>
      <c r="Q1341" s="2">
        <v>15457</v>
      </c>
      <c r="R1341" s="2">
        <v>60652</v>
      </c>
      <c r="S1341" s="2">
        <v>268642</v>
      </c>
      <c r="T1341" s="10">
        <f t="shared" si="70"/>
        <v>160282</v>
      </c>
      <c r="U1341" s="8">
        <f t="shared" si="71"/>
        <v>0.59663790472078082</v>
      </c>
      <c r="V1341" s="9" t="s">
        <v>5271</v>
      </c>
      <c r="W1341" s="9" t="str">
        <f t="shared" si="72"/>
        <v>Warminster and Westbury RD</v>
      </c>
      <c r="X1341" s="9" t="str">
        <f>INDEX(Lookup!$A$2:$A$1349, MATCH(W1341, Lookup!$B$2:$B$1349,0))</f>
        <v>J04001343</v>
      </c>
      <c r="Y1341" s="9" t="str">
        <f>INDEX(Lookup!$F$2:$F$1349, MATCH(W1341, Lookup!$B$2:$B$1349,0))</f>
        <v>e421126</v>
      </c>
      <c r="Z1341" s="6" t="str">
        <f>INDEX(Lookup!$C$2:$C$1300, MATCH(X1341, Lookup!$A$2:$A$1300,0))</f>
        <v>Wiltshire</v>
      </c>
    </row>
    <row r="1342" spans="1:26" ht="28.15" customHeight="1" x14ac:dyDescent="0.2">
      <c r="A1342" s="6" t="s">
        <v>1135</v>
      </c>
      <c r="B1342" s="1" t="s">
        <v>1135</v>
      </c>
      <c r="T1342" s="10"/>
      <c r="W1342" s="9" t="str">
        <f t="shared" si="72"/>
        <v xml:space="preserve">WORCESTERSHIRE: </v>
      </c>
      <c r="X1342" s="9" t="e">
        <f>INDEX(Lookup!$A$2:$A$1349, MATCH(W1342, Lookup!$B$2:$B$1349,0))</f>
        <v>#N/A</v>
      </c>
      <c r="Y1342" s="9" t="e">
        <f>INDEX(Lookup!$F$2:$F$1349, MATCH(W1342, Lookup!$B$2:$B$1349,0))</f>
        <v>#N/A</v>
      </c>
      <c r="Z1342" s="6" t="e">
        <f>INDEX(Lookup!$C$2:$C$1300, MATCH(X1342, Lookup!$A$2:$A$1300,0))</f>
        <v>#N/A</v>
      </c>
    </row>
    <row r="1343" spans="1:26" ht="28.15" customHeight="1" x14ac:dyDescent="0.2">
      <c r="A1343" s="6" t="s">
        <v>175</v>
      </c>
      <c r="B1343" s="1" t="s">
        <v>175</v>
      </c>
      <c r="T1343" s="10"/>
      <c r="W1343" s="9" t="str">
        <f t="shared" si="72"/>
        <v xml:space="preserve">Non-County Boroughs-- </v>
      </c>
      <c r="X1343" s="9" t="e">
        <f>INDEX(Lookup!$A$2:$A$1349, MATCH(W1343, Lookup!$B$2:$B$1349,0))</f>
        <v>#N/A</v>
      </c>
      <c r="Y1343" s="9" t="e">
        <f>INDEX(Lookup!$F$2:$F$1349, MATCH(W1343, Lookup!$B$2:$B$1349,0))</f>
        <v>#N/A</v>
      </c>
      <c r="Z1343" s="6" t="e">
        <f>INDEX(Lookup!$C$2:$C$1300, MATCH(X1343, Lookup!$A$2:$A$1300,0))</f>
        <v>#N/A</v>
      </c>
    </row>
    <row r="1344" spans="1:26" ht="28.15" customHeight="1" x14ac:dyDescent="0.2">
      <c r="A1344" s="6" t="s">
        <v>1136</v>
      </c>
      <c r="B1344" s="1" t="s">
        <v>1136</v>
      </c>
      <c r="C1344" s="2">
        <v>1547</v>
      </c>
      <c r="D1344" s="2">
        <v>69747</v>
      </c>
      <c r="E1344" s="2">
        <v>78</v>
      </c>
      <c r="F1344" s="2">
        <v>9829</v>
      </c>
      <c r="G1344" s="2">
        <v>12</v>
      </c>
      <c r="H1344" s="2">
        <v>3227</v>
      </c>
      <c r="I1344" s="5">
        <v>96</v>
      </c>
      <c r="J1344" s="2">
        <v>11746</v>
      </c>
      <c r="K1344" s="2">
        <v>9</v>
      </c>
      <c r="L1344" s="2">
        <v>802</v>
      </c>
      <c r="M1344" s="2">
        <v>162</v>
      </c>
      <c r="N1344" s="2">
        <v>10379</v>
      </c>
      <c r="O1344" s="2">
        <v>12</v>
      </c>
      <c r="P1344" s="2">
        <v>5690</v>
      </c>
      <c r="Q1344" s="2">
        <v>502</v>
      </c>
      <c r="R1344" s="2">
        <v>13723</v>
      </c>
      <c r="S1344" s="2">
        <v>125645</v>
      </c>
      <c r="T1344" s="10">
        <f t="shared" si="70"/>
        <v>82803</v>
      </c>
      <c r="U1344" s="8">
        <f t="shared" si="71"/>
        <v>0.65902343905447891</v>
      </c>
      <c r="V1344" s="9" t="s">
        <v>5268</v>
      </c>
      <c r="W1344" s="9" t="str">
        <f t="shared" si="72"/>
        <v>Bewdley MB</v>
      </c>
      <c r="X1344" s="9" t="str">
        <f>INDEX(Lookup!$A$2:$A$1349, MATCH(W1344, Lookup!$B$2:$B$1349,0))</f>
        <v>J04000134</v>
      </c>
      <c r="Y1344" s="9" t="str">
        <f>INDEX(Lookup!$F$2:$F$1349, MATCH(W1344, Lookup!$B$2:$B$1349,0))</f>
        <v>e431129</v>
      </c>
      <c r="Z1344" s="6" t="str">
        <f>INDEX(Lookup!$C$2:$C$1300, MATCH(X1344, Lookup!$A$2:$A$1300,0))</f>
        <v>Hereford And Worcs</v>
      </c>
    </row>
    <row r="1345" spans="1:26" ht="28.15" customHeight="1" x14ac:dyDescent="0.2">
      <c r="A1345" s="6" t="s">
        <v>1137</v>
      </c>
      <c r="B1345" s="1" t="s">
        <v>1137</v>
      </c>
      <c r="C1345" s="2">
        <v>2093</v>
      </c>
      <c r="D1345" s="2">
        <v>116885</v>
      </c>
      <c r="E1345" s="2">
        <v>212</v>
      </c>
      <c r="F1345" s="2">
        <v>28094</v>
      </c>
      <c r="G1345" s="2">
        <v>17</v>
      </c>
      <c r="H1345" s="2">
        <v>4705</v>
      </c>
      <c r="I1345" s="2">
        <v>134</v>
      </c>
      <c r="J1345" s="2">
        <v>25318</v>
      </c>
      <c r="K1345" s="2">
        <v>20</v>
      </c>
      <c r="L1345" s="2">
        <v>3510</v>
      </c>
      <c r="M1345" s="2">
        <v>170</v>
      </c>
      <c r="N1345" s="2">
        <v>43843</v>
      </c>
      <c r="O1345" s="2">
        <v>35</v>
      </c>
      <c r="P1345" s="2">
        <v>39538</v>
      </c>
      <c r="Q1345" s="2">
        <v>9182</v>
      </c>
      <c r="R1345" s="2">
        <v>33150</v>
      </c>
      <c r="S1345" s="2">
        <v>304225</v>
      </c>
      <c r="T1345" s="10">
        <f t="shared" si="70"/>
        <v>149684</v>
      </c>
      <c r="U1345" s="8">
        <f t="shared" si="71"/>
        <v>0.49201742131645987</v>
      </c>
      <c r="V1345" s="9" t="s">
        <v>5268</v>
      </c>
      <c r="W1345" s="9" t="str">
        <f t="shared" si="72"/>
        <v>Droitwich MB</v>
      </c>
      <c r="X1345" s="9" t="str">
        <f>INDEX(Lookup!$A$2:$A$1349, MATCH(W1345, Lookup!$B$2:$B$1349,0))</f>
        <v>J04000428</v>
      </c>
      <c r="Y1345" s="9" t="str">
        <f>INDEX(Lookup!$F$2:$F$1349, MATCH(W1345, Lookup!$B$2:$B$1349,0))</f>
        <v>e431131</v>
      </c>
      <c r="Z1345" s="6" t="str">
        <f>INDEX(Lookup!$C$2:$C$1300, MATCH(X1345, Lookup!$A$2:$A$1300,0))</f>
        <v>Hereford And Worcs</v>
      </c>
    </row>
    <row r="1346" spans="1:26" ht="28.15" customHeight="1" x14ac:dyDescent="0.2">
      <c r="A1346" s="6" t="s">
        <v>1138</v>
      </c>
      <c r="B1346" s="1" t="s">
        <v>1138</v>
      </c>
      <c r="C1346" s="2">
        <v>3756</v>
      </c>
      <c r="D1346" s="2">
        <v>198124</v>
      </c>
      <c r="E1346" s="2">
        <v>344</v>
      </c>
      <c r="F1346" s="2">
        <v>43080</v>
      </c>
      <c r="G1346" s="2">
        <v>18</v>
      </c>
      <c r="H1346" s="2">
        <v>4092</v>
      </c>
      <c r="I1346" s="2">
        <v>283</v>
      </c>
      <c r="J1346" s="2">
        <v>92254</v>
      </c>
      <c r="K1346" s="2">
        <v>90</v>
      </c>
      <c r="L1346" s="2">
        <v>13849</v>
      </c>
      <c r="M1346" s="2">
        <v>344</v>
      </c>
      <c r="N1346" s="2">
        <v>43647</v>
      </c>
      <c r="O1346" s="2">
        <v>31</v>
      </c>
      <c r="P1346" s="2">
        <v>46063</v>
      </c>
      <c r="Q1346" s="2">
        <v>7442</v>
      </c>
      <c r="R1346" s="2">
        <v>61264</v>
      </c>
      <c r="S1346" s="2">
        <v>509815</v>
      </c>
      <c r="T1346" s="10">
        <f t="shared" si="70"/>
        <v>245296</v>
      </c>
      <c r="U1346" s="8">
        <f t="shared" si="71"/>
        <v>0.48114708276531681</v>
      </c>
      <c r="V1346" s="9" t="s">
        <v>5268</v>
      </c>
      <c r="W1346" s="9" t="str">
        <f t="shared" si="72"/>
        <v>Evesham MB</v>
      </c>
      <c r="X1346" s="9" t="str">
        <f>INDEX(Lookup!$A$2:$A$1349, MATCH(W1346, Lookup!$B$2:$B$1349,0))</f>
        <v>J04000484</v>
      </c>
      <c r="Y1346" s="9" t="str">
        <f>INDEX(Lookup!$F$2:$F$1349, MATCH(W1346, Lookup!$B$2:$B$1349,0))</f>
        <v>e431132</v>
      </c>
      <c r="Z1346" s="6" t="str">
        <f>INDEX(Lookup!$C$2:$C$1300, MATCH(X1346, Lookup!$A$2:$A$1300,0))</f>
        <v>Hereford And Worcs</v>
      </c>
    </row>
    <row r="1347" spans="1:26" ht="28.15" customHeight="1" x14ac:dyDescent="0.2">
      <c r="A1347" s="6" t="s">
        <v>1139</v>
      </c>
      <c r="B1347" s="1" t="s">
        <v>1139</v>
      </c>
      <c r="C1347" s="2">
        <v>13639</v>
      </c>
      <c r="D1347" s="2">
        <v>795343</v>
      </c>
      <c r="E1347" s="2">
        <v>1114</v>
      </c>
      <c r="F1347" s="2">
        <v>133374</v>
      </c>
      <c r="G1347" s="2">
        <v>19</v>
      </c>
      <c r="H1347" s="2">
        <v>4370</v>
      </c>
      <c r="I1347" s="2">
        <v>598</v>
      </c>
      <c r="J1347" s="2">
        <v>113689</v>
      </c>
      <c r="K1347" s="2">
        <v>79</v>
      </c>
      <c r="L1347" s="2">
        <v>10545</v>
      </c>
      <c r="M1347" s="2">
        <v>1231</v>
      </c>
      <c r="N1347" s="2">
        <v>125315</v>
      </c>
      <c r="O1347" s="2">
        <v>194</v>
      </c>
      <c r="P1347" s="2">
        <v>557757</v>
      </c>
      <c r="Q1347" s="2">
        <v>2103</v>
      </c>
      <c r="R1347" s="2">
        <v>135344</v>
      </c>
      <c r="S1347" s="2">
        <v>1877840</v>
      </c>
      <c r="T1347" s="10">
        <f t="shared" si="70"/>
        <v>933087</v>
      </c>
      <c r="U1347" s="8">
        <f t="shared" si="71"/>
        <v>0.49689377156733266</v>
      </c>
      <c r="V1347" s="9" t="s">
        <v>5268</v>
      </c>
      <c r="W1347" s="9" t="str">
        <f t="shared" si="72"/>
        <v>Halesowen MB</v>
      </c>
      <c r="X1347" s="9" t="str">
        <f>INDEX(Lookup!$A$2:$A$1349, MATCH(W1347, Lookup!$B$2:$B$1349,0))</f>
        <v>J04000564</v>
      </c>
      <c r="Y1347" s="9" t="str">
        <f>INDEX(Lookup!$F$2:$F$1349, MATCH(W1347, Lookup!$B$2:$B$1349,0))</f>
        <v>e431133</v>
      </c>
      <c r="Z1347" s="6" t="str">
        <f>INDEX(Lookup!$C$2:$C$1300, MATCH(X1347, Lookup!$A$2:$A$1300,0))</f>
        <v>West Midlands</v>
      </c>
    </row>
    <row r="1348" spans="1:26" ht="28.15" customHeight="1" x14ac:dyDescent="0.2">
      <c r="A1348" s="6" t="s">
        <v>1140</v>
      </c>
      <c r="B1348" s="1" t="s">
        <v>1140</v>
      </c>
      <c r="C1348" s="2">
        <v>12880</v>
      </c>
      <c r="D1348" s="2">
        <v>661527</v>
      </c>
      <c r="E1348" s="2">
        <v>776</v>
      </c>
      <c r="F1348" s="2">
        <v>93876</v>
      </c>
      <c r="G1348" s="2">
        <v>37</v>
      </c>
      <c r="H1348" s="2">
        <v>8868</v>
      </c>
      <c r="I1348" s="2">
        <v>672</v>
      </c>
      <c r="J1348" s="2">
        <v>180524</v>
      </c>
      <c r="K1348" s="2">
        <v>176</v>
      </c>
      <c r="L1348" s="2">
        <v>19414</v>
      </c>
      <c r="M1348" s="2">
        <v>1487</v>
      </c>
      <c r="N1348" s="2">
        <v>112283</v>
      </c>
      <c r="O1348" s="2">
        <v>83</v>
      </c>
      <c r="P1348" s="2">
        <v>581415</v>
      </c>
      <c r="Q1348" s="2">
        <v>12636</v>
      </c>
      <c r="R1348" s="2">
        <v>135129</v>
      </c>
      <c r="S1348" s="2">
        <v>1805672</v>
      </c>
      <c r="T1348" s="10">
        <f t="shared" ref="T1348:T1411" si="73">SUM(D1348+F1348+H1348)</f>
        <v>764271</v>
      </c>
      <c r="U1348" s="8">
        <f t="shared" ref="U1348:U1411" si="74">T1348/S1348</f>
        <v>0.42326125675094922</v>
      </c>
      <c r="V1348" s="9" t="s">
        <v>5268</v>
      </c>
      <c r="W1348" s="9" t="str">
        <f t="shared" ref="W1348:W1411" si="75">_xlfn.CONCAT(B1348," ",V1348)</f>
        <v>Kidderminster MB</v>
      </c>
      <c r="X1348" s="9" t="str">
        <f>INDEX(Lookup!$A$2:$A$1349, MATCH(W1348, Lookup!$B$2:$B$1349,0))</f>
        <v>J04000691</v>
      </c>
      <c r="Y1348" s="9" t="str">
        <f>INDEX(Lookup!$F$2:$F$1349, MATCH(W1348, Lookup!$B$2:$B$1349,0))</f>
        <v>e431134</v>
      </c>
      <c r="Z1348" s="6" t="str">
        <f>INDEX(Lookup!$C$2:$C$1300, MATCH(X1348, Lookup!$A$2:$A$1300,0))</f>
        <v>Hereford And Worcs</v>
      </c>
    </row>
    <row r="1349" spans="1:26" ht="28.15" customHeight="1" x14ac:dyDescent="0.2">
      <c r="A1349" s="6" t="s">
        <v>1141</v>
      </c>
      <c r="B1349" s="1" t="s">
        <v>1141</v>
      </c>
      <c r="C1349" s="2">
        <v>15779</v>
      </c>
      <c r="D1349" s="2">
        <v>906507</v>
      </c>
      <c r="E1349" s="2">
        <v>462</v>
      </c>
      <c r="F1349" s="2">
        <v>52095</v>
      </c>
      <c r="G1349" s="2">
        <v>2</v>
      </c>
      <c r="H1349" s="2">
        <v>472</v>
      </c>
      <c r="I1349" s="2">
        <v>701</v>
      </c>
      <c r="J1349" s="2">
        <v>115168</v>
      </c>
      <c r="K1349" s="2">
        <v>79</v>
      </c>
      <c r="L1349" s="2">
        <v>15239</v>
      </c>
      <c r="M1349" s="2">
        <v>1150</v>
      </c>
      <c r="N1349" s="2">
        <v>113486</v>
      </c>
      <c r="O1349" s="2">
        <v>165</v>
      </c>
      <c r="P1349" s="2">
        <v>887549</v>
      </c>
      <c r="Q1349" s="2">
        <v>1742</v>
      </c>
      <c r="R1349" s="2">
        <v>203218</v>
      </c>
      <c r="S1349" s="2">
        <v>2295476</v>
      </c>
      <c r="T1349" s="10">
        <f t="shared" si="73"/>
        <v>959074</v>
      </c>
      <c r="U1349" s="8">
        <f t="shared" si="74"/>
        <v>0.41781051076116676</v>
      </c>
      <c r="V1349" s="9" t="s">
        <v>5268</v>
      </c>
      <c r="W1349" s="9" t="str">
        <f t="shared" si="75"/>
        <v>Oldbury MB</v>
      </c>
      <c r="X1349" s="9" t="str">
        <f>INDEX(Lookup!$A$2:$A$1349, MATCH(W1349, Lookup!$B$2:$B$1349,0))</f>
        <v>J04000953</v>
      </c>
      <c r="Y1349" s="9" t="str">
        <f>INDEX(Lookup!$F$2:$F$1349, MATCH(W1349, Lookup!$B$2:$B$1349,0))</f>
        <v>e431127</v>
      </c>
      <c r="Z1349" s="6" t="str">
        <f>INDEX(Lookup!$C$2:$C$1300, MATCH(X1349, Lookup!$A$2:$A$1300,0))</f>
        <v>West Midlands</v>
      </c>
    </row>
    <row r="1350" spans="1:26" ht="28.15" customHeight="1" x14ac:dyDescent="0.2">
      <c r="A1350" s="6" t="s">
        <v>1142</v>
      </c>
      <c r="B1350" s="1" t="s">
        <v>1142</v>
      </c>
      <c r="C1350" s="2">
        <v>13040</v>
      </c>
      <c r="D1350" s="2">
        <v>719985</v>
      </c>
      <c r="E1350" s="2">
        <v>1188</v>
      </c>
      <c r="F1350" s="2">
        <v>147591</v>
      </c>
      <c r="G1350" s="2">
        <v>76</v>
      </c>
      <c r="H1350" s="2">
        <v>18892</v>
      </c>
      <c r="I1350" s="2">
        <v>753</v>
      </c>
      <c r="J1350" s="2">
        <v>204275</v>
      </c>
      <c r="K1350" s="2">
        <v>130</v>
      </c>
      <c r="L1350" s="2">
        <v>28833</v>
      </c>
      <c r="M1350" s="2">
        <v>1031</v>
      </c>
      <c r="N1350" s="2">
        <v>119122</v>
      </c>
      <c r="O1350" s="2">
        <v>181</v>
      </c>
      <c r="P1350" s="2">
        <v>254735</v>
      </c>
      <c r="Q1350" s="2">
        <v>4662</v>
      </c>
      <c r="R1350" s="2">
        <v>134428</v>
      </c>
      <c r="S1350" s="2">
        <v>1632523</v>
      </c>
      <c r="T1350" s="10">
        <f t="shared" si="73"/>
        <v>886468</v>
      </c>
      <c r="U1350" s="8">
        <f t="shared" si="74"/>
        <v>0.54300490712841409</v>
      </c>
      <c r="V1350" s="9" t="s">
        <v>5268</v>
      </c>
      <c r="W1350" s="9" t="str">
        <f t="shared" si="75"/>
        <v>Stourbridge MB</v>
      </c>
      <c r="X1350" s="9" t="str">
        <f>INDEX(Lookup!$A$2:$A$1349, MATCH(W1350, Lookup!$B$2:$B$1349,0))</f>
        <v>J04001217</v>
      </c>
      <c r="Y1350" s="9" t="str">
        <f>INDEX(Lookup!$F$2:$F$1349, MATCH(W1350, Lookup!$B$2:$B$1349,0))</f>
        <v>e431138</v>
      </c>
      <c r="Z1350" s="6" t="str">
        <f>INDEX(Lookup!$C$2:$C$1300, MATCH(X1350, Lookup!$A$2:$A$1300,0))</f>
        <v>West Midlands</v>
      </c>
    </row>
    <row r="1351" spans="1:26" ht="28.15" customHeight="1" x14ac:dyDescent="0.2">
      <c r="A1351" s="6" t="s">
        <v>179</v>
      </c>
      <c r="B1351" s="1" t="s">
        <v>179</v>
      </c>
      <c r="T1351" s="10"/>
      <c r="W1351" s="9" t="str">
        <f t="shared" si="75"/>
        <v xml:space="preserve">Urban Districts-- </v>
      </c>
      <c r="X1351" s="9" t="e">
        <f>INDEX(Lookup!$A$2:$A$1349, MATCH(W1351, Lookup!$B$2:$B$1349,0))</f>
        <v>#N/A</v>
      </c>
      <c r="Y1351" s="9" t="e">
        <f>INDEX(Lookup!$F$2:$F$1349, MATCH(W1351, Lookup!$B$2:$B$1349,0))</f>
        <v>#N/A</v>
      </c>
      <c r="Z1351" s="6" t="e">
        <f>INDEX(Lookup!$C$2:$C$1300, MATCH(X1351, Lookup!$A$2:$A$1300,0))</f>
        <v>#N/A</v>
      </c>
    </row>
    <row r="1352" spans="1:26" ht="28.15" customHeight="1" x14ac:dyDescent="0.2">
      <c r="A1352" s="6" t="s">
        <v>1143</v>
      </c>
      <c r="B1352" s="1" t="s">
        <v>1143</v>
      </c>
      <c r="C1352" s="2">
        <v>9558</v>
      </c>
      <c r="D1352" s="2">
        <v>564262</v>
      </c>
      <c r="E1352" s="2">
        <v>731</v>
      </c>
      <c r="F1352" s="2">
        <v>90665</v>
      </c>
      <c r="G1352" s="2">
        <v>119</v>
      </c>
      <c r="H1352" s="2">
        <v>33072</v>
      </c>
      <c r="I1352" s="2">
        <v>423</v>
      </c>
      <c r="J1352" s="2">
        <v>163358</v>
      </c>
      <c r="K1352" s="2">
        <v>75</v>
      </c>
      <c r="L1352" s="2">
        <v>19175</v>
      </c>
      <c r="M1352" s="2">
        <v>769</v>
      </c>
      <c r="N1352" s="2">
        <v>57201</v>
      </c>
      <c r="O1352" s="2">
        <v>35</v>
      </c>
      <c r="P1352" s="2">
        <v>119775</v>
      </c>
      <c r="Q1352" s="2">
        <v>15937</v>
      </c>
      <c r="R1352" s="2">
        <v>134580</v>
      </c>
      <c r="S1352" s="2">
        <v>1198025</v>
      </c>
      <c r="T1352" s="10">
        <f t="shared" si="73"/>
        <v>687999</v>
      </c>
      <c r="U1352" s="8">
        <f t="shared" si="74"/>
        <v>0.57427766532417934</v>
      </c>
      <c r="V1352" s="9" t="s">
        <v>5270</v>
      </c>
      <c r="W1352" s="9" t="str">
        <f t="shared" si="75"/>
        <v>Bromsgrove UD</v>
      </c>
      <c r="X1352" s="9" t="str">
        <f>INDEX(Lookup!$A$2:$A$1349, MATCH(W1352, Lookup!$B$2:$B$1349,0))</f>
        <v>J04000220</v>
      </c>
      <c r="Y1352" s="9" t="str">
        <f>INDEX(Lookup!$F$2:$F$1349, MATCH(W1352, Lookup!$B$2:$B$1349,0))</f>
        <v>e431130</v>
      </c>
      <c r="Z1352" s="6" t="str">
        <f>INDEX(Lookup!$C$2:$C$1300, MATCH(X1352, Lookup!$A$2:$A$1300,0))</f>
        <v>Hereford And Worcs</v>
      </c>
    </row>
    <row r="1353" spans="1:26" ht="28.15" customHeight="1" x14ac:dyDescent="0.2">
      <c r="A1353" s="6" t="s">
        <v>1144</v>
      </c>
      <c r="B1353" s="1" t="s">
        <v>1144</v>
      </c>
      <c r="C1353" s="2">
        <v>6786</v>
      </c>
      <c r="D1353" s="2">
        <v>379120</v>
      </c>
      <c r="E1353" s="2">
        <v>959</v>
      </c>
      <c r="F1353" s="2">
        <v>117193</v>
      </c>
      <c r="G1353" s="2">
        <v>40</v>
      </c>
      <c r="H1353" s="2">
        <v>9210</v>
      </c>
      <c r="I1353" s="2">
        <v>354</v>
      </c>
      <c r="J1353" s="2">
        <v>90093</v>
      </c>
      <c r="K1353" s="2">
        <v>43</v>
      </c>
      <c r="L1353" s="2">
        <v>5844</v>
      </c>
      <c r="M1353" s="2">
        <v>808</v>
      </c>
      <c r="N1353" s="2">
        <v>45859</v>
      </c>
      <c r="O1353" s="2">
        <v>40</v>
      </c>
      <c r="P1353" s="2">
        <v>38680</v>
      </c>
      <c r="Q1353" s="2">
        <v>37107</v>
      </c>
      <c r="R1353" s="2">
        <v>135663</v>
      </c>
      <c r="S1353" s="2">
        <v>858769</v>
      </c>
      <c r="T1353" s="10">
        <f t="shared" si="73"/>
        <v>505523</v>
      </c>
      <c r="U1353" s="8">
        <f t="shared" si="74"/>
        <v>0.58866004711395037</v>
      </c>
      <c r="V1353" s="9" t="s">
        <v>5270</v>
      </c>
      <c r="W1353" s="9" t="str">
        <f t="shared" si="75"/>
        <v>Malvern UD</v>
      </c>
      <c r="X1353" s="9" t="str">
        <f>INDEX(Lookup!$A$2:$A$1349, MATCH(W1353, Lookup!$B$2:$B$1349,0))</f>
        <v>J04000820</v>
      </c>
      <c r="Y1353" s="9" t="str">
        <f>INDEX(Lookup!$F$2:$F$1349, MATCH(W1353, Lookup!$B$2:$B$1349,0))</f>
        <v>e431135</v>
      </c>
      <c r="Z1353" s="6" t="str">
        <f>INDEX(Lookup!$C$2:$C$1300, MATCH(X1353, Lookup!$A$2:$A$1300,0))</f>
        <v>Hereford And Worcs</v>
      </c>
    </row>
    <row r="1354" spans="1:26" ht="28.15" customHeight="1" x14ac:dyDescent="0.2">
      <c r="A1354" s="6" t="s">
        <v>1145</v>
      </c>
      <c r="B1354" s="1" t="s">
        <v>1145</v>
      </c>
      <c r="C1354" s="2">
        <v>10557</v>
      </c>
      <c r="D1354" s="2">
        <v>569506</v>
      </c>
      <c r="E1354" s="2">
        <v>354</v>
      </c>
      <c r="F1354" s="2">
        <v>43249</v>
      </c>
      <c r="G1354" s="2">
        <v>10</v>
      </c>
      <c r="H1354" s="2">
        <v>2673</v>
      </c>
      <c r="I1354" s="2">
        <v>472</v>
      </c>
      <c r="J1354" s="2">
        <v>105452</v>
      </c>
      <c r="K1354" s="2">
        <v>71</v>
      </c>
      <c r="L1354" s="2">
        <v>8221</v>
      </c>
      <c r="M1354" s="2">
        <v>962</v>
      </c>
      <c r="N1354" s="2">
        <v>58242</v>
      </c>
      <c r="O1354" s="2">
        <v>193</v>
      </c>
      <c r="P1354" s="2">
        <v>402222</v>
      </c>
      <c r="Q1354" s="2">
        <v>4160</v>
      </c>
      <c r="R1354" s="2">
        <v>158572</v>
      </c>
      <c r="S1354" s="2">
        <v>1352297</v>
      </c>
      <c r="T1354" s="10">
        <f t="shared" si="73"/>
        <v>615428</v>
      </c>
      <c r="U1354" s="8">
        <f t="shared" si="74"/>
        <v>0.45509825134567333</v>
      </c>
      <c r="V1354" s="9" t="s">
        <v>5270</v>
      </c>
      <c r="W1354" s="9" t="str">
        <f t="shared" si="75"/>
        <v>Redditch UD</v>
      </c>
      <c r="X1354" s="9" t="str">
        <f>INDEX(Lookup!$A$2:$A$1349, MATCH(W1354, Lookup!$B$2:$B$1349,0))</f>
        <v>J04001038</v>
      </c>
      <c r="Y1354" s="9" t="str">
        <f>INDEX(Lookup!$F$2:$F$1349, MATCH(W1354, Lookup!$B$2:$B$1349,0))</f>
        <v>e431136</v>
      </c>
      <c r="Z1354" s="6" t="str">
        <f>INDEX(Lookup!$C$2:$C$1300, MATCH(X1354, Lookup!$A$2:$A$1300,0))</f>
        <v>Hereford And Worcs</v>
      </c>
    </row>
    <row r="1355" spans="1:26" ht="28.15" customHeight="1" x14ac:dyDescent="0.2">
      <c r="A1355" s="6" t="s">
        <v>1146</v>
      </c>
      <c r="B1355" s="1" t="s">
        <v>1146</v>
      </c>
      <c r="C1355" s="2">
        <v>3776</v>
      </c>
      <c r="D1355" s="2">
        <v>207549</v>
      </c>
      <c r="E1355" s="2">
        <v>213</v>
      </c>
      <c r="F1355" s="2">
        <v>25745</v>
      </c>
      <c r="G1355" s="2">
        <v>4</v>
      </c>
      <c r="H1355" s="2">
        <v>1001</v>
      </c>
      <c r="I1355" s="2">
        <v>170</v>
      </c>
      <c r="J1355" s="2">
        <v>26449</v>
      </c>
      <c r="K1355" s="2">
        <v>27</v>
      </c>
      <c r="L1355" s="2">
        <v>2065</v>
      </c>
      <c r="M1355" s="2">
        <v>383</v>
      </c>
      <c r="N1355" s="2">
        <v>47555</v>
      </c>
      <c r="O1355" s="2">
        <v>15</v>
      </c>
      <c r="P1355" s="2">
        <v>123240</v>
      </c>
      <c r="Q1355" s="2">
        <v>7013</v>
      </c>
      <c r="R1355" s="2">
        <v>161564</v>
      </c>
      <c r="S1355" s="2">
        <v>602181</v>
      </c>
      <c r="T1355" s="10">
        <f t="shared" si="73"/>
        <v>234295</v>
      </c>
      <c r="U1355" s="8">
        <f t="shared" si="74"/>
        <v>0.38907737042517115</v>
      </c>
      <c r="V1355" s="9" t="s">
        <v>5270</v>
      </c>
      <c r="W1355" s="9" t="str">
        <f t="shared" si="75"/>
        <v>Stourport-on-Severn UD</v>
      </c>
      <c r="X1355" s="9" t="str">
        <f>INDEX(Lookup!$A$2:$A$1349, MATCH(W1355, Lookup!$B$2:$B$1349,0))</f>
        <v>J04001218</v>
      </c>
      <c r="Y1355" s="9" t="str">
        <f>INDEX(Lookup!$F$2:$F$1349, MATCH(W1355, Lookup!$B$2:$B$1349,0))</f>
        <v>e431139</v>
      </c>
      <c r="Z1355" s="6" t="str">
        <f>INDEX(Lookup!$C$2:$C$1300, MATCH(X1355, Lookup!$A$2:$A$1300,0))</f>
        <v>Hereford And Worcs</v>
      </c>
    </row>
    <row r="1356" spans="1:26" ht="28.15" customHeight="1" x14ac:dyDescent="0.2">
      <c r="A1356" s="6" t="s">
        <v>212</v>
      </c>
      <c r="B1356" s="1" t="s">
        <v>212</v>
      </c>
      <c r="T1356" s="10"/>
      <c r="W1356" s="9" t="str">
        <f t="shared" si="75"/>
        <v xml:space="preserve">Rural Districts-- </v>
      </c>
      <c r="X1356" s="9" t="e">
        <f>INDEX(Lookup!$A$2:$A$1349, MATCH(W1356, Lookup!$B$2:$B$1349,0))</f>
        <v>#N/A</v>
      </c>
      <c r="Y1356" s="9" t="e">
        <f>INDEX(Lookup!$F$2:$F$1349, MATCH(W1356, Lookup!$B$2:$B$1349,0))</f>
        <v>#N/A</v>
      </c>
      <c r="Z1356" s="6" t="e">
        <f>INDEX(Lookup!$C$2:$C$1300, MATCH(X1356, Lookup!$A$2:$A$1300,0))</f>
        <v>#N/A</v>
      </c>
    </row>
    <row r="1357" spans="1:26" ht="28.15" customHeight="1" x14ac:dyDescent="0.2">
      <c r="A1357" s="6" t="s">
        <v>1143</v>
      </c>
      <c r="B1357" s="1" t="s">
        <v>1143</v>
      </c>
      <c r="C1357" s="2">
        <v>8459</v>
      </c>
      <c r="D1357" s="2">
        <v>540174</v>
      </c>
      <c r="E1357" s="2">
        <v>1843</v>
      </c>
      <c r="F1357" s="2">
        <v>232410</v>
      </c>
      <c r="G1357" s="2">
        <v>167</v>
      </c>
      <c r="H1357" s="2">
        <v>44491</v>
      </c>
      <c r="I1357" s="2">
        <v>243</v>
      </c>
      <c r="J1357" s="2">
        <v>38298</v>
      </c>
      <c r="K1357" s="2">
        <v>23</v>
      </c>
      <c r="L1357" s="2">
        <v>2415</v>
      </c>
      <c r="M1357" s="2">
        <v>458</v>
      </c>
      <c r="N1357" s="2">
        <v>65111</v>
      </c>
      <c r="O1357" s="2">
        <v>40</v>
      </c>
      <c r="P1357" s="2">
        <v>155084</v>
      </c>
      <c r="Q1357" s="2">
        <v>4086</v>
      </c>
      <c r="R1357" s="2">
        <v>176036</v>
      </c>
      <c r="S1357" s="2">
        <v>1258105</v>
      </c>
      <c r="T1357" s="10">
        <f t="shared" si="73"/>
        <v>817075</v>
      </c>
      <c r="U1357" s="8">
        <f t="shared" si="74"/>
        <v>0.64944897285997594</v>
      </c>
      <c r="V1357" s="9" t="s">
        <v>5271</v>
      </c>
      <c r="W1357" s="9" t="str">
        <f t="shared" si="75"/>
        <v>Bromsgrove RD</v>
      </c>
      <c r="X1357" s="9" t="str">
        <f>INDEX(Lookup!$A$2:$A$1349, MATCH(W1357, Lookup!$B$2:$B$1349,0))</f>
        <v>J04000219</v>
      </c>
      <c r="Y1357" s="9" t="str">
        <f>INDEX(Lookup!$F$2:$F$1349, MATCH(W1357, Lookup!$B$2:$B$1349,0))</f>
        <v>e431140</v>
      </c>
      <c r="Z1357" s="6" t="str">
        <f>INDEX(Lookup!$C$2:$C$1300, MATCH(X1357, Lookup!$A$2:$A$1300,0))</f>
        <v>Hereford And Worcs</v>
      </c>
    </row>
    <row r="1358" spans="1:26" ht="28.15" customHeight="1" x14ac:dyDescent="0.2">
      <c r="A1358" s="6" t="s">
        <v>1137</v>
      </c>
      <c r="B1358" s="1" t="s">
        <v>1137</v>
      </c>
      <c r="C1358" s="2">
        <v>3266</v>
      </c>
      <c r="D1358" s="2">
        <v>161032</v>
      </c>
      <c r="E1358" s="2">
        <v>312</v>
      </c>
      <c r="F1358" s="2">
        <v>39413</v>
      </c>
      <c r="G1358" s="2">
        <v>43</v>
      </c>
      <c r="H1358" s="2">
        <v>11525</v>
      </c>
      <c r="I1358" s="2">
        <v>57</v>
      </c>
      <c r="J1358" s="2">
        <v>5164</v>
      </c>
      <c r="K1358" s="2">
        <v>9</v>
      </c>
      <c r="L1358" s="2">
        <v>1497</v>
      </c>
      <c r="M1358" s="2">
        <v>233</v>
      </c>
      <c r="N1358" s="2">
        <v>27822</v>
      </c>
      <c r="O1358" s="2">
        <v>7</v>
      </c>
      <c r="P1358" s="2">
        <v>32479</v>
      </c>
      <c r="Q1358" s="2">
        <v>44115</v>
      </c>
      <c r="R1358" s="2">
        <v>94603</v>
      </c>
      <c r="S1358" s="2">
        <v>417650</v>
      </c>
      <c r="T1358" s="10">
        <f t="shared" si="73"/>
        <v>211970</v>
      </c>
      <c r="U1358" s="8">
        <f t="shared" si="74"/>
        <v>0.50753022866036157</v>
      </c>
      <c r="V1358" s="9" t="s">
        <v>5271</v>
      </c>
      <c r="W1358" s="9" t="str">
        <f t="shared" si="75"/>
        <v>Droitwich RD</v>
      </c>
      <c r="X1358" s="9" t="str">
        <f>INDEX(Lookup!$A$2:$A$1349, MATCH(W1358, Lookup!$B$2:$B$1349,0))</f>
        <v>J04000429</v>
      </c>
      <c r="Y1358" s="9" t="str">
        <f>INDEX(Lookup!$F$2:$F$1349, MATCH(W1358, Lookup!$B$2:$B$1349,0))</f>
        <v>e431141</v>
      </c>
      <c r="Z1358" s="6" t="str">
        <f>INDEX(Lookup!$C$2:$C$1300, MATCH(X1358, Lookup!$A$2:$A$1300,0))</f>
        <v>Hereford And Worcs</v>
      </c>
    </row>
    <row r="1359" spans="1:26" ht="28.15" customHeight="1" x14ac:dyDescent="0.2">
      <c r="A1359" s="6" t="s">
        <v>1138</v>
      </c>
      <c r="B1359" s="1" t="s">
        <v>1138</v>
      </c>
      <c r="C1359" s="2">
        <v>4585</v>
      </c>
      <c r="D1359" s="2">
        <v>230330</v>
      </c>
      <c r="E1359" s="2">
        <v>411</v>
      </c>
      <c r="F1359" s="2">
        <v>52319</v>
      </c>
      <c r="G1359" s="2">
        <v>61</v>
      </c>
      <c r="H1359" s="2">
        <v>17473</v>
      </c>
      <c r="I1359" s="2">
        <v>133</v>
      </c>
      <c r="J1359" s="2">
        <v>16377</v>
      </c>
      <c r="K1359" s="2">
        <v>14</v>
      </c>
      <c r="L1359" s="2">
        <v>8570</v>
      </c>
      <c r="M1359" s="2">
        <v>383</v>
      </c>
      <c r="N1359" s="2">
        <v>33060</v>
      </c>
      <c r="O1359" s="2">
        <v>17</v>
      </c>
      <c r="P1359" s="2">
        <v>11078</v>
      </c>
      <c r="Q1359" s="2">
        <v>43601</v>
      </c>
      <c r="R1359" s="2">
        <v>96109</v>
      </c>
      <c r="S1359" s="2">
        <v>508917</v>
      </c>
      <c r="T1359" s="10">
        <f t="shared" si="73"/>
        <v>300122</v>
      </c>
      <c r="U1359" s="8">
        <f t="shared" si="74"/>
        <v>0.58972681203418242</v>
      </c>
      <c r="V1359" s="9" t="s">
        <v>5271</v>
      </c>
      <c r="W1359" s="9" t="str">
        <f t="shared" si="75"/>
        <v>Evesham RD</v>
      </c>
      <c r="X1359" s="9" t="str">
        <f>INDEX(Lookup!$A$2:$A$1349, MATCH(W1359, Lookup!$B$2:$B$1349,0))</f>
        <v>J04000485</v>
      </c>
      <c r="Y1359" s="9" t="str">
        <f>INDEX(Lookup!$F$2:$F$1349, MATCH(W1359, Lookup!$B$2:$B$1349,0))</f>
        <v>e431142</v>
      </c>
      <c r="Z1359" s="6" t="str">
        <f>INDEX(Lookup!$C$2:$C$1300, MATCH(X1359, Lookup!$A$2:$A$1300,0))</f>
        <v>Hereford And Worcs</v>
      </c>
    </row>
    <row r="1360" spans="1:26" ht="28.15" customHeight="1" x14ac:dyDescent="0.2">
      <c r="A1360" s="6" t="s">
        <v>1140</v>
      </c>
      <c r="B1360" s="1" t="s">
        <v>1140</v>
      </c>
      <c r="C1360" s="2">
        <v>3345</v>
      </c>
      <c r="D1360" s="2">
        <v>159600</v>
      </c>
      <c r="E1360" s="2">
        <v>259</v>
      </c>
      <c r="F1360" s="2">
        <v>34214</v>
      </c>
      <c r="G1360" s="2">
        <v>73</v>
      </c>
      <c r="H1360" s="2">
        <v>22144</v>
      </c>
      <c r="I1360" s="2">
        <v>57</v>
      </c>
      <c r="J1360" s="2">
        <v>3941</v>
      </c>
      <c r="M1360" s="2">
        <v>197</v>
      </c>
      <c r="N1360" s="2">
        <v>16869</v>
      </c>
      <c r="O1360" s="2">
        <v>6</v>
      </c>
      <c r="P1360" s="2">
        <v>12071</v>
      </c>
      <c r="Q1360" s="2">
        <v>13755</v>
      </c>
      <c r="R1360" s="2">
        <v>93227</v>
      </c>
      <c r="S1360" s="2">
        <v>355821</v>
      </c>
      <c r="T1360" s="10">
        <f t="shared" si="73"/>
        <v>215958</v>
      </c>
      <c r="U1360" s="8">
        <f t="shared" si="74"/>
        <v>0.60692876474407076</v>
      </c>
      <c r="V1360" s="9" t="s">
        <v>5271</v>
      </c>
      <c r="W1360" s="9" t="str">
        <f t="shared" si="75"/>
        <v>Kidderminster RD</v>
      </c>
      <c r="X1360" s="9" t="str">
        <f>INDEX(Lookup!$A$2:$A$1349, MATCH(W1360, Lookup!$B$2:$B$1349,0))</f>
        <v>J04000692</v>
      </c>
      <c r="Y1360" s="9" t="str">
        <f>INDEX(Lookup!$F$2:$F$1349, MATCH(W1360, Lookup!$B$2:$B$1349,0))</f>
        <v>e431143</v>
      </c>
      <c r="Z1360" s="6" t="str">
        <f>INDEX(Lookup!$C$2:$C$1300, MATCH(X1360, Lookup!$A$2:$A$1300,0))</f>
        <v>Hereford And Worcs</v>
      </c>
    </row>
    <row r="1361" spans="1:30" ht="28.15" customHeight="1" x14ac:dyDescent="0.2">
      <c r="A1361" s="6" t="s">
        <v>1147</v>
      </c>
      <c r="B1361" s="1" t="s">
        <v>1147</v>
      </c>
      <c r="C1361" s="2">
        <v>3101</v>
      </c>
      <c r="D1361" s="2">
        <v>137624</v>
      </c>
      <c r="E1361" s="2">
        <v>232</v>
      </c>
      <c r="F1361" s="2">
        <v>29696</v>
      </c>
      <c r="G1361" s="2">
        <v>30</v>
      </c>
      <c r="H1361" s="2">
        <v>7889</v>
      </c>
      <c r="I1361" s="2">
        <v>61</v>
      </c>
      <c r="J1361" s="2">
        <v>4718</v>
      </c>
      <c r="K1361" s="2">
        <v>2</v>
      </c>
      <c r="L1361" s="2">
        <v>36</v>
      </c>
      <c r="M1361" s="2">
        <v>171</v>
      </c>
      <c r="N1361" s="2">
        <v>18886</v>
      </c>
      <c r="O1361" s="2">
        <v>14</v>
      </c>
      <c r="P1361" s="2">
        <v>6504</v>
      </c>
      <c r="Q1361" s="2">
        <v>789</v>
      </c>
      <c r="R1361" s="2">
        <v>65747</v>
      </c>
      <c r="S1361" s="2">
        <v>271889</v>
      </c>
      <c r="T1361" s="10">
        <f t="shared" si="73"/>
        <v>175209</v>
      </c>
      <c r="U1361" s="8">
        <f t="shared" si="74"/>
        <v>0.64441371294903438</v>
      </c>
      <c r="V1361" s="9" t="s">
        <v>5271</v>
      </c>
      <c r="W1361" s="9" t="str">
        <f t="shared" si="75"/>
        <v>Martley RD</v>
      </c>
      <c r="X1361" s="9" t="str">
        <f>INDEX(Lookup!$A$2:$A$1349, MATCH(W1361, Lookup!$B$2:$B$1349,0))</f>
        <v>J04000837</v>
      </c>
      <c r="Y1361" s="9" t="str">
        <f>INDEX(Lookup!$F$2:$F$1349, MATCH(W1361, Lookup!$B$2:$B$1349,0))</f>
        <v>e431144</v>
      </c>
      <c r="Z1361" s="6" t="str">
        <f>INDEX(Lookup!$C$2:$C$1300, MATCH(X1361, Lookup!$A$2:$A$1300,0))</f>
        <v>Hereford And Worcs</v>
      </c>
    </row>
    <row r="1362" spans="1:30" ht="28.15" customHeight="1" x14ac:dyDescent="0.2">
      <c r="A1362" s="6" t="s">
        <v>1148</v>
      </c>
      <c r="B1362" s="1" t="s">
        <v>1148</v>
      </c>
      <c r="C1362" s="2">
        <v>4447</v>
      </c>
      <c r="D1362" s="2">
        <v>223498</v>
      </c>
      <c r="E1362" s="2">
        <v>354</v>
      </c>
      <c r="F1362" s="2">
        <v>44471</v>
      </c>
      <c r="G1362" s="2">
        <v>35</v>
      </c>
      <c r="H1362" s="2">
        <v>9171</v>
      </c>
      <c r="I1362" s="2">
        <v>154</v>
      </c>
      <c r="J1362" s="2">
        <v>18950</v>
      </c>
      <c r="K1362" s="2">
        <v>32</v>
      </c>
      <c r="L1362" s="2">
        <v>2717</v>
      </c>
      <c r="M1362" s="2">
        <v>483</v>
      </c>
      <c r="N1362" s="2">
        <v>50075</v>
      </c>
      <c r="O1362" s="2">
        <v>31</v>
      </c>
      <c r="P1362" s="2">
        <v>68526</v>
      </c>
      <c r="Q1362" s="2">
        <v>29053</v>
      </c>
      <c r="R1362" s="2">
        <v>122417</v>
      </c>
      <c r="S1362" s="2">
        <v>568878</v>
      </c>
      <c r="T1362" s="10">
        <f t="shared" si="73"/>
        <v>277140</v>
      </c>
      <c r="U1362" s="8">
        <f t="shared" si="74"/>
        <v>0.48716948097834684</v>
      </c>
      <c r="V1362" s="9" t="s">
        <v>5271</v>
      </c>
      <c r="W1362" s="9" t="str">
        <f t="shared" si="75"/>
        <v>Pershore RD</v>
      </c>
      <c r="X1362" s="9" t="str">
        <f>INDEX(Lookup!$A$2:$A$1349, MATCH(W1362, Lookup!$B$2:$B$1349,0))</f>
        <v>J04000986</v>
      </c>
      <c r="Y1362" s="9" t="str">
        <f>INDEX(Lookup!$F$2:$F$1349, MATCH(W1362, Lookup!$B$2:$B$1349,0))</f>
        <v>e431145</v>
      </c>
      <c r="Z1362" s="6" t="str">
        <f>INDEX(Lookup!$C$2:$C$1300, MATCH(X1362, Lookup!$A$2:$A$1300,0))</f>
        <v>Hereford And Worcs</v>
      </c>
    </row>
    <row r="1363" spans="1:30" ht="28.15" customHeight="1" x14ac:dyDescent="0.2">
      <c r="A1363" s="6" t="s">
        <v>1149</v>
      </c>
      <c r="B1363" s="1" t="s">
        <v>1149</v>
      </c>
      <c r="C1363" s="2">
        <v>1331</v>
      </c>
      <c r="D1363" s="2">
        <v>49176</v>
      </c>
      <c r="E1363" s="2">
        <v>64</v>
      </c>
      <c r="F1363" s="2">
        <v>8418</v>
      </c>
      <c r="G1363" s="2">
        <v>13</v>
      </c>
      <c r="H1363" s="2">
        <v>3325</v>
      </c>
      <c r="I1363" s="2">
        <v>82</v>
      </c>
      <c r="J1363" s="2">
        <v>9764</v>
      </c>
      <c r="K1363" s="2">
        <v>11</v>
      </c>
      <c r="L1363" s="2">
        <v>720</v>
      </c>
      <c r="M1363" s="2">
        <v>112</v>
      </c>
      <c r="N1363" s="2">
        <v>7883</v>
      </c>
      <c r="O1363" s="2">
        <v>9</v>
      </c>
      <c r="P1363" s="2">
        <v>3496</v>
      </c>
      <c r="Q1363" s="2">
        <v>398</v>
      </c>
      <c r="R1363" s="2">
        <v>26191</v>
      </c>
      <c r="S1363" s="2">
        <v>109371</v>
      </c>
      <c r="T1363" s="10">
        <f t="shared" si="73"/>
        <v>60919</v>
      </c>
      <c r="U1363" s="8">
        <f t="shared" si="74"/>
        <v>0.55699408435508502</v>
      </c>
      <c r="V1363" s="9" t="s">
        <v>5271</v>
      </c>
      <c r="W1363" s="9" t="str">
        <f t="shared" si="75"/>
        <v>Tenbury RD</v>
      </c>
      <c r="X1363" s="9" t="str">
        <f>INDEX(Lookup!$A$2:$A$1349, MATCH(W1363, Lookup!$B$2:$B$1349,0))</f>
        <v>J04001257</v>
      </c>
      <c r="Y1363" s="9" t="str">
        <f>INDEX(Lookup!$F$2:$F$1349, MATCH(W1363, Lookup!$B$2:$B$1349,0))</f>
        <v>e431146</v>
      </c>
      <c r="Z1363" s="6" t="str">
        <f>INDEX(Lookup!$C$2:$C$1300, MATCH(X1363, Lookup!$A$2:$A$1300,0))</f>
        <v>Hereford And Worcs</v>
      </c>
    </row>
    <row r="1364" spans="1:30" ht="28.15" customHeight="1" x14ac:dyDescent="0.2">
      <c r="A1364" s="6" t="s">
        <v>1150</v>
      </c>
      <c r="B1364" s="1" t="s">
        <v>5453</v>
      </c>
      <c r="C1364" s="2">
        <v>3100</v>
      </c>
      <c r="D1364" s="2">
        <v>149297</v>
      </c>
      <c r="E1364" s="2">
        <v>260</v>
      </c>
      <c r="F1364" s="2">
        <v>32881</v>
      </c>
      <c r="G1364" s="2">
        <v>37</v>
      </c>
      <c r="H1364" s="2">
        <v>10227</v>
      </c>
      <c r="I1364" s="2">
        <v>115</v>
      </c>
      <c r="J1364" s="2">
        <v>12194</v>
      </c>
      <c r="K1364" s="2">
        <v>13</v>
      </c>
      <c r="L1364" s="2">
        <v>1104</v>
      </c>
      <c r="M1364" s="2">
        <v>289</v>
      </c>
      <c r="N1364" s="2">
        <v>20379</v>
      </c>
      <c r="O1364" s="2">
        <v>8</v>
      </c>
      <c r="P1364" s="2">
        <v>2390</v>
      </c>
      <c r="Q1364" s="2">
        <v>8831</v>
      </c>
      <c r="R1364" s="2">
        <v>83624</v>
      </c>
      <c r="S1364" s="2">
        <v>320927</v>
      </c>
      <c r="T1364" s="10">
        <f t="shared" si="73"/>
        <v>192405</v>
      </c>
      <c r="U1364" s="8">
        <f t="shared" si="74"/>
        <v>0.59952886481972534</v>
      </c>
      <c r="V1364" s="9" t="s">
        <v>5271</v>
      </c>
      <c r="W1364" s="9" t="str">
        <f t="shared" si="75"/>
        <v>Upton upon Severn RD</v>
      </c>
      <c r="X1364" s="9" t="str">
        <f>INDEX(Lookup!$A$2:$A$1349, MATCH(W1364, Lookup!$B$2:$B$1349,0))</f>
        <v>J04001311</v>
      </c>
      <c r="Y1364" s="9" t="str">
        <f>INDEX(Lookup!$F$2:$F$1349, MATCH(W1364, Lookup!$B$2:$B$1349,0))</f>
        <v>e431147</v>
      </c>
      <c r="Z1364" s="6" t="str">
        <f>INDEX(Lookup!$C$2:$C$1300, MATCH(X1364, Lookup!$A$2:$A$1300,0))</f>
        <v>Hereford And Worcs</v>
      </c>
    </row>
    <row r="1365" spans="1:30" ht="28.15" customHeight="1" x14ac:dyDescent="0.2">
      <c r="A1365" s="6" t="s">
        <v>1151</v>
      </c>
      <c r="B1365" s="1" t="s">
        <v>5335</v>
      </c>
      <c r="T1365" s="10"/>
      <c r="W1365" s="9" t="str">
        <f t="shared" si="75"/>
        <v xml:space="preserve">YORKSHIRE,EAST RIDING </v>
      </c>
      <c r="X1365" s="9" t="e">
        <f>INDEX(Lookup!$A$2:$A$1349, MATCH(W1365, Lookup!$B$2:$B$1349,0))</f>
        <v>#N/A</v>
      </c>
      <c r="Y1365" s="9" t="e">
        <f>INDEX(Lookup!$F$2:$F$1349, MATCH(W1365, Lookup!$B$2:$B$1349,0))</f>
        <v>#N/A</v>
      </c>
      <c r="Z1365" s="6" t="e">
        <f>INDEX(Lookup!$C$2:$C$1300, MATCH(X1365, Lookup!$A$2:$A$1300,0))</f>
        <v>#N/A</v>
      </c>
      <c r="AD1365" s="7" t="s">
        <v>5462</v>
      </c>
    </row>
    <row r="1366" spans="1:30" ht="28.15" customHeight="1" x14ac:dyDescent="0.2">
      <c r="A1366" s="6" t="s">
        <v>175</v>
      </c>
      <c r="B1366" s="1" t="s">
        <v>175</v>
      </c>
      <c r="T1366" s="10"/>
      <c r="W1366" s="9" t="str">
        <f t="shared" si="75"/>
        <v xml:space="preserve">Non-County Boroughs-- </v>
      </c>
      <c r="X1366" s="9" t="e">
        <f>INDEX(Lookup!$A$2:$A$1349, MATCH(W1366, Lookup!$B$2:$B$1349,0))</f>
        <v>#N/A</v>
      </c>
      <c r="Y1366" s="9" t="e">
        <f>INDEX(Lookup!$F$2:$F$1349, MATCH(W1366, Lookup!$B$2:$B$1349,0))</f>
        <v>#N/A</v>
      </c>
      <c r="Z1366" s="6" t="e">
        <f>INDEX(Lookup!$C$2:$C$1300, MATCH(X1366, Lookup!$A$2:$A$1300,0))</f>
        <v>#N/A</v>
      </c>
    </row>
    <row r="1367" spans="1:30" ht="28.15" customHeight="1" x14ac:dyDescent="0.2">
      <c r="A1367" s="6" t="s">
        <v>1152</v>
      </c>
      <c r="B1367" s="1" t="s">
        <v>1152</v>
      </c>
      <c r="C1367" s="2">
        <v>5110</v>
      </c>
      <c r="D1367" s="2">
        <v>231971</v>
      </c>
      <c r="E1367" s="2">
        <v>213</v>
      </c>
      <c r="F1367" s="2">
        <v>26251</v>
      </c>
      <c r="G1367" s="2">
        <v>4</v>
      </c>
      <c r="H1367" s="2">
        <v>1169</v>
      </c>
      <c r="I1367" s="2">
        <v>295</v>
      </c>
      <c r="J1367" s="2">
        <v>55416</v>
      </c>
      <c r="K1367" s="2">
        <v>65</v>
      </c>
      <c r="L1367" s="2">
        <v>4172</v>
      </c>
      <c r="M1367" s="2">
        <v>624</v>
      </c>
      <c r="N1367" s="2">
        <v>40774</v>
      </c>
      <c r="O1367" s="2">
        <v>28</v>
      </c>
      <c r="P1367" s="2">
        <v>80231</v>
      </c>
      <c r="Q1367" s="2">
        <v>4603</v>
      </c>
      <c r="R1367" s="2">
        <v>56697</v>
      </c>
      <c r="S1367" s="2">
        <v>500984</v>
      </c>
      <c r="T1367" s="10">
        <f t="shared" si="73"/>
        <v>259391</v>
      </c>
      <c r="U1367" s="8">
        <f t="shared" si="74"/>
        <v>0.51776304233268922</v>
      </c>
      <c r="V1367" s="9" t="s">
        <v>5268</v>
      </c>
      <c r="W1367" s="9" t="str">
        <f t="shared" si="75"/>
        <v>Beverley MB</v>
      </c>
      <c r="X1367" s="9" t="str">
        <f>INDEX(Lookup!$A$2:$A$1349, MATCH(W1367, Lookup!$B$2:$B$1349,0))</f>
        <v>J04000132</v>
      </c>
      <c r="Y1367" s="9" t="str">
        <f>INDEX(Lookup!$F$2:$F$1349, MATCH(W1367, Lookup!$B$2:$B$1349,0))</f>
        <v>e441149</v>
      </c>
      <c r="Z1367" s="6" t="str">
        <f>INDEX(Lookup!$C$2:$C$1300, MATCH(X1367, Lookup!$A$2:$A$1300,0))</f>
        <v>Humberside</v>
      </c>
    </row>
    <row r="1368" spans="1:30" ht="28.15" customHeight="1" x14ac:dyDescent="0.2">
      <c r="A1368" s="6" t="s">
        <v>1153</v>
      </c>
      <c r="B1368" s="1" t="s">
        <v>1153</v>
      </c>
      <c r="C1368" s="2">
        <v>8914</v>
      </c>
      <c r="D1368" s="2">
        <v>495078</v>
      </c>
      <c r="E1368" s="2">
        <v>633</v>
      </c>
      <c r="F1368" s="2">
        <v>76718</v>
      </c>
      <c r="G1368" s="2">
        <v>21</v>
      </c>
      <c r="H1368" s="2">
        <v>4594</v>
      </c>
      <c r="I1368" s="2">
        <v>694</v>
      </c>
      <c r="J1368" s="2">
        <v>119782</v>
      </c>
      <c r="K1368" s="2">
        <v>80</v>
      </c>
      <c r="L1368" s="2">
        <v>8244</v>
      </c>
      <c r="M1368" s="2">
        <v>1111</v>
      </c>
      <c r="N1368" s="2">
        <v>104416</v>
      </c>
      <c r="O1368" s="2">
        <v>63</v>
      </c>
      <c r="P1368" s="2">
        <v>24462</v>
      </c>
      <c r="Q1368" s="2">
        <v>7178</v>
      </c>
      <c r="R1368" s="2">
        <v>112439</v>
      </c>
      <c r="S1368" s="2">
        <v>952911</v>
      </c>
      <c r="T1368" s="10">
        <f t="shared" si="73"/>
        <v>576390</v>
      </c>
      <c r="U1368" s="8">
        <f t="shared" si="74"/>
        <v>0.60487285801087409</v>
      </c>
      <c r="V1368" s="9" t="s">
        <v>5268</v>
      </c>
      <c r="W1368" s="9" t="str">
        <f t="shared" si="75"/>
        <v>Bridlington MB</v>
      </c>
      <c r="X1368" s="9" t="str">
        <f>INDEX(Lookup!$A$2:$A$1349, MATCH(W1368, Lookup!$B$2:$B$1349,0))</f>
        <v>J04000203</v>
      </c>
      <c r="Y1368" s="9" t="str">
        <f>INDEX(Lookup!$F$2:$F$1349, MATCH(W1368, Lookup!$B$2:$B$1349,0))</f>
        <v>e441150</v>
      </c>
      <c r="Z1368" s="6" t="str">
        <f>INDEX(Lookup!$C$2:$C$1300, MATCH(X1368, Lookup!$A$2:$A$1300,0))</f>
        <v>Humberside</v>
      </c>
    </row>
    <row r="1369" spans="1:30" ht="28.15" customHeight="1" x14ac:dyDescent="0.2">
      <c r="A1369" s="6" t="s">
        <v>1154</v>
      </c>
      <c r="B1369" s="1" t="s">
        <v>1154</v>
      </c>
      <c r="C1369" s="2">
        <v>771</v>
      </c>
      <c r="D1369" s="2">
        <v>34989</v>
      </c>
      <c r="E1369" s="2">
        <v>22</v>
      </c>
      <c r="F1369" s="2">
        <v>2640</v>
      </c>
      <c r="G1369" s="2">
        <v>1</v>
      </c>
      <c r="H1369" s="2">
        <v>270</v>
      </c>
      <c r="I1369" s="2">
        <v>42</v>
      </c>
      <c r="J1369" s="2">
        <v>2279</v>
      </c>
      <c r="M1369" s="2">
        <v>66</v>
      </c>
      <c r="N1369" s="2">
        <v>3783</v>
      </c>
      <c r="O1369" s="2">
        <v>2</v>
      </c>
      <c r="P1369" s="2">
        <v>850</v>
      </c>
      <c r="Q1369" s="2">
        <v>84</v>
      </c>
      <c r="R1369" s="2">
        <v>5249</v>
      </c>
      <c r="S1369" s="2">
        <v>50144</v>
      </c>
      <c r="T1369" s="10">
        <f t="shared" si="73"/>
        <v>37899</v>
      </c>
      <c r="U1369" s="8">
        <f t="shared" si="74"/>
        <v>0.75580328653477979</v>
      </c>
      <c r="V1369" s="9" t="s">
        <v>5268</v>
      </c>
      <c r="W1369" s="9" t="str">
        <f t="shared" si="75"/>
        <v>Hedon MB</v>
      </c>
      <c r="X1369" s="9" t="str">
        <f>INDEX(Lookup!$A$2:$A$1349, MATCH(W1369, Lookup!$B$2:$B$1349,0))</f>
        <v>J04000600</v>
      </c>
      <c r="Y1369" s="9" t="str">
        <f>INDEX(Lookup!$F$2:$F$1349, MATCH(W1369, Lookup!$B$2:$B$1349,0))</f>
        <v>e441154</v>
      </c>
      <c r="Z1369" s="6" t="str">
        <f>INDEX(Lookup!$C$2:$C$1300, MATCH(X1369, Lookup!$A$2:$A$1300,0))</f>
        <v>Humberside</v>
      </c>
    </row>
    <row r="1370" spans="1:30" ht="28.15" customHeight="1" x14ac:dyDescent="0.2">
      <c r="A1370" s="6" t="s">
        <v>908</v>
      </c>
      <c r="B1370" s="1" t="s">
        <v>908</v>
      </c>
      <c r="T1370" s="10"/>
      <c r="W1370" s="9" t="str">
        <f t="shared" si="75"/>
        <v xml:space="preserve">Urban Districts:-- </v>
      </c>
      <c r="X1370" s="9" t="e">
        <f>INDEX(Lookup!$A$2:$A$1349, MATCH(W1370, Lookup!$B$2:$B$1349,0))</f>
        <v>#N/A</v>
      </c>
      <c r="Y1370" s="9" t="e">
        <f>INDEX(Lookup!$F$2:$F$1349, MATCH(W1370, Lookup!$B$2:$B$1349,0))</f>
        <v>#N/A</v>
      </c>
      <c r="Z1370" s="6" t="e">
        <f>INDEX(Lookup!$C$2:$C$1300, MATCH(X1370, Lookup!$A$2:$A$1300,0))</f>
        <v>#N/A</v>
      </c>
    </row>
    <row r="1371" spans="1:30" ht="28.15" customHeight="1" x14ac:dyDescent="0.2">
      <c r="A1371" s="6" t="s">
        <v>1155</v>
      </c>
      <c r="B1371" s="1" t="s">
        <v>1155</v>
      </c>
      <c r="C1371" s="2">
        <v>2154</v>
      </c>
      <c r="D1371" s="2">
        <v>86900</v>
      </c>
      <c r="E1371" s="2">
        <v>42</v>
      </c>
      <c r="F1371" s="2">
        <v>5411</v>
      </c>
      <c r="I1371" s="2">
        <v>186</v>
      </c>
      <c r="J1371" s="2">
        <v>20669</v>
      </c>
      <c r="K1371" s="2">
        <v>25</v>
      </c>
      <c r="L1371" s="2">
        <v>1128</v>
      </c>
      <c r="M1371" s="2">
        <v>164</v>
      </c>
      <c r="N1371" s="2">
        <v>12989</v>
      </c>
      <c r="O1371" s="2">
        <v>19</v>
      </c>
      <c r="P1371" s="2">
        <v>21640</v>
      </c>
      <c r="Q1371" s="2">
        <v>4053</v>
      </c>
      <c r="R1371" s="2">
        <v>32585</v>
      </c>
      <c r="S1371" s="2">
        <v>185375</v>
      </c>
      <c r="T1371" s="10">
        <f t="shared" si="73"/>
        <v>92311</v>
      </c>
      <c r="U1371" s="8">
        <f t="shared" si="74"/>
        <v>0.4979689817936615</v>
      </c>
      <c r="V1371" s="9" t="s">
        <v>5270</v>
      </c>
      <c r="W1371" s="9" t="str">
        <f t="shared" si="75"/>
        <v>Driffield UD</v>
      </c>
      <c r="X1371" s="9" t="str">
        <f>INDEX(Lookup!$A$2:$A$1349, MATCH(W1371, Lookup!$B$2:$B$1349,0))</f>
        <v>J04000427</v>
      </c>
      <c r="Y1371" s="9" t="str">
        <f>INDEX(Lookup!$F$2:$F$1349, MATCH(W1371, Lookup!$B$2:$B$1349,0))</f>
        <v>e441151</v>
      </c>
      <c r="Z1371" s="6" t="str">
        <f>INDEX(Lookup!$C$2:$C$1300, MATCH(X1371, Lookup!$A$2:$A$1300,0))</f>
        <v>Humberside</v>
      </c>
    </row>
    <row r="1372" spans="1:30" ht="28.15" customHeight="1" x14ac:dyDescent="0.2">
      <c r="A1372" s="6" t="s">
        <v>1277</v>
      </c>
      <c r="B1372" s="1" t="s">
        <v>1277</v>
      </c>
      <c r="C1372" s="2">
        <v>1934</v>
      </c>
      <c r="D1372" s="2">
        <v>95738</v>
      </c>
      <c r="E1372" s="2">
        <v>75</v>
      </c>
      <c r="F1372" s="2">
        <v>8976</v>
      </c>
      <c r="I1372" s="2">
        <v>174</v>
      </c>
      <c r="J1372" s="2">
        <v>23498</v>
      </c>
      <c r="K1372" s="2">
        <v>9</v>
      </c>
      <c r="L1372" s="2">
        <v>856</v>
      </c>
      <c r="M1372" s="2">
        <v>241</v>
      </c>
      <c r="N1372" s="2">
        <v>109485</v>
      </c>
      <c r="O1372" s="2">
        <v>9</v>
      </c>
      <c r="P1372" s="2">
        <v>1876</v>
      </c>
      <c r="Q1372" s="2">
        <v>717</v>
      </c>
      <c r="R1372" s="2">
        <v>24227</v>
      </c>
      <c r="S1372" s="2">
        <v>265373</v>
      </c>
      <c r="T1372" s="10">
        <f t="shared" si="73"/>
        <v>104714</v>
      </c>
      <c r="U1372" s="8">
        <f t="shared" si="74"/>
        <v>0.39459176329166873</v>
      </c>
      <c r="V1372" s="9" t="s">
        <v>5270</v>
      </c>
      <c r="W1372" s="9" t="str">
        <f t="shared" si="75"/>
        <v>Filey UD</v>
      </c>
      <c r="X1372" s="9" t="str">
        <f>INDEX(Lookup!$A$2:$A$1349, MATCH(W1372, Lookup!$B$2:$B$1349,0))</f>
        <v>J04000502</v>
      </c>
      <c r="Y1372" s="9" t="str">
        <f>INDEX(Lookup!$F$2:$F$1349, MATCH(W1372, Lookup!$B$2:$B$1349,0))</f>
        <v>e441152</v>
      </c>
      <c r="Z1372" s="6" t="str">
        <f>INDEX(Lookup!$C$2:$C$1300, MATCH(X1372, Lookup!$A$2:$A$1300,0))</f>
        <v>North Yorkshire</v>
      </c>
    </row>
    <row r="1373" spans="1:30" ht="28.15" customHeight="1" x14ac:dyDescent="0.2">
      <c r="A1373" s="6" t="s">
        <v>1278</v>
      </c>
      <c r="B1373" s="1" t="s">
        <v>1278</v>
      </c>
      <c r="C1373" s="2">
        <v>11740</v>
      </c>
      <c r="D1373" s="2">
        <v>701177</v>
      </c>
      <c r="E1373" s="2">
        <v>2432</v>
      </c>
      <c r="F1373" s="2">
        <v>303268</v>
      </c>
      <c r="G1373" s="2">
        <v>123</v>
      </c>
      <c r="H1373" s="2">
        <v>28303</v>
      </c>
      <c r="I1373" s="2">
        <v>364</v>
      </c>
      <c r="J1373" s="2">
        <v>59743</v>
      </c>
      <c r="K1373" s="2">
        <v>30</v>
      </c>
      <c r="L1373" s="2">
        <v>3546</v>
      </c>
      <c r="M1373" s="2">
        <v>622</v>
      </c>
      <c r="N1373" s="2">
        <v>47244</v>
      </c>
      <c r="O1373" s="2">
        <v>42</v>
      </c>
      <c r="P1373" s="2">
        <v>33122</v>
      </c>
      <c r="Q1373" s="2">
        <v>17358</v>
      </c>
      <c r="R1373" s="2">
        <v>157861</v>
      </c>
      <c r="S1373" s="2">
        <v>1351622</v>
      </c>
      <c r="T1373" s="10">
        <f t="shared" si="73"/>
        <v>1032748</v>
      </c>
      <c r="U1373" s="8">
        <f t="shared" si="74"/>
        <v>0.76408048995947087</v>
      </c>
      <c r="V1373" s="9" t="s">
        <v>5270</v>
      </c>
      <c r="W1373" s="9" t="str">
        <f t="shared" si="75"/>
        <v>Haltemprice UD</v>
      </c>
      <c r="X1373" s="9" t="str">
        <f>INDEX(Lookup!$A$2:$A$1349, MATCH(W1373, Lookup!$B$2:$B$1349,0))</f>
        <v>J04000569</v>
      </c>
      <c r="Y1373" s="9" t="str">
        <f>INDEX(Lookup!$F$2:$F$1349, MATCH(W1373, Lookup!$B$2:$B$1349,0))</f>
        <v>e441153</v>
      </c>
      <c r="Z1373" s="6" t="str">
        <f>INDEX(Lookup!$C$2:$C$1300, MATCH(X1373, Lookup!$A$2:$A$1300,0))</f>
        <v>Humberside</v>
      </c>
    </row>
    <row r="1374" spans="1:30" ht="28.15" customHeight="1" x14ac:dyDescent="0.2">
      <c r="A1374" s="6" t="s">
        <v>1279</v>
      </c>
      <c r="B1374" s="1" t="s">
        <v>1279</v>
      </c>
      <c r="C1374" s="2">
        <v>1937</v>
      </c>
      <c r="D1374" s="2">
        <v>105350</v>
      </c>
      <c r="E1374" s="2">
        <v>180</v>
      </c>
      <c r="F1374" s="2">
        <v>22840</v>
      </c>
      <c r="G1374" s="2">
        <v>13</v>
      </c>
      <c r="H1374" s="2">
        <v>2922</v>
      </c>
      <c r="I1374" s="2">
        <v>144</v>
      </c>
      <c r="J1374" s="2">
        <v>13810</v>
      </c>
      <c r="K1374" s="2">
        <v>14</v>
      </c>
      <c r="L1374" s="2">
        <v>687</v>
      </c>
      <c r="M1374" s="2">
        <v>180</v>
      </c>
      <c r="N1374" s="2">
        <v>18168</v>
      </c>
      <c r="O1374" s="2">
        <v>5</v>
      </c>
      <c r="P1374" s="2">
        <v>840</v>
      </c>
      <c r="Q1374" s="2">
        <v>746</v>
      </c>
      <c r="R1374" s="2">
        <v>26668</v>
      </c>
      <c r="S1374" s="2">
        <v>192031</v>
      </c>
      <c r="T1374" s="10">
        <f t="shared" si="73"/>
        <v>131112</v>
      </c>
      <c r="U1374" s="8">
        <f t="shared" si="74"/>
        <v>0.68276476193947855</v>
      </c>
      <c r="V1374" s="9" t="s">
        <v>5270</v>
      </c>
      <c r="W1374" s="9" t="str">
        <f t="shared" si="75"/>
        <v>Hornsea UD</v>
      </c>
      <c r="X1374" s="9" t="str">
        <f>INDEX(Lookup!$A$2:$A$1349, MATCH(W1374, Lookup!$B$2:$B$1349,0))</f>
        <v>J04000645</v>
      </c>
      <c r="Y1374" s="9" t="str">
        <f>INDEX(Lookup!$F$2:$F$1349, MATCH(W1374, Lookup!$B$2:$B$1349,0))</f>
        <v>e441155</v>
      </c>
      <c r="Z1374" s="6" t="str">
        <f>INDEX(Lookup!$C$2:$C$1300, MATCH(X1374, Lookup!$A$2:$A$1300,0))</f>
        <v>Humberside</v>
      </c>
    </row>
    <row r="1375" spans="1:30" ht="28.15" customHeight="1" x14ac:dyDescent="0.2">
      <c r="A1375" s="6" t="s">
        <v>1280</v>
      </c>
      <c r="B1375" s="1" t="s">
        <v>1158</v>
      </c>
      <c r="C1375" s="2">
        <v>1572</v>
      </c>
      <c r="D1375" s="2">
        <v>62868</v>
      </c>
      <c r="E1375" s="2">
        <v>19</v>
      </c>
      <c r="F1375" s="2">
        <v>2430</v>
      </c>
      <c r="G1375" s="2">
        <v>3</v>
      </c>
      <c r="H1375" s="2">
        <v>654</v>
      </c>
      <c r="I1375" s="2">
        <v>69</v>
      </c>
      <c r="J1375" s="2">
        <v>4830</v>
      </c>
      <c r="K1375" s="2">
        <v>4</v>
      </c>
      <c r="L1375" s="2">
        <v>363</v>
      </c>
      <c r="M1375" s="2">
        <v>188</v>
      </c>
      <c r="N1375" s="2">
        <v>4916</v>
      </c>
      <c r="O1375" s="2">
        <v>13</v>
      </c>
      <c r="P1375" s="2">
        <v>13235</v>
      </c>
      <c r="Q1375" s="2">
        <v>102</v>
      </c>
      <c r="R1375" s="2">
        <v>11599</v>
      </c>
      <c r="S1375" s="2">
        <v>100997</v>
      </c>
      <c r="T1375" s="10">
        <f t="shared" si="73"/>
        <v>65952</v>
      </c>
      <c r="U1375" s="8">
        <f t="shared" si="74"/>
        <v>0.65300949533154451</v>
      </c>
      <c r="V1375" s="9" t="s">
        <v>5270</v>
      </c>
      <c r="W1375" s="9" t="str">
        <f t="shared" si="75"/>
        <v>Norton UD</v>
      </c>
      <c r="X1375" s="9" t="str">
        <f>INDEX(Lookup!$A$2:$A$1349, MATCH(W1375, Lookup!$B$2:$B$1349,0))</f>
        <v>J04000940</v>
      </c>
      <c r="Y1375" s="9" t="str">
        <f>INDEX(Lookup!$F$2:$F$1349, MATCH(W1375, Lookup!$B$2:$B$1349,0))</f>
        <v>e441156</v>
      </c>
      <c r="Z1375" s="6" t="str">
        <f>INDEX(Lookup!$C$2:$C$1300, MATCH(X1375, Lookup!$A$2:$A$1300,0))</f>
        <v>North Yorkshire</v>
      </c>
    </row>
    <row r="1376" spans="1:30" ht="28.15" customHeight="1" x14ac:dyDescent="0.2">
      <c r="A1376" s="6" t="s">
        <v>1281</v>
      </c>
      <c r="B1376" s="1" t="s">
        <v>1281</v>
      </c>
      <c r="C1376" s="2">
        <v>1822</v>
      </c>
      <c r="D1376" s="2">
        <v>79116</v>
      </c>
      <c r="E1376" s="2">
        <v>35</v>
      </c>
      <c r="F1376" s="2">
        <v>4180</v>
      </c>
      <c r="I1376" s="2">
        <v>131</v>
      </c>
      <c r="J1376" s="2">
        <v>12732</v>
      </c>
      <c r="K1376" s="2">
        <v>10</v>
      </c>
      <c r="L1376" s="2">
        <v>426</v>
      </c>
      <c r="M1376" s="2">
        <v>155</v>
      </c>
      <c r="N1376" s="2">
        <v>13898</v>
      </c>
      <c r="O1376" s="2">
        <v>6</v>
      </c>
      <c r="P1376" s="2">
        <v>813</v>
      </c>
      <c r="Q1376" s="2">
        <v>777</v>
      </c>
      <c r="R1376" s="2">
        <v>24678</v>
      </c>
      <c r="S1376" s="2">
        <v>136620</v>
      </c>
      <c r="T1376" s="10">
        <f t="shared" si="73"/>
        <v>83296</v>
      </c>
      <c r="U1376" s="8">
        <f t="shared" si="74"/>
        <v>0.60969111403894016</v>
      </c>
      <c r="V1376" s="9" t="s">
        <v>5270</v>
      </c>
      <c r="W1376" s="9" t="str">
        <f t="shared" si="75"/>
        <v>Withernsea UD</v>
      </c>
      <c r="X1376" s="9" t="str">
        <f>INDEX(Lookup!$A$2:$A$1349, MATCH(W1376, Lookup!$B$2:$B$1349,0))</f>
        <v>J04001434</v>
      </c>
      <c r="Y1376" s="9" t="str">
        <f>INDEX(Lookup!$F$2:$F$1349, MATCH(W1376, Lookup!$B$2:$B$1349,0))</f>
        <v>e441157</v>
      </c>
      <c r="Z1376" s="6" t="str">
        <f>INDEX(Lookup!$C$2:$C$1300, MATCH(X1376, Lookup!$A$2:$A$1300,0))</f>
        <v>Humberside</v>
      </c>
    </row>
    <row r="1377" spans="1:26" ht="28.15" customHeight="1" x14ac:dyDescent="0.2">
      <c r="A1377" s="6" t="s">
        <v>1282</v>
      </c>
      <c r="B1377" s="1" t="s">
        <v>1282</v>
      </c>
      <c r="T1377" s="10"/>
      <c r="W1377" s="9" t="str">
        <f t="shared" si="75"/>
        <v xml:space="preserve">Rural Districts:-- </v>
      </c>
      <c r="X1377" s="9" t="e">
        <f>INDEX(Lookup!$A$2:$A$1349, MATCH(W1377, Lookup!$B$2:$B$1349,0))</f>
        <v>#N/A</v>
      </c>
      <c r="Y1377" s="9" t="e">
        <f>INDEX(Lookup!$F$2:$F$1349, MATCH(W1377, Lookup!$B$2:$B$1349,0))</f>
        <v>#N/A</v>
      </c>
      <c r="Z1377" s="6" t="e">
        <f>INDEX(Lookup!$C$2:$C$1300, MATCH(X1377, Lookup!$A$2:$A$1300,0))</f>
        <v>#N/A</v>
      </c>
    </row>
    <row r="1378" spans="1:26" ht="28.15" customHeight="1" x14ac:dyDescent="0.2">
      <c r="A1378" s="6" t="s">
        <v>1152</v>
      </c>
      <c r="B1378" s="1" t="s">
        <v>1152</v>
      </c>
      <c r="C1378" s="2">
        <v>5698</v>
      </c>
      <c r="D1378" s="2">
        <v>293321</v>
      </c>
      <c r="E1378" s="2">
        <v>681</v>
      </c>
      <c r="F1378" s="2">
        <v>92115</v>
      </c>
      <c r="G1378" s="2">
        <v>125</v>
      </c>
      <c r="H1378" s="2">
        <v>30968</v>
      </c>
      <c r="I1378" s="2">
        <v>136</v>
      </c>
      <c r="J1378" s="2">
        <v>9685</v>
      </c>
      <c r="K1378" s="2">
        <v>10</v>
      </c>
      <c r="L1378" s="2">
        <v>246</v>
      </c>
      <c r="M1378" s="2">
        <v>264</v>
      </c>
      <c r="N1378" s="2">
        <v>19149</v>
      </c>
      <c r="O1378" s="2">
        <v>14</v>
      </c>
      <c r="P1378" s="2">
        <v>167409</v>
      </c>
      <c r="Q1378" s="2">
        <v>51065</v>
      </c>
      <c r="R1378" s="2">
        <v>158963</v>
      </c>
      <c r="S1378" s="2">
        <v>822921</v>
      </c>
      <c r="T1378" s="10">
        <f t="shared" si="73"/>
        <v>416404</v>
      </c>
      <c r="U1378" s="8">
        <f t="shared" si="74"/>
        <v>0.5060072595060765</v>
      </c>
      <c r="V1378" s="9" t="s">
        <v>5271</v>
      </c>
      <c r="W1378" s="9" t="str">
        <f t="shared" si="75"/>
        <v>Beverley RD</v>
      </c>
      <c r="X1378" s="9" t="str">
        <f>INDEX(Lookup!$A$2:$A$1349, MATCH(W1378, Lookup!$B$2:$B$1349,0))</f>
        <v>J04000133</v>
      </c>
      <c r="Y1378" s="9" t="str">
        <f>INDEX(Lookup!$F$2:$F$1349, MATCH(W1378, Lookup!$B$2:$B$1349,0))</f>
        <v>e441158</v>
      </c>
      <c r="Z1378" s="6" t="str">
        <f>INDEX(Lookup!$C$2:$C$1300, MATCH(X1378, Lookup!$A$2:$A$1300,0))</f>
        <v>Humberside</v>
      </c>
    </row>
    <row r="1379" spans="1:26" ht="28.15" customHeight="1" x14ac:dyDescent="0.2">
      <c r="A1379" s="6" t="s">
        <v>1153</v>
      </c>
      <c r="B1379" s="1" t="s">
        <v>1153</v>
      </c>
      <c r="C1379" s="2">
        <v>3172</v>
      </c>
      <c r="D1379" s="2">
        <v>114036</v>
      </c>
      <c r="E1379" s="2">
        <v>16</v>
      </c>
      <c r="F1379" s="2">
        <v>2192</v>
      </c>
      <c r="G1379" s="2">
        <v>2</v>
      </c>
      <c r="H1379" s="2">
        <v>716</v>
      </c>
      <c r="I1379" s="2">
        <v>124</v>
      </c>
      <c r="J1379" s="2">
        <v>10467</v>
      </c>
      <c r="K1379" s="2">
        <v>2</v>
      </c>
      <c r="L1379" s="2">
        <v>27</v>
      </c>
      <c r="M1379" s="2">
        <v>166</v>
      </c>
      <c r="N1379" s="2">
        <v>41119</v>
      </c>
      <c r="O1379" s="2">
        <v>10</v>
      </c>
      <c r="P1379" s="2">
        <v>2135</v>
      </c>
      <c r="Q1379" s="2">
        <v>6568</v>
      </c>
      <c r="R1379" s="2">
        <v>48650</v>
      </c>
      <c r="S1379" s="2">
        <v>225910</v>
      </c>
      <c r="T1379" s="10">
        <f t="shared" si="73"/>
        <v>116944</v>
      </c>
      <c r="U1379" s="8">
        <f t="shared" si="74"/>
        <v>0.51765747421539554</v>
      </c>
      <c r="V1379" s="9" t="s">
        <v>5271</v>
      </c>
      <c r="W1379" s="9" t="str">
        <f t="shared" si="75"/>
        <v>Bridlington RD</v>
      </c>
      <c r="X1379" s="9" t="str">
        <f>INDEX(Lookup!$A$2:$A$1349, MATCH(W1379, Lookup!$B$2:$B$1349,0))</f>
        <v>J04000204</v>
      </c>
      <c r="Y1379" s="9" t="str">
        <f>INDEX(Lookup!$F$2:$F$1349, MATCH(W1379, Lookup!$B$2:$B$1349,0))</f>
        <v>e441159</v>
      </c>
      <c r="Z1379" s="6" t="str">
        <f>INDEX(Lookup!$C$2:$C$1300, MATCH(X1379, Lookup!$A$2:$A$1300,0))</f>
        <v>Humberside</v>
      </c>
    </row>
    <row r="1380" spans="1:26" ht="28.15" customHeight="1" x14ac:dyDescent="0.2">
      <c r="A1380" s="6" t="s">
        <v>1283</v>
      </c>
      <c r="B1380" s="1" t="s">
        <v>1283</v>
      </c>
      <c r="C1380" s="2">
        <v>3634</v>
      </c>
      <c r="D1380" s="2">
        <v>143928</v>
      </c>
      <c r="E1380" s="2">
        <v>100</v>
      </c>
      <c r="F1380" s="2">
        <v>12743</v>
      </c>
      <c r="G1380" s="2">
        <v>11</v>
      </c>
      <c r="H1380" s="2">
        <v>2506</v>
      </c>
      <c r="I1380" s="2">
        <v>86</v>
      </c>
      <c r="J1380" s="2">
        <v>5567</v>
      </c>
      <c r="K1380" s="2">
        <v>7</v>
      </c>
      <c r="L1380" s="2">
        <v>207</v>
      </c>
      <c r="M1380" s="2">
        <v>195</v>
      </c>
      <c r="N1380" s="2">
        <v>17789</v>
      </c>
      <c r="O1380" s="2">
        <v>17</v>
      </c>
      <c r="P1380" s="2">
        <v>115918</v>
      </c>
      <c r="Q1380" s="2">
        <v>13083</v>
      </c>
      <c r="R1380" s="2">
        <v>74599</v>
      </c>
      <c r="S1380" s="2">
        <v>386340</v>
      </c>
      <c r="T1380" s="10">
        <f t="shared" si="73"/>
        <v>159177</v>
      </c>
      <c r="U1380" s="8">
        <f t="shared" si="74"/>
        <v>0.41201273489672308</v>
      </c>
      <c r="V1380" s="9" t="s">
        <v>5271</v>
      </c>
      <c r="W1380" s="9" t="str">
        <f t="shared" si="75"/>
        <v>Derwent RD</v>
      </c>
      <c r="X1380" s="9" t="str">
        <f>INDEX(Lookup!$A$2:$A$1349, MATCH(W1380, Lookup!$B$2:$B$1349,0))</f>
        <v>J04000402</v>
      </c>
      <c r="Y1380" s="9" t="str">
        <f>INDEX(Lookup!$F$2:$F$1349, MATCH(W1380, Lookup!$B$2:$B$1349,0))</f>
        <v>e441160</v>
      </c>
      <c r="Z1380" s="6" t="str">
        <f>INDEX(Lookup!$C$2:$C$1300, MATCH(X1380, Lookup!$A$2:$A$1300,0))</f>
        <v>North Yorkshire</v>
      </c>
    </row>
    <row r="1381" spans="1:26" ht="28.15" customHeight="1" x14ac:dyDescent="0.2">
      <c r="A1381" s="6" t="s">
        <v>1155</v>
      </c>
      <c r="B1381" s="1" t="s">
        <v>1155</v>
      </c>
      <c r="C1381" s="2">
        <v>2418</v>
      </c>
      <c r="D1381" s="2">
        <v>70976</v>
      </c>
      <c r="E1381" s="2">
        <v>21</v>
      </c>
      <c r="F1381" s="2">
        <v>2067</v>
      </c>
      <c r="G1381" s="2">
        <v>1</v>
      </c>
      <c r="H1381" s="2">
        <v>472</v>
      </c>
      <c r="I1381" s="2">
        <v>84</v>
      </c>
      <c r="J1381" s="2">
        <v>4234</v>
      </c>
      <c r="K1381" s="2">
        <v>1</v>
      </c>
      <c r="L1381" s="2">
        <v>9</v>
      </c>
      <c r="M1381" s="2">
        <v>159</v>
      </c>
      <c r="N1381" s="2">
        <v>7413</v>
      </c>
      <c r="O1381" s="2">
        <v>5</v>
      </c>
      <c r="P1381" s="2">
        <v>3480</v>
      </c>
      <c r="Q1381" s="2">
        <v>24398</v>
      </c>
      <c r="R1381" s="2">
        <v>60825</v>
      </c>
      <c r="S1381" s="2">
        <v>173874</v>
      </c>
      <c r="T1381" s="10">
        <f t="shared" si="73"/>
        <v>73515</v>
      </c>
      <c r="U1381" s="8">
        <f t="shared" si="74"/>
        <v>0.42280616998516168</v>
      </c>
      <c r="V1381" s="9" t="s">
        <v>5271</v>
      </c>
      <c r="W1381" s="9" t="str">
        <f t="shared" si="75"/>
        <v>Driffield RD</v>
      </c>
      <c r="X1381" s="9" t="str">
        <f>INDEX(Lookup!$A$2:$A$1349, MATCH(W1381, Lookup!$B$2:$B$1349,0))</f>
        <v>J04000426</v>
      </c>
      <c r="Y1381" s="9" t="str">
        <f>INDEX(Lookup!$F$2:$F$1349, MATCH(W1381, Lookup!$B$2:$B$1349,0))</f>
        <v>e441161</v>
      </c>
      <c r="Z1381" s="6" t="str">
        <f>INDEX(Lookup!$C$2:$C$1300, MATCH(X1381, Lookup!$A$2:$A$1300,0))</f>
        <v>Humberside</v>
      </c>
    </row>
    <row r="1382" spans="1:26" ht="28.15" customHeight="1" x14ac:dyDescent="0.2">
      <c r="A1382" s="6" t="s">
        <v>1156</v>
      </c>
      <c r="B1382" s="1" t="s">
        <v>1156</v>
      </c>
      <c r="C1382" s="2">
        <v>5661</v>
      </c>
      <c r="D1382" s="2">
        <v>239204</v>
      </c>
      <c r="E1382" s="2">
        <v>90</v>
      </c>
      <c r="F1382" s="2">
        <v>10914</v>
      </c>
      <c r="G1382" s="2">
        <v>3</v>
      </c>
      <c r="H1382" s="2">
        <v>710</v>
      </c>
      <c r="I1382" s="2">
        <v>148</v>
      </c>
      <c r="J1382" s="2">
        <v>9622</v>
      </c>
      <c r="K1382" s="2">
        <v>4</v>
      </c>
      <c r="L1382" s="2">
        <v>356</v>
      </c>
      <c r="M1382" s="2">
        <v>460</v>
      </c>
      <c r="N1382" s="2">
        <v>30737</v>
      </c>
      <c r="O1382" s="2">
        <v>23</v>
      </c>
      <c r="P1382" s="2">
        <v>276856</v>
      </c>
      <c r="Q1382" s="2">
        <v>12037</v>
      </c>
      <c r="R1382" s="2">
        <v>132370</v>
      </c>
      <c r="S1382" s="2">
        <v>712806</v>
      </c>
      <c r="T1382" s="10">
        <f t="shared" si="73"/>
        <v>250828</v>
      </c>
      <c r="U1382" s="8">
        <f t="shared" si="74"/>
        <v>0.35188817153615431</v>
      </c>
      <c r="V1382" s="9" t="s">
        <v>5271</v>
      </c>
      <c r="W1382" s="9" t="str">
        <f t="shared" si="75"/>
        <v>Holderness RD</v>
      </c>
      <c r="X1382" s="9" t="str">
        <f>INDEX(Lookup!$A$2:$A$1349, MATCH(W1382, Lookup!$B$2:$B$1349,0))</f>
        <v>J04000631</v>
      </c>
      <c r="Y1382" s="9" t="str">
        <f>INDEX(Lookup!$F$2:$F$1349, MATCH(W1382, Lookup!$B$2:$B$1349,0))</f>
        <v>e441162</v>
      </c>
      <c r="Z1382" s="6" t="str">
        <f>INDEX(Lookup!$C$2:$C$1300, MATCH(X1382, Lookup!$A$2:$A$1300,0))</f>
        <v>Humberside</v>
      </c>
    </row>
    <row r="1383" spans="1:26" ht="28.15" customHeight="1" x14ac:dyDescent="0.2">
      <c r="A1383" s="6" t="s">
        <v>1157</v>
      </c>
      <c r="B1383" s="1" t="s">
        <v>1157</v>
      </c>
      <c r="C1383" s="2">
        <v>3011</v>
      </c>
      <c r="D1383" s="2">
        <v>89928</v>
      </c>
      <c r="E1383" s="2">
        <v>28</v>
      </c>
      <c r="F1383" s="2">
        <v>3400</v>
      </c>
      <c r="G1383" s="2">
        <v>3</v>
      </c>
      <c r="H1383" s="2">
        <v>698</v>
      </c>
      <c r="I1383" s="2">
        <v>165</v>
      </c>
      <c r="J1383" s="2">
        <v>9967</v>
      </c>
      <c r="K1383" s="2">
        <v>19</v>
      </c>
      <c r="L1383" s="2">
        <v>941</v>
      </c>
      <c r="M1383" s="2">
        <v>261</v>
      </c>
      <c r="N1383" s="2">
        <v>19131</v>
      </c>
      <c r="O1383" s="2">
        <v>12</v>
      </c>
      <c r="P1383" s="2">
        <v>25659</v>
      </c>
      <c r="Q1383" s="2">
        <v>13668</v>
      </c>
      <c r="R1383" s="2">
        <v>53071</v>
      </c>
      <c r="S1383" s="2">
        <v>216463</v>
      </c>
      <c r="T1383" s="10">
        <f t="shared" si="73"/>
        <v>94026</v>
      </c>
      <c r="U1383" s="8">
        <f t="shared" si="74"/>
        <v>0.43437446584404726</v>
      </c>
      <c r="V1383" s="9" t="s">
        <v>5271</v>
      </c>
      <c r="W1383" s="9" t="str">
        <f t="shared" si="75"/>
        <v>Howden RD</v>
      </c>
      <c r="X1383" s="9" t="str">
        <f>INDEX(Lookup!$A$2:$A$1349, MATCH(W1383, Lookup!$B$2:$B$1349,0))</f>
        <v>J04000653</v>
      </c>
      <c r="Y1383" s="9" t="str">
        <f>INDEX(Lookup!$F$2:$F$1349, MATCH(W1383, Lookup!$B$2:$B$1349,0))</f>
        <v>e441163</v>
      </c>
      <c r="Z1383" s="6" t="str">
        <f>INDEX(Lookup!$C$2:$C$1300, MATCH(X1383, Lookup!$A$2:$A$1300,0))</f>
        <v>Humberside</v>
      </c>
    </row>
    <row r="1384" spans="1:26" ht="28.15" customHeight="1" x14ac:dyDescent="0.2">
      <c r="A1384" s="6" t="s">
        <v>1158</v>
      </c>
      <c r="B1384" s="1" t="s">
        <v>1158</v>
      </c>
      <c r="C1384" s="2">
        <v>1749</v>
      </c>
      <c r="D1384" s="2">
        <v>54990</v>
      </c>
      <c r="E1384" s="2">
        <v>14</v>
      </c>
      <c r="F1384" s="2">
        <v>2013</v>
      </c>
      <c r="G1384" s="2">
        <v>7</v>
      </c>
      <c r="H1384" s="2">
        <v>1634</v>
      </c>
      <c r="I1384" s="2">
        <v>63</v>
      </c>
      <c r="J1384" s="2">
        <v>2809</v>
      </c>
      <c r="K1384" s="2">
        <v>5</v>
      </c>
      <c r="L1384" s="2">
        <v>133</v>
      </c>
      <c r="M1384" s="2">
        <v>141</v>
      </c>
      <c r="N1384" s="2">
        <v>6060</v>
      </c>
      <c r="O1384" s="2">
        <v>7</v>
      </c>
      <c r="P1384" s="2">
        <v>41100</v>
      </c>
      <c r="Q1384" s="2">
        <v>671</v>
      </c>
      <c r="R1384" s="2">
        <v>32443</v>
      </c>
      <c r="S1384" s="2">
        <v>141853</v>
      </c>
      <c r="T1384" s="10">
        <f t="shared" si="73"/>
        <v>58637</v>
      </c>
      <c r="U1384" s="8">
        <f t="shared" si="74"/>
        <v>0.41336453934707057</v>
      </c>
      <c r="V1384" s="9" t="s">
        <v>5271</v>
      </c>
      <c r="W1384" s="9" t="str">
        <f t="shared" si="75"/>
        <v>Norton RD</v>
      </c>
      <c r="X1384" s="9" t="str">
        <f>INDEX(Lookup!$A$2:$A$1349, MATCH(W1384, Lookup!$B$2:$B$1349,0))</f>
        <v>J04000939</v>
      </c>
      <c r="Y1384" s="9" t="str">
        <f>INDEX(Lookup!$F$2:$F$1349, MATCH(W1384, Lookup!$B$2:$B$1349,0))</f>
        <v>e441164</v>
      </c>
      <c r="Z1384" s="6" t="str">
        <f>INDEX(Lookup!$C$2:$C$1300, MATCH(X1384, Lookup!$A$2:$A$1300,0))</f>
        <v>North Yorkshire</v>
      </c>
    </row>
    <row r="1385" spans="1:26" ht="28.15" customHeight="1" x14ac:dyDescent="0.2">
      <c r="A1385" s="6" t="s">
        <v>1284</v>
      </c>
      <c r="B1385" s="1" t="s">
        <v>5336</v>
      </c>
      <c r="C1385" s="2">
        <v>3654</v>
      </c>
      <c r="D1385" s="2">
        <v>136477</v>
      </c>
      <c r="E1385" s="2">
        <v>19</v>
      </c>
      <c r="F1385" s="2">
        <v>2543</v>
      </c>
      <c r="G1385" s="2">
        <v>5</v>
      </c>
      <c r="H1385" s="2">
        <v>1416</v>
      </c>
      <c r="I1385" s="2">
        <v>201</v>
      </c>
      <c r="J1385" s="2">
        <v>14162</v>
      </c>
      <c r="K1385" s="2">
        <v>30</v>
      </c>
      <c r="L1385" s="2">
        <v>1401</v>
      </c>
      <c r="M1385" s="2">
        <v>324</v>
      </c>
      <c r="N1385" s="2">
        <v>18585</v>
      </c>
      <c r="O1385" s="2">
        <v>22</v>
      </c>
      <c r="P1385" s="2">
        <v>13432</v>
      </c>
      <c r="Q1385" s="2">
        <v>4081</v>
      </c>
      <c r="R1385" s="2">
        <v>77907</v>
      </c>
      <c r="S1385" s="2">
        <v>270004</v>
      </c>
      <c r="T1385" s="10">
        <f t="shared" si="73"/>
        <v>140436</v>
      </c>
      <c r="U1385" s="8">
        <f t="shared" si="74"/>
        <v>0.52012562776847748</v>
      </c>
      <c r="V1385" s="9" t="s">
        <v>5271</v>
      </c>
      <c r="W1385" s="9" t="str">
        <f t="shared" si="75"/>
        <v>Pocklington RD</v>
      </c>
      <c r="X1385" s="9" t="str">
        <f>INDEX(Lookup!$A$2:$A$1349, MATCH(W1385, Lookup!$B$2:$B$1349,0))</f>
        <v>J04000998</v>
      </c>
      <c r="Y1385" s="9" t="str">
        <f>INDEX(Lookup!$F$2:$F$1349, MATCH(W1385, Lookup!$B$2:$B$1349,0))</f>
        <v>e441165</v>
      </c>
      <c r="Z1385" s="6" t="str">
        <f>INDEX(Lookup!$C$2:$C$1300, MATCH(X1385, Lookup!$A$2:$A$1300,0))</f>
        <v>Humberside</v>
      </c>
    </row>
    <row r="1386" spans="1:26" ht="28.15" customHeight="1" x14ac:dyDescent="0.2">
      <c r="A1386" s="6" t="s">
        <v>1159</v>
      </c>
      <c r="B1386" s="1" t="s">
        <v>1159</v>
      </c>
      <c r="T1386" s="10"/>
      <c r="W1386" s="9" t="str">
        <f t="shared" si="75"/>
        <v xml:space="preserve">YORKSHIRE,NORTH RIDING: </v>
      </c>
      <c r="X1386" s="9" t="e">
        <f>INDEX(Lookup!$A$2:$A$1349, MATCH(W1386, Lookup!$B$2:$B$1349,0))</f>
        <v>#N/A</v>
      </c>
      <c r="Y1386" s="9" t="e">
        <f>INDEX(Lookup!$F$2:$F$1349, MATCH(W1386, Lookup!$B$2:$B$1349,0))</f>
        <v>#N/A</v>
      </c>
      <c r="Z1386" s="6" t="e">
        <f>INDEX(Lookup!$C$2:$C$1300, MATCH(X1386, Lookup!$A$2:$A$1300,0))</f>
        <v>#N/A</v>
      </c>
    </row>
    <row r="1387" spans="1:26" ht="28.15" customHeight="1" x14ac:dyDescent="0.2">
      <c r="A1387" s="6" t="s">
        <v>175</v>
      </c>
      <c r="B1387" s="1" t="s">
        <v>175</v>
      </c>
      <c r="T1387" s="10"/>
      <c r="W1387" s="9" t="str">
        <f t="shared" si="75"/>
        <v xml:space="preserve">Non-County Boroughs-- </v>
      </c>
      <c r="X1387" s="9" t="e">
        <f>INDEX(Lookup!$A$2:$A$1349, MATCH(W1387, Lookup!$B$2:$B$1349,0))</f>
        <v>#N/A</v>
      </c>
      <c r="Y1387" s="9" t="e">
        <f>INDEX(Lookup!$F$2:$F$1349, MATCH(W1387, Lookup!$B$2:$B$1349,0))</f>
        <v>#N/A</v>
      </c>
      <c r="Z1387" s="6" t="e">
        <f>INDEX(Lookup!$C$2:$C$1300, MATCH(X1387, Lookup!$A$2:$A$1300,0))</f>
        <v>#N/A</v>
      </c>
    </row>
    <row r="1388" spans="1:26" ht="28.15" customHeight="1" x14ac:dyDescent="0.2">
      <c r="A1388" s="6" t="s">
        <v>1160</v>
      </c>
      <c r="B1388" s="1" t="s">
        <v>1160</v>
      </c>
      <c r="C1388" s="2">
        <v>9862</v>
      </c>
      <c r="D1388" s="2">
        <v>596484</v>
      </c>
      <c r="E1388" s="2">
        <v>664</v>
      </c>
      <c r="F1388" s="2">
        <v>75836</v>
      </c>
      <c r="I1388" s="2">
        <v>506</v>
      </c>
      <c r="J1388" s="2">
        <v>127917</v>
      </c>
      <c r="K1388" s="2">
        <v>67</v>
      </c>
      <c r="L1388" s="2">
        <v>7102</v>
      </c>
      <c r="M1388" s="2">
        <v>767</v>
      </c>
      <c r="N1388" s="2">
        <v>40476</v>
      </c>
      <c r="O1388" s="2">
        <v>20</v>
      </c>
      <c r="P1388" s="2">
        <v>684959</v>
      </c>
      <c r="Q1388" s="2">
        <v>1943</v>
      </c>
      <c r="R1388" s="2">
        <v>160811</v>
      </c>
      <c r="S1388" s="2">
        <v>1695528</v>
      </c>
      <c r="T1388" s="10">
        <f t="shared" si="73"/>
        <v>672320</v>
      </c>
      <c r="U1388" s="8">
        <f t="shared" si="74"/>
        <v>0.39652544811999568</v>
      </c>
      <c r="V1388" s="9" t="s">
        <v>5268</v>
      </c>
      <c r="W1388" s="9" t="str">
        <f t="shared" si="75"/>
        <v>Redcar MB</v>
      </c>
      <c r="X1388" s="9" t="str">
        <f>INDEX(Lookup!$A$2:$A$1349, MATCH(W1388, Lookup!$B$2:$B$1349,0))</f>
        <v>J04001037</v>
      </c>
      <c r="Y1388" s="9" t="str">
        <f>INDEX(Lookup!$F$2:$F$1349, MATCH(W1388, Lookup!$B$2:$B$1349,0))</f>
        <v>e451167</v>
      </c>
      <c r="Z1388" s="6" t="str">
        <f>INDEX(Lookup!$C$2:$C$1300, MATCH(X1388, Lookup!$A$2:$A$1300,0))</f>
        <v>Cleveland</v>
      </c>
    </row>
    <row r="1389" spans="1:26" ht="28.15" customHeight="1" x14ac:dyDescent="0.2">
      <c r="A1389" s="6" t="s">
        <v>1033</v>
      </c>
      <c r="B1389" s="1" t="s">
        <v>1033</v>
      </c>
      <c r="C1389" s="2">
        <v>1811</v>
      </c>
      <c r="D1389" s="2">
        <v>85925</v>
      </c>
      <c r="E1389" s="2">
        <v>121</v>
      </c>
      <c r="F1389" s="2">
        <v>14927</v>
      </c>
      <c r="G1389" s="2">
        <v>4</v>
      </c>
      <c r="H1389" s="2">
        <v>1040</v>
      </c>
      <c r="I1389" s="2">
        <v>137</v>
      </c>
      <c r="J1389" s="2">
        <v>20765</v>
      </c>
      <c r="K1389" s="2">
        <v>36</v>
      </c>
      <c r="L1389" s="2">
        <v>2493</v>
      </c>
      <c r="M1389" s="2">
        <v>268</v>
      </c>
      <c r="N1389" s="2">
        <v>12938</v>
      </c>
      <c r="O1389" s="2">
        <v>6</v>
      </c>
      <c r="P1389" s="2">
        <v>1185</v>
      </c>
      <c r="Q1389" s="2">
        <v>2034</v>
      </c>
      <c r="R1389" s="2">
        <v>36687</v>
      </c>
      <c r="S1389" s="2">
        <v>177994</v>
      </c>
      <c r="T1389" s="10">
        <f t="shared" si="73"/>
        <v>101892</v>
      </c>
      <c r="U1389" s="8">
        <f t="shared" si="74"/>
        <v>0.57244626223355843</v>
      </c>
      <c r="V1389" s="9" t="s">
        <v>5268</v>
      </c>
      <c r="W1389" s="9" t="str">
        <f t="shared" si="75"/>
        <v>Richmond MB</v>
      </c>
      <c r="X1389" s="9" t="str">
        <f>INDEX(Lookup!$A$2:$A$1349, MATCH(W1389, Lookup!$B$2:$B$1349,0))</f>
        <v>J04001047</v>
      </c>
      <c r="Y1389" s="9" t="str">
        <f>INDEX(Lookup!$F$2:$F$1349, MATCH(W1389, Lookup!$B$2:$B$1349,0))</f>
        <v>e451173</v>
      </c>
      <c r="Z1389" s="6" t="str">
        <f>INDEX(Lookup!$C$2:$C$1300, MATCH(X1389, Lookup!$A$2:$A$1300,0))</f>
        <v>North Yorkshire</v>
      </c>
    </row>
    <row r="1390" spans="1:26" ht="28.15" customHeight="1" x14ac:dyDescent="0.2">
      <c r="A1390" s="6" t="s">
        <v>1161</v>
      </c>
      <c r="B1390" s="1" t="s">
        <v>1161</v>
      </c>
      <c r="C1390" s="2">
        <v>12948</v>
      </c>
      <c r="D1390" s="2">
        <v>728813</v>
      </c>
      <c r="E1390" s="2">
        <v>1470</v>
      </c>
      <c r="F1390" s="2">
        <v>181593</v>
      </c>
      <c r="G1390" s="2">
        <v>70</v>
      </c>
      <c r="H1390" s="2">
        <v>19240</v>
      </c>
      <c r="I1390" s="2">
        <v>1316</v>
      </c>
      <c r="J1390" s="2">
        <v>281368</v>
      </c>
      <c r="K1390" s="2">
        <v>240</v>
      </c>
      <c r="L1390" s="2">
        <v>22145</v>
      </c>
      <c r="M1390" s="2">
        <v>2132</v>
      </c>
      <c r="N1390" s="2">
        <v>304704</v>
      </c>
      <c r="O1390" s="2">
        <v>71</v>
      </c>
      <c r="P1390" s="2">
        <v>55894</v>
      </c>
      <c r="Q1390" s="2">
        <v>23036</v>
      </c>
      <c r="R1390" s="2">
        <v>255715</v>
      </c>
      <c r="S1390" s="2">
        <v>1872508</v>
      </c>
      <c r="T1390" s="10">
        <f t="shared" si="73"/>
        <v>929646</v>
      </c>
      <c r="U1390" s="8">
        <f t="shared" si="74"/>
        <v>0.49647104311436852</v>
      </c>
      <c r="V1390" s="9" t="s">
        <v>5268</v>
      </c>
      <c r="W1390" s="9" t="str">
        <f t="shared" si="75"/>
        <v>Scarborough MB</v>
      </c>
      <c r="X1390" s="9" t="str">
        <f>INDEX(Lookup!$A$2:$A$1349, MATCH(W1390, Lookup!$B$2:$B$1349,0))</f>
        <v>J04001107</v>
      </c>
      <c r="Y1390" s="9" t="str">
        <f>INDEX(Lookup!$F$2:$F$1349, MATCH(W1390, Lookup!$B$2:$B$1349,0))</f>
        <v>e451176</v>
      </c>
      <c r="Z1390" s="6" t="str">
        <f>INDEX(Lookup!$C$2:$C$1300, MATCH(X1390, Lookup!$A$2:$A$1300,0))</f>
        <v>North Yorkshire</v>
      </c>
    </row>
    <row r="1391" spans="1:26" ht="28.15" customHeight="1" x14ac:dyDescent="0.2">
      <c r="A1391" s="6" t="s">
        <v>1162</v>
      </c>
      <c r="B1391" s="1" t="s">
        <v>5454</v>
      </c>
      <c r="C1391" s="2">
        <v>6617</v>
      </c>
      <c r="D1391" s="2">
        <v>304376</v>
      </c>
      <c r="E1391" s="2">
        <v>65</v>
      </c>
      <c r="F1391" s="2">
        <v>7658</v>
      </c>
      <c r="I1391" s="2">
        <v>268</v>
      </c>
      <c r="J1391" s="2">
        <v>29089</v>
      </c>
      <c r="K1391" s="2">
        <v>37</v>
      </c>
      <c r="L1391" s="2">
        <v>3053</v>
      </c>
      <c r="M1391" s="2">
        <v>302</v>
      </c>
      <c r="N1391" s="2">
        <v>31333</v>
      </c>
      <c r="O1391" s="2">
        <v>32</v>
      </c>
      <c r="P1391" s="2">
        <v>170965</v>
      </c>
      <c r="Q1391" s="2">
        <v>874</v>
      </c>
      <c r="R1391" s="2">
        <v>63748</v>
      </c>
      <c r="S1391" s="2">
        <v>611096</v>
      </c>
      <c r="T1391" s="10">
        <f t="shared" si="73"/>
        <v>312034</v>
      </c>
      <c r="U1391" s="8">
        <f t="shared" si="74"/>
        <v>0.51061371699372926</v>
      </c>
      <c r="V1391" s="9" t="s">
        <v>5268</v>
      </c>
      <c r="W1391" s="9" t="str">
        <f t="shared" si="75"/>
        <v>Thornaby on Tees MB</v>
      </c>
      <c r="X1391" s="9" t="str">
        <f>INDEX(Lookup!$A$2:$A$1349, MATCH(W1391, Lookup!$B$2:$B$1349,0))</f>
        <v>J04001270</v>
      </c>
      <c r="Y1391" s="9" t="str">
        <f>INDEX(Lookup!$F$2:$F$1349, MATCH(W1391, Lookup!$B$2:$B$1349,0))</f>
        <v>e451167</v>
      </c>
      <c r="Z1391" s="6" t="str">
        <f>INDEX(Lookup!$C$2:$C$1300, MATCH(X1391, Lookup!$A$2:$A$1300,0))</f>
        <v>Cleveland</v>
      </c>
    </row>
    <row r="1392" spans="1:26" ht="28.15" customHeight="1" x14ac:dyDescent="0.2">
      <c r="A1392" s="6" t="s">
        <v>179</v>
      </c>
      <c r="B1392" s="1" t="s">
        <v>179</v>
      </c>
      <c r="T1392" s="10"/>
      <c r="W1392" s="9" t="str">
        <f t="shared" si="75"/>
        <v xml:space="preserve">Urban Districts-- </v>
      </c>
      <c r="X1392" s="9" t="e">
        <f>INDEX(Lookup!$A$2:$A$1349, MATCH(W1392, Lookup!$B$2:$B$1349,0))</f>
        <v>#N/A</v>
      </c>
      <c r="Y1392" s="9" t="e">
        <f>INDEX(Lookup!$F$2:$F$1349, MATCH(W1392, Lookup!$B$2:$B$1349,0))</f>
        <v>#N/A</v>
      </c>
      <c r="Z1392" s="6" t="e">
        <f>INDEX(Lookup!$C$2:$C$1300, MATCH(X1392, Lookup!$A$2:$A$1300,0))</f>
        <v>#N/A</v>
      </c>
    </row>
    <row r="1393" spans="1:26" ht="28.15" customHeight="1" x14ac:dyDescent="0.2">
      <c r="A1393" s="6" t="s">
        <v>1163</v>
      </c>
      <c r="B1393" s="1" t="s">
        <v>1163</v>
      </c>
      <c r="C1393" s="2">
        <v>11000</v>
      </c>
      <c r="D1393" s="2">
        <v>489570</v>
      </c>
      <c r="E1393" s="2">
        <v>102</v>
      </c>
      <c r="F1393" s="2">
        <v>11602</v>
      </c>
      <c r="G1393" s="2">
        <v>1</v>
      </c>
      <c r="H1393" s="2">
        <v>306</v>
      </c>
      <c r="I1393" s="2">
        <v>432</v>
      </c>
      <c r="J1393" s="2">
        <v>53086</v>
      </c>
      <c r="K1393" s="2">
        <v>52</v>
      </c>
      <c r="L1393" s="2">
        <v>4071</v>
      </c>
      <c r="M1393" s="2">
        <v>827</v>
      </c>
      <c r="N1393" s="2">
        <v>31049</v>
      </c>
      <c r="O1393" s="2">
        <v>32</v>
      </c>
      <c r="P1393" s="2">
        <v>2040319</v>
      </c>
      <c r="Q1393" s="2">
        <v>2948</v>
      </c>
      <c r="R1393" s="2">
        <v>170241</v>
      </c>
      <c r="S1393" s="2">
        <v>2803192</v>
      </c>
      <c r="T1393" s="10">
        <f t="shared" si="73"/>
        <v>501478</v>
      </c>
      <c r="U1393" s="8">
        <f t="shared" si="74"/>
        <v>0.17889534502096183</v>
      </c>
      <c r="V1393" s="9" t="s">
        <v>5270</v>
      </c>
      <c r="W1393" s="9" t="str">
        <f t="shared" si="75"/>
        <v>Eston UD</v>
      </c>
      <c r="X1393" s="9" t="str">
        <f>INDEX(Lookup!$A$2:$A$1349, MATCH(W1393, Lookup!$B$2:$B$1349,0))</f>
        <v>J04000481</v>
      </c>
      <c r="Y1393" s="9" t="str">
        <f>INDEX(Lookup!$F$2:$F$1349, MATCH(W1393, Lookup!$B$2:$B$1349,0))</f>
        <v>e451167</v>
      </c>
      <c r="Z1393" s="6" t="str">
        <f>INDEX(Lookup!$C$2:$C$1300, MATCH(X1393, Lookup!$A$2:$A$1300,0))</f>
        <v>Cleveland</v>
      </c>
    </row>
    <row r="1394" spans="1:26" ht="28.15" customHeight="1" x14ac:dyDescent="0.2">
      <c r="A1394" s="6" t="s">
        <v>1164</v>
      </c>
      <c r="B1394" s="1" t="s">
        <v>1164</v>
      </c>
      <c r="C1394" s="2">
        <v>3540</v>
      </c>
      <c r="D1394" s="2">
        <v>169009</v>
      </c>
      <c r="E1394" s="2">
        <v>199</v>
      </c>
      <c r="F1394" s="2">
        <v>24251</v>
      </c>
      <c r="G1394" s="2">
        <v>8</v>
      </c>
      <c r="H1394" s="2">
        <v>1980</v>
      </c>
      <c r="I1394" s="2">
        <v>152</v>
      </c>
      <c r="J1394" s="2">
        <v>16519</v>
      </c>
      <c r="K1394" s="2">
        <v>15</v>
      </c>
      <c r="L1394" s="2">
        <v>1656</v>
      </c>
      <c r="M1394" s="2">
        <v>517</v>
      </c>
      <c r="N1394" s="2">
        <v>10747</v>
      </c>
      <c r="O1394" s="2">
        <v>8</v>
      </c>
      <c r="P1394" s="2">
        <v>674828</v>
      </c>
      <c r="Q1394" s="2">
        <v>3732</v>
      </c>
      <c r="R1394" s="2">
        <v>63190</v>
      </c>
      <c r="S1394" s="2">
        <v>965912</v>
      </c>
      <c r="T1394" s="10">
        <f t="shared" si="73"/>
        <v>195240</v>
      </c>
      <c r="U1394" s="8">
        <f t="shared" si="74"/>
        <v>0.20213021476076495</v>
      </c>
      <c r="V1394" s="9" t="s">
        <v>5270</v>
      </c>
      <c r="W1394" s="9" t="str">
        <f t="shared" si="75"/>
        <v>Guisborough UD</v>
      </c>
      <c r="X1394" s="9" t="str">
        <f>INDEX(Lookup!$A$2:$A$1349, MATCH(W1394, Lookup!$B$2:$B$1349,0))</f>
        <v>J04000558</v>
      </c>
      <c r="Y1394" s="9" t="str">
        <f>INDEX(Lookup!$F$2:$F$1349, MATCH(W1394, Lookup!$B$2:$B$1349,0))</f>
        <v>e451168</v>
      </c>
      <c r="Z1394" s="6" t="str">
        <f>INDEX(Lookup!$C$2:$C$1300, MATCH(X1394, Lookup!$A$2:$A$1300,0))</f>
        <v>Cleveland</v>
      </c>
    </row>
    <row r="1395" spans="1:26" ht="28.15" customHeight="1" x14ac:dyDescent="0.2">
      <c r="A1395" s="6" t="s">
        <v>1165</v>
      </c>
      <c r="B1395" s="1" t="s">
        <v>1165</v>
      </c>
      <c r="C1395" s="2">
        <v>2570</v>
      </c>
      <c r="D1395" s="2">
        <v>92058</v>
      </c>
      <c r="E1395" s="2">
        <v>12</v>
      </c>
      <c r="F1395" s="2">
        <v>1385</v>
      </c>
      <c r="I1395" s="2">
        <v>128</v>
      </c>
      <c r="J1395" s="2">
        <v>13957</v>
      </c>
      <c r="K1395" s="2">
        <v>15</v>
      </c>
      <c r="L1395" s="2">
        <v>675</v>
      </c>
      <c r="M1395" s="2">
        <v>335</v>
      </c>
      <c r="N1395" s="2">
        <v>9815</v>
      </c>
      <c r="O1395" s="2">
        <v>11</v>
      </c>
      <c r="P1395" s="2">
        <v>148755</v>
      </c>
      <c r="Q1395" s="2">
        <v>262</v>
      </c>
      <c r="R1395" s="2">
        <v>20612</v>
      </c>
      <c r="S1395" s="2">
        <v>287519</v>
      </c>
      <c r="T1395" s="10">
        <f t="shared" si="73"/>
        <v>93443</v>
      </c>
      <c r="U1395" s="8">
        <f t="shared" si="74"/>
        <v>0.32499765232906347</v>
      </c>
      <c r="V1395" s="9" t="s">
        <v>5270</v>
      </c>
      <c r="W1395" s="9" t="str">
        <f t="shared" si="75"/>
        <v>Loftus UD</v>
      </c>
      <c r="X1395" s="9" t="str">
        <f>INDEX(Lookup!$A$2:$A$1349, MATCH(W1395, Lookup!$B$2:$B$1349,0))</f>
        <v>J04000774</v>
      </c>
      <c r="Y1395" s="9" t="str">
        <f>INDEX(Lookup!$F$2:$F$1349, MATCH(W1395, Lookup!$B$2:$B$1349,0))</f>
        <v>e451169</v>
      </c>
      <c r="Z1395" s="6" t="str">
        <f>INDEX(Lookup!$C$2:$C$1300, MATCH(X1395, Lookup!$A$2:$A$1300,0))</f>
        <v>Cleveland</v>
      </c>
    </row>
    <row r="1396" spans="1:26" ht="28.15" customHeight="1" x14ac:dyDescent="0.2">
      <c r="A1396" s="6" t="s">
        <v>1166</v>
      </c>
      <c r="B1396" s="1" t="s">
        <v>1166</v>
      </c>
      <c r="C1396" s="2">
        <v>1207</v>
      </c>
      <c r="D1396" s="2">
        <v>50947</v>
      </c>
      <c r="E1396" s="2">
        <v>62</v>
      </c>
      <c r="F1396" s="2">
        <v>7507</v>
      </c>
      <c r="G1396" s="2">
        <v>1</v>
      </c>
      <c r="H1396" s="2">
        <v>206</v>
      </c>
      <c r="I1396" s="2">
        <v>178</v>
      </c>
      <c r="J1396" s="2">
        <v>24659</v>
      </c>
      <c r="K1396" s="2">
        <v>73</v>
      </c>
      <c r="L1396" s="2">
        <v>4036</v>
      </c>
      <c r="M1396" s="2">
        <v>153</v>
      </c>
      <c r="N1396" s="2">
        <v>13539</v>
      </c>
      <c r="O1396" s="2">
        <v>10</v>
      </c>
      <c r="P1396" s="2">
        <v>4113</v>
      </c>
      <c r="Q1396" s="2">
        <v>1178</v>
      </c>
      <c r="R1396" s="2">
        <v>20854</v>
      </c>
      <c r="S1396" s="2">
        <v>127039</v>
      </c>
      <c r="T1396" s="10">
        <f t="shared" si="73"/>
        <v>58660</v>
      </c>
      <c r="U1396" s="8">
        <f t="shared" si="74"/>
        <v>0.46174796715969113</v>
      </c>
      <c r="V1396" s="9" t="s">
        <v>5270</v>
      </c>
      <c r="W1396" s="9" t="str">
        <f t="shared" si="75"/>
        <v>Malton UD</v>
      </c>
      <c r="X1396" s="9" t="str">
        <f>INDEX(Lookup!$A$2:$A$1349, MATCH(W1396, Lookup!$B$2:$B$1349,0))</f>
        <v>J04000819</v>
      </c>
      <c r="Y1396" s="9" t="str">
        <f>INDEX(Lookup!$F$2:$F$1349, MATCH(W1396, Lookup!$B$2:$B$1349,0))</f>
        <v>e451170</v>
      </c>
      <c r="Z1396" s="6" t="str">
        <f>INDEX(Lookup!$C$2:$C$1300, MATCH(X1396, Lookup!$A$2:$A$1300,0))</f>
        <v>North Yorkshire</v>
      </c>
    </row>
    <row r="1397" spans="1:26" ht="28.15" customHeight="1" x14ac:dyDescent="0.2">
      <c r="A1397" s="6" t="s">
        <v>1167</v>
      </c>
      <c r="B1397" s="1" t="s">
        <v>1167</v>
      </c>
      <c r="C1397" s="2">
        <v>1915</v>
      </c>
      <c r="D1397" s="2">
        <v>94945</v>
      </c>
      <c r="E1397" s="2">
        <v>93</v>
      </c>
      <c r="F1397" s="2">
        <v>11326</v>
      </c>
      <c r="I1397" s="2">
        <v>151</v>
      </c>
      <c r="J1397" s="2">
        <v>49073</v>
      </c>
      <c r="K1397" s="2">
        <v>52</v>
      </c>
      <c r="L1397" s="2">
        <v>8919</v>
      </c>
      <c r="M1397" s="2">
        <v>322</v>
      </c>
      <c r="N1397" s="2">
        <v>26219</v>
      </c>
      <c r="O1397" s="2">
        <v>22</v>
      </c>
      <c r="P1397" s="2">
        <v>12555</v>
      </c>
      <c r="Q1397" s="2">
        <v>11791</v>
      </c>
      <c r="R1397" s="2">
        <v>32717</v>
      </c>
      <c r="S1397" s="2">
        <v>247545</v>
      </c>
      <c r="T1397" s="10">
        <f t="shared" si="73"/>
        <v>106271</v>
      </c>
      <c r="U1397" s="8">
        <f t="shared" si="74"/>
        <v>0.42929972328263549</v>
      </c>
      <c r="V1397" s="9" t="s">
        <v>5270</v>
      </c>
      <c r="W1397" s="9" t="str">
        <f t="shared" si="75"/>
        <v>Northallerton UD</v>
      </c>
      <c r="X1397" s="9" t="str">
        <f>INDEX(Lookup!$A$2:$A$1349, MATCH(W1397, Lookup!$B$2:$B$1349,0))</f>
        <v>J04000930</v>
      </c>
      <c r="Y1397" s="9" t="str">
        <f>INDEX(Lookup!$F$2:$F$1349, MATCH(W1397, Lookup!$B$2:$B$1349,0))</f>
        <v>e451171</v>
      </c>
      <c r="Z1397" s="6" t="str">
        <f>INDEX(Lookup!$C$2:$C$1300, MATCH(X1397, Lookup!$A$2:$A$1300,0))</f>
        <v>North Yorkshire</v>
      </c>
    </row>
    <row r="1398" spans="1:26" ht="28.15" customHeight="1" x14ac:dyDescent="0.2">
      <c r="A1398" s="6" t="s">
        <v>1168</v>
      </c>
      <c r="B1398" s="1" t="s">
        <v>1168</v>
      </c>
      <c r="C1398" s="2">
        <v>1445</v>
      </c>
      <c r="D1398" s="2">
        <v>61337</v>
      </c>
      <c r="E1398" s="2">
        <v>17</v>
      </c>
      <c r="F1398" s="2">
        <v>1938</v>
      </c>
      <c r="G1398" s="2">
        <v>2</v>
      </c>
      <c r="H1398" s="2">
        <v>432</v>
      </c>
      <c r="I1398" s="2">
        <v>120</v>
      </c>
      <c r="J1398" s="2">
        <v>12074</v>
      </c>
      <c r="K1398" s="2">
        <v>16</v>
      </c>
      <c r="L1398" s="2">
        <v>714</v>
      </c>
      <c r="M1398" s="2">
        <v>104</v>
      </c>
      <c r="N1398" s="2">
        <v>7345</v>
      </c>
      <c r="O1398" s="2">
        <v>10</v>
      </c>
      <c r="P1398" s="2">
        <v>9221</v>
      </c>
      <c r="Q1398" s="2">
        <v>449</v>
      </c>
      <c r="R1398" s="2">
        <v>17700</v>
      </c>
      <c r="S1398" s="2">
        <v>111210</v>
      </c>
      <c r="T1398" s="10">
        <f t="shared" si="73"/>
        <v>63707</v>
      </c>
      <c r="U1398" s="8">
        <f t="shared" si="74"/>
        <v>0.57285316068698855</v>
      </c>
      <c r="V1398" s="9" t="s">
        <v>5270</v>
      </c>
      <c r="W1398" s="9" t="str">
        <f t="shared" si="75"/>
        <v>Pickering UD</v>
      </c>
      <c r="X1398" s="9" t="str">
        <f>INDEX(Lookup!$A$2:$A$1349, MATCH(W1398, Lookup!$B$2:$B$1349,0))</f>
        <v>J04000994</v>
      </c>
      <c r="Y1398" s="9" t="str">
        <f>INDEX(Lookup!$F$2:$F$1349, MATCH(W1398, Lookup!$B$2:$B$1349,0))</f>
        <v>e451172</v>
      </c>
      <c r="Z1398" s="6" t="str">
        <f>INDEX(Lookup!$C$2:$C$1300, MATCH(X1398, Lookup!$A$2:$A$1300,0))</f>
        <v>North Yorkshire</v>
      </c>
    </row>
    <row r="1399" spans="1:26" ht="28.15" customHeight="1" x14ac:dyDescent="0.2">
      <c r="A1399" s="6" t="s">
        <v>1169</v>
      </c>
      <c r="B1399" s="1" t="s">
        <v>5396</v>
      </c>
      <c r="C1399" s="2">
        <v>3877</v>
      </c>
      <c r="D1399" s="2">
        <v>235239</v>
      </c>
      <c r="E1399" s="2">
        <v>323</v>
      </c>
      <c r="F1399" s="2">
        <v>37658</v>
      </c>
      <c r="G1399" s="2">
        <v>1</v>
      </c>
      <c r="H1399" s="2">
        <v>226</v>
      </c>
      <c r="I1399" s="2">
        <v>187</v>
      </c>
      <c r="J1399" s="2">
        <v>26060</v>
      </c>
      <c r="K1399" s="2">
        <v>14</v>
      </c>
      <c r="L1399" s="2">
        <v>1196</v>
      </c>
      <c r="M1399" s="2">
        <v>447</v>
      </c>
      <c r="N1399" s="2">
        <v>39183</v>
      </c>
      <c r="O1399" s="2">
        <v>34</v>
      </c>
      <c r="P1399" s="2">
        <v>11884</v>
      </c>
      <c r="Q1399" s="2">
        <v>908</v>
      </c>
      <c r="R1399" s="2">
        <v>37427</v>
      </c>
      <c r="S1399" s="2">
        <v>389781</v>
      </c>
      <c r="T1399" s="10">
        <f t="shared" si="73"/>
        <v>273123</v>
      </c>
      <c r="U1399" s="8">
        <f t="shared" si="74"/>
        <v>0.70070885959038542</v>
      </c>
      <c r="V1399" s="9" t="s">
        <v>5270</v>
      </c>
      <c r="W1399" s="9" t="str">
        <f t="shared" si="75"/>
        <v>Saltburn and Marske-by-the-Sea UD</v>
      </c>
      <c r="X1399" s="9" t="str">
        <f>INDEX(Lookup!$A$2:$A$1349, MATCH(W1399, Lookup!$B$2:$B$1349,0))</f>
        <v>J04001098</v>
      </c>
      <c r="Y1399" s="9" t="str">
        <f>INDEX(Lookup!$F$2:$F$1349, MATCH(W1399, Lookup!$B$2:$B$1349,0))</f>
        <v>e451174</v>
      </c>
      <c r="Z1399" s="6" t="str">
        <f>INDEX(Lookup!$C$2:$C$1300, MATCH(X1399, Lookup!$A$2:$A$1300,0))</f>
        <v>Cleveland</v>
      </c>
    </row>
    <row r="1400" spans="1:26" ht="28.15" customHeight="1" x14ac:dyDescent="0.2">
      <c r="A1400" s="6" t="s">
        <v>1170</v>
      </c>
      <c r="B1400" s="1" t="s">
        <v>1170</v>
      </c>
      <c r="C1400" s="2">
        <v>2423</v>
      </c>
      <c r="D1400" s="2">
        <v>165168</v>
      </c>
      <c r="E1400" s="2">
        <v>356</v>
      </c>
      <c r="F1400" s="2">
        <v>43072</v>
      </c>
      <c r="G1400" s="2">
        <v>11</v>
      </c>
      <c r="H1400" s="2">
        <v>2775</v>
      </c>
      <c r="I1400" s="2">
        <v>34</v>
      </c>
      <c r="J1400" s="2">
        <v>5751</v>
      </c>
      <c r="K1400" s="2">
        <v>1</v>
      </c>
      <c r="L1400" s="2">
        <v>266</v>
      </c>
      <c r="M1400" s="2">
        <v>104</v>
      </c>
      <c r="N1400" s="2">
        <v>6359</v>
      </c>
      <c r="O1400" s="2">
        <v>5</v>
      </c>
      <c r="P1400" s="2">
        <v>1045</v>
      </c>
      <c r="Q1400" s="2">
        <v>804</v>
      </c>
      <c r="R1400" s="2">
        <v>17941</v>
      </c>
      <c r="S1400" s="2">
        <v>243181</v>
      </c>
      <c r="T1400" s="10">
        <f t="shared" si="73"/>
        <v>211015</v>
      </c>
      <c r="U1400" s="8">
        <f t="shared" si="74"/>
        <v>0.86772815310406648</v>
      </c>
      <c r="V1400" s="9" t="s">
        <v>5270</v>
      </c>
      <c r="W1400" s="9" t="str">
        <f t="shared" si="75"/>
        <v>Scalby UD</v>
      </c>
      <c r="X1400" s="9" t="str">
        <f>INDEX(Lookup!$A$2:$A$1349, MATCH(W1400, Lookup!$B$2:$B$1349,0))</f>
        <v>J04001106</v>
      </c>
      <c r="Y1400" s="9" t="str">
        <f>INDEX(Lookup!$F$2:$F$1349, MATCH(W1400, Lookup!$B$2:$B$1349,0))</f>
        <v>e451175</v>
      </c>
      <c r="Z1400" s="6" t="str">
        <f>INDEX(Lookup!$C$2:$C$1300, MATCH(X1400, Lookup!$A$2:$A$1300,0))</f>
        <v>North Yorkshire</v>
      </c>
    </row>
    <row r="1401" spans="1:26" ht="28.15" customHeight="1" x14ac:dyDescent="0.2">
      <c r="A1401" s="6" t="s">
        <v>1171</v>
      </c>
      <c r="B1401" s="1" t="s">
        <v>5397</v>
      </c>
      <c r="C1401" s="2">
        <v>4202</v>
      </c>
      <c r="D1401" s="2">
        <v>143015</v>
      </c>
      <c r="E1401" s="2">
        <v>21</v>
      </c>
      <c r="F1401" s="2">
        <v>2521</v>
      </c>
      <c r="G1401" s="2">
        <v>2</v>
      </c>
      <c r="H1401" s="2">
        <v>1069</v>
      </c>
      <c r="I1401" s="2">
        <v>184</v>
      </c>
      <c r="J1401" s="2">
        <v>13147</v>
      </c>
      <c r="K1401" s="2">
        <v>9</v>
      </c>
      <c r="L1401" s="2">
        <v>618</v>
      </c>
      <c r="M1401" s="2">
        <v>541</v>
      </c>
      <c r="N1401" s="2">
        <v>9228</v>
      </c>
      <c r="O1401" s="2">
        <v>14</v>
      </c>
      <c r="P1401" s="2">
        <v>32283</v>
      </c>
      <c r="Q1401" s="2">
        <v>570</v>
      </c>
      <c r="R1401" s="2">
        <v>37146</v>
      </c>
      <c r="S1401" s="2">
        <v>239597</v>
      </c>
      <c r="T1401" s="10">
        <f t="shared" si="73"/>
        <v>146605</v>
      </c>
      <c r="U1401" s="8">
        <f t="shared" si="74"/>
        <v>0.61188161788336248</v>
      </c>
      <c r="V1401" s="9" t="s">
        <v>5270</v>
      </c>
      <c r="W1401" s="9" t="str">
        <f t="shared" si="75"/>
        <v>Skelton and Brotton UD</v>
      </c>
      <c r="X1401" s="9" t="str">
        <f>INDEX(Lookup!$A$2:$A$1349, MATCH(W1401, Lookup!$B$2:$B$1349,0))</f>
        <v>J04001146</v>
      </c>
      <c r="Y1401" s="9" t="str">
        <f>INDEX(Lookup!$F$2:$F$1349, MATCH(W1401, Lookup!$B$2:$B$1349,0))</f>
        <v>e451177</v>
      </c>
      <c r="Z1401" s="6" t="str">
        <f>INDEX(Lookup!$C$2:$C$1300, MATCH(X1401, Lookup!$A$2:$A$1300,0))</f>
        <v>Cleveland</v>
      </c>
    </row>
    <row r="1402" spans="1:26" ht="28.15" customHeight="1" x14ac:dyDescent="0.2">
      <c r="A1402" s="6" t="s">
        <v>1172</v>
      </c>
      <c r="B1402" s="1" t="s">
        <v>1172</v>
      </c>
      <c r="C1402" s="2">
        <v>3819</v>
      </c>
      <c r="D1402" s="2">
        <v>185506</v>
      </c>
      <c r="E1402" s="2">
        <v>227</v>
      </c>
      <c r="F1402" s="2">
        <v>25141</v>
      </c>
      <c r="G1402" s="2">
        <v>5</v>
      </c>
      <c r="H1402" s="2">
        <v>1270</v>
      </c>
      <c r="I1402" s="2">
        <v>351</v>
      </c>
      <c r="J1402" s="2">
        <v>48628</v>
      </c>
      <c r="K1402" s="2">
        <v>55</v>
      </c>
      <c r="L1402" s="2">
        <v>2803</v>
      </c>
      <c r="M1402" s="2">
        <v>432</v>
      </c>
      <c r="N1402" s="2">
        <v>42215</v>
      </c>
      <c r="O1402" s="2">
        <v>17</v>
      </c>
      <c r="P1402" s="2">
        <v>7288</v>
      </c>
      <c r="Q1402" s="2">
        <v>3085</v>
      </c>
      <c r="R1402" s="2">
        <v>48791</v>
      </c>
      <c r="S1402" s="2">
        <v>364727</v>
      </c>
      <c r="T1402" s="10">
        <f t="shared" si="73"/>
        <v>211917</v>
      </c>
      <c r="U1402" s="8">
        <f t="shared" si="74"/>
        <v>0.58102909847639472</v>
      </c>
      <c r="V1402" s="9" t="s">
        <v>5270</v>
      </c>
      <c r="W1402" s="9" t="str">
        <f t="shared" si="75"/>
        <v>Whitby UD</v>
      </c>
      <c r="X1402" s="9" t="str">
        <f>INDEX(Lookup!$A$2:$A$1349, MATCH(W1402, Lookup!$B$2:$B$1349,0))</f>
        <v>J04001400</v>
      </c>
      <c r="Y1402" s="9" t="str">
        <f>INDEX(Lookup!$F$2:$F$1349, MATCH(W1402, Lookup!$B$2:$B$1349,0))</f>
        <v>e451178</v>
      </c>
      <c r="Z1402" s="6" t="str">
        <f>INDEX(Lookup!$C$2:$C$1300, MATCH(X1402, Lookup!$A$2:$A$1300,0))</f>
        <v>North Yorkshire</v>
      </c>
    </row>
    <row r="1403" spans="1:26" ht="28.15" customHeight="1" x14ac:dyDescent="0.2">
      <c r="A1403" s="6" t="s">
        <v>212</v>
      </c>
      <c r="B1403" s="1" t="s">
        <v>212</v>
      </c>
      <c r="T1403" s="10"/>
      <c r="W1403" s="9" t="str">
        <f t="shared" si="75"/>
        <v xml:space="preserve">Rural Districts-- </v>
      </c>
      <c r="X1403" s="9" t="e">
        <f>INDEX(Lookup!$A$2:$A$1349, MATCH(W1403, Lookup!$B$2:$B$1349,0))</f>
        <v>#N/A</v>
      </c>
      <c r="Y1403" s="9" t="e">
        <f>INDEX(Lookup!$F$2:$F$1349, MATCH(W1403, Lookup!$B$2:$B$1349,0))</f>
        <v>#N/A</v>
      </c>
      <c r="Z1403" s="6" t="e">
        <f>INDEX(Lookup!$C$2:$C$1300, MATCH(X1403, Lookup!$A$2:$A$1300,0))</f>
        <v>#N/A</v>
      </c>
    </row>
    <row r="1404" spans="1:26" ht="28.15" customHeight="1" x14ac:dyDescent="0.2">
      <c r="A1404" s="6" t="s">
        <v>1173</v>
      </c>
      <c r="B1404" s="1" t="s">
        <v>1173</v>
      </c>
      <c r="C1404" s="2">
        <v>863</v>
      </c>
      <c r="D1404" s="2">
        <v>27165</v>
      </c>
      <c r="E1404" s="2">
        <v>14</v>
      </c>
      <c r="F1404" s="2">
        <v>1808</v>
      </c>
      <c r="I1404" s="2">
        <v>66</v>
      </c>
      <c r="J1404" s="2">
        <v>4316</v>
      </c>
      <c r="K1404" s="2">
        <v>9</v>
      </c>
      <c r="L1404" s="2">
        <v>335</v>
      </c>
      <c r="M1404" s="2">
        <v>145</v>
      </c>
      <c r="N1404" s="2">
        <v>5804</v>
      </c>
      <c r="O1404" s="2">
        <v>11</v>
      </c>
      <c r="P1404" s="2">
        <v>2590</v>
      </c>
      <c r="Q1404" s="2">
        <v>348</v>
      </c>
      <c r="R1404" s="2">
        <v>16791</v>
      </c>
      <c r="S1404" s="2">
        <v>59157</v>
      </c>
      <c r="T1404" s="10">
        <f t="shared" si="73"/>
        <v>28973</v>
      </c>
      <c r="U1404" s="8">
        <f t="shared" si="74"/>
        <v>0.48976452490829486</v>
      </c>
      <c r="V1404" s="9" t="s">
        <v>5271</v>
      </c>
      <c r="W1404" s="9" t="str">
        <f t="shared" si="75"/>
        <v>Aysgarth RD</v>
      </c>
      <c r="X1404" s="9" t="str">
        <f>INDEX(Lookup!$A$2:$A$1349, MATCH(W1404, Lookup!$B$2:$B$1349,0))</f>
        <v>J04000067</v>
      </c>
      <c r="Y1404" s="9" t="str">
        <f>INDEX(Lookup!$F$2:$F$1349, MATCH(W1404, Lookup!$B$2:$B$1349,0))</f>
        <v>e451179</v>
      </c>
      <c r="Z1404" s="6" t="str">
        <f>INDEX(Lookup!$C$2:$C$1300, MATCH(X1404, Lookup!$A$2:$A$1300,0))</f>
        <v>North Yorkshire</v>
      </c>
    </row>
    <row r="1405" spans="1:26" ht="28.15" customHeight="1" x14ac:dyDescent="0.2">
      <c r="A1405" s="6" t="s">
        <v>1174</v>
      </c>
      <c r="B1405" s="1" t="s">
        <v>1174</v>
      </c>
      <c r="C1405" s="2">
        <v>1748</v>
      </c>
      <c r="D1405" s="2">
        <v>68097</v>
      </c>
      <c r="E1405" s="2">
        <v>57</v>
      </c>
      <c r="F1405" s="2">
        <v>7245</v>
      </c>
      <c r="G1405" s="2">
        <v>14</v>
      </c>
      <c r="H1405" s="2">
        <v>3967</v>
      </c>
      <c r="I1405" s="2">
        <v>94</v>
      </c>
      <c r="J1405" s="2">
        <v>11711</v>
      </c>
      <c r="K1405" s="2">
        <v>10</v>
      </c>
      <c r="L1405" s="2">
        <v>579</v>
      </c>
      <c r="M1405" s="2">
        <v>200</v>
      </c>
      <c r="N1405" s="2">
        <v>13865</v>
      </c>
      <c r="O1405" s="2">
        <v>9</v>
      </c>
      <c r="P1405" s="2">
        <v>8625</v>
      </c>
      <c r="Q1405" s="2">
        <v>33869</v>
      </c>
      <c r="R1405" s="2">
        <v>48705</v>
      </c>
      <c r="S1405" s="2">
        <v>196663</v>
      </c>
      <c r="T1405" s="10">
        <f t="shared" si="73"/>
        <v>79309</v>
      </c>
      <c r="U1405" s="8">
        <f t="shared" si="74"/>
        <v>0.40327362035563374</v>
      </c>
      <c r="V1405" s="9" t="s">
        <v>5271</v>
      </c>
      <c r="W1405" s="9" t="str">
        <f t="shared" si="75"/>
        <v>Bedale RD</v>
      </c>
      <c r="X1405" s="9" t="str">
        <f>INDEX(Lookup!$A$2:$A$1349, MATCH(W1405, Lookup!$B$2:$B$1349,0))</f>
        <v>J04000110</v>
      </c>
      <c r="Y1405" s="9" t="str">
        <f>INDEX(Lookup!$F$2:$F$1349, MATCH(W1405, Lookup!$B$2:$B$1349,0))</f>
        <v>e451180</v>
      </c>
      <c r="Z1405" s="6" t="str">
        <f>INDEX(Lookup!$C$2:$C$1300, MATCH(X1405, Lookup!$A$2:$A$1300,0))</f>
        <v>North Yorkshire</v>
      </c>
    </row>
    <row r="1406" spans="1:26" ht="28.15" customHeight="1" x14ac:dyDescent="0.2">
      <c r="A1406" s="6" t="s">
        <v>1175</v>
      </c>
      <c r="B1406" s="1" t="s">
        <v>1175</v>
      </c>
      <c r="C1406" s="2">
        <v>433</v>
      </c>
      <c r="D1406" s="2">
        <v>19107</v>
      </c>
      <c r="E1406" s="2">
        <v>18</v>
      </c>
      <c r="F1406" s="2">
        <v>2287</v>
      </c>
      <c r="G1406" s="2">
        <v>7</v>
      </c>
      <c r="H1406" s="2">
        <v>1933</v>
      </c>
      <c r="I1406" s="2">
        <v>8</v>
      </c>
      <c r="J1406" s="2">
        <v>482</v>
      </c>
      <c r="K1406" s="2" t="s">
        <v>290</v>
      </c>
      <c r="M1406" s="2">
        <v>47</v>
      </c>
      <c r="N1406" s="2">
        <v>4705</v>
      </c>
      <c r="O1406" s="2">
        <v>1</v>
      </c>
      <c r="P1406" s="2">
        <v>65</v>
      </c>
      <c r="Q1406" s="2">
        <v>3</v>
      </c>
      <c r="R1406" s="2">
        <v>28720</v>
      </c>
      <c r="S1406" s="2">
        <v>57299</v>
      </c>
      <c r="T1406" s="10">
        <f t="shared" si="73"/>
        <v>23327</v>
      </c>
      <c r="U1406" s="8">
        <f t="shared" si="74"/>
        <v>0.40711007172900049</v>
      </c>
      <c r="V1406" s="9" t="s">
        <v>5271</v>
      </c>
      <c r="W1406" s="9" t="str">
        <f t="shared" si="75"/>
        <v>Croft RD</v>
      </c>
      <c r="X1406" s="9" t="str">
        <f>INDEX(Lookup!$A$2:$A$1349, MATCH(W1406, Lookup!$B$2:$B$1349,0))</f>
        <v>J04000366</v>
      </c>
      <c r="Y1406" s="9" t="str">
        <f>INDEX(Lookup!$F$2:$F$1349, MATCH(W1406, Lookup!$B$2:$B$1349,0))</f>
        <v>e451181</v>
      </c>
      <c r="Z1406" s="6" t="str">
        <f>INDEX(Lookup!$C$2:$C$1300, MATCH(X1406, Lookup!$A$2:$A$1300,0))</f>
        <v>North Yorkshire</v>
      </c>
    </row>
    <row r="1407" spans="1:26" ht="28.15" customHeight="1" x14ac:dyDescent="0.2">
      <c r="A1407" s="6" t="s">
        <v>1176</v>
      </c>
      <c r="B1407" s="1" t="s">
        <v>1176</v>
      </c>
      <c r="C1407" s="2">
        <v>2370</v>
      </c>
      <c r="D1407" s="2">
        <v>87865</v>
      </c>
      <c r="E1407" s="2">
        <v>55</v>
      </c>
      <c r="F1407" s="2">
        <v>7199</v>
      </c>
      <c r="G1407" s="2">
        <v>3</v>
      </c>
      <c r="H1407" s="2">
        <v>658</v>
      </c>
      <c r="I1407" s="2">
        <v>108</v>
      </c>
      <c r="J1407" s="2">
        <v>7826</v>
      </c>
      <c r="K1407" s="2">
        <v>11</v>
      </c>
      <c r="L1407" s="2">
        <v>523</v>
      </c>
      <c r="M1407" s="2">
        <v>180</v>
      </c>
      <c r="N1407" s="2">
        <v>10694</v>
      </c>
      <c r="O1407" s="2">
        <v>6</v>
      </c>
      <c r="P1407" s="2">
        <v>1998</v>
      </c>
      <c r="Q1407" s="2">
        <v>32983</v>
      </c>
      <c r="R1407" s="2">
        <v>57570</v>
      </c>
      <c r="S1407" s="2">
        <v>207316</v>
      </c>
      <c r="T1407" s="10">
        <f t="shared" si="73"/>
        <v>95722</v>
      </c>
      <c r="U1407" s="8">
        <f t="shared" si="74"/>
        <v>0.46172027243435143</v>
      </c>
      <c r="V1407" s="9" t="s">
        <v>5271</v>
      </c>
      <c r="W1407" s="9" t="str">
        <f t="shared" si="75"/>
        <v>Easingwold RD</v>
      </c>
      <c r="X1407" s="9" t="str">
        <f>INDEX(Lookup!$A$2:$A$1349, MATCH(W1407, Lookup!$B$2:$B$1349,0))</f>
        <v>J04000444</v>
      </c>
      <c r="Y1407" s="9" t="str">
        <f>INDEX(Lookup!$F$2:$F$1349, MATCH(W1407, Lookup!$B$2:$B$1349,0))</f>
        <v>e451182</v>
      </c>
      <c r="Z1407" s="6" t="str">
        <f>INDEX(Lookup!$C$2:$C$1300, MATCH(X1407, Lookup!$A$2:$A$1300,0))</f>
        <v>North Yorkshire</v>
      </c>
    </row>
    <row r="1408" spans="1:26" ht="28.15" customHeight="1" x14ac:dyDescent="0.2">
      <c r="A1408" s="6" t="s">
        <v>1177</v>
      </c>
      <c r="B1408" s="1" t="s">
        <v>1177</v>
      </c>
      <c r="C1408" s="2">
        <v>9259</v>
      </c>
      <c r="D1408" s="2">
        <v>464196</v>
      </c>
      <c r="E1408" s="2">
        <v>160</v>
      </c>
      <c r="F1408" s="2">
        <v>19630</v>
      </c>
      <c r="G1408" s="2">
        <v>5</v>
      </c>
      <c r="H1408" s="2">
        <v>1380</v>
      </c>
      <c r="I1408" s="2">
        <v>92</v>
      </c>
      <c r="J1408" s="2">
        <v>9346</v>
      </c>
      <c r="K1408" s="2">
        <v>8</v>
      </c>
      <c r="L1408" s="2">
        <v>6383</v>
      </c>
      <c r="M1408" s="2">
        <v>385</v>
      </c>
      <c r="N1408" s="2">
        <v>24595</v>
      </c>
      <c r="O1408" s="2">
        <v>24</v>
      </c>
      <c r="P1408" s="2">
        <v>32909</v>
      </c>
      <c r="Q1408" s="2">
        <v>29431</v>
      </c>
      <c r="R1408" s="2">
        <v>78278</v>
      </c>
      <c r="S1408" s="2">
        <v>666148</v>
      </c>
      <c r="T1408" s="10">
        <f t="shared" si="73"/>
        <v>485206</v>
      </c>
      <c r="U1408" s="8">
        <f t="shared" si="74"/>
        <v>0.72837567627614286</v>
      </c>
      <c r="V1408" s="9" t="s">
        <v>5271</v>
      </c>
      <c r="W1408" s="9" t="str">
        <f t="shared" si="75"/>
        <v>Flaxton RD</v>
      </c>
      <c r="X1408" s="9" t="str">
        <f>INDEX(Lookup!$A$2:$A$1349, MATCH(W1408, Lookup!$B$2:$B$1349,0))</f>
        <v>J04000506</v>
      </c>
      <c r="Y1408" s="9" t="str">
        <f>INDEX(Lookup!$F$2:$F$1349, MATCH(W1408, Lookup!$B$2:$B$1349,0))</f>
        <v>e451183</v>
      </c>
      <c r="Z1408" s="6" t="str">
        <f>INDEX(Lookup!$C$2:$C$1300, MATCH(X1408, Lookup!$A$2:$A$1300,0))</f>
        <v>North Yorkshire</v>
      </c>
    </row>
    <row r="1409" spans="1:26" ht="28.15" customHeight="1" x14ac:dyDescent="0.2">
      <c r="A1409" s="6" t="s">
        <v>1178</v>
      </c>
      <c r="B1409" s="1" t="s">
        <v>1178</v>
      </c>
      <c r="C1409" s="2">
        <v>1082</v>
      </c>
      <c r="D1409" s="2">
        <v>36823</v>
      </c>
      <c r="E1409" s="2">
        <v>20</v>
      </c>
      <c r="F1409" s="2">
        <v>2820</v>
      </c>
      <c r="G1409" s="2">
        <v>2</v>
      </c>
      <c r="H1409" s="2">
        <v>432</v>
      </c>
      <c r="I1409" s="2">
        <v>62</v>
      </c>
      <c r="J1409" s="2">
        <v>4181</v>
      </c>
      <c r="K1409" s="2">
        <v>4</v>
      </c>
      <c r="L1409" s="2">
        <v>199</v>
      </c>
      <c r="M1409" s="2">
        <v>109</v>
      </c>
      <c r="N1409" s="2">
        <v>5161</v>
      </c>
      <c r="O1409" s="2">
        <v>7</v>
      </c>
      <c r="P1409" s="2">
        <v>1210</v>
      </c>
      <c r="Q1409" s="2">
        <v>158</v>
      </c>
      <c r="R1409" s="2">
        <v>40755</v>
      </c>
      <c r="S1409" s="2">
        <v>91739</v>
      </c>
      <c r="T1409" s="10">
        <f t="shared" si="73"/>
        <v>40075</v>
      </c>
      <c r="U1409" s="8">
        <f t="shared" si="74"/>
        <v>0.436837113986418</v>
      </c>
      <c r="V1409" s="9" t="s">
        <v>5271</v>
      </c>
      <c r="W1409" s="9" t="str">
        <f t="shared" si="75"/>
        <v>Helmsley RD</v>
      </c>
      <c r="X1409" s="9" t="str">
        <f>INDEX(Lookup!$A$2:$A$1349, MATCH(W1409, Lookup!$B$2:$B$1349,0))</f>
        <v>J04000601</v>
      </c>
      <c r="Y1409" s="9" t="str">
        <f>INDEX(Lookup!$F$2:$F$1349, MATCH(W1409, Lookup!$B$2:$B$1349,0))</f>
        <v>e451184</v>
      </c>
      <c r="Z1409" s="6" t="str">
        <f>INDEX(Lookup!$C$2:$C$1300, MATCH(X1409, Lookup!$A$2:$A$1300,0))</f>
        <v>North Yorkshire</v>
      </c>
    </row>
    <row r="1410" spans="1:26" ht="28.15" customHeight="1" x14ac:dyDescent="0.2">
      <c r="A1410" s="6" t="s">
        <v>1179</v>
      </c>
      <c r="B1410" s="1" t="s">
        <v>5455</v>
      </c>
      <c r="C1410" s="2">
        <v>1166</v>
      </c>
      <c r="D1410" s="2">
        <v>37437</v>
      </c>
      <c r="E1410" s="2">
        <v>17</v>
      </c>
      <c r="F1410" s="2">
        <v>2294</v>
      </c>
      <c r="G1410" s="2">
        <v>3</v>
      </c>
      <c r="H1410" s="2">
        <v>961</v>
      </c>
      <c r="I1410" s="2">
        <v>78</v>
      </c>
      <c r="J1410" s="2">
        <v>5607</v>
      </c>
      <c r="K1410" s="2">
        <v>8</v>
      </c>
      <c r="L1410" s="2">
        <v>325</v>
      </c>
      <c r="M1410" s="2">
        <v>143</v>
      </c>
      <c r="N1410" s="2">
        <v>5563</v>
      </c>
      <c r="O1410" s="2">
        <v>10</v>
      </c>
      <c r="P1410" s="2">
        <v>3204</v>
      </c>
      <c r="Q1410" s="2">
        <v>1583</v>
      </c>
      <c r="R1410" s="2">
        <v>20383</v>
      </c>
      <c r="S1410" s="2">
        <v>77357</v>
      </c>
      <c r="T1410" s="10">
        <f t="shared" si="73"/>
        <v>40692</v>
      </c>
      <c r="U1410" s="8">
        <f t="shared" si="74"/>
        <v>0.52602867225978256</v>
      </c>
      <c r="V1410" s="9" t="s">
        <v>5271</v>
      </c>
      <c r="W1410" s="9" t="str">
        <f t="shared" si="75"/>
        <v>Kirkby moorside RD</v>
      </c>
      <c r="X1410" s="9" t="str">
        <f>INDEX(Lookup!$A$2:$A$1349, MATCH(W1410, Lookup!$B$2:$B$1349,0))</f>
        <v>J04000706</v>
      </c>
      <c r="Y1410" s="9" t="str">
        <f>INDEX(Lookup!$F$2:$F$1349, MATCH(W1410, Lookup!$B$2:$B$1349,0))</f>
        <v>e451185</v>
      </c>
      <c r="Z1410" s="6" t="str">
        <f>INDEX(Lookup!$C$2:$C$1300, MATCH(X1410, Lookup!$A$2:$A$1300,0))</f>
        <v>North Yorkshire</v>
      </c>
    </row>
    <row r="1411" spans="1:26" ht="28.15" customHeight="1" x14ac:dyDescent="0.2">
      <c r="A1411" s="6" t="s">
        <v>1180</v>
      </c>
      <c r="B1411" s="1" t="s">
        <v>1180</v>
      </c>
      <c r="C1411" s="2">
        <v>1553</v>
      </c>
      <c r="D1411" s="2">
        <v>55866</v>
      </c>
      <c r="E1411" s="2">
        <v>54</v>
      </c>
      <c r="F1411" s="2">
        <v>7034</v>
      </c>
      <c r="G1411" s="2">
        <v>6</v>
      </c>
      <c r="H1411" s="2">
        <v>1416</v>
      </c>
      <c r="I1411" s="2">
        <v>96</v>
      </c>
      <c r="J1411" s="2">
        <v>11996</v>
      </c>
      <c r="K1411" s="2">
        <v>17</v>
      </c>
      <c r="L1411" s="2">
        <v>880</v>
      </c>
      <c r="M1411" s="2">
        <v>263</v>
      </c>
      <c r="N1411" s="2">
        <v>10235</v>
      </c>
      <c r="O1411" s="2">
        <v>9</v>
      </c>
      <c r="P1411" s="2">
        <v>3082</v>
      </c>
      <c r="Q1411" s="2">
        <v>2772</v>
      </c>
      <c r="R1411" s="2">
        <v>48427</v>
      </c>
      <c r="S1411" s="2">
        <v>141708</v>
      </c>
      <c r="T1411" s="10">
        <f t="shared" si="73"/>
        <v>64316</v>
      </c>
      <c r="U1411" s="8">
        <f t="shared" si="74"/>
        <v>0.45386287295000988</v>
      </c>
      <c r="V1411" s="9" t="s">
        <v>5271</v>
      </c>
      <c r="W1411" s="9" t="str">
        <f t="shared" si="75"/>
        <v>Leyburn RD</v>
      </c>
      <c r="X1411" s="9" t="str">
        <f>INDEX(Lookup!$A$2:$A$1349, MATCH(W1411, Lookup!$B$2:$B$1349,0))</f>
        <v>J04000741</v>
      </c>
      <c r="Y1411" s="9" t="str">
        <f>INDEX(Lookup!$F$2:$F$1349, MATCH(W1411, Lookup!$B$2:$B$1349,0))</f>
        <v>e451186</v>
      </c>
      <c r="Z1411" s="6" t="str">
        <f>INDEX(Lookup!$C$2:$C$1300, MATCH(X1411, Lookup!$A$2:$A$1300,0))</f>
        <v>North Yorkshire</v>
      </c>
    </row>
    <row r="1412" spans="1:26" ht="28.15" customHeight="1" x14ac:dyDescent="0.2">
      <c r="A1412" s="6" t="s">
        <v>1166</v>
      </c>
      <c r="B1412" s="1" t="s">
        <v>1166</v>
      </c>
      <c r="C1412" s="2">
        <v>1426</v>
      </c>
      <c r="D1412" s="2">
        <v>44132</v>
      </c>
      <c r="E1412" s="2">
        <v>16</v>
      </c>
      <c r="F1412" s="2">
        <v>1884</v>
      </c>
      <c r="G1412" s="2">
        <v>7</v>
      </c>
      <c r="H1412" s="2">
        <v>2231</v>
      </c>
      <c r="I1412" s="2">
        <v>35</v>
      </c>
      <c r="J1412" s="2">
        <v>2687</v>
      </c>
      <c r="M1412" s="2">
        <v>83</v>
      </c>
      <c r="N1412" s="2">
        <v>3454</v>
      </c>
      <c r="O1412" s="2">
        <v>3</v>
      </c>
      <c r="P1412" s="2">
        <v>966</v>
      </c>
      <c r="Q1412" s="2">
        <v>81</v>
      </c>
      <c r="R1412" s="2">
        <v>26025</v>
      </c>
      <c r="S1412" s="2">
        <v>81460</v>
      </c>
      <c r="T1412" s="10">
        <f t="shared" ref="T1412:T1475" si="76">SUM(D1412+F1412+H1412)</f>
        <v>48247</v>
      </c>
      <c r="U1412" s="8">
        <f t="shared" ref="U1412:U1475" si="77">T1412/S1412</f>
        <v>0.59227841885588017</v>
      </c>
      <c r="V1412" s="9" t="s">
        <v>5271</v>
      </c>
      <c r="W1412" s="9" t="str">
        <f t="shared" ref="W1412:W1475" si="78">_xlfn.CONCAT(B1412," ",V1412)</f>
        <v>Malton RD</v>
      </c>
      <c r="X1412" s="9" t="str">
        <f>INDEX(Lookup!$A$2:$A$1349, MATCH(W1412, Lookup!$B$2:$B$1349,0))</f>
        <v>J04000818</v>
      </c>
      <c r="Y1412" s="9" t="str">
        <f>INDEX(Lookup!$F$2:$F$1349, MATCH(W1412, Lookup!$B$2:$B$1349,0))</f>
        <v>e451187</v>
      </c>
      <c r="Z1412" s="6" t="str">
        <f>INDEX(Lookup!$C$2:$C$1300, MATCH(X1412, Lookup!$A$2:$A$1300,0))</f>
        <v>North Yorkshire</v>
      </c>
    </row>
    <row r="1413" spans="1:26" ht="28.15" customHeight="1" x14ac:dyDescent="0.2">
      <c r="A1413" s="6" t="s">
        <v>1181</v>
      </c>
      <c r="B1413" s="1" t="s">
        <v>1181</v>
      </c>
      <c r="C1413" s="2">
        <v>419</v>
      </c>
      <c r="D1413" s="2">
        <v>13579</v>
      </c>
      <c r="E1413" s="2">
        <v>16</v>
      </c>
      <c r="F1413" s="2">
        <v>2015</v>
      </c>
      <c r="G1413" s="2">
        <v>3</v>
      </c>
      <c r="H1413" s="2">
        <v>818</v>
      </c>
      <c r="I1413" s="2">
        <v>33</v>
      </c>
      <c r="J1413" s="2">
        <v>2534</v>
      </c>
      <c r="K1413" s="2">
        <v>10</v>
      </c>
      <c r="L1413" s="2">
        <v>485</v>
      </c>
      <c r="M1413" s="2">
        <v>78</v>
      </c>
      <c r="N1413" s="2">
        <v>2751</v>
      </c>
      <c r="O1413" s="2">
        <v>10</v>
      </c>
      <c r="P1413" s="2">
        <v>4835</v>
      </c>
      <c r="Q1413" s="2">
        <v>3</v>
      </c>
      <c r="R1413" s="2">
        <v>41757</v>
      </c>
      <c r="S1413" s="2">
        <v>68777</v>
      </c>
      <c r="T1413" s="10">
        <f t="shared" si="76"/>
        <v>16412</v>
      </c>
      <c r="U1413" s="8">
        <f t="shared" si="77"/>
        <v>0.23862628494991059</v>
      </c>
      <c r="V1413" s="9" t="s">
        <v>5271</v>
      </c>
      <c r="W1413" s="9" t="str">
        <f t="shared" si="78"/>
        <v>Masham RD</v>
      </c>
      <c r="X1413" s="9" t="str">
        <f>INDEX(Lookup!$A$2:$A$1349, MATCH(W1413, Lookup!$B$2:$B$1349,0))</f>
        <v>J04000839</v>
      </c>
      <c r="Y1413" s="9" t="str">
        <f>INDEX(Lookup!$F$2:$F$1349, MATCH(W1413, Lookup!$B$2:$B$1349,0))</f>
        <v>e451188</v>
      </c>
      <c r="Z1413" s="6" t="str">
        <f>INDEX(Lookup!$C$2:$C$1300, MATCH(X1413, Lookup!$A$2:$A$1300,0))</f>
        <v>North Yorkshire</v>
      </c>
    </row>
    <row r="1414" spans="1:26" ht="28.15" customHeight="1" x14ac:dyDescent="0.2">
      <c r="A1414" s="6" t="s">
        <v>1167</v>
      </c>
      <c r="B1414" s="1" t="s">
        <v>1167</v>
      </c>
      <c r="C1414" s="2">
        <v>2280</v>
      </c>
      <c r="D1414" s="2">
        <v>95662</v>
      </c>
      <c r="E1414" s="2">
        <v>97</v>
      </c>
      <c r="F1414" s="2">
        <v>12584</v>
      </c>
      <c r="G1414" s="2">
        <v>6</v>
      </c>
      <c r="H1414" s="2">
        <v>1705</v>
      </c>
      <c r="I1414" s="2">
        <v>51</v>
      </c>
      <c r="J1414" s="2">
        <v>4531</v>
      </c>
      <c r="K1414" s="2">
        <v>4</v>
      </c>
      <c r="L1414" s="2">
        <v>351</v>
      </c>
      <c r="M1414" s="2">
        <v>253</v>
      </c>
      <c r="N1414" s="2">
        <v>16286</v>
      </c>
      <c r="O1414" s="2">
        <v>5</v>
      </c>
      <c r="P1414" s="2">
        <v>6885</v>
      </c>
      <c r="Q1414" s="2">
        <v>3811</v>
      </c>
      <c r="R1414" s="2">
        <v>62836</v>
      </c>
      <c r="S1414" s="2">
        <v>204651</v>
      </c>
      <c r="T1414" s="10">
        <f t="shared" si="76"/>
        <v>109951</v>
      </c>
      <c r="U1414" s="8">
        <f t="shared" si="77"/>
        <v>0.53726099554851914</v>
      </c>
      <c r="V1414" s="9" t="s">
        <v>5271</v>
      </c>
      <c r="W1414" s="9" t="str">
        <f t="shared" si="78"/>
        <v>Northallerton RD</v>
      </c>
      <c r="X1414" s="9" t="str">
        <f>INDEX(Lookup!$A$2:$A$1349, MATCH(W1414, Lookup!$B$2:$B$1349,0))</f>
        <v>J04000929</v>
      </c>
      <c r="Y1414" s="9" t="str">
        <f>INDEX(Lookup!$F$2:$F$1349, MATCH(W1414, Lookup!$B$2:$B$1349,0))</f>
        <v>e451189</v>
      </c>
      <c r="Z1414" s="6" t="str">
        <f>INDEX(Lookup!$C$2:$C$1300, MATCH(X1414, Lookup!$A$2:$A$1300,0))</f>
        <v>North Yorkshire</v>
      </c>
    </row>
    <row r="1415" spans="1:26" ht="28.15" customHeight="1" x14ac:dyDescent="0.2">
      <c r="A1415" s="6" t="s">
        <v>1168</v>
      </c>
      <c r="B1415" s="1" t="s">
        <v>1168</v>
      </c>
      <c r="C1415" s="2">
        <v>1352</v>
      </c>
      <c r="D1415" s="2">
        <v>46710</v>
      </c>
      <c r="E1415" s="2">
        <v>22</v>
      </c>
      <c r="F1415" s="2">
        <v>2789</v>
      </c>
      <c r="G1415" s="2">
        <v>1</v>
      </c>
      <c r="H1415" s="2">
        <v>206</v>
      </c>
      <c r="I1415" s="2">
        <v>46</v>
      </c>
      <c r="J1415" s="2">
        <v>3162</v>
      </c>
      <c r="K1415" s="2">
        <v>3</v>
      </c>
      <c r="L1415" s="2">
        <v>384</v>
      </c>
      <c r="M1415" s="2">
        <v>106</v>
      </c>
      <c r="N1415" s="2">
        <v>4568</v>
      </c>
      <c r="O1415" s="2">
        <v>7</v>
      </c>
      <c r="P1415" s="2">
        <v>1250</v>
      </c>
      <c r="Q1415" s="2">
        <v>1351</v>
      </c>
      <c r="R1415" s="2">
        <v>25340</v>
      </c>
      <c r="S1415" s="2">
        <v>85760</v>
      </c>
      <c r="T1415" s="10">
        <f t="shared" si="76"/>
        <v>49705</v>
      </c>
      <c r="U1415" s="8">
        <f t="shared" si="77"/>
        <v>0.57958255597014929</v>
      </c>
      <c r="V1415" s="9" t="s">
        <v>5271</v>
      </c>
      <c r="W1415" s="9" t="str">
        <f t="shared" si="78"/>
        <v>Pickering RD</v>
      </c>
      <c r="X1415" s="9" t="str">
        <f>INDEX(Lookup!$A$2:$A$1349, MATCH(W1415, Lookup!$B$2:$B$1349,0))</f>
        <v>J04000993</v>
      </c>
      <c r="Y1415" s="9" t="str">
        <f>INDEX(Lookup!$F$2:$F$1349, MATCH(W1415, Lookup!$B$2:$B$1349,0))</f>
        <v>e451190</v>
      </c>
      <c r="Z1415" s="6" t="str">
        <f>INDEX(Lookup!$C$2:$C$1300, MATCH(X1415, Lookup!$A$2:$A$1300,0))</f>
        <v>North Yorkshire</v>
      </c>
    </row>
    <row r="1416" spans="1:26" ht="28.15" customHeight="1" x14ac:dyDescent="0.2">
      <c r="A1416" s="6" t="s">
        <v>1182</v>
      </c>
      <c r="B1416" s="1" t="s">
        <v>1182</v>
      </c>
      <c r="C1416" s="2">
        <v>634</v>
      </c>
      <c r="D1416" s="2">
        <v>15329</v>
      </c>
      <c r="E1416" s="2">
        <v>7</v>
      </c>
      <c r="F1416" s="2">
        <v>914</v>
      </c>
      <c r="G1416" s="2">
        <v>1</v>
      </c>
      <c r="H1416" s="2">
        <v>294</v>
      </c>
      <c r="I1416" s="2">
        <v>36</v>
      </c>
      <c r="J1416" s="2">
        <v>2285</v>
      </c>
      <c r="K1416" s="2">
        <v>4</v>
      </c>
      <c r="L1416" s="2">
        <v>66</v>
      </c>
      <c r="M1416" s="2">
        <v>105</v>
      </c>
      <c r="N1416" s="2">
        <v>3775</v>
      </c>
      <c r="Q1416" s="2">
        <v>90</v>
      </c>
      <c r="R1416" s="2">
        <v>10870</v>
      </c>
      <c r="S1416" s="2">
        <v>33623</v>
      </c>
      <c r="T1416" s="10">
        <f t="shared" si="76"/>
        <v>16537</v>
      </c>
      <c r="U1416" s="8">
        <f t="shared" si="77"/>
        <v>0.49183594563245397</v>
      </c>
      <c r="V1416" s="9" t="s">
        <v>5271</v>
      </c>
      <c r="W1416" s="9" t="str">
        <f t="shared" si="78"/>
        <v>Reeth RD</v>
      </c>
      <c r="X1416" s="9" t="str">
        <f>INDEX(Lookup!$A$2:$A$1349, MATCH(W1416, Lookup!$B$2:$B$1349,0))</f>
        <v>J04001039</v>
      </c>
      <c r="Y1416" s="9" t="str">
        <f>INDEX(Lookup!$F$2:$F$1349, MATCH(W1416, Lookup!$B$2:$B$1349,0))</f>
        <v>e451191</v>
      </c>
      <c r="Z1416" s="6" t="str">
        <f>INDEX(Lookup!$C$2:$C$1300, MATCH(X1416, Lookup!$A$2:$A$1300,0))</f>
        <v>North Yorkshire</v>
      </c>
    </row>
    <row r="1417" spans="1:26" ht="28.15" customHeight="1" x14ac:dyDescent="0.2">
      <c r="A1417" s="6" t="s">
        <v>1033</v>
      </c>
      <c r="B1417" s="1" t="s">
        <v>1033</v>
      </c>
      <c r="C1417" s="2">
        <v>2653</v>
      </c>
      <c r="D1417" s="2">
        <v>109104</v>
      </c>
      <c r="E1417" s="2">
        <v>61</v>
      </c>
      <c r="F1417" s="2">
        <v>7704</v>
      </c>
      <c r="G1417" s="2">
        <v>12</v>
      </c>
      <c r="H1417" s="2">
        <v>2933</v>
      </c>
      <c r="I1417" s="2">
        <v>101</v>
      </c>
      <c r="J1417" s="2">
        <v>10330</v>
      </c>
      <c r="K1417" s="2">
        <v>12</v>
      </c>
      <c r="L1417" s="2">
        <v>812</v>
      </c>
      <c r="M1417" s="2">
        <v>300</v>
      </c>
      <c r="N1417" s="2">
        <v>27359</v>
      </c>
      <c r="O1417" s="2">
        <v>6</v>
      </c>
      <c r="P1417" s="2">
        <v>1875</v>
      </c>
      <c r="Q1417" s="2">
        <v>145018</v>
      </c>
      <c r="R1417" s="2">
        <v>126434</v>
      </c>
      <c r="S1417" s="2">
        <v>431569</v>
      </c>
      <c r="T1417" s="10">
        <f t="shared" si="76"/>
        <v>119741</v>
      </c>
      <c r="U1417" s="8">
        <f t="shared" si="77"/>
        <v>0.27745505353720956</v>
      </c>
      <c r="V1417" s="9" t="s">
        <v>5271</v>
      </c>
      <c r="W1417" s="9" t="str">
        <f t="shared" si="78"/>
        <v>Richmond RD</v>
      </c>
      <c r="X1417" s="9" t="str">
        <f>INDEX(Lookup!$A$2:$A$1349, MATCH(W1417, Lookup!$B$2:$B$1349,0))</f>
        <v>J04001048</v>
      </c>
      <c r="Y1417" s="9" t="str">
        <f>INDEX(Lookup!$F$2:$F$1349, MATCH(W1417, Lookup!$B$2:$B$1349,0))</f>
        <v>e451192</v>
      </c>
      <c r="Z1417" s="6" t="str">
        <f>INDEX(Lookup!$C$2:$C$1300, MATCH(X1417, Lookup!$A$2:$A$1300,0))</f>
        <v>North Yorkshire</v>
      </c>
    </row>
    <row r="1418" spans="1:26" ht="28.15" customHeight="1" x14ac:dyDescent="0.2">
      <c r="A1418" s="6" t="s">
        <v>1161</v>
      </c>
      <c r="B1418" s="1" t="s">
        <v>1161</v>
      </c>
      <c r="C1418" s="2">
        <v>2593</v>
      </c>
      <c r="D1418" s="2">
        <v>128821</v>
      </c>
      <c r="E1418" s="2">
        <v>86</v>
      </c>
      <c r="F1418" s="2">
        <v>10984</v>
      </c>
      <c r="G1418" s="2">
        <v>5</v>
      </c>
      <c r="H1418" s="2">
        <v>1706</v>
      </c>
      <c r="I1418" s="2">
        <v>58</v>
      </c>
      <c r="J1418" s="2">
        <v>3893</v>
      </c>
      <c r="K1418" s="2">
        <v>6</v>
      </c>
      <c r="L1418" s="2">
        <v>103</v>
      </c>
      <c r="M1418" s="2">
        <v>158</v>
      </c>
      <c r="N1418" s="2">
        <v>32347</v>
      </c>
      <c r="O1418" s="2">
        <v>7</v>
      </c>
      <c r="P1418" s="2">
        <v>9575</v>
      </c>
      <c r="Q1418" s="2">
        <v>959</v>
      </c>
      <c r="R1418" s="2">
        <v>40851</v>
      </c>
      <c r="S1418" s="2">
        <v>229239</v>
      </c>
      <c r="T1418" s="10">
        <f t="shared" si="76"/>
        <v>141511</v>
      </c>
      <c r="U1418" s="8">
        <f t="shared" si="77"/>
        <v>0.61730770069665286</v>
      </c>
      <c r="V1418" s="9" t="s">
        <v>5271</v>
      </c>
      <c r="W1418" s="9" t="str">
        <f t="shared" si="78"/>
        <v>Scarborough RD</v>
      </c>
      <c r="X1418" s="9" t="str">
        <f>INDEX(Lookup!$A$2:$A$1349, MATCH(W1418, Lookup!$B$2:$B$1349,0))</f>
        <v>J04001108</v>
      </c>
      <c r="Y1418" s="9" t="str">
        <f>INDEX(Lookup!$F$2:$F$1349, MATCH(W1418, Lookup!$B$2:$B$1349,0))</f>
        <v>e451193</v>
      </c>
      <c r="Z1418" s="6" t="str">
        <f>INDEX(Lookup!$C$2:$C$1300, MATCH(X1418, Lookup!$A$2:$A$1300,0))</f>
        <v>North Yorkshire</v>
      </c>
    </row>
    <row r="1419" spans="1:26" ht="28.15" customHeight="1" x14ac:dyDescent="0.2">
      <c r="A1419" s="6" t="s">
        <v>1183</v>
      </c>
      <c r="B1419" s="1" t="s">
        <v>1183</v>
      </c>
      <c r="C1419" s="2">
        <v>936</v>
      </c>
      <c r="D1419" s="2">
        <v>33183</v>
      </c>
      <c r="E1419" s="2">
        <v>49</v>
      </c>
      <c r="F1419" s="2">
        <v>6352</v>
      </c>
      <c r="G1419" s="2">
        <v>7</v>
      </c>
      <c r="H1419" s="2">
        <v>1966</v>
      </c>
      <c r="I1419" s="2">
        <v>20</v>
      </c>
      <c r="J1419" s="2">
        <v>1364</v>
      </c>
      <c r="M1419" s="2">
        <v>112</v>
      </c>
      <c r="N1419" s="2">
        <v>6335</v>
      </c>
      <c r="O1419" s="2">
        <v>4</v>
      </c>
      <c r="P1419" s="2">
        <v>2160</v>
      </c>
      <c r="Q1419" s="2">
        <v>6435</v>
      </c>
      <c r="R1419" s="2">
        <v>119969</v>
      </c>
      <c r="S1419" s="2">
        <v>177764</v>
      </c>
      <c r="T1419" s="10">
        <f t="shared" si="76"/>
        <v>41501</v>
      </c>
      <c r="U1419" s="8">
        <f t="shared" si="77"/>
        <v>0.23346121824441393</v>
      </c>
      <c r="V1419" s="9" t="s">
        <v>5271</v>
      </c>
      <c r="W1419" s="9" t="str">
        <f t="shared" si="78"/>
        <v>Startforth RD</v>
      </c>
      <c r="X1419" s="9" t="str">
        <f>INDEX(Lookup!$A$2:$A$1349, MATCH(W1419, Lookup!$B$2:$B$1349,0))</f>
        <v>J04001204</v>
      </c>
      <c r="Y1419" s="9" t="str">
        <f>INDEX(Lookup!$F$2:$F$1349, MATCH(W1419, Lookup!$B$2:$B$1349,0))</f>
        <v>e451194</v>
      </c>
      <c r="Z1419" s="6" t="str">
        <f>INDEX(Lookup!$C$2:$C$1300, MATCH(X1419, Lookup!$A$2:$A$1300,0))</f>
        <v>Durham</v>
      </c>
    </row>
    <row r="1420" spans="1:26" ht="28.15" customHeight="1" x14ac:dyDescent="0.2">
      <c r="A1420" s="6" t="s">
        <v>1184</v>
      </c>
      <c r="B1420" s="1" t="s">
        <v>1184</v>
      </c>
      <c r="C1420" s="2">
        <v>7303</v>
      </c>
      <c r="D1420" s="2">
        <v>427038</v>
      </c>
      <c r="E1420" s="2">
        <v>862</v>
      </c>
      <c r="F1420" s="2">
        <v>105859</v>
      </c>
      <c r="G1420" s="2">
        <v>78</v>
      </c>
      <c r="H1420" s="2">
        <v>19596</v>
      </c>
      <c r="I1420" s="2">
        <v>234</v>
      </c>
      <c r="J1420" s="2">
        <v>26138</v>
      </c>
      <c r="K1420" s="2">
        <v>31</v>
      </c>
      <c r="L1420" s="2">
        <v>4451</v>
      </c>
      <c r="M1420" s="2">
        <v>557</v>
      </c>
      <c r="N1420" s="2">
        <v>33518</v>
      </c>
      <c r="O1420" s="2">
        <v>21</v>
      </c>
      <c r="P1420" s="2">
        <v>11847</v>
      </c>
      <c r="Q1420" s="2">
        <v>12933</v>
      </c>
      <c r="R1420" s="2">
        <v>96461</v>
      </c>
      <c r="S1420" s="2">
        <v>737841</v>
      </c>
      <c r="T1420" s="10">
        <f t="shared" si="76"/>
        <v>552493</v>
      </c>
      <c r="U1420" s="8">
        <f t="shared" si="77"/>
        <v>0.74879682750077592</v>
      </c>
      <c r="V1420" s="9" t="s">
        <v>5271</v>
      </c>
      <c r="W1420" s="9" t="str">
        <f t="shared" si="78"/>
        <v>Stokesley RD</v>
      </c>
      <c r="X1420" s="9" t="str">
        <f>INDEX(Lookup!$A$2:$A$1349, MATCH(W1420, Lookup!$B$2:$B$1349,0))</f>
        <v>J04001214</v>
      </c>
      <c r="Y1420" s="9" t="str">
        <f>INDEX(Lookup!$F$2:$F$1349, MATCH(W1420, Lookup!$B$2:$B$1349,0))</f>
        <v>e451195</v>
      </c>
      <c r="Z1420" s="6" t="str">
        <f>INDEX(Lookup!$C$2:$C$1300, MATCH(X1420, Lookup!$A$2:$A$1300,0))</f>
        <v>Cleveland</v>
      </c>
    </row>
    <row r="1421" spans="1:26" ht="28.15" customHeight="1" x14ac:dyDescent="0.2">
      <c r="A1421" s="6" t="s">
        <v>1185</v>
      </c>
      <c r="B1421" s="1" t="s">
        <v>1185</v>
      </c>
      <c r="C1421" s="2">
        <v>3136</v>
      </c>
      <c r="D1421" s="2">
        <v>119488</v>
      </c>
      <c r="E1421" s="2">
        <v>75</v>
      </c>
      <c r="F1421" s="2">
        <v>9290</v>
      </c>
      <c r="G1421" s="2">
        <v>15</v>
      </c>
      <c r="H1421" s="2">
        <v>3898</v>
      </c>
      <c r="I1421" s="2">
        <v>179</v>
      </c>
      <c r="J1421" s="2">
        <v>25911</v>
      </c>
      <c r="K1421" s="2">
        <v>38</v>
      </c>
      <c r="L1421" s="2">
        <v>3838</v>
      </c>
      <c r="M1421" s="2">
        <v>465</v>
      </c>
      <c r="N1421" s="2">
        <v>28820</v>
      </c>
      <c r="O1421" s="2">
        <v>29</v>
      </c>
      <c r="P1421" s="2">
        <v>18223</v>
      </c>
      <c r="Q1421" s="2">
        <v>42963</v>
      </c>
      <c r="R1421" s="2">
        <v>78811</v>
      </c>
      <c r="S1421" s="2">
        <v>331242</v>
      </c>
      <c r="T1421" s="10">
        <f t="shared" si="76"/>
        <v>132676</v>
      </c>
      <c r="U1421" s="8">
        <f t="shared" si="77"/>
        <v>0.4005409941975957</v>
      </c>
      <c r="V1421" s="9" t="s">
        <v>5271</v>
      </c>
      <c r="W1421" s="9" t="str">
        <f t="shared" si="78"/>
        <v>Thirsk RD</v>
      </c>
      <c r="X1421" s="9" t="str">
        <f>INDEX(Lookup!$A$2:$A$1349, MATCH(W1421, Lookup!$B$2:$B$1349,0))</f>
        <v>J04001269</v>
      </c>
      <c r="Y1421" s="9" t="str">
        <f>INDEX(Lookup!$F$2:$F$1349, MATCH(W1421, Lookup!$B$2:$B$1349,0))</f>
        <v>e451196</v>
      </c>
      <c r="Z1421" s="6" t="str">
        <f>INDEX(Lookup!$C$2:$C$1300, MATCH(X1421, Lookup!$A$2:$A$1300,0))</f>
        <v>North Yorkshire</v>
      </c>
    </row>
    <row r="1422" spans="1:26" ht="28.15" customHeight="1" x14ac:dyDescent="0.2">
      <c r="A1422" s="6" t="s">
        <v>1186</v>
      </c>
      <c r="B1422" s="1" t="s">
        <v>1186</v>
      </c>
      <c r="C1422" s="2">
        <v>395</v>
      </c>
      <c r="D1422" s="2">
        <v>13884</v>
      </c>
      <c r="E1422" s="2">
        <v>10</v>
      </c>
      <c r="F1422" s="2">
        <v>1119</v>
      </c>
      <c r="G1422" s="2">
        <v>2</v>
      </c>
      <c r="H1422" s="2">
        <v>480</v>
      </c>
      <c r="I1422" s="2">
        <v>9</v>
      </c>
      <c r="J1422" s="2">
        <v>870</v>
      </c>
      <c r="M1422" s="2">
        <v>40</v>
      </c>
      <c r="N1422" s="2">
        <v>5061</v>
      </c>
      <c r="O1422" s="2">
        <v>1</v>
      </c>
      <c r="P1422" s="2">
        <v>2000</v>
      </c>
      <c r="Q1422" s="2">
        <v>38148</v>
      </c>
      <c r="R1422" s="2">
        <v>17198</v>
      </c>
      <c r="S1422" s="2">
        <v>78760</v>
      </c>
      <c r="T1422" s="10">
        <f t="shared" si="76"/>
        <v>15483</v>
      </c>
      <c r="U1422" s="8">
        <f t="shared" si="77"/>
        <v>0.19658456069070593</v>
      </c>
      <c r="V1422" s="9" t="s">
        <v>5271</v>
      </c>
      <c r="W1422" s="9" t="str">
        <f t="shared" si="78"/>
        <v>Wath RD</v>
      </c>
      <c r="X1422" s="9" t="str">
        <f>INDEX(Lookup!$A$2:$A$1349, MATCH(W1422, Lookup!$B$2:$B$1349,0))</f>
        <v>J04001355</v>
      </c>
      <c r="Y1422" s="9" t="str">
        <f>INDEX(Lookup!$F$2:$F$1349, MATCH(W1422, Lookup!$B$2:$B$1349,0))</f>
        <v>e451197</v>
      </c>
      <c r="Z1422" s="6" t="str">
        <f>INDEX(Lookup!$C$2:$C$1300, MATCH(X1422, Lookup!$A$2:$A$1300,0))</f>
        <v>North Yorkshire</v>
      </c>
    </row>
    <row r="1423" spans="1:26" ht="28.15" customHeight="1" x14ac:dyDescent="0.2">
      <c r="A1423" s="6" t="s">
        <v>1172</v>
      </c>
      <c r="B1423" s="1" t="s">
        <v>1172</v>
      </c>
      <c r="C1423" s="2">
        <v>3898</v>
      </c>
      <c r="D1423" s="2">
        <v>154092</v>
      </c>
      <c r="E1423" s="2">
        <v>73</v>
      </c>
      <c r="F1423" s="2">
        <v>9278</v>
      </c>
      <c r="G1423" s="2">
        <v>9</v>
      </c>
      <c r="H1423" s="2">
        <v>2337</v>
      </c>
      <c r="I1423" s="2">
        <v>149</v>
      </c>
      <c r="J1423" s="2">
        <v>7384</v>
      </c>
      <c r="K1423" s="2">
        <v>6</v>
      </c>
      <c r="L1423" s="2">
        <v>483</v>
      </c>
      <c r="M1423" s="2">
        <v>423</v>
      </c>
      <c r="N1423" s="2">
        <v>17520</v>
      </c>
      <c r="O1423" s="2">
        <v>3</v>
      </c>
      <c r="P1423" s="2">
        <v>1165</v>
      </c>
      <c r="Q1423" s="2">
        <v>2154</v>
      </c>
      <c r="R1423" s="2">
        <v>49249</v>
      </c>
      <c r="S1423" s="2">
        <v>243662</v>
      </c>
      <c r="T1423" s="10">
        <f t="shared" si="76"/>
        <v>165707</v>
      </c>
      <c r="U1423" s="8">
        <f t="shared" si="77"/>
        <v>0.68006911213073851</v>
      </c>
      <c r="V1423" s="9" t="s">
        <v>5271</v>
      </c>
      <c r="W1423" s="9" t="str">
        <f t="shared" si="78"/>
        <v>Whitby RD</v>
      </c>
      <c r="X1423" s="9" t="str">
        <f>INDEX(Lookup!$A$2:$A$1349, MATCH(W1423, Lookup!$B$2:$B$1349,0))</f>
        <v>J04001399</v>
      </c>
      <c r="Y1423" s="9" t="str">
        <f>INDEX(Lookup!$F$2:$F$1349, MATCH(W1423, Lookup!$B$2:$B$1349,0))</f>
        <v>e451198</v>
      </c>
      <c r="Z1423" s="6" t="str">
        <f>INDEX(Lookup!$C$2:$C$1300, MATCH(X1423, Lookup!$A$2:$A$1300,0))</f>
        <v>North Yorkshire</v>
      </c>
    </row>
    <row r="1424" spans="1:26" ht="28.15" customHeight="1" x14ac:dyDescent="0.2">
      <c r="A1424" s="6" t="s">
        <v>1187</v>
      </c>
      <c r="B1424" s="1" t="s">
        <v>1187</v>
      </c>
      <c r="T1424" s="10"/>
      <c r="W1424" s="9" t="str">
        <f t="shared" si="78"/>
        <v xml:space="preserve">YORKSHIRE,WEST RIDING: </v>
      </c>
      <c r="X1424" s="9" t="e">
        <f>INDEX(Lookup!$A$2:$A$1349, MATCH(W1424, Lookup!$B$2:$B$1349,0))</f>
        <v>#N/A</v>
      </c>
      <c r="Y1424" s="9" t="e">
        <f>INDEX(Lookup!$F$2:$F$1349, MATCH(W1424, Lookup!$B$2:$B$1349,0))</f>
        <v>#N/A</v>
      </c>
      <c r="Z1424" s="6" t="e">
        <f>INDEX(Lookup!$C$2:$C$1300, MATCH(X1424, Lookup!$A$2:$A$1300,0))</f>
        <v>#N/A</v>
      </c>
    </row>
    <row r="1425" spans="1:26" ht="28.15" customHeight="1" x14ac:dyDescent="0.2">
      <c r="A1425" s="6" t="s">
        <v>1188</v>
      </c>
      <c r="B1425" s="1" t="s">
        <v>1188</v>
      </c>
      <c r="T1425" s="10"/>
      <c r="W1425" s="9" t="str">
        <f t="shared" si="78"/>
        <v xml:space="preserve">Non-County Borougs-- </v>
      </c>
      <c r="X1425" s="9" t="e">
        <f>INDEX(Lookup!$A$2:$A$1349, MATCH(W1425, Lookup!$B$2:$B$1349,0))</f>
        <v>#N/A</v>
      </c>
      <c r="Y1425" s="9" t="e">
        <f>INDEX(Lookup!$F$2:$F$1349, MATCH(W1425, Lookup!$B$2:$B$1349,0))</f>
        <v>#N/A</v>
      </c>
      <c r="Z1425" s="6" t="e">
        <f>INDEX(Lookup!$C$2:$C$1300, MATCH(X1425, Lookup!$A$2:$A$1300,0))</f>
        <v>#N/A</v>
      </c>
    </row>
    <row r="1426" spans="1:26" ht="28.15" customHeight="1" x14ac:dyDescent="0.2">
      <c r="A1426" s="6" t="s">
        <v>1189</v>
      </c>
      <c r="B1426" s="1" t="s">
        <v>1189</v>
      </c>
      <c r="C1426" s="2">
        <v>14370</v>
      </c>
      <c r="D1426" s="2">
        <v>406984</v>
      </c>
      <c r="E1426" s="2">
        <v>102</v>
      </c>
      <c r="F1426" s="2">
        <v>12755</v>
      </c>
      <c r="G1426" s="2">
        <v>5</v>
      </c>
      <c r="H1426" s="2">
        <v>1262</v>
      </c>
      <c r="I1426" s="2">
        <v>614</v>
      </c>
      <c r="J1426" s="2">
        <v>46649</v>
      </c>
      <c r="K1426" s="2">
        <v>50</v>
      </c>
      <c r="L1426" s="2">
        <v>2156</v>
      </c>
      <c r="M1426" s="2">
        <v>1735</v>
      </c>
      <c r="N1426" s="2">
        <v>53127</v>
      </c>
      <c r="O1426" s="2">
        <v>293</v>
      </c>
      <c r="P1426" s="2">
        <v>199450</v>
      </c>
      <c r="Q1426" s="2">
        <v>5299</v>
      </c>
      <c r="R1426" s="2">
        <v>95800</v>
      </c>
      <c r="S1426" s="2">
        <v>823482</v>
      </c>
      <c r="T1426" s="10">
        <f t="shared" si="76"/>
        <v>421001</v>
      </c>
      <c r="U1426" s="8">
        <f t="shared" si="77"/>
        <v>0.51124493310114849</v>
      </c>
      <c r="V1426" s="9" t="s">
        <v>5268</v>
      </c>
      <c r="W1426" s="9" t="str">
        <f t="shared" si="78"/>
        <v>Batley MB</v>
      </c>
      <c r="X1426" s="9" t="str">
        <f>INDEX(Lookup!$A$2:$A$1349, MATCH(W1426, Lookup!$B$2:$B$1349,0))</f>
        <v>J04000101</v>
      </c>
      <c r="Y1426" s="9" t="str">
        <f>INDEX(Lookup!$F$2:$F$1349, MATCH(W1426, Lookup!$B$2:$B$1349,0))</f>
        <v>e461214</v>
      </c>
      <c r="Z1426" s="6" t="str">
        <f>INDEX(Lookup!$C$2:$C$1300, MATCH(X1426, Lookup!$A$2:$A$1300,0))</f>
        <v>West Yorkshire</v>
      </c>
    </row>
    <row r="1427" spans="1:26" ht="28.15" customHeight="1" x14ac:dyDescent="0.2">
      <c r="A1427" s="6" t="s">
        <v>1190</v>
      </c>
      <c r="B1427" s="1" t="s">
        <v>1190</v>
      </c>
      <c r="C1427" s="2">
        <v>11515</v>
      </c>
      <c r="D1427" s="2">
        <v>380285</v>
      </c>
      <c r="E1427" s="2">
        <v>223</v>
      </c>
      <c r="F1427" s="2">
        <v>28172</v>
      </c>
      <c r="G1427" s="2">
        <v>11</v>
      </c>
      <c r="H1427" s="2">
        <v>2664</v>
      </c>
      <c r="I1427" s="2">
        <v>519</v>
      </c>
      <c r="J1427" s="2">
        <v>50015</v>
      </c>
      <c r="K1427" s="2">
        <v>77</v>
      </c>
      <c r="L1427" s="2">
        <v>3948</v>
      </c>
      <c r="M1427" s="2">
        <v>1736</v>
      </c>
      <c r="N1427" s="2">
        <v>48294</v>
      </c>
      <c r="O1427" s="2">
        <v>184</v>
      </c>
      <c r="P1427" s="2">
        <v>189064</v>
      </c>
      <c r="Q1427" s="2">
        <v>2284</v>
      </c>
      <c r="R1427" s="2">
        <v>81197</v>
      </c>
      <c r="S1427" s="2">
        <v>785923</v>
      </c>
      <c r="T1427" s="10">
        <f t="shared" si="76"/>
        <v>411121</v>
      </c>
      <c r="U1427" s="8">
        <f t="shared" si="77"/>
        <v>0.52310595312772368</v>
      </c>
      <c r="V1427" s="9" t="s">
        <v>5268</v>
      </c>
      <c r="W1427" s="9" t="str">
        <f t="shared" si="78"/>
        <v>Brighouse MB</v>
      </c>
      <c r="X1427" s="9" t="str">
        <f>INDEX(Lookup!$A$2:$A$1349, MATCH(W1427, Lookup!$B$2:$B$1349,0))</f>
        <v>J04000210</v>
      </c>
      <c r="Y1427" s="9" t="str">
        <f>INDEX(Lookup!$F$2:$F$1349, MATCH(W1427, Lookup!$B$2:$B$1349,0))</f>
        <v>e461217</v>
      </c>
      <c r="Z1427" s="6" t="str">
        <f>INDEX(Lookup!$C$2:$C$1300, MATCH(X1427, Lookup!$A$2:$A$1300,0))</f>
        <v>West Yorkshire</v>
      </c>
    </row>
    <row r="1428" spans="1:26" ht="28.15" customHeight="1" x14ac:dyDescent="0.2">
      <c r="A1428" s="6" t="s">
        <v>1191</v>
      </c>
      <c r="B1428" s="1" t="s">
        <v>1191</v>
      </c>
      <c r="C1428" s="2">
        <v>12885</v>
      </c>
      <c r="D1428" s="2">
        <v>461133</v>
      </c>
      <c r="E1428" s="2">
        <v>40</v>
      </c>
      <c r="F1428" s="2">
        <v>4632</v>
      </c>
      <c r="G1428" s="2">
        <v>4632</v>
      </c>
      <c r="I1428" s="2">
        <v>642</v>
      </c>
      <c r="J1428" s="2">
        <v>136519</v>
      </c>
      <c r="K1428" s="2">
        <v>58</v>
      </c>
      <c r="L1428" s="2">
        <v>5308</v>
      </c>
      <c r="M1428" s="2">
        <v>1147</v>
      </c>
      <c r="N1428" s="2">
        <v>60028</v>
      </c>
      <c r="O1428" s="2">
        <v>81</v>
      </c>
      <c r="P1428" s="2">
        <v>173750</v>
      </c>
      <c r="Q1428" s="2">
        <v>5041</v>
      </c>
      <c r="R1428" s="2">
        <v>222632</v>
      </c>
      <c r="S1428" s="2">
        <v>1069043</v>
      </c>
      <c r="T1428" s="10">
        <f t="shared" si="76"/>
        <v>465765</v>
      </c>
      <c r="U1428" s="8">
        <f t="shared" si="77"/>
        <v>0.43568406509373336</v>
      </c>
      <c r="V1428" s="9" t="s">
        <v>5268</v>
      </c>
      <c r="W1428" s="9" t="str">
        <f t="shared" si="78"/>
        <v>Castleford MB</v>
      </c>
      <c r="X1428" s="9" t="str">
        <f>INDEX(Lookup!$A$2:$A$1349, MATCH(W1428, Lookup!$B$2:$B$1349,0))</f>
        <v>J04000273</v>
      </c>
      <c r="Y1428" s="9" t="str">
        <f>INDEX(Lookup!$F$2:$F$1349, MATCH(W1428, Lookup!$B$2:$B$1349,0))</f>
        <v>e461218</v>
      </c>
      <c r="Z1428" s="6" t="str">
        <f>INDEX(Lookup!$C$2:$C$1300, MATCH(X1428, Lookup!$A$2:$A$1300,0))</f>
        <v>West Yorkshire</v>
      </c>
    </row>
    <row r="1429" spans="1:26" ht="28.15" customHeight="1" x14ac:dyDescent="0.2">
      <c r="A1429" s="6" t="s">
        <v>1192</v>
      </c>
      <c r="B1429" s="1" t="s">
        <v>1192</v>
      </c>
      <c r="C1429" s="2">
        <v>6121</v>
      </c>
      <c r="D1429" s="2">
        <v>237159</v>
      </c>
      <c r="E1429" s="2">
        <v>50</v>
      </c>
      <c r="F1429" s="2">
        <v>5901</v>
      </c>
      <c r="G1429" s="2">
        <v>5901</v>
      </c>
      <c r="H1429" s="2">
        <v>266</v>
      </c>
      <c r="I1429" s="2">
        <v>410</v>
      </c>
      <c r="J1429" s="2">
        <v>52069</v>
      </c>
      <c r="K1429" s="2">
        <v>93</v>
      </c>
      <c r="L1429" s="2">
        <v>6327</v>
      </c>
      <c r="M1429" s="2">
        <v>607</v>
      </c>
      <c r="N1429" s="2">
        <v>25725</v>
      </c>
      <c r="O1429" s="2">
        <v>36</v>
      </c>
      <c r="P1429" s="2">
        <v>42353</v>
      </c>
      <c r="Q1429" s="2">
        <v>4254</v>
      </c>
      <c r="R1429" s="2">
        <v>61826</v>
      </c>
      <c r="S1429" s="2">
        <v>435880</v>
      </c>
      <c r="T1429" s="10">
        <f t="shared" si="76"/>
        <v>243326</v>
      </c>
      <c r="U1429" s="8">
        <f t="shared" si="77"/>
        <v>0.55824080022024414</v>
      </c>
      <c r="V1429" s="9" t="s">
        <v>5268</v>
      </c>
      <c r="W1429" s="9" t="str">
        <f t="shared" si="78"/>
        <v>Goole MB</v>
      </c>
      <c r="X1429" s="9" t="str">
        <f>INDEX(Lookup!$A$2:$A$1349, MATCH(W1429, Lookup!$B$2:$B$1349,0))</f>
        <v>J04000542</v>
      </c>
      <c r="Y1429" s="9" t="str">
        <f>INDEX(Lookup!$F$2:$F$1349, MATCH(W1429, Lookup!$B$2:$B$1349,0))</f>
        <v>e461232</v>
      </c>
      <c r="Z1429" s="6" t="str">
        <f>INDEX(Lookup!$C$2:$C$1300, MATCH(X1429, Lookup!$A$2:$A$1300,0))</f>
        <v>Humberside</v>
      </c>
    </row>
    <row r="1430" spans="1:26" ht="28.15" customHeight="1" x14ac:dyDescent="0.2">
      <c r="A1430" s="6" t="s">
        <v>1193</v>
      </c>
      <c r="B1430" s="1" t="s">
        <v>1193</v>
      </c>
      <c r="C1430" s="2">
        <v>15676</v>
      </c>
      <c r="D1430" s="2">
        <v>894780</v>
      </c>
      <c r="E1430" s="2">
        <v>2922</v>
      </c>
      <c r="F1430" s="2">
        <v>380836</v>
      </c>
      <c r="G1430" s="2">
        <v>380536</v>
      </c>
      <c r="H1430" s="2">
        <v>85831</v>
      </c>
      <c r="I1430" s="2">
        <v>1000</v>
      </c>
      <c r="J1430" s="2">
        <v>245423</v>
      </c>
      <c r="K1430" s="2">
        <v>303</v>
      </c>
      <c r="L1430" s="2">
        <v>91073</v>
      </c>
      <c r="M1430" s="2">
        <v>1594</v>
      </c>
      <c r="N1430" s="2">
        <v>177466</v>
      </c>
      <c r="O1430" s="2">
        <v>59</v>
      </c>
      <c r="P1430" s="2">
        <v>61131</v>
      </c>
      <c r="Q1430" s="2">
        <v>23909</v>
      </c>
      <c r="R1430" s="2">
        <v>255978</v>
      </c>
      <c r="S1430" s="2">
        <v>2216427</v>
      </c>
      <c r="T1430" s="10">
        <f t="shared" si="76"/>
        <v>1361447</v>
      </c>
      <c r="U1430" s="8">
        <f t="shared" si="77"/>
        <v>0.61425302976366913</v>
      </c>
      <c r="V1430" s="9" t="s">
        <v>5268</v>
      </c>
      <c r="W1430" s="9" t="str">
        <f t="shared" si="78"/>
        <v>Harrogate MB</v>
      </c>
      <c r="X1430" s="9" t="str">
        <f>INDEX(Lookup!$A$2:$A$1349, MATCH(W1430, Lookup!$B$2:$B$1349,0))</f>
        <v>J04000576</v>
      </c>
      <c r="Y1430" s="9" t="str">
        <f>INDEX(Lookup!$F$2:$F$1349, MATCH(W1430, Lookup!$B$2:$B$1349,0))</f>
        <v>e461233</v>
      </c>
      <c r="Z1430" s="6" t="str">
        <f>INDEX(Lookup!$C$2:$C$1300, MATCH(X1430, Lookup!$A$2:$A$1300,0))</f>
        <v>North Yorkshire</v>
      </c>
    </row>
    <row r="1431" spans="1:26" ht="28.15" customHeight="1" x14ac:dyDescent="0.2">
      <c r="A1431" s="6" t="s">
        <v>1194</v>
      </c>
      <c r="B1431" s="1" t="s">
        <v>1194</v>
      </c>
      <c r="C1431" s="2">
        <v>19631</v>
      </c>
      <c r="D1431" s="2">
        <v>707352</v>
      </c>
      <c r="E1431" s="2">
        <v>289</v>
      </c>
      <c r="F1431" s="2">
        <v>36850</v>
      </c>
      <c r="G1431" s="2">
        <v>36850</v>
      </c>
      <c r="H1431" s="2">
        <v>10148</v>
      </c>
      <c r="I1431" s="2">
        <v>1143</v>
      </c>
      <c r="J1431" s="2">
        <v>170189</v>
      </c>
      <c r="K1431" s="2">
        <v>136</v>
      </c>
      <c r="L1431" s="2">
        <v>16338</v>
      </c>
      <c r="M1431" s="2">
        <v>1959</v>
      </c>
      <c r="N1431" s="2">
        <v>77898</v>
      </c>
      <c r="O1431" s="2">
        <v>346</v>
      </c>
      <c r="P1431" s="2">
        <v>331485</v>
      </c>
      <c r="Q1431" s="2">
        <v>10748</v>
      </c>
      <c r="R1431" s="2">
        <v>207813</v>
      </c>
      <c r="S1431" s="2">
        <v>1568821</v>
      </c>
      <c r="T1431" s="10">
        <f t="shared" si="76"/>
        <v>754350</v>
      </c>
      <c r="U1431" s="8">
        <f t="shared" si="77"/>
        <v>0.48083879550311986</v>
      </c>
      <c r="V1431" s="9" t="s">
        <v>5268</v>
      </c>
      <c r="W1431" s="9" t="str">
        <f t="shared" si="78"/>
        <v>Keighley MB</v>
      </c>
      <c r="X1431" s="9" t="str">
        <f>INDEX(Lookup!$A$2:$A$1349, MATCH(W1431, Lookup!$B$2:$B$1349,0))</f>
        <v>J04000680</v>
      </c>
      <c r="Y1431" s="9" t="str">
        <f>INDEX(Lookup!$F$2:$F$1349, MATCH(W1431, Lookup!$B$2:$B$1349,0))</f>
        <v>e461242</v>
      </c>
      <c r="Z1431" s="6" t="str">
        <f>INDEX(Lookup!$C$2:$C$1300, MATCH(X1431, Lookup!$A$2:$A$1300,0))</f>
        <v>West Yorkshire</v>
      </c>
    </row>
    <row r="1432" spans="1:26" ht="28.15" customHeight="1" x14ac:dyDescent="0.2">
      <c r="A1432" s="6" t="s">
        <v>1195</v>
      </c>
      <c r="B1432" s="1" t="s">
        <v>1195</v>
      </c>
      <c r="C1432" s="2">
        <v>14910</v>
      </c>
      <c r="D1432" s="2">
        <v>467901</v>
      </c>
      <c r="E1432" s="2">
        <v>73</v>
      </c>
      <c r="F1432" s="2">
        <v>8913</v>
      </c>
      <c r="G1432" s="2">
        <v>8913</v>
      </c>
      <c r="H1432" s="2">
        <v>206</v>
      </c>
      <c r="I1432" s="2">
        <v>591</v>
      </c>
      <c r="J1432" s="2">
        <v>46927</v>
      </c>
      <c r="K1432" s="2">
        <v>68</v>
      </c>
      <c r="L1432" s="2">
        <v>4437</v>
      </c>
      <c r="M1432" s="2">
        <v>1721</v>
      </c>
      <c r="N1432" s="2">
        <v>54847</v>
      </c>
      <c r="O1432" s="2">
        <v>170</v>
      </c>
      <c r="P1432" s="2">
        <v>134916</v>
      </c>
      <c r="Q1432" s="2">
        <v>2611</v>
      </c>
      <c r="R1432" s="2">
        <v>186270</v>
      </c>
      <c r="S1432" s="2">
        <v>907028</v>
      </c>
      <c r="T1432" s="10">
        <f t="shared" si="76"/>
        <v>477020</v>
      </c>
      <c r="U1432" s="8">
        <f t="shared" si="77"/>
        <v>0.52591540724211383</v>
      </c>
      <c r="V1432" s="9" t="s">
        <v>5268</v>
      </c>
      <c r="W1432" s="9" t="str">
        <f t="shared" si="78"/>
        <v>Morley MB</v>
      </c>
      <c r="X1432" s="9" t="str">
        <f>INDEX(Lookup!$A$2:$A$1349, MATCH(W1432, Lookup!$B$2:$B$1349,0))</f>
        <v>J04000869</v>
      </c>
      <c r="Y1432" s="9" t="str">
        <f>INDEX(Lookup!$F$2:$F$1349, MATCH(W1432, Lookup!$B$2:$B$1349,0))</f>
        <v>e461250</v>
      </c>
      <c r="Z1432" s="6" t="str">
        <f>INDEX(Lookup!$C$2:$C$1300, MATCH(X1432, Lookup!$A$2:$A$1300,0))</f>
        <v>West Yorkshire</v>
      </c>
    </row>
    <row r="1433" spans="1:26" ht="28.15" customHeight="1" x14ac:dyDescent="0.2">
      <c r="A1433" s="6" t="s">
        <v>1196</v>
      </c>
      <c r="B1433" s="1" t="s">
        <v>1196</v>
      </c>
      <c r="C1433" s="2">
        <v>5313</v>
      </c>
      <c r="D1433" s="2">
        <v>173989</v>
      </c>
      <c r="E1433" s="2">
        <v>51</v>
      </c>
      <c r="F1433" s="2">
        <v>6235</v>
      </c>
      <c r="G1433" s="2">
        <v>6235</v>
      </c>
      <c r="I1433" s="2">
        <v>219</v>
      </c>
      <c r="J1433" s="2">
        <v>16896</v>
      </c>
      <c r="K1433" s="2">
        <v>21</v>
      </c>
      <c r="L1433" s="2">
        <v>1393</v>
      </c>
      <c r="M1433" s="2">
        <v>688</v>
      </c>
      <c r="N1433" s="2">
        <v>26147</v>
      </c>
      <c r="O1433" s="2">
        <v>115</v>
      </c>
      <c r="P1433" s="2">
        <v>64622</v>
      </c>
      <c r="Q1433" s="2">
        <v>738</v>
      </c>
      <c r="R1433" s="2">
        <v>53423</v>
      </c>
      <c r="S1433" s="2">
        <v>343443</v>
      </c>
      <c r="T1433" s="10">
        <f t="shared" si="76"/>
        <v>180224</v>
      </c>
      <c r="U1433" s="8">
        <f t="shared" si="77"/>
        <v>0.52475665539842131</v>
      </c>
      <c r="V1433" s="9" t="s">
        <v>5268</v>
      </c>
      <c r="W1433" s="9" t="str">
        <f t="shared" si="78"/>
        <v>Ossett MB</v>
      </c>
      <c r="X1433" s="9" t="str">
        <f>INDEX(Lookup!$A$2:$A$1349, MATCH(W1433, Lookup!$B$2:$B$1349,0))</f>
        <v>J04000959</v>
      </c>
      <c r="Y1433" s="9" t="str">
        <f>INDEX(Lookup!$F$2:$F$1349, MATCH(W1433, Lookup!$B$2:$B$1349,0))</f>
        <v>e461252</v>
      </c>
      <c r="Z1433" s="6" t="str">
        <f>INDEX(Lookup!$C$2:$C$1300, MATCH(X1433, Lookup!$A$2:$A$1300,0))</f>
        <v>West Yorkshire</v>
      </c>
    </row>
    <row r="1434" spans="1:26" ht="28.15" customHeight="1" x14ac:dyDescent="0.2">
      <c r="A1434" s="6" t="s">
        <v>1197</v>
      </c>
      <c r="B1434" s="1" t="s">
        <v>1197</v>
      </c>
      <c r="C1434" s="2">
        <v>8204</v>
      </c>
      <c r="D1434" s="2">
        <v>370312</v>
      </c>
      <c r="E1434" s="2">
        <v>125</v>
      </c>
      <c r="F1434" s="2">
        <v>14747</v>
      </c>
      <c r="G1434" s="2">
        <v>14747</v>
      </c>
      <c r="I1434" s="2">
        <v>368</v>
      </c>
      <c r="J1434" s="2">
        <v>73232</v>
      </c>
      <c r="K1434" s="2">
        <v>73</v>
      </c>
      <c r="L1434" s="2">
        <v>11658</v>
      </c>
      <c r="M1434" s="2">
        <v>656</v>
      </c>
      <c r="N1434" s="2">
        <v>35746</v>
      </c>
      <c r="O1434" s="2">
        <v>48</v>
      </c>
      <c r="P1434" s="2">
        <v>61769</v>
      </c>
      <c r="Q1434" s="2">
        <v>11868</v>
      </c>
      <c r="R1434" s="2">
        <v>154632</v>
      </c>
      <c r="S1434" s="2">
        <v>733964</v>
      </c>
      <c r="T1434" s="10">
        <f t="shared" si="76"/>
        <v>385059</v>
      </c>
      <c r="U1434" s="8">
        <f t="shared" si="77"/>
        <v>0.52462927337035603</v>
      </c>
      <c r="V1434" s="9" t="s">
        <v>5268</v>
      </c>
      <c r="W1434" s="9" t="str">
        <f t="shared" si="78"/>
        <v>Pontefract MB</v>
      </c>
      <c r="X1434" s="9" t="str">
        <f>INDEX(Lookup!$A$2:$A$1349, MATCH(W1434, Lookup!$B$2:$B$1349,0))</f>
        <v>J04001000</v>
      </c>
      <c r="Y1434" s="9" t="str">
        <f>INDEX(Lookup!$F$2:$F$1349, MATCH(W1434, Lookup!$B$2:$B$1349,0))</f>
        <v>e461255</v>
      </c>
      <c r="Z1434" s="6" t="str">
        <f>INDEX(Lookup!$C$2:$C$1300, MATCH(X1434, Lookup!$A$2:$A$1300,0))</f>
        <v>West Yorkshire</v>
      </c>
    </row>
    <row r="1435" spans="1:26" ht="28.15" customHeight="1" x14ac:dyDescent="0.2">
      <c r="A1435" s="6" t="s">
        <v>1198</v>
      </c>
      <c r="B1435" s="1" t="s">
        <v>1198</v>
      </c>
      <c r="C1435" s="2">
        <v>12603</v>
      </c>
      <c r="D1435" s="2">
        <v>573528</v>
      </c>
      <c r="E1435" s="2">
        <v>347</v>
      </c>
      <c r="F1435" s="2">
        <v>42445</v>
      </c>
      <c r="G1435" s="2">
        <v>42445</v>
      </c>
      <c r="H1435" s="2">
        <v>2538</v>
      </c>
      <c r="I1435" s="2">
        <v>506</v>
      </c>
      <c r="J1435" s="2">
        <v>39710</v>
      </c>
      <c r="K1435" s="2">
        <v>56</v>
      </c>
      <c r="L1435" s="2">
        <v>2727</v>
      </c>
      <c r="M1435" s="2">
        <v>1234</v>
      </c>
      <c r="N1435" s="2">
        <v>46998</v>
      </c>
      <c r="O1435" s="2">
        <v>157</v>
      </c>
      <c r="P1435" s="2">
        <v>179029</v>
      </c>
      <c r="Q1435" s="2">
        <v>2896</v>
      </c>
      <c r="R1435" s="2">
        <v>76772</v>
      </c>
      <c r="S1435" s="2">
        <v>966643</v>
      </c>
      <c r="T1435" s="10">
        <f t="shared" si="76"/>
        <v>618511</v>
      </c>
      <c r="U1435" s="8">
        <f t="shared" si="77"/>
        <v>0.63985463092372263</v>
      </c>
      <c r="V1435" s="9" t="s">
        <v>5268</v>
      </c>
      <c r="W1435" s="9" t="str">
        <f t="shared" si="78"/>
        <v>Pudsey MB</v>
      </c>
      <c r="X1435" s="9" t="str">
        <f>INDEX(Lookup!$A$2:$A$1349, MATCH(W1435, Lookup!$B$2:$B$1349,0))</f>
        <v>J04001023</v>
      </c>
      <c r="Y1435" s="9" t="str">
        <f>INDEX(Lookup!$F$2:$F$1349, MATCH(W1435, Lookup!$B$2:$B$1349,0))</f>
        <v>e461256</v>
      </c>
      <c r="Z1435" s="6" t="str">
        <f>INDEX(Lookup!$C$2:$C$1300, MATCH(X1435, Lookup!$A$2:$A$1300,0))</f>
        <v>West Yorkshire</v>
      </c>
    </row>
    <row r="1436" spans="1:26" ht="28.15" customHeight="1" x14ac:dyDescent="0.2">
      <c r="A1436" s="6" t="s">
        <v>1199</v>
      </c>
      <c r="B1436" s="1" t="s">
        <v>5456</v>
      </c>
      <c r="C1436" s="2">
        <v>3090</v>
      </c>
      <c r="D1436" s="2">
        <v>141051</v>
      </c>
      <c r="E1436" s="2">
        <v>137</v>
      </c>
      <c r="F1436" s="2">
        <v>17024</v>
      </c>
      <c r="G1436" s="2">
        <v>17024</v>
      </c>
      <c r="H1436" s="2">
        <v>1977</v>
      </c>
      <c r="I1436" s="2">
        <v>265</v>
      </c>
      <c r="J1436" s="2">
        <v>34801</v>
      </c>
      <c r="K1436" s="2">
        <v>43</v>
      </c>
      <c r="L1436" s="2">
        <v>3216</v>
      </c>
      <c r="M1436" s="2">
        <v>365</v>
      </c>
      <c r="N1436" s="2">
        <v>29075</v>
      </c>
      <c r="O1436" s="2">
        <v>22</v>
      </c>
      <c r="P1436" s="2">
        <v>19891</v>
      </c>
      <c r="Q1436" s="2">
        <v>4216</v>
      </c>
      <c r="R1436" s="2">
        <v>51716</v>
      </c>
      <c r="S1436" s="2">
        <v>302967</v>
      </c>
      <c r="T1436" s="10">
        <f t="shared" si="76"/>
        <v>160052</v>
      </c>
      <c r="U1436" s="8">
        <f t="shared" si="77"/>
        <v>0.52828195810104728</v>
      </c>
      <c r="V1436" s="9" t="s">
        <v>5268</v>
      </c>
      <c r="W1436" s="9" t="str">
        <f t="shared" si="78"/>
        <v>Ripon, city of MB</v>
      </c>
      <c r="X1436" s="9" t="str">
        <f>INDEX(Lookup!$A$2:$A$1349, MATCH(W1436, Lookup!$B$2:$B$1349,0))</f>
        <v>J04001053</v>
      </c>
      <c r="Y1436" s="9" t="str">
        <f>INDEX(Lookup!$F$2:$F$1349, MATCH(W1436, Lookup!$B$2:$B$1349,0))</f>
        <v>e461259</v>
      </c>
      <c r="Z1436" s="6" t="str">
        <f>INDEX(Lookup!$C$2:$C$1300, MATCH(X1436, Lookup!$A$2:$A$1300,0))</f>
        <v>North Yorkshire</v>
      </c>
    </row>
    <row r="1437" spans="1:26" ht="28.15" customHeight="1" x14ac:dyDescent="0.2">
      <c r="A1437" s="6" t="s">
        <v>1200</v>
      </c>
      <c r="B1437" s="1" t="s">
        <v>1200</v>
      </c>
      <c r="C1437" s="2">
        <v>13325</v>
      </c>
      <c r="D1437" s="2">
        <v>426638</v>
      </c>
      <c r="E1437" s="2">
        <v>219</v>
      </c>
      <c r="F1437" s="2">
        <v>27715</v>
      </c>
      <c r="G1437" s="2">
        <v>27715</v>
      </c>
      <c r="H1437" s="2">
        <v>2406</v>
      </c>
      <c r="I1437" s="2">
        <v>552</v>
      </c>
      <c r="J1437" s="2">
        <v>45181</v>
      </c>
      <c r="K1437" s="2">
        <v>56</v>
      </c>
      <c r="L1437" s="2">
        <v>2765</v>
      </c>
      <c r="M1437" s="2">
        <v>1560</v>
      </c>
      <c r="N1437" s="2">
        <v>60154</v>
      </c>
      <c r="O1437" s="2">
        <v>200</v>
      </c>
      <c r="P1437" s="2">
        <v>219082</v>
      </c>
      <c r="Q1437" s="2">
        <v>1932</v>
      </c>
      <c r="R1437" s="2">
        <v>133754</v>
      </c>
      <c r="S1437" s="2">
        <v>919627</v>
      </c>
      <c r="T1437" s="10">
        <f t="shared" si="76"/>
        <v>456759</v>
      </c>
      <c r="U1437" s="8">
        <f t="shared" si="77"/>
        <v>0.4966785446708285</v>
      </c>
      <c r="V1437" s="9" t="s">
        <v>5268</v>
      </c>
      <c r="W1437" s="9" t="str">
        <f t="shared" si="78"/>
        <v>Spenborough MB</v>
      </c>
      <c r="X1437" s="9" t="str">
        <f>INDEX(Lookup!$A$2:$A$1349, MATCH(W1437, Lookup!$B$2:$B$1349,0))</f>
        <v>J04001176</v>
      </c>
      <c r="Y1437" s="9" t="str">
        <f>INDEX(Lookup!$F$2:$F$1349, MATCH(W1437, Lookup!$B$2:$B$1349,0))</f>
        <v>e461269</v>
      </c>
      <c r="Z1437" s="6" t="str">
        <f>INDEX(Lookup!$C$2:$C$1300, MATCH(X1437, Lookup!$A$2:$A$1300,0))</f>
        <v>West Yorkshire</v>
      </c>
    </row>
    <row r="1438" spans="1:26" ht="28.15" customHeight="1" x14ac:dyDescent="0.2">
      <c r="A1438" s="6" t="s">
        <v>1201</v>
      </c>
      <c r="B1438" s="1" t="s">
        <v>1201</v>
      </c>
      <c r="C1438" s="2">
        <v>6661</v>
      </c>
      <c r="D1438" s="2">
        <v>153361</v>
      </c>
      <c r="E1438" s="2">
        <v>17</v>
      </c>
      <c r="F1438" s="2">
        <v>2018</v>
      </c>
      <c r="G1438" s="2">
        <v>1</v>
      </c>
      <c r="H1438" s="2">
        <v>234</v>
      </c>
      <c r="I1438" s="2">
        <v>377</v>
      </c>
      <c r="J1438" s="2">
        <v>21900</v>
      </c>
      <c r="K1438" s="2">
        <v>36</v>
      </c>
      <c r="L1438" s="2">
        <v>1244</v>
      </c>
      <c r="M1438" s="2">
        <v>1409</v>
      </c>
      <c r="N1438" s="2">
        <v>25719</v>
      </c>
      <c r="O1438" s="2">
        <v>134</v>
      </c>
      <c r="P1438" s="2">
        <v>91419</v>
      </c>
      <c r="Q1438" s="2">
        <v>3025</v>
      </c>
      <c r="R1438" s="2">
        <v>73463</v>
      </c>
      <c r="S1438" s="2">
        <v>372383</v>
      </c>
      <c r="T1438" s="10">
        <f t="shared" si="76"/>
        <v>155613</v>
      </c>
      <c r="U1438" s="8">
        <f t="shared" si="77"/>
        <v>0.4178842750608916</v>
      </c>
      <c r="V1438" s="9" t="s">
        <v>5268</v>
      </c>
      <c r="W1438" s="9" t="str">
        <f t="shared" si="78"/>
        <v>Todmorden MB</v>
      </c>
      <c r="X1438" s="9" t="str">
        <f>INDEX(Lookup!$A$2:$A$1349, MATCH(W1438, Lookup!$B$2:$B$1349,0))</f>
        <v>J04001281</v>
      </c>
      <c r="Y1438" s="9" t="str">
        <f>INDEX(Lookup!$F$2:$F$1349, MATCH(W1438, Lookup!$B$2:$B$1349,0))</f>
        <v>e461274</v>
      </c>
      <c r="Z1438" s="6" t="str">
        <f>INDEX(Lookup!$C$2:$C$1300, MATCH(X1438, Lookup!$A$2:$A$1300,0))</f>
        <v>West Yorkshire</v>
      </c>
    </row>
    <row r="1439" spans="1:26" ht="28.15" customHeight="1" x14ac:dyDescent="0.2">
      <c r="A1439" s="6" t="s">
        <v>1202</v>
      </c>
      <c r="B1439" s="1" t="s">
        <v>1202</v>
      </c>
      <c r="T1439" s="10"/>
      <c r="W1439" s="9" t="str">
        <f t="shared" si="78"/>
        <v xml:space="preserve">URBAN DISTRICTS-- </v>
      </c>
      <c r="X1439" s="9" t="e">
        <f>INDEX(Lookup!$A$2:$A$1349, MATCH(W1439, Lookup!$B$2:$B$1349,0))</f>
        <v>#N/A</v>
      </c>
      <c r="Y1439" s="9" t="e">
        <f>INDEX(Lookup!$F$2:$F$1349, MATCH(W1439, Lookup!$B$2:$B$1349,0))</f>
        <v>#N/A</v>
      </c>
      <c r="Z1439" s="6" t="e">
        <f>INDEX(Lookup!$C$2:$C$1300, MATCH(X1439, Lookup!$A$2:$A$1300,0))</f>
        <v>#N/A</v>
      </c>
    </row>
    <row r="1440" spans="1:26" ht="28.15" customHeight="1" x14ac:dyDescent="0.2">
      <c r="A1440" s="6" t="s">
        <v>1203</v>
      </c>
      <c r="B1440" s="1" t="s">
        <v>5457</v>
      </c>
      <c r="C1440" s="2">
        <v>5329</v>
      </c>
      <c r="D1440" s="2">
        <v>227658</v>
      </c>
      <c r="E1440" s="2">
        <v>13</v>
      </c>
      <c r="F1440" s="2">
        <v>1506</v>
      </c>
      <c r="G1440" s="2">
        <v>1</v>
      </c>
      <c r="H1440" s="2">
        <v>226</v>
      </c>
      <c r="I1440" s="2">
        <v>168</v>
      </c>
      <c r="J1440" s="2">
        <v>18942</v>
      </c>
      <c r="K1440" s="2">
        <v>15</v>
      </c>
      <c r="L1440" s="2">
        <v>951</v>
      </c>
      <c r="M1440" s="2">
        <v>193</v>
      </c>
      <c r="N1440" s="2">
        <v>16221</v>
      </c>
      <c r="O1440" s="2">
        <v>7</v>
      </c>
      <c r="P1440" s="2">
        <v>2990</v>
      </c>
      <c r="Q1440" s="2">
        <v>1733</v>
      </c>
      <c r="R1440" s="2">
        <v>148612</v>
      </c>
      <c r="S1440" s="2">
        <v>418839</v>
      </c>
      <c r="T1440" s="10">
        <f t="shared" si="76"/>
        <v>229390</v>
      </c>
      <c r="U1440" s="8">
        <f t="shared" si="77"/>
        <v>0.54768061235940302</v>
      </c>
      <c r="V1440" s="9" t="s">
        <v>5270</v>
      </c>
      <c r="W1440" s="9" t="str">
        <f t="shared" si="78"/>
        <v>Adwick le Street UD</v>
      </c>
      <c r="X1440" s="9" t="str">
        <f>INDEX(Lookup!$A$2:$A$1349, MATCH(W1440, Lookup!$B$2:$B$1349,0))</f>
        <v>J04000017</v>
      </c>
      <c r="Y1440" s="9" t="str">
        <f>INDEX(Lookup!$F$2:$F$1349, MATCH(W1440, Lookup!$B$2:$B$1349,0))</f>
        <v>e461210</v>
      </c>
      <c r="Z1440" s="6" t="str">
        <f>INDEX(Lookup!$C$2:$C$1300, MATCH(X1440, Lookup!$A$2:$A$1300,0))</f>
        <v>South Yorkshire</v>
      </c>
    </row>
    <row r="1441" spans="1:26" ht="28.15" customHeight="1" x14ac:dyDescent="0.2">
      <c r="A1441" s="6" t="s">
        <v>1204</v>
      </c>
      <c r="B1441" s="1" t="s">
        <v>1204</v>
      </c>
      <c r="C1441" s="2">
        <v>8456</v>
      </c>
      <c r="D1441" s="2">
        <v>404685</v>
      </c>
      <c r="E1441" s="2">
        <v>579</v>
      </c>
      <c r="F1441" s="2">
        <v>72555</v>
      </c>
      <c r="G1441" s="2">
        <v>32</v>
      </c>
      <c r="H1441" s="2">
        <v>7565</v>
      </c>
      <c r="I1441" s="2">
        <v>364</v>
      </c>
      <c r="J1441" s="2">
        <v>33071</v>
      </c>
      <c r="K1441" s="2">
        <v>50</v>
      </c>
      <c r="L1441" s="2">
        <v>3133</v>
      </c>
      <c r="M1441" s="2">
        <v>697</v>
      </c>
      <c r="N1441" s="2">
        <v>33342</v>
      </c>
      <c r="O1441" s="2">
        <v>84</v>
      </c>
      <c r="P1441" s="2">
        <v>133457</v>
      </c>
      <c r="Q1441" s="2">
        <v>17399</v>
      </c>
      <c r="R1441" s="2">
        <v>97666</v>
      </c>
      <c r="S1441" s="2">
        <v>802873</v>
      </c>
      <c r="T1441" s="10">
        <f t="shared" si="76"/>
        <v>484805</v>
      </c>
      <c r="U1441" s="8">
        <f t="shared" si="77"/>
        <v>0.60383771779596529</v>
      </c>
      <c r="V1441" s="9" t="s">
        <v>5270</v>
      </c>
      <c r="W1441" s="9" t="str">
        <f t="shared" si="78"/>
        <v>Aireborough UD</v>
      </c>
      <c r="X1441" s="9" t="str">
        <f>INDEX(Lookup!$A$2:$A$1349, MATCH(W1441, Lookup!$B$2:$B$1349,0))</f>
        <v>J04000019</v>
      </c>
      <c r="Y1441" s="9" t="str">
        <f>INDEX(Lookup!$F$2:$F$1349, MATCH(W1441, Lookup!$B$2:$B$1349,0))</f>
        <v>e461211</v>
      </c>
      <c r="Z1441" s="6" t="str">
        <f>INDEX(Lookup!$C$2:$C$1300, MATCH(X1441, Lookup!$A$2:$A$1300,0))</f>
        <v>West Yorkshire</v>
      </c>
    </row>
    <row r="1442" spans="1:26" ht="28.15" customHeight="1" x14ac:dyDescent="0.2">
      <c r="A1442" s="6" t="s">
        <v>1205</v>
      </c>
      <c r="B1442" s="1" t="s">
        <v>1205</v>
      </c>
      <c r="T1442" s="10"/>
      <c r="W1442" s="9" t="str">
        <f t="shared" si="78"/>
        <v xml:space="preserve">YORKSHIRE,WEST RIDING--contd </v>
      </c>
      <c r="X1442" s="9" t="e">
        <f>INDEX(Lookup!$A$2:$A$1349, MATCH(W1442, Lookup!$B$2:$B$1349,0))</f>
        <v>#N/A</v>
      </c>
      <c r="Y1442" s="9" t="e">
        <f>INDEX(Lookup!$F$2:$F$1349, MATCH(W1442, Lookup!$B$2:$B$1349,0))</f>
        <v>#N/A</v>
      </c>
      <c r="Z1442" s="6" t="e">
        <f>INDEX(Lookup!$C$2:$C$1300, MATCH(X1442, Lookup!$A$2:$A$1300,0))</f>
        <v>#N/A</v>
      </c>
    </row>
    <row r="1443" spans="1:26" ht="28.15" customHeight="1" x14ac:dyDescent="0.2">
      <c r="A1443" s="6" t="s">
        <v>688</v>
      </c>
      <c r="B1443" s="1" t="s">
        <v>688</v>
      </c>
      <c r="T1443" s="10"/>
      <c r="W1443" s="9" t="str">
        <f t="shared" si="78"/>
        <v xml:space="preserve">Urban Districts-contd. </v>
      </c>
      <c r="X1443" s="9" t="e">
        <f>INDEX(Lookup!$A$2:$A$1349, MATCH(W1443, Lookup!$B$2:$B$1349,0))</f>
        <v>#N/A</v>
      </c>
      <c r="Y1443" s="9" t="e">
        <f>INDEX(Lookup!$F$2:$F$1349, MATCH(W1443, Lookup!$B$2:$B$1349,0))</f>
        <v>#N/A</v>
      </c>
      <c r="Z1443" s="6" t="e">
        <f>INDEX(Lookup!$C$2:$C$1300, MATCH(X1443, Lookup!$A$2:$A$1300,0))</f>
        <v>#N/A</v>
      </c>
    </row>
    <row r="1444" spans="1:26" ht="28.15" customHeight="1" x14ac:dyDescent="0.2">
      <c r="A1444" s="6" t="s">
        <v>1206</v>
      </c>
      <c r="B1444" s="1" t="s">
        <v>1206</v>
      </c>
      <c r="C1444" s="2">
        <v>4313</v>
      </c>
      <c r="D1444" s="2">
        <v>218598</v>
      </c>
      <c r="E1444" s="2">
        <v>264</v>
      </c>
      <c r="F1444" s="2">
        <v>31712</v>
      </c>
      <c r="G1444" s="2">
        <v>9</v>
      </c>
      <c r="H1444" s="2">
        <v>2111</v>
      </c>
      <c r="I1444" s="2">
        <v>110</v>
      </c>
      <c r="J1444" s="2">
        <v>8169</v>
      </c>
      <c r="K1444" s="2">
        <v>10</v>
      </c>
      <c r="L1444" s="2">
        <v>2766</v>
      </c>
      <c r="M1444" s="2">
        <v>355</v>
      </c>
      <c r="N1444" s="2">
        <v>11731</v>
      </c>
      <c r="O1444" s="2">
        <v>24</v>
      </c>
      <c r="P1444" s="2">
        <v>63212</v>
      </c>
      <c r="Q1444" s="2">
        <v>177</v>
      </c>
      <c r="R1444" s="2">
        <v>30155</v>
      </c>
      <c r="S1444" s="2">
        <v>368631</v>
      </c>
      <c r="T1444" s="10">
        <f t="shared" si="76"/>
        <v>252421</v>
      </c>
      <c r="U1444" s="8">
        <f t="shared" si="77"/>
        <v>0.68475250318068748</v>
      </c>
      <c r="V1444" s="9" t="s">
        <v>5270</v>
      </c>
      <c r="W1444" s="9" t="str">
        <f t="shared" si="78"/>
        <v>Baildon UD</v>
      </c>
      <c r="X1444" s="9" t="str">
        <f>INDEX(Lookup!$A$2:$A$1349, MATCH(W1444, Lookup!$B$2:$B$1349,0))</f>
        <v>J04000070</v>
      </c>
      <c r="Y1444" s="9" t="str">
        <f>INDEX(Lookup!$F$2:$F$1349, MATCH(W1444, Lookup!$B$2:$B$1349,0))</f>
        <v>e461212</v>
      </c>
      <c r="Z1444" s="6" t="str">
        <f>INDEX(Lookup!$C$2:$C$1300, MATCH(X1444, Lookup!$A$2:$A$1300,0))</f>
        <v>West Yorkshire</v>
      </c>
    </row>
    <row r="1445" spans="1:26" ht="28.15" customHeight="1" x14ac:dyDescent="0.2">
      <c r="A1445" s="6" t="s">
        <v>1207</v>
      </c>
      <c r="B1445" s="1" t="s">
        <v>1207</v>
      </c>
      <c r="C1445" s="2">
        <v>3661</v>
      </c>
      <c r="D1445" s="2">
        <v>132909</v>
      </c>
      <c r="E1445" s="2">
        <v>35</v>
      </c>
      <c r="F1445" s="2">
        <v>4139</v>
      </c>
      <c r="G1445" s="2" t="s">
        <v>5467</v>
      </c>
      <c r="I1445" s="2">
        <v>265</v>
      </c>
      <c r="J1445" s="2">
        <v>17014</v>
      </c>
      <c r="K1445" s="2">
        <v>27</v>
      </c>
      <c r="L1445" s="2">
        <v>1168</v>
      </c>
      <c r="M1445" s="2">
        <v>834</v>
      </c>
      <c r="N1445" s="2">
        <v>14898</v>
      </c>
      <c r="O1445" s="2">
        <v>36</v>
      </c>
      <c r="P1445" s="2">
        <v>71320</v>
      </c>
      <c r="Q1445" s="2">
        <v>806</v>
      </c>
      <c r="R1445" s="2">
        <v>31693</v>
      </c>
      <c r="S1445" s="2">
        <v>273947</v>
      </c>
      <c r="T1445" s="10">
        <f t="shared" si="76"/>
        <v>137048</v>
      </c>
      <c r="U1445" s="8">
        <f t="shared" si="77"/>
        <v>0.50027195041376615</v>
      </c>
      <c r="V1445" s="9" t="s">
        <v>5270</v>
      </c>
      <c r="W1445" s="9" t="str">
        <f t="shared" si="78"/>
        <v>Barnoldswick UD</v>
      </c>
      <c r="X1445" s="9" t="str">
        <f>INDEX(Lookup!$A$2:$A$1349, MATCH(W1445, Lookup!$B$2:$B$1349,0))</f>
        <v>J04000086</v>
      </c>
      <c r="Y1445" s="9" t="str">
        <f>INDEX(Lookup!$F$2:$F$1349, MATCH(W1445, Lookup!$B$2:$B$1349,0))</f>
        <v>e461213</v>
      </c>
      <c r="Z1445" s="6" t="str">
        <f>INDEX(Lookup!$C$2:$C$1300, MATCH(X1445, Lookup!$A$2:$A$1300,0))</f>
        <v>Lancashire</v>
      </c>
    </row>
    <row r="1446" spans="1:26" ht="28.15" customHeight="1" x14ac:dyDescent="0.2">
      <c r="A1446" s="6" t="s">
        <v>1208</v>
      </c>
      <c r="B1446" s="1" t="s">
        <v>5458</v>
      </c>
      <c r="C1446" s="2">
        <v>6843</v>
      </c>
      <c r="D1446" s="2">
        <v>305722</v>
      </c>
      <c r="E1446" s="2">
        <v>18</v>
      </c>
      <c r="F1446" s="2">
        <v>2191</v>
      </c>
      <c r="G1446" s="2">
        <v>2</v>
      </c>
      <c r="H1446" s="2">
        <v>420</v>
      </c>
      <c r="I1446" s="2">
        <v>237</v>
      </c>
      <c r="J1446" s="2">
        <v>21761</v>
      </c>
      <c r="K1446" s="2">
        <v>16</v>
      </c>
      <c r="L1446" s="2">
        <v>760</v>
      </c>
      <c r="M1446" s="2">
        <v>558</v>
      </c>
      <c r="N1446" s="2">
        <v>38071</v>
      </c>
      <c r="O1446" s="2">
        <v>30</v>
      </c>
      <c r="P1446" s="2">
        <v>42178</v>
      </c>
      <c r="Q1446" s="2">
        <v>196</v>
      </c>
      <c r="R1446" s="2">
        <v>99767</v>
      </c>
      <c r="S1446" s="2">
        <v>511066</v>
      </c>
      <c r="T1446" s="10">
        <f t="shared" si="76"/>
        <v>308333</v>
      </c>
      <c r="U1446" s="8">
        <f t="shared" si="77"/>
        <v>0.60331346636246586</v>
      </c>
      <c r="V1446" s="9" t="s">
        <v>5270</v>
      </c>
      <c r="W1446" s="9" t="str">
        <f t="shared" si="78"/>
        <v>Bentley with Arksey UD</v>
      </c>
      <c r="X1446" s="9" t="str">
        <f>INDEX(Lookup!$A$2:$A$1349, MATCH(W1446, Lookup!$B$2:$B$1349,0))</f>
        <v>J04000124</v>
      </c>
      <c r="Y1446" s="9" t="str">
        <f>INDEX(Lookup!$F$2:$F$1349, MATCH(W1446, Lookup!$B$2:$B$1349,0))</f>
        <v>e461215</v>
      </c>
      <c r="Z1446" s="6" t="str">
        <f>INDEX(Lookup!$C$2:$C$1300, MATCH(X1446, Lookup!$A$2:$A$1300,0))</f>
        <v>South Yorkshire</v>
      </c>
    </row>
    <row r="1447" spans="1:26" ht="28.15" customHeight="1" x14ac:dyDescent="0.2">
      <c r="A1447" s="6" t="s">
        <v>1209</v>
      </c>
      <c r="B1447" s="1" t="s">
        <v>1209</v>
      </c>
      <c r="C1447" s="2">
        <v>8028</v>
      </c>
      <c r="D1447" s="2">
        <v>344200</v>
      </c>
      <c r="E1447" s="2">
        <v>431</v>
      </c>
      <c r="F1447" s="2">
        <v>53974</v>
      </c>
      <c r="G1447" s="2">
        <v>11</v>
      </c>
      <c r="H1447" s="2">
        <v>2515</v>
      </c>
      <c r="I1447" s="2">
        <v>407</v>
      </c>
      <c r="J1447" s="2">
        <v>38024</v>
      </c>
      <c r="K1447" s="2">
        <v>45</v>
      </c>
      <c r="L1447" s="2">
        <v>7578</v>
      </c>
      <c r="M1447" s="2">
        <v>841</v>
      </c>
      <c r="N1447" s="2">
        <v>31887</v>
      </c>
      <c r="O1447" s="2">
        <v>119</v>
      </c>
      <c r="P1447" s="2">
        <v>105416</v>
      </c>
      <c r="Q1447" s="2">
        <v>2768</v>
      </c>
      <c r="R1447" s="2">
        <v>96873</v>
      </c>
      <c r="S1447" s="2">
        <v>683235</v>
      </c>
      <c r="T1447" s="10">
        <f t="shared" si="76"/>
        <v>400689</v>
      </c>
      <c r="U1447" s="8">
        <f t="shared" si="77"/>
        <v>0.58645853915563462</v>
      </c>
      <c r="V1447" s="9" t="s">
        <v>5270</v>
      </c>
      <c r="W1447" s="9" t="str">
        <f t="shared" si="78"/>
        <v>Bingley UD</v>
      </c>
      <c r="X1447" s="9" t="str">
        <f>INDEX(Lookup!$A$2:$A$1349, MATCH(W1447, Lookup!$B$2:$B$1349,0))</f>
        <v>J04000148</v>
      </c>
      <c r="Y1447" s="9" t="str">
        <f>INDEX(Lookup!$F$2:$F$1349, MATCH(W1447, Lookup!$B$2:$B$1349,0))</f>
        <v>e461216</v>
      </c>
      <c r="Z1447" s="6" t="str">
        <f>INDEX(Lookup!$C$2:$C$1300, MATCH(X1447, Lookup!$A$2:$A$1300,0))</f>
        <v>West Yorkshire</v>
      </c>
    </row>
    <row r="1448" spans="1:26" ht="28.15" customHeight="1" x14ac:dyDescent="0.2">
      <c r="A1448" s="6" t="s">
        <v>1210</v>
      </c>
      <c r="B1448" s="1" t="s">
        <v>1210</v>
      </c>
      <c r="C1448" s="2">
        <v>7873</v>
      </c>
      <c r="D1448" s="2">
        <v>197933</v>
      </c>
      <c r="E1448" s="2">
        <v>26</v>
      </c>
      <c r="F1448" s="2">
        <v>3339</v>
      </c>
      <c r="G1448" s="2">
        <v>1</v>
      </c>
      <c r="H1448" s="2">
        <v>210</v>
      </c>
      <c r="I1448" s="2">
        <v>283</v>
      </c>
      <c r="J1448" s="2">
        <v>13983</v>
      </c>
      <c r="K1448" s="2">
        <v>20</v>
      </c>
      <c r="L1448" s="2">
        <v>1248</v>
      </c>
      <c r="M1448" s="2">
        <v>1419</v>
      </c>
      <c r="N1448" s="2">
        <v>26145</v>
      </c>
      <c r="O1448" s="2">
        <v>95</v>
      </c>
      <c r="P1448" s="2">
        <v>122219</v>
      </c>
      <c r="Q1448" s="2">
        <v>708</v>
      </c>
      <c r="R1448" s="2">
        <v>91870</v>
      </c>
      <c r="S1448" s="2">
        <v>457655</v>
      </c>
      <c r="T1448" s="10">
        <f t="shared" si="76"/>
        <v>201482</v>
      </c>
      <c r="U1448" s="8">
        <f t="shared" si="77"/>
        <v>0.44024865892429887</v>
      </c>
      <c r="V1448" s="9" t="s">
        <v>5270</v>
      </c>
      <c r="W1448" s="9" t="str">
        <f t="shared" si="78"/>
        <v>Colne Valley UD</v>
      </c>
      <c r="X1448" s="9" t="str">
        <f>INDEX(Lookup!$A$2:$A$1349, MATCH(W1448, Lookup!$B$2:$B$1349,0))</f>
        <v>J04000338</v>
      </c>
      <c r="Y1448" s="9" t="str">
        <f>INDEX(Lookup!$F$2:$F$1349, MATCH(W1448, Lookup!$B$2:$B$1349,0))</f>
        <v>e461219</v>
      </c>
      <c r="Z1448" s="6" t="str">
        <f>INDEX(Lookup!$C$2:$C$1300, MATCH(X1448, Lookup!$A$2:$A$1300,0))</f>
        <v>West Yorkshire</v>
      </c>
    </row>
    <row r="1449" spans="1:26" ht="28.15" customHeight="1" x14ac:dyDescent="0.2">
      <c r="A1449" s="6" t="s">
        <v>1211</v>
      </c>
      <c r="B1449" s="1" t="s">
        <v>1211</v>
      </c>
      <c r="C1449" s="2">
        <v>5025</v>
      </c>
      <c r="D1449" s="2">
        <v>180127</v>
      </c>
      <c r="E1449" s="2">
        <v>20</v>
      </c>
      <c r="F1449" s="2">
        <v>2373</v>
      </c>
      <c r="I1449" s="2">
        <v>204</v>
      </c>
      <c r="J1449" s="2">
        <v>12722</v>
      </c>
      <c r="K1449" s="2">
        <v>34</v>
      </c>
      <c r="L1449" s="2">
        <v>3498</v>
      </c>
      <c r="M1449" s="2">
        <v>563</v>
      </c>
      <c r="N1449" s="2">
        <v>20248</v>
      </c>
      <c r="O1449" s="2">
        <v>15</v>
      </c>
      <c r="P1449" s="2">
        <v>7280</v>
      </c>
      <c r="Q1449" s="2">
        <v>1868</v>
      </c>
      <c r="R1449" s="2">
        <v>78544</v>
      </c>
      <c r="S1449" s="2">
        <v>306660</v>
      </c>
      <c r="T1449" s="10">
        <f t="shared" si="76"/>
        <v>182500</v>
      </c>
      <c r="U1449" s="8">
        <f t="shared" si="77"/>
        <v>0.59512163307898003</v>
      </c>
      <c r="V1449" s="9" t="s">
        <v>5270</v>
      </c>
      <c r="W1449" s="9" t="str">
        <f t="shared" si="78"/>
        <v>Conisbrough UD</v>
      </c>
      <c r="X1449" s="9" t="str">
        <f>INDEX(Lookup!$A$2:$A$1349, MATCH(W1449, Lookup!$B$2:$B$1349,0))</f>
        <v>J04000343</v>
      </c>
      <c r="Y1449" s="9" t="str">
        <f>INDEX(Lookup!$F$2:$F$1349, MATCH(W1449, Lookup!$B$2:$B$1349,0))</f>
        <v>e461220</v>
      </c>
      <c r="Z1449" s="6" t="str">
        <f>INDEX(Lookup!$C$2:$C$1300, MATCH(X1449, Lookup!$A$2:$A$1300,0))</f>
        <v>South Yorkshire</v>
      </c>
    </row>
    <row r="1450" spans="1:26" ht="28.15" customHeight="1" x14ac:dyDescent="0.2">
      <c r="A1450" s="6" t="s">
        <v>1212</v>
      </c>
      <c r="B1450" s="1" t="s">
        <v>1212</v>
      </c>
      <c r="C1450" s="2">
        <v>2708</v>
      </c>
      <c r="D1450" s="2">
        <v>94797</v>
      </c>
      <c r="E1450" s="2">
        <v>6</v>
      </c>
      <c r="F1450" s="2">
        <v>729</v>
      </c>
      <c r="I1450" s="2">
        <v>136</v>
      </c>
      <c r="J1450" s="2">
        <v>10273</v>
      </c>
      <c r="K1450" s="2">
        <v>12</v>
      </c>
      <c r="L1450" s="2">
        <v>568</v>
      </c>
      <c r="M1450" s="2">
        <v>338</v>
      </c>
      <c r="N1450" s="2">
        <v>10286</v>
      </c>
      <c r="O1450" s="2">
        <v>2</v>
      </c>
      <c r="P1450" s="2">
        <v>1400</v>
      </c>
      <c r="Q1450" s="2">
        <v>76</v>
      </c>
      <c r="R1450" s="2">
        <v>42370</v>
      </c>
      <c r="S1450" s="2">
        <v>160499</v>
      </c>
      <c r="T1450" s="10">
        <f t="shared" si="76"/>
        <v>95526</v>
      </c>
      <c r="U1450" s="8">
        <f t="shared" si="77"/>
        <v>0.59518127838802737</v>
      </c>
      <c r="V1450" s="9" t="s">
        <v>5270</v>
      </c>
      <c r="W1450" s="9" t="str">
        <f t="shared" si="78"/>
        <v>Cudworth UD</v>
      </c>
      <c r="X1450" s="9" t="str">
        <f>INDEX(Lookup!$A$2:$A$1349, MATCH(W1450, Lookup!$B$2:$B$1349,0))</f>
        <v>J04000374</v>
      </c>
      <c r="Y1450" s="9" t="str">
        <f>INDEX(Lookup!$F$2:$F$1349, MATCH(W1450, Lookup!$B$2:$B$1349,0))</f>
        <v>e461221</v>
      </c>
      <c r="Z1450" s="6" t="str">
        <f>INDEX(Lookup!$C$2:$C$1300, MATCH(X1450, Lookup!$A$2:$A$1300,0))</f>
        <v>South Yorkshire</v>
      </c>
    </row>
    <row r="1451" spans="1:26" ht="28.15" customHeight="1" x14ac:dyDescent="0.2">
      <c r="A1451" s="6" t="s">
        <v>1213</v>
      </c>
      <c r="B1451" s="1" t="s">
        <v>1213</v>
      </c>
      <c r="C1451" s="2">
        <v>2136</v>
      </c>
      <c r="D1451" s="2">
        <v>80624</v>
      </c>
      <c r="E1451" s="2">
        <v>8</v>
      </c>
      <c r="F1451" s="2">
        <v>929</v>
      </c>
      <c r="I1451" s="2">
        <v>66</v>
      </c>
      <c r="J1451" s="2">
        <v>4438</v>
      </c>
      <c r="K1451" s="2">
        <v>7</v>
      </c>
      <c r="L1451" s="2">
        <v>266</v>
      </c>
      <c r="M1451" s="2">
        <v>269</v>
      </c>
      <c r="N1451" s="2">
        <v>6506</v>
      </c>
      <c r="O1451" s="2">
        <v>3</v>
      </c>
      <c r="P1451" s="2">
        <v>1155</v>
      </c>
      <c r="Q1451" s="2">
        <v>109</v>
      </c>
      <c r="R1451" s="2">
        <v>23130</v>
      </c>
      <c r="S1451" s="2">
        <v>117157</v>
      </c>
      <c r="T1451" s="10">
        <f t="shared" si="76"/>
        <v>81553</v>
      </c>
      <c r="U1451" s="8">
        <f t="shared" si="77"/>
        <v>0.69610010498732466</v>
      </c>
      <c r="V1451" s="9" t="s">
        <v>5270</v>
      </c>
      <c r="W1451" s="9" t="str">
        <f t="shared" si="78"/>
        <v>Darfield UD</v>
      </c>
      <c r="X1451" s="9" t="str">
        <f>INDEX(Lookup!$A$2:$A$1349, MATCH(W1451, Lookup!$B$2:$B$1349,0))</f>
        <v>J04000379</v>
      </c>
      <c r="Y1451" s="9" t="str">
        <f>INDEX(Lookup!$F$2:$F$1349, MATCH(W1451, Lookup!$B$2:$B$1349,0))</f>
        <v>e461222</v>
      </c>
      <c r="Z1451" s="6" t="str">
        <f>INDEX(Lookup!$C$2:$C$1300, MATCH(X1451, Lookup!$A$2:$A$1300,0))</f>
        <v>South Yorkshire</v>
      </c>
    </row>
    <row r="1452" spans="1:26" ht="28.15" customHeight="1" x14ac:dyDescent="0.2">
      <c r="A1452" s="6" t="s">
        <v>1214</v>
      </c>
      <c r="B1452" s="1" t="s">
        <v>1214</v>
      </c>
      <c r="C1452" s="2">
        <v>4558</v>
      </c>
      <c r="D1452" s="2">
        <v>181921</v>
      </c>
      <c r="E1452" s="2">
        <v>35</v>
      </c>
      <c r="F1452" s="2">
        <v>4100</v>
      </c>
      <c r="G1452" s="2" t="s">
        <v>290</v>
      </c>
      <c r="I1452" s="2">
        <v>140</v>
      </c>
      <c r="J1452" s="2">
        <v>9917</v>
      </c>
      <c r="K1452" s="2">
        <v>9</v>
      </c>
      <c r="L1452" s="2">
        <v>280</v>
      </c>
      <c r="M1452" s="2">
        <v>436</v>
      </c>
      <c r="N1452" s="2">
        <v>17086</v>
      </c>
      <c r="O1452" s="2">
        <v>13</v>
      </c>
      <c r="P1452" s="2">
        <v>31880</v>
      </c>
      <c r="Q1452" s="2">
        <v>111</v>
      </c>
      <c r="R1452" s="2">
        <v>81727</v>
      </c>
      <c r="S1452" s="2">
        <v>326302</v>
      </c>
      <c r="T1452" s="10">
        <f t="shared" si="76"/>
        <v>186021</v>
      </c>
      <c r="U1452" s="8">
        <f t="shared" si="77"/>
        <v>0.57008844567302686</v>
      </c>
      <c r="V1452" s="9" t="s">
        <v>5270</v>
      </c>
      <c r="W1452" s="9" t="str">
        <f t="shared" si="78"/>
        <v>Darton UD</v>
      </c>
      <c r="X1452" s="9" t="str">
        <f>INDEX(Lookup!$A$2:$A$1349, MATCH(W1452, Lookup!$B$2:$B$1349,0))</f>
        <v>J04000386</v>
      </c>
      <c r="Y1452" s="9" t="str">
        <f>INDEX(Lookup!$F$2:$F$1349, MATCH(W1452, Lookup!$B$2:$B$1349,0))</f>
        <v>e461223</v>
      </c>
      <c r="Z1452" s="6" t="str">
        <f>INDEX(Lookup!$C$2:$C$1300, MATCH(X1452, Lookup!$A$2:$A$1300,0))</f>
        <v>South Yorkshire</v>
      </c>
    </row>
    <row r="1453" spans="1:26" ht="28.15" customHeight="1" x14ac:dyDescent="0.2">
      <c r="A1453" s="6" t="s">
        <v>1215</v>
      </c>
      <c r="B1453" s="1" t="s">
        <v>1215</v>
      </c>
      <c r="C1453" s="2">
        <v>7648</v>
      </c>
      <c r="D1453" s="2">
        <v>314734</v>
      </c>
      <c r="E1453" s="2">
        <v>12</v>
      </c>
      <c r="F1453" s="2">
        <v>1462</v>
      </c>
      <c r="G1453" s="2" t="s">
        <v>290</v>
      </c>
      <c r="I1453" s="2">
        <v>342</v>
      </c>
      <c r="J1453" s="2">
        <v>34019</v>
      </c>
      <c r="K1453" s="2">
        <v>24</v>
      </c>
      <c r="L1453" s="2">
        <v>1057</v>
      </c>
      <c r="M1453" s="2">
        <v>740</v>
      </c>
      <c r="N1453" s="2">
        <v>22096</v>
      </c>
      <c r="O1453" s="2">
        <v>9</v>
      </c>
      <c r="P1453" s="2">
        <v>7170</v>
      </c>
      <c r="Q1453" s="2">
        <v>486</v>
      </c>
      <c r="R1453" s="2">
        <v>145174</v>
      </c>
      <c r="S1453" s="2">
        <v>526198</v>
      </c>
      <c r="T1453" s="10">
        <f t="shared" si="76"/>
        <v>316196</v>
      </c>
      <c r="U1453" s="8">
        <f t="shared" si="77"/>
        <v>0.60090688296040651</v>
      </c>
      <c r="V1453" s="9" t="s">
        <v>5270</v>
      </c>
      <c r="W1453" s="9" t="str">
        <f t="shared" si="78"/>
        <v>Dearne UD</v>
      </c>
      <c r="X1453" s="9" t="str">
        <f>INDEX(Lookup!$A$2:$A$1349, MATCH(W1453, Lookup!$B$2:$B$1349,0))</f>
        <v>J04000393</v>
      </c>
      <c r="Y1453" s="9" t="str">
        <f>INDEX(Lookup!$F$2:$F$1349, MATCH(W1453, Lookup!$B$2:$B$1349,0))</f>
        <v>e461224</v>
      </c>
      <c r="Z1453" s="6" t="str">
        <f>INDEX(Lookup!$C$2:$C$1300, MATCH(X1453, Lookup!$A$2:$A$1300,0))</f>
        <v>South Yorkshire</v>
      </c>
    </row>
    <row r="1454" spans="1:26" ht="28.15" customHeight="1" x14ac:dyDescent="0.2">
      <c r="A1454" s="6" t="s">
        <v>1216</v>
      </c>
      <c r="B1454" s="1" t="s">
        <v>1216</v>
      </c>
      <c r="C1454" s="2">
        <v>3259</v>
      </c>
      <c r="D1454" s="2">
        <v>86844</v>
      </c>
      <c r="E1454" s="2">
        <v>33</v>
      </c>
      <c r="F1454" s="2">
        <v>4600</v>
      </c>
      <c r="G1454" s="2">
        <v>6</v>
      </c>
      <c r="H1454" s="2">
        <v>1392</v>
      </c>
      <c r="I1454" s="2">
        <v>127</v>
      </c>
      <c r="J1454" s="2">
        <v>6190</v>
      </c>
      <c r="K1454" s="2">
        <v>12</v>
      </c>
      <c r="L1454" s="2">
        <v>489</v>
      </c>
      <c r="M1454" s="2">
        <v>425</v>
      </c>
      <c r="N1454" s="2">
        <v>7271</v>
      </c>
      <c r="O1454" s="2">
        <v>37</v>
      </c>
      <c r="P1454" s="2">
        <v>30578</v>
      </c>
      <c r="Q1454" s="2">
        <v>186</v>
      </c>
      <c r="R1454" s="2">
        <v>39506</v>
      </c>
      <c r="S1454" s="2">
        <v>177056</v>
      </c>
      <c r="T1454" s="10">
        <f t="shared" si="76"/>
        <v>92836</v>
      </c>
      <c r="U1454" s="8">
        <f t="shared" si="77"/>
        <v>0.52433128501716975</v>
      </c>
      <c r="V1454" s="9" t="s">
        <v>5270</v>
      </c>
      <c r="W1454" s="9" t="str">
        <f t="shared" si="78"/>
        <v>Denby Dale UD</v>
      </c>
      <c r="X1454" s="9" t="str">
        <f>INDEX(Lookup!$A$2:$A$1349, MATCH(W1454, Lookup!$B$2:$B$1349,0))</f>
        <v>J04000396</v>
      </c>
      <c r="Y1454" s="9" t="str">
        <f>INDEX(Lookup!$F$2:$F$1349, MATCH(W1454, Lookup!$B$2:$B$1349,0))</f>
        <v>e461225</v>
      </c>
      <c r="Z1454" s="6" t="str">
        <f>INDEX(Lookup!$C$2:$C$1300, MATCH(X1454, Lookup!$A$2:$A$1300,0))</f>
        <v>West Yorkshire</v>
      </c>
    </row>
    <row r="1455" spans="1:26" ht="28.15" customHeight="1" x14ac:dyDescent="0.2">
      <c r="A1455" s="6" t="s">
        <v>1217</v>
      </c>
      <c r="B1455" s="1" t="s">
        <v>1217</v>
      </c>
      <c r="C1455" s="2">
        <v>931</v>
      </c>
      <c r="D1455" s="2">
        <v>27051</v>
      </c>
      <c r="E1455" s="2">
        <v>7</v>
      </c>
      <c r="F1455" s="2">
        <v>784</v>
      </c>
      <c r="G1455" s="2">
        <v>1</v>
      </c>
      <c r="H1455" s="2">
        <v>306</v>
      </c>
      <c r="I1455" s="2">
        <v>45</v>
      </c>
      <c r="J1455" s="2">
        <v>1855</v>
      </c>
      <c r="K1455" s="2">
        <v>2</v>
      </c>
      <c r="L1455" s="2">
        <v>124</v>
      </c>
      <c r="M1455" s="2">
        <v>124</v>
      </c>
      <c r="N1455" s="2">
        <v>4840</v>
      </c>
      <c r="O1455" s="2">
        <v>4</v>
      </c>
      <c r="P1455" s="2">
        <v>15659</v>
      </c>
      <c r="Q1455" s="2">
        <v>21</v>
      </c>
      <c r="R1455" s="2">
        <v>13285</v>
      </c>
      <c r="S1455" s="2">
        <v>326302</v>
      </c>
      <c r="T1455" s="10">
        <f t="shared" si="76"/>
        <v>28141</v>
      </c>
      <c r="U1455" s="8">
        <f t="shared" si="77"/>
        <v>8.624219281524477E-2</v>
      </c>
      <c r="V1455" s="9" t="s">
        <v>5270</v>
      </c>
      <c r="W1455" s="9" t="str">
        <f t="shared" si="78"/>
        <v>Denholme UD</v>
      </c>
      <c r="X1455" s="9" t="str">
        <f>INDEX(Lookup!$A$2:$A$1349, MATCH(W1455, Lookup!$B$2:$B$1349,0))</f>
        <v>J04000397</v>
      </c>
      <c r="Y1455" s="9" t="str">
        <f>INDEX(Lookup!$F$2:$F$1349, MATCH(W1455, Lookup!$B$2:$B$1349,0))</f>
        <v>e461226</v>
      </c>
      <c r="Z1455" s="6" t="str">
        <f>INDEX(Lookup!$C$2:$C$1300, MATCH(X1455, Lookup!$A$2:$A$1300,0))</f>
        <v>West Yorkshire</v>
      </c>
    </row>
    <row r="1456" spans="1:26" ht="28.15" customHeight="1" x14ac:dyDescent="0.2">
      <c r="A1456" s="6" t="s">
        <v>1218</v>
      </c>
      <c r="B1456" s="1" t="s">
        <v>1218</v>
      </c>
      <c r="C1456" s="2">
        <v>1364</v>
      </c>
      <c r="D1456" s="2">
        <v>50351</v>
      </c>
      <c r="E1456" s="2">
        <v>4</v>
      </c>
      <c r="F1456" s="2">
        <v>623</v>
      </c>
      <c r="I1456" s="2">
        <v>37</v>
      </c>
      <c r="J1456" s="2">
        <v>2110</v>
      </c>
      <c r="K1456" s="2">
        <v>7</v>
      </c>
      <c r="L1456" s="2">
        <v>245</v>
      </c>
      <c r="M1456" s="2">
        <v>183</v>
      </c>
      <c r="N1456" s="2">
        <v>4854</v>
      </c>
      <c r="O1456" s="2">
        <v>5</v>
      </c>
      <c r="P1456" s="2">
        <v>2240</v>
      </c>
      <c r="Q1456" s="2">
        <v>60</v>
      </c>
      <c r="R1456" s="2">
        <v>37311</v>
      </c>
      <c r="S1456" s="2">
        <v>526198</v>
      </c>
      <c r="T1456" s="10">
        <f t="shared" si="76"/>
        <v>50974</v>
      </c>
      <c r="U1456" s="8">
        <f t="shared" si="77"/>
        <v>9.6872280016267645E-2</v>
      </c>
      <c r="V1456" s="9" t="s">
        <v>5270</v>
      </c>
      <c r="W1456" s="9" t="str">
        <f t="shared" si="78"/>
        <v>Dodworth UD</v>
      </c>
      <c r="X1456" s="9" t="str">
        <f>INDEX(Lookup!$A$2:$A$1349, MATCH(W1456, Lookup!$B$2:$B$1349,0))</f>
        <v>J04000411</v>
      </c>
      <c r="Y1456" s="9" t="str">
        <f>INDEX(Lookup!$F$2:$F$1349, MATCH(W1456, Lookup!$B$2:$B$1349,0))</f>
        <v>e461227</v>
      </c>
      <c r="Z1456" s="6" t="str">
        <f>INDEX(Lookup!$C$2:$C$1300, MATCH(X1456, Lookup!$A$2:$A$1300,0))</f>
        <v>South Yorkshire</v>
      </c>
    </row>
    <row r="1457" spans="1:26" ht="28.15" customHeight="1" x14ac:dyDescent="0.2">
      <c r="A1457" s="6" t="s">
        <v>1219</v>
      </c>
      <c r="B1457" s="1" t="s">
        <v>1219</v>
      </c>
      <c r="C1457" s="2">
        <v>1785</v>
      </c>
      <c r="D1457" s="2">
        <v>65202</v>
      </c>
      <c r="E1457" s="2">
        <v>7</v>
      </c>
      <c r="F1457" s="2">
        <v>784</v>
      </c>
      <c r="I1457" s="2">
        <v>115</v>
      </c>
      <c r="J1457" s="2">
        <v>5092</v>
      </c>
      <c r="K1457" s="2">
        <v>9</v>
      </c>
      <c r="L1457" s="2">
        <v>416</v>
      </c>
      <c r="M1457" s="2">
        <v>366</v>
      </c>
      <c r="N1457" s="2">
        <v>8721</v>
      </c>
      <c r="O1457" s="2">
        <v>29</v>
      </c>
      <c r="P1457" s="2">
        <v>25280</v>
      </c>
      <c r="Q1457" s="2">
        <v>170</v>
      </c>
      <c r="R1457" s="2">
        <v>11940</v>
      </c>
      <c r="S1457" s="2">
        <v>177056</v>
      </c>
      <c r="T1457" s="10">
        <f t="shared" si="76"/>
        <v>65986</v>
      </c>
      <c r="U1457" s="8">
        <f t="shared" si="77"/>
        <v>0.3726843484547262</v>
      </c>
      <c r="V1457" s="9" t="s">
        <v>5270</v>
      </c>
      <c r="W1457" s="9" t="str">
        <f t="shared" si="78"/>
        <v>Earby UD</v>
      </c>
      <c r="X1457" s="9" t="str">
        <f>INDEX(Lookup!$A$2:$A$1349, MATCH(W1457, Lookup!$B$2:$B$1349,0))</f>
        <v>J04000442</v>
      </c>
      <c r="Y1457" s="9" t="str">
        <f>INDEX(Lookup!$F$2:$F$1349, MATCH(W1457, Lookup!$B$2:$B$1349,0))</f>
        <v>e461228</v>
      </c>
      <c r="Z1457" s="6" t="str">
        <f>INDEX(Lookup!$C$2:$C$1300, MATCH(X1457, Lookup!$A$2:$A$1300,0))</f>
        <v>Lancashire</v>
      </c>
    </row>
    <row r="1458" spans="1:26" ht="28.15" customHeight="1" x14ac:dyDescent="0.2">
      <c r="A1458" s="6" t="s">
        <v>1220</v>
      </c>
      <c r="B1458" s="1" t="s">
        <v>1220</v>
      </c>
      <c r="C1458" s="2">
        <v>6813</v>
      </c>
      <c r="D1458" s="2">
        <v>185295</v>
      </c>
      <c r="E1458" s="2">
        <v>56</v>
      </c>
      <c r="F1458" s="2">
        <v>6762</v>
      </c>
      <c r="I1458" s="2">
        <v>372</v>
      </c>
      <c r="J1458" s="2">
        <v>16516</v>
      </c>
      <c r="K1458" s="2">
        <v>36</v>
      </c>
      <c r="L1458" s="2">
        <v>2661</v>
      </c>
      <c r="M1458" s="2">
        <v>1061</v>
      </c>
      <c r="N1458" s="2">
        <v>32953</v>
      </c>
      <c r="O1458" s="2">
        <v>155</v>
      </c>
      <c r="P1458" s="2">
        <v>129073</v>
      </c>
      <c r="Q1458" s="2">
        <v>1038</v>
      </c>
      <c r="R1458" s="2">
        <v>142473</v>
      </c>
      <c r="S1458" s="2">
        <v>63925</v>
      </c>
      <c r="T1458" s="10">
        <f t="shared" si="76"/>
        <v>192057</v>
      </c>
      <c r="U1458" s="8">
        <f t="shared" si="77"/>
        <v>3.0044114196323819</v>
      </c>
      <c r="V1458" s="9" t="s">
        <v>5270</v>
      </c>
      <c r="W1458" s="9" t="str">
        <f t="shared" si="78"/>
        <v>Elland UD</v>
      </c>
      <c r="X1458" s="9" t="str">
        <f>INDEX(Lookup!$A$2:$A$1349, MATCH(W1458, Lookup!$B$2:$B$1349,0))</f>
        <v>J04000466</v>
      </c>
      <c r="Y1458" s="9" t="str">
        <f>INDEX(Lookup!$F$2:$F$1349, MATCH(W1458, Lookup!$B$2:$B$1349,0))</f>
        <v>e461229</v>
      </c>
      <c r="Z1458" s="6" t="str">
        <f>INDEX(Lookup!$C$2:$C$1300, MATCH(X1458, Lookup!$A$2:$A$1300,0))</f>
        <v>West Yorkshire</v>
      </c>
    </row>
    <row r="1459" spans="1:26" ht="28.15" customHeight="1" x14ac:dyDescent="0.2">
      <c r="A1459" s="6" t="s">
        <v>1221</v>
      </c>
      <c r="B1459" s="1" t="s">
        <v>1221</v>
      </c>
      <c r="C1459" s="2">
        <v>4448</v>
      </c>
      <c r="D1459" s="2">
        <v>153458</v>
      </c>
      <c r="E1459" s="2">
        <v>14</v>
      </c>
      <c r="F1459" s="2">
        <v>1652</v>
      </c>
      <c r="I1459" s="2">
        <v>190</v>
      </c>
      <c r="J1459" s="2">
        <v>12110</v>
      </c>
      <c r="K1459" s="2">
        <v>6</v>
      </c>
      <c r="L1459" s="2">
        <v>278</v>
      </c>
      <c r="M1459" s="2">
        <v>330</v>
      </c>
      <c r="N1459" s="2">
        <v>10172</v>
      </c>
      <c r="O1459" s="2">
        <v>11</v>
      </c>
      <c r="P1459" s="2">
        <v>4945</v>
      </c>
      <c r="Q1459" s="2">
        <v>1606</v>
      </c>
      <c r="R1459" s="2">
        <v>68320</v>
      </c>
      <c r="S1459" s="2">
        <v>97794</v>
      </c>
      <c r="T1459" s="10">
        <f t="shared" si="76"/>
        <v>155110</v>
      </c>
      <c r="U1459" s="8">
        <f t="shared" si="77"/>
        <v>1.5860891261222569</v>
      </c>
      <c r="V1459" s="9" t="s">
        <v>5270</v>
      </c>
      <c r="W1459" s="9" t="str">
        <f t="shared" si="78"/>
        <v>Featherstone UD</v>
      </c>
      <c r="X1459" s="9" t="str">
        <f>INDEX(Lookup!$A$2:$A$1349, MATCH(W1459, Lookup!$B$2:$B$1349,0))</f>
        <v>J04000497</v>
      </c>
      <c r="Y1459" s="9" t="str">
        <f>INDEX(Lookup!$F$2:$F$1349, MATCH(W1459, Lookup!$B$2:$B$1349,0))</f>
        <v>e461230</v>
      </c>
      <c r="Z1459" s="6" t="str">
        <f>INDEX(Lookup!$C$2:$C$1300, MATCH(X1459, Lookup!$A$2:$A$1300,0))</f>
        <v>West Yorkshire</v>
      </c>
    </row>
    <row r="1460" spans="1:26" ht="28.15" customHeight="1" x14ac:dyDescent="0.2">
      <c r="A1460" s="6" t="s">
        <v>1222</v>
      </c>
      <c r="B1460" s="1" t="s">
        <v>1222</v>
      </c>
      <c r="C1460" s="2">
        <v>5080</v>
      </c>
      <c r="D1460" s="2">
        <v>207949</v>
      </c>
      <c r="E1460" s="2">
        <v>47</v>
      </c>
      <c r="F1460" s="2">
        <v>5367</v>
      </c>
      <c r="I1460" s="2">
        <v>184</v>
      </c>
      <c r="J1460" s="2">
        <v>16825</v>
      </c>
      <c r="K1460" s="2">
        <v>15</v>
      </c>
      <c r="L1460" s="2">
        <v>4410</v>
      </c>
      <c r="M1460" s="2">
        <v>322</v>
      </c>
      <c r="N1460" s="2">
        <v>17083</v>
      </c>
      <c r="O1460" s="2">
        <v>7</v>
      </c>
      <c r="P1460" s="2">
        <v>2926</v>
      </c>
      <c r="Q1460" s="2">
        <v>1682</v>
      </c>
      <c r="R1460" s="2">
        <v>42888</v>
      </c>
      <c r="S1460" s="2">
        <v>117605</v>
      </c>
      <c r="T1460" s="10">
        <f t="shared" si="76"/>
        <v>213316</v>
      </c>
      <c r="U1460" s="8">
        <f t="shared" si="77"/>
        <v>1.8138344458143787</v>
      </c>
      <c r="V1460" s="9" t="s">
        <v>5270</v>
      </c>
      <c r="W1460" s="9" t="str">
        <f t="shared" si="78"/>
        <v>Garforth UD</v>
      </c>
      <c r="X1460" s="9" t="str">
        <f>INDEX(Lookup!$A$2:$A$1349, MATCH(W1460, Lookup!$B$2:$B$1349,0))</f>
        <v>J04000526</v>
      </c>
      <c r="Y1460" s="9" t="str">
        <f>INDEX(Lookup!$F$2:$F$1349, MATCH(W1460, Lookup!$B$2:$B$1349,0))</f>
        <v>e461231</v>
      </c>
      <c r="Z1460" s="6" t="str">
        <f>INDEX(Lookup!$C$2:$C$1300, MATCH(X1460, Lookup!$A$2:$A$1300,0))</f>
        <v>West Yorkshire</v>
      </c>
    </row>
    <row r="1461" spans="1:26" ht="28.15" customHeight="1" x14ac:dyDescent="0.2">
      <c r="A1461" s="6" t="s">
        <v>1223</v>
      </c>
      <c r="B1461" s="1" t="s">
        <v>1223</v>
      </c>
      <c r="C1461" s="2">
        <v>3650</v>
      </c>
      <c r="D1461" s="2">
        <v>95620</v>
      </c>
      <c r="E1461" s="2">
        <v>36</v>
      </c>
      <c r="F1461" s="2">
        <v>4784</v>
      </c>
      <c r="I1461" s="2">
        <v>236</v>
      </c>
      <c r="J1461" s="2">
        <v>14273</v>
      </c>
      <c r="K1461" s="2">
        <v>25</v>
      </c>
      <c r="L1461" s="2">
        <v>875</v>
      </c>
      <c r="M1461" s="2">
        <v>689</v>
      </c>
      <c r="N1461" s="2">
        <v>18806</v>
      </c>
      <c r="O1461" s="2">
        <v>94</v>
      </c>
      <c r="P1461" s="2">
        <v>53642</v>
      </c>
      <c r="Q1461" s="2">
        <v>812</v>
      </c>
      <c r="R1461" s="2">
        <v>38965</v>
      </c>
      <c r="S1461" s="2">
        <v>516771</v>
      </c>
      <c r="T1461" s="10">
        <f t="shared" si="76"/>
        <v>100404</v>
      </c>
      <c r="U1461" s="8">
        <f t="shared" si="77"/>
        <v>0.19429108831571432</v>
      </c>
      <c r="V1461" s="9" t="s">
        <v>5270</v>
      </c>
      <c r="W1461" s="9" t="str">
        <f t="shared" si="78"/>
        <v>Hebden Royd UD</v>
      </c>
      <c r="X1461" s="9" t="str">
        <f>INDEX(Lookup!$A$2:$A$1349, MATCH(W1461, Lookup!$B$2:$B$1349,0))</f>
        <v>J04000598</v>
      </c>
      <c r="Y1461" s="9" t="str">
        <f>INDEX(Lookup!$F$2:$F$1349, MATCH(W1461, Lookup!$B$2:$B$1349,0))</f>
        <v>e461234</v>
      </c>
      <c r="Z1461" s="6" t="str">
        <f>INDEX(Lookup!$C$2:$C$1300, MATCH(X1461, Lookup!$A$2:$A$1300,0))</f>
        <v>West Yorkshire</v>
      </c>
    </row>
    <row r="1462" spans="1:26" ht="28.15" customHeight="1" x14ac:dyDescent="0.2">
      <c r="A1462" s="6" t="s">
        <v>1224</v>
      </c>
      <c r="B1462" s="1" t="s">
        <v>1224</v>
      </c>
      <c r="C1462" s="2">
        <v>3181</v>
      </c>
      <c r="D1462" s="2">
        <v>92244</v>
      </c>
      <c r="E1462" s="2">
        <v>17</v>
      </c>
      <c r="F1462" s="2">
        <v>1930</v>
      </c>
      <c r="I1462" s="2">
        <v>217</v>
      </c>
      <c r="J1462" s="2">
        <v>23750</v>
      </c>
      <c r="K1462" s="2">
        <v>31</v>
      </c>
      <c r="L1462" s="2">
        <v>1176</v>
      </c>
      <c r="M1462" s="2">
        <v>458</v>
      </c>
      <c r="N1462" s="2">
        <v>12762</v>
      </c>
      <c r="O1462" s="2">
        <v>74</v>
      </c>
      <c r="P1462" s="2">
        <v>50907</v>
      </c>
      <c r="Q1462" s="2">
        <v>765</v>
      </c>
      <c r="R1462" s="2">
        <v>25077</v>
      </c>
      <c r="S1462" s="2">
        <v>52541</v>
      </c>
      <c r="T1462" s="10">
        <f t="shared" si="76"/>
        <v>94174</v>
      </c>
      <c r="U1462" s="8">
        <f t="shared" si="77"/>
        <v>1.7923907044022762</v>
      </c>
      <c r="V1462" s="9" t="s">
        <v>5270</v>
      </c>
      <c r="W1462" s="9" t="str">
        <f t="shared" si="78"/>
        <v>Heckmondwike UD</v>
      </c>
      <c r="X1462" s="9" t="str">
        <f>INDEX(Lookup!$A$2:$A$1349, MATCH(W1462, Lookup!$B$2:$B$1349,0))</f>
        <v>J04000599</v>
      </c>
      <c r="Y1462" s="9" t="str">
        <f>INDEX(Lookup!$F$2:$F$1349, MATCH(W1462, Lookup!$B$2:$B$1349,0))</f>
        <v>e461235</v>
      </c>
      <c r="Z1462" s="6" t="str">
        <f>INDEX(Lookup!$C$2:$C$1300, MATCH(X1462, Lookup!$A$2:$A$1300,0))</f>
        <v>West Yorkshire</v>
      </c>
    </row>
    <row r="1463" spans="1:26" ht="28.15" customHeight="1" x14ac:dyDescent="0.2">
      <c r="A1463" s="6" t="s">
        <v>1225</v>
      </c>
      <c r="B1463" s="1" t="s">
        <v>1225</v>
      </c>
      <c r="C1463" s="2">
        <v>4093</v>
      </c>
      <c r="D1463" s="2">
        <v>148418</v>
      </c>
      <c r="E1463" s="2">
        <v>19</v>
      </c>
      <c r="F1463" s="2">
        <v>2174</v>
      </c>
      <c r="I1463" s="2">
        <v>169</v>
      </c>
      <c r="J1463" s="2">
        <v>16200</v>
      </c>
      <c r="K1463" s="2">
        <v>26</v>
      </c>
      <c r="L1463" s="2">
        <v>1582</v>
      </c>
      <c r="M1463" s="2">
        <v>316</v>
      </c>
      <c r="N1463" s="2">
        <v>11243</v>
      </c>
      <c r="O1463" s="2">
        <v>7</v>
      </c>
      <c r="P1463" s="2">
        <v>4355</v>
      </c>
      <c r="Q1463" s="2">
        <v>1657</v>
      </c>
      <c r="R1463" s="2">
        <v>58072</v>
      </c>
      <c r="S1463" s="2">
        <v>299130</v>
      </c>
      <c r="T1463" s="10">
        <f t="shared" si="76"/>
        <v>150592</v>
      </c>
      <c r="U1463" s="8">
        <f t="shared" si="77"/>
        <v>0.50343328987396785</v>
      </c>
      <c r="V1463" s="9" t="s">
        <v>5270</v>
      </c>
      <c r="W1463" s="9" t="str">
        <f t="shared" si="78"/>
        <v>Hemsworth UD</v>
      </c>
      <c r="X1463" s="9" t="str">
        <f>INDEX(Lookup!$A$2:$A$1349, MATCH(W1463, Lookup!$B$2:$B$1349,0))</f>
        <v>J04000606</v>
      </c>
      <c r="Y1463" s="9" t="str">
        <f>INDEX(Lookup!$F$2:$F$1349, MATCH(W1463, Lookup!$B$2:$B$1349,0))</f>
        <v>e461236</v>
      </c>
      <c r="Z1463" s="6" t="str">
        <f>INDEX(Lookup!$C$2:$C$1300, MATCH(X1463, Lookup!$A$2:$A$1300,0))</f>
        <v>West Yorkshire</v>
      </c>
    </row>
    <row r="1464" spans="1:26" ht="28.15" customHeight="1" x14ac:dyDescent="0.2">
      <c r="A1464" s="6" t="s">
        <v>1226</v>
      </c>
      <c r="B1464" s="1" t="s">
        <v>1226</v>
      </c>
      <c r="C1464" s="2">
        <v>6570</v>
      </c>
      <c r="D1464" s="2">
        <v>193098</v>
      </c>
      <c r="E1464" s="2">
        <v>111</v>
      </c>
      <c r="F1464" s="2">
        <v>14677</v>
      </c>
      <c r="G1464" s="2">
        <v>10</v>
      </c>
      <c r="H1464" s="2">
        <v>2658</v>
      </c>
      <c r="I1464" s="2">
        <v>252</v>
      </c>
      <c r="J1464" s="2">
        <v>12743</v>
      </c>
      <c r="K1464" s="2">
        <v>25</v>
      </c>
      <c r="L1464" s="2">
        <v>840</v>
      </c>
      <c r="M1464" s="2">
        <v>999</v>
      </c>
      <c r="N1464" s="2">
        <v>22459</v>
      </c>
      <c r="O1464" s="2">
        <v>114</v>
      </c>
      <c r="P1464" s="2">
        <v>100314</v>
      </c>
      <c r="Q1464" s="2">
        <v>2785</v>
      </c>
      <c r="R1464" s="2">
        <v>79134</v>
      </c>
      <c r="S1464" s="2">
        <v>227777</v>
      </c>
      <c r="T1464" s="10">
        <f t="shared" si="76"/>
        <v>210433</v>
      </c>
      <c r="U1464" s="8">
        <f t="shared" si="77"/>
        <v>0.92385534974997474</v>
      </c>
      <c r="V1464" s="9" t="s">
        <v>5270</v>
      </c>
      <c r="W1464" s="9" t="str">
        <f t="shared" si="78"/>
        <v>Holmfirth UD</v>
      </c>
      <c r="X1464" s="9" t="str">
        <f>INDEX(Lookup!$A$2:$A$1349, MATCH(W1464, Lookup!$B$2:$B$1349,0))</f>
        <v>J04000633</v>
      </c>
      <c r="Y1464" s="9" t="str">
        <f>INDEX(Lookup!$F$2:$F$1349, MATCH(W1464, Lookup!$B$2:$B$1349,0))</f>
        <v>e461237</v>
      </c>
      <c r="Z1464" s="6" t="str">
        <f>INDEX(Lookup!$C$2:$C$1300, MATCH(X1464, Lookup!$A$2:$A$1300,0))</f>
        <v>West Yorkshire</v>
      </c>
    </row>
    <row r="1465" spans="1:26" ht="28.15" customHeight="1" x14ac:dyDescent="0.2">
      <c r="A1465" s="6" t="s">
        <v>1227</v>
      </c>
      <c r="B1465" s="1" t="s">
        <v>1227</v>
      </c>
      <c r="C1465" s="2">
        <v>3043</v>
      </c>
      <c r="D1465" s="2">
        <v>113226</v>
      </c>
      <c r="E1465" s="2">
        <v>53</v>
      </c>
      <c r="F1465" s="2">
        <v>6491</v>
      </c>
      <c r="G1465" s="2">
        <v>3</v>
      </c>
      <c r="H1465" s="2">
        <v>1618</v>
      </c>
      <c r="I1465" s="2">
        <v>132</v>
      </c>
      <c r="J1465" s="2">
        <v>9005</v>
      </c>
      <c r="K1465" s="2">
        <v>7</v>
      </c>
      <c r="L1465" s="2">
        <v>209</v>
      </c>
      <c r="M1465" s="2">
        <v>308</v>
      </c>
      <c r="N1465" s="2">
        <v>7392</v>
      </c>
      <c r="O1465" s="2">
        <v>32</v>
      </c>
      <c r="P1465" s="2">
        <v>58123</v>
      </c>
      <c r="Q1465" s="2">
        <v>375</v>
      </c>
      <c r="R1465" s="2">
        <v>25648</v>
      </c>
      <c r="S1465" s="2">
        <v>208611</v>
      </c>
      <c r="T1465" s="10">
        <f t="shared" si="76"/>
        <v>121335</v>
      </c>
      <c r="U1465" s="8">
        <f t="shared" si="77"/>
        <v>0.58163279980442062</v>
      </c>
      <c r="V1465" s="9" t="s">
        <v>5270</v>
      </c>
      <c r="W1465" s="9" t="str">
        <f t="shared" si="78"/>
        <v>Horbury UD</v>
      </c>
      <c r="X1465" s="9" t="str">
        <f>INDEX(Lookup!$A$2:$A$1349, MATCH(W1465, Lookup!$B$2:$B$1349,0))</f>
        <v>J04000641</v>
      </c>
      <c r="Y1465" s="9" t="str">
        <f>INDEX(Lookup!$F$2:$F$1349, MATCH(W1465, Lookup!$B$2:$B$1349,0))</f>
        <v>e461238</v>
      </c>
      <c r="Z1465" s="6" t="str">
        <f>INDEX(Lookup!$C$2:$C$1300, MATCH(X1465, Lookup!$A$2:$A$1300,0))</f>
        <v>West Yorkshire</v>
      </c>
    </row>
    <row r="1466" spans="1:26" ht="28.15" customHeight="1" x14ac:dyDescent="0.2">
      <c r="A1466" s="6" t="s">
        <v>1228</v>
      </c>
      <c r="B1466" s="1" t="s">
        <v>1228</v>
      </c>
      <c r="C1466" s="2">
        <v>5103</v>
      </c>
      <c r="D1466" s="2">
        <v>266216</v>
      </c>
      <c r="E1466" s="2">
        <v>328</v>
      </c>
      <c r="F1466" s="2">
        <v>39340</v>
      </c>
      <c r="G1466" s="2">
        <v>6</v>
      </c>
      <c r="H1466" s="2">
        <v>2573</v>
      </c>
      <c r="I1466" s="2">
        <v>230</v>
      </c>
      <c r="J1466" s="2">
        <v>21258</v>
      </c>
      <c r="K1466" s="2">
        <v>32</v>
      </c>
      <c r="L1466" s="2">
        <v>2350</v>
      </c>
      <c r="M1466" s="2">
        <v>457</v>
      </c>
      <c r="N1466" s="2">
        <v>17393</v>
      </c>
      <c r="O1466" s="2">
        <v>31</v>
      </c>
      <c r="P1466" s="2">
        <v>69856</v>
      </c>
      <c r="Q1466" s="2">
        <v>995</v>
      </c>
      <c r="R1466" s="2">
        <v>44909</v>
      </c>
      <c r="S1466" s="2">
        <v>243701</v>
      </c>
      <c r="T1466" s="10">
        <f t="shared" si="76"/>
        <v>308129</v>
      </c>
      <c r="U1466" s="8">
        <f t="shared" si="77"/>
        <v>1.2643731457811007</v>
      </c>
      <c r="V1466" s="9" t="s">
        <v>5270</v>
      </c>
      <c r="W1466" s="9" t="str">
        <f t="shared" si="78"/>
        <v>Horsforth UD</v>
      </c>
      <c r="X1466" s="9" t="str">
        <f>INDEX(Lookup!$A$2:$A$1349, MATCH(W1466, Lookup!$B$2:$B$1349,0))</f>
        <v>J04000647</v>
      </c>
      <c r="Y1466" s="9" t="str">
        <f>INDEX(Lookup!$F$2:$F$1349, MATCH(W1466, Lookup!$B$2:$B$1349,0))</f>
        <v>e461239</v>
      </c>
      <c r="Z1466" s="6" t="str">
        <f>INDEX(Lookup!$C$2:$C$1300, MATCH(X1466, Lookup!$A$2:$A$1300,0))</f>
        <v>West Yorkshire</v>
      </c>
    </row>
    <row r="1467" spans="1:26" ht="28.15" customHeight="1" x14ac:dyDescent="0.2">
      <c r="A1467" s="6" t="s">
        <v>1229</v>
      </c>
      <c r="B1467" s="1" t="s">
        <v>1229</v>
      </c>
      <c r="C1467" s="2">
        <v>4998</v>
      </c>
      <c r="D1467" s="2">
        <v>181440</v>
      </c>
      <c r="E1467" s="2">
        <v>21</v>
      </c>
      <c r="F1467" s="2">
        <v>2385</v>
      </c>
      <c r="I1467" s="2">
        <v>229</v>
      </c>
      <c r="J1467" s="2">
        <v>20235</v>
      </c>
      <c r="K1467" s="2">
        <v>13</v>
      </c>
      <c r="L1467" s="2">
        <v>933</v>
      </c>
      <c r="M1467" s="2">
        <v>561</v>
      </c>
      <c r="N1467" s="2">
        <v>17316</v>
      </c>
      <c r="O1467" s="2">
        <v>10</v>
      </c>
      <c r="P1467" s="2">
        <v>5095</v>
      </c>
      <c r="Q1467" s="2">
        <v>299</v>
      </c>
      <c r="R1467" s="2">
        <v>84124</v>
      </c>
      <c r="S1467" s="2">
        <v>428708</v>
      </c>
      <c r="T1467" s="10">
        <f t="shared" si="76"/>
        <v>183825</v>
      </c>
      <c r="U1467" s="8">
        <f t="shared" si="77"/>
        <v>0.42878835944279092</v>
      </c>
      <c r="V1467" s="9" t="s">
        <v>5270</v>
      </c>
      <c r="W1467" s="9" t="str">
        <f t="shared" si="78"/>
        <v>Hoyland Nether UD</v>
      </c>
      <c r="X1467" s="9" t="str">
        <f>INDEX(Lookup!$A$2:$A$1349, MATCH(W1467, Lookup!$B$2:$B$1349,0))</f>
        <v>J04000655</v>
      </c>
      <c r="Y1467" s="9" t="str">
        <f>INDEX(Lookup!$F$2:$F$1349, MATCH(W1467, Lookup!$B$2:$B$1349,0))</f>
        <v>e461240</v>
      </c>
      <c r="Z1467" s="6" t="str">
        <f>INDEX(Lookup!$C$2:$C$1300, MATCH(X1467, Lookup!$A$2:$A$1300,0))</f>
        <v>South Yorkshire</v>
      </c>
    </row>
    <row r="1468" spans="1:26" ht="28.15" customHeight="1" x14ac:dyDescent="0.2">
      <c r="A1468" s="6" t="s">
        <v>1230</v>
      </c>
      <c r="B1468" s="1" t="s">
        <v>1230</v>
      </c>
      <c r="C1468" s="2">
        <v>5241</v>
      </c>
      <c r="D1468" s="2">
        <v>267508</v>
      </c>
      <c r="E1468" s="2">
        <v>850</v>
      </c>
      <c r="F1468" s="2">
        <v>108844</v>
      </c>
      <c r="G1468" s="2">
        <v>93</v>
      </c>
      <c r="H1468" s="2">
        <v>23554</v>
      </c>
      <c r="I1468" s="2">
        <v>334</v>
      </c>
      <c r="J1468" s="2">
        <v>39312</v>
      </c>
      <c r="K1468" s="2">
        <v>46</v>
      </c>
      <c r="L1468" s="2">
        <v>4048</v>
      </c>
      <c r="M1468" s="2">
        <v>467</v>
      </c>
      <c r="N1468" s="2">
        <v>34075</v>
      </c>
      <c r="O1468" s="2">
        <v>16</v>
      </c>
      <c r="P1468" s="2">
        <v>13770</v>
      </c>
      <c r="Q1468" s="2">
        <v>7148</v>
      </c>
      <c r="R1468" s="2">
        <v>64724</v>
      </c>
      <c r="S1468" s="2">
        <v>221111</v>
      </c>
      <c r="T1468" s="10">
        <f t="shared" si="76"/>
        <v>399906</v>
      </c>
      <c r="U1468" s="8">
        <f t="shared" si="77"/>
        <v>1.8086210093572912</v>
      </c>
      <c r="V1468" s="9" t="s">
        <v>5270</v>
      </c>
      <c r="W1468" s="9" t="str">
        <f t="shared" si="78"/>
        <v>Ilkley UD</v>
      </c>
      <c r="X1468" s="9" t="str">
        <f>INDEX(Lookup!$A$2:$A$1349, MATCH(W1468, Lookup!$B$2:$B$1349,0))</f>
        <v>J04000668</v>
      </c>
      <c r="Y1468" s="9" t="str">
        <f>INDEX(Lookup!$F$2:$F$1349, MATCH(W1468, Lookup!$B$2:$B$1349,0))</f>
        <v>e461241</v>
      </c>
      <c r="Z1468" s="6" t="str">
        <f>INDEX(Lookup!$C$2:$C$1300, MATCH(X1468, Lookup!$A$2:$A$1300,0))</f>
        <v>West Yorkshire</v>
      </c>
    </row>
    <row r="1469" spans="1:26" ht="28.15" customHeight="1" x14ac:dyDescent="0.2">
      <c r="A1469" s="6" t="s">
        <v>1231</v>
      </c>
      <c r="B1469" s="1" t="s">
        <v>1231</v>
      </c>
      <c r="C1469" s="2">
        <v>5459</v>
      </c>
      <c r="D1469" s="2">
        <v>162596</v>
      </c>
      <c r="E1469" s="2">
        <v>55</v>
      </c>
      <c r="F1469" s="2">
        <v>7299</v>
      </c>
      <c r="G1469" s="2">
        <v>6</v>
      </c>
      <c r="H1469" s="2">
        <v>1618</v>
      </c>
      <c r="I1469" s="2">
        <v>180</v>
      </c>
      <c r="J1469" s="2">
        <v>6999</v>
      </c>
      <c r="K1469" s="2">
        <v>12</v>
      </c>
      <c r="L1469" s="2">
        <v>403</v>
      </c>
      <c r="M1469" s="2">
        <v>809</v>
      </c>
      <c r="N1469" s="2">
        <v>18836</v>
      </c>
      <c r="O1469" s="2">
        <v>59</v>
      </c>
      <c r="P1469" s="2">
        <v>41110</v>
      </c>
      <c r="Q1469" s="2">
        <v>17126</v>
      </c>
      <c r="R1469" s="2">
        <v>48773</v>
      </c>
      <c r="S1469" s="2">
        <v>463753</v>
      </c>
      <c r="T1469" s="10">
        <f t="shared" si="76"/>
        <v>171513</v>
      </c>
      <c r="U1469" s="8">
        <f t="shared" si="77"/>
        <v>0.3698369606234353</v>
      </c>
      <c r="V1469" s="9" t="s">
        <v>5270</v>
      </c>
      <c r="W1469" s="9" t="str">
        <f t="shared" si="78"/>
        <v>Kirkburton UD</v>
      </c>
      <c r="X1469" s="9" t="str">
        <f>INDEX(Lookup!$A$2:$A$1349, MATCH(W1469, Lookup!$B$2:$B$1349,0))</f>
        <v>J04000704</v>
      </c>
      <c r="Y1469" s="9" t="str">
        <f>INDEX(Lookup!$F$2:$F$1349, MATCH(W1469, Lookup!$B$2:$B$1349,0))</f>
        <v>e461243</v>
      </c>
      <c r="Z1469" s="6" t="str">
        <f>INDEX(Lookup!$C$2:$C$1300, MATCH(X1469, Lookup!$A$2:$A$1300,0))</f>
        <v>West Yorkshire</v>
      </c>
    </row>
    <row r="1470" spans="1:26" ht="28.15" customHeight="1" x14ac:dyDescent="0.2">
      <c r="A1470" s="6" t="s">
        <v>1232</v>
      </c>
      <c r="B1470" s="1" t="s">
        <v>1232</v>
      </c>
      <c r="C1470" s="2">
        <v>2909</v>
      </c>
      <c r="D1470" s="2">
        <v>151610</v>
      </c>
      <c r="E1470" s="2">
        <v>186</v>
      </c>
      <c r="F1470" s="2">
        <v>22365</v>
      </c>
      <c r="G1470" s="2">
        <v>10</v>
      </c>
      <c r="H1470" s="2">
        <v>1436</v>
      </c>
      <c r="I1470" s="2">
        <v>210</v>
      </c>
      <c r="J1470" s="2">
        <v>26317</v>
      </c>
      <c r="K1470" s="2">
        <v>24</v>
      </c>
      <c r="L1470" s="2">
        <v>1842</v>
      </c>
      <c r="M1470" s="2">
        <v>311</v>
      </c>
      <c r="N1470" s="2">
        <v>18760</v>
      </c>
      <c r="O1470" s="2">
        <v>11</v>
      </c>
      <c r="P1470" s="2">
        <v>2255</v>
      </c>
      <c r="Q1470" s="2">
        <v>4215</v>
      </c>
      <c r="R1470" s="2">
        <v>26987</v>
      </c>
      <c r="S1470" s="2">
        <v>311827</v>
      </c>
      <c r="T1470" s="10">
        <f t="shared" si="76"/>
        <v>175411</v>
      </c>
      <c r="U1470" s="8">
        <f t="shared" si="77"/>
        <v>0.56252665740939689</v>
      </c>
      <c r="V1470" s="9" t="s">
        <v>5270</v>
      </c>
      <c r="W1470" s="9" t="str">
        <f t="shared" si="78"/>
        <v>Knaresborough UD</v>
      </c>
      <c r="X1470" s="9" t="str">
        <f>INDEX(Lookup!$A$2:$A$1349, MATCH(W1470, Lookup!$B$2:$B$1349,0))</f>
        <v>J04000710</v>
      </c>
      <c r="Y1470" s="9" t="str">
        <f>INDEX(Lookup!$F$2:$F$1349, MATCH(W1470, Lookup!$B$2:$B$1349,0))</f>
        <v>e461244</v>
      </c>
      <c r="Z1470" s="6" t="str">
        <f>INDEX(Lookup!$C$2:$C$1300, MATCH(X1470, Lookup!$A$2:$A$1300,0))</f>
        <v>North Yorkshire</v>
      </c>
    </row>
    <row r="1471" spans="1:26" ht="28.15" customHeight="1" x14ac:dyDescent="0.2">
      <c r="A1471" s="6" t="s">
        <v>1233</v>
      </c>
      <c r="B1471" s="1" t="s">
        <v>1233</v>
      </c>
      <c r="C1471" s="2">
        <v>3437</v>
      </c>
      <c r="D1471" s="2">
        <v>147458</v>
      </c>
      <c r="E1471" s="2">
        <v>19</v>
      </c>
      <c r="F1471" s="2">
        <v>2184</v>
      </c>
      <c r="I1471" s="2">
        <v>159</v>
      </c>
      <c r="J1471" s="2">
        <v>10809</v>
      </c>
      <c r="K1471" s="2">
        <v>19</v>
      </c>
      <c r="L1471" s="2">
        <v>1139</v>
      </c>
      <c r="M1471" s="2">
        <v>283</v>
      </c>
      <c r="N1471" s="2">
        <v>18367</v>
      </c>
      <c r="O1471" s="2">
        <v>37</v>
      </c>
      <c r="P1471" s="2">
        <v>135865</v>
      </c>
      <c r="Q1471" s="2">
        <v>360</v>
      </c>
      <c r="R1471" s="2">
        <v>228084</v>
      </c>
      <c r="S1471" s="2">
        <v>562983</v>
      </c>
      <c r="T1471" s="10">
        <f t="shared" si="76"/>
        <v>149642</v>
      </c>
      <c r="U1471" s="8">
        <f t="shared" si="77"/>
        <v>0.26580198691612356</v>
      </c>
      <c r="V1471" s="9" t="s">
        <v>5270</v>
      </c>
      <c r="W1471" s="9" t="str">
        <f t="shared" si="78"/>
        <v>Knottingley UD</v>
      </c>
      <c r="X1471" s="9" t="str">
        <f>INDEX(Lookup!$A$2:$A$1349, MATCH(W1471, Lookup!$B$2:$B$1349,0))</f>
        <v>J04000713</v>
      </c>
      <c r="Y1471" s="9" t="str">
        <f>INDEX(Lookup!$F$2:$F$1349, MATCH(W1471, Lookup!$B$2:$B$1349,0))</f>
        <v>e461245</v>
      </c>
      <c r="Z1471" s="6" t="str">
        <f>INDEX(Lookup!$C$2:$C$1300, MATCH(X1471, Lookup!$A$2:$A$1300,0))</f>
        <v>West Yorkshire</v>
      </c>
    </row>
    <row r="1472" spans="1:26" ht="28.15" customHeight="1" x14ac:dyDescent="0.2">
      <c r="A1472" s="6" t="s">
        <v>1234</v>
      </c>
      <c r="B1472" s="1" t="s">
        <v>1234</v>
      </c>
      <c r="C1472" s="2">
        <v>3811</v>
      </c>
      <c r="D1472" s="2">
        <v>167094</v>
      </c>
      <c r="E1472" s="2">
        <v>22</v>
      </c>
      <c r="F1472" s="2">
        <v>2768</v>
      </c>
      <c r="G1472" s="2">
        <v>1</v>
      </c>
      <c r="H1472" s="2">
        <v>388</v>
      </c>
      <c r="I1472" s="2">
        <v>146</v>
      </c>
      <c r="J1472" s="2">
        <v>19737</v>
      </c>
      <c r="K1472" s="2">
        <v>11</v>
      </c>
      <c r="L1472" s="2">
        <v>647</v>
      </c>
      <c r="M1472" s="2">
        <v>309</v>
      </c>
      <c r="N1472" s="2">
        <v>13144</v>
      </c>
      <c r="O1472" s="2">
        <v>7</v>
      </c>
      <c r="P1472" s="2">
        <v>26695</v>
      </c>
      <c r="Q1472" s="2">
        <v>588</v>
      </c>
      <c r="R1472" s="2">
        <v>86140</v>
      </c>
      <c r="S1472" s="2">
        <v>301760</v>
      </c>
      <c r="T1472" s="10">
        <f t="shared" si="76"/>
        <v>170250</v>
      </c>
      <c r="U1472" s="8">
        <f t="shared" si="77"/>
        <v>0.56419008483563093</v>
      </c>
      <c r="V1472" s="9" t="s">
        <v>5270</v>
      </c>
      <c r="W1472" s="9" t="str">
        <f t="shared" si="78"/>
        <v>Maltby UD</v>
      </c>
      <c r="X1472" s="9" t="str">
        <f>INDEX(Lookup!$A$2:$A$1349, MATCH(W1472, Lookup!$B$2:$B$1349,0))</f>
        <v>J04000817</v>
      </c>
      <c r="Y1472" s="9" t="str">
        <f>INDEX(Lookup!$F$2:$F$1349, MATCH(W1472, Lookup!$B$2:$B$1349,0))</f>
        <v>e461246</v>
      </c>
      <c r="Z1472" s="6" t="str">
        <f>INDEX(Lookup!$C$2:$C$1300, MATCH(X1472, Lookup!$A$2:$A$1300,0))</f>
        <v>South Yorkshire</v>
      </c>
    </row>
    <row r="1473" spans="1:26" ht="28.15" customHeight="1" x14ac:dyDescent="0.2">
      <c r="A1473" s="6" t="s">
        <v>1235</v>
      </c>
      <c r="B1473" s="1" t="s">
        <v>1235</v>
      </c>
      <c r="C1473" s="2">
        <v>1917</v>
      </c>
      <c r="D1473" s="2">
        <v>61114</v>
      </c>
      <c r="E1473" s="2">
        <v>17</v>
      </c>
      <c r="F1473" s="2">
        <v>2311</v>
      </c>
      <c r="G1473" s="2">
        <v>4</v>
      </c>
      <c r="H1473" s="2">
        <v>1025</v>
      </c>
      <c r="I1473" s="2">
        <v>62</v>
      </c>
      <c r="J1473" s="2">
        <v>3665</v>
      </c>
      <c r="K1473" s="2">
        <v>5</v>
      </c>
      <c r="L1473" s="2">
        <v>263</v>
      </c>
      <c r="M1473" s="2">
        <v>298</v>
      </c>
      <c r="N1473" s="2">
        <v>6352</v>
      </c>
      <c r="O1473" s="2">
        <v>23</v>
      </c>
      <c r="P1473" s="2">
        <v>41016</v>
      </c>
      <c r="Q1473" s="2">
        <v>621</v>
      </c>
      <c r="R1473" s="2">
        <v>27439</v>
      </c>
      <c r="S1473" s="2">
        <v>256924</v>
      </c>
      <c r="T1473" s="10">
        <f t="shared" si="76"/>
        <v>64450</v>
      </c>
      <c r="U1473" s="8">
        <f t="shared" si="77"/>
        <v>0.25085239214709409</v>
      </c>
      <c r="V1473" s="9" t="s">
        <v>5270</v>
      </c>
      <c r="W1473" s="9" t="str">
        <f t="shared" si="78"/>
        <v>Meltham UD</v>
      </c>
      <c r="X1473" s="9" t="str">
        <f>INDEX(Lookup!$A$2:$A$1349, MATCH(W1473, Lookup!$B$2:$B$1349,0))</f>
        <v>J04000843</v>
      </c>
      <c r="Y1473" s="9" t="str">
        <f>INDEX(Lookup!$F$2:$F$1349, MATCH(W1473, Lookup!$B$2:$B$1349,0))</f>
        <v>e461247</v>
      </c>
      <c r="Z1473" s="6" t="str">
        <f>INDEX(Lookup!$C$2:$C$1300, MATCH(X1473, Lookup!$A$2:$A$1300,0))</f>
        <v>West Yorkshire</v>
      </c>
    </row>
    <row r="1474" spans="1:26" ht="28.15" customHeight="1" x14ac:dyDescent="0.2">
      <c r="A1474" s="6" t="s">
        <v>1236</v>
      </c>
      <c r="B1474" s="1" t="s">
        <v>1236</v>
      </c>
      <c r="C1474" s="2">
        <v>5498</v>
      </c>
      <c r="D1474" s="2">
        <v>194179</v>
      </c>
      <c r="E1474" s="2">
        <v>13</v>
      </c>
      <c r="F1474" s="2">
        <v>1482</v>
      </c>
      <c r="I1474" s="2">
        <v>370</v>
      </c>
      <c r="J1474" s="2">
        <v>47952</v>
      </c>
      <c r="K1474" s="2">
        <v>56</v>
      </c>
      <c r="L1474" s="2">
        <v>2914</v>
      </c>
      <c r="M1474" s="2">
        <v>635</v>
      </c>
      <c r="N1474" s="2">
        <v>24884</v>
      </c>
      <c r="O1474" s="2">
        <v>22</v>
      </c>
      <c r="P1474" s="2">
        <v>17645</v>
      </c>
      <c r="Q1474" s="2">
        <v>5103</v>
      </c>
      <c r="R1474" s="2">
        <v>98804</v>
      </c>
      <c r="S1474" s="2">
        <v>544266</v>
      </c>
      <c r="T1474" s="10">
        <f t="shared" si="76"/>
        <v>195661</v>
      </c>
      <c r="U1474" s="8">
        <f t="shared" si="77"/>
        <v>0.35949517331598885</v>
      </c>
      <c r="V1474" s="9" t="s">
        <v>5270</v>
      </c>
      <c r="W1474" s="9" t="str">
        <f t="shared" si="78"/>
        <v>Mexborough UD</v>
      </c>
      <c r="X1474" s="9" t="str">
        <f>INDEX(Lookup!$A$2:$A$1349, MATCH(W1474, Lookup!$B$2:$B$1349,0))</f>
        <v>J04000851</v>
      </c>
      <c r="Y1474" s="9" t="str">
        <f>INDEX(Lookup!$F$2:$F$1349, MATCH(W1474, Lookup!$B$2:$B$1349,0))</f>
        <v>e461248</v>
      </c>
      <c r="Z1474" s="6" t="str">
        <f>INDEX(Lookup!$C$2:$C$1300, MATCH(X1474, Lookup!$A$2:$A$1300,0))</f>
        <v>South Yorkshire</v>
      </c>
    </row>
    <row r="1475" spans="1:26" ht="28.15" customHeight="1" x14ac:dyDescent="0.2">
      <c r="A1475" s="6" t="s">
        <v>1237</v>
      </c>
      <c r="B1475" s="1" t="s">
        <v>1237</v>
      </c>
      <c r="C1475" s="2">
        <v>4556</v>
      </c>
      <c r="D1475" s="2">
        <v>155628</v>
      </c>
      <c r="E1475" s="2">
        <v>95</v>
      </c>
      <c r="F1475" s="2">
        <v>12416</v>
      </c>
      <c r="G1475" s="2">
        <v>5</v>
      </c>
      <c r="H1475" s="2">
        <v>1168</v>
      </c>
      <c r="I1475" s="2">
        <v>166</v>
      </c>
      <c r="J1475" s="2">
        <v>11365</v>
      </c>
      <c r="K1475" s="2">
        <v>17</v>
      </c>
      <c r="L1475" s="2">
        <v>1059</v>
      </c>
      <c r="M1475" s="2">
        <v>443</v>
      </c>
      <c r="N1475" s="2">
        <v>14018</v>
      </c>
      <c r="O1475" s="2">
        <v>59</v>
      </c>
      <c r="P1475" s="2">
        <v>58926</v>
      </c>
      <c r="Q1475" s="2">
        <v>1403</v>
      </c>
      <c r="R1475" s="2">
        <v>35221</v>
      </c>
      <c r="S1475" s="2">
        <v>317201</v>
      </c>
      <c r="T1475" s="10">
        <f t="shared" si="76"/>
        <v>169212</v>
      </c>
      <c r="U1475" s="8">
        <f t="shared" si="77"/>
        <v>0.53345355153357021</v>
      </c>
      <c r="V1475" s="9" t="s">
        <v>5270</v>
      </c>
      <c r="W1475" s="9" t="str">
        <f t="shared" si="78"/>
        <v>Mirfield UD</v>
      </c>
      <c r="X1475" s="9" t="str">
        <f>INDEX(Lookup!$A$2:$A$1349, MATCH(W1475, Lookup!$B$2:$B$1349,0))</f>
        <v>J04000861</v>
      </c>
      <c r="Y1475" s="9" t="str">
        <f>INDEX(Lookup!$F$2:$F$1349, MATCH(W1475, Lookup!$B$2:$B$1349,0))</f>
        <v>e461249</v>
      </c>
      <c r="Z1475" s="6" t="str">
        <f>INDEX(Lookup!$C$2:$C$1300, MATCH(X1475, Lookup!$A$2:$A$1300,0))</f>
        <v>West Yorkshire</v>
      </c>
    </row>
    <row r="1476" spans="1:26" ht="28.15" customHeight="1" x14ac:dyDescent="0.2">
      <c r="A1476" s="6" t="s">
        <v>1238</v>
      </c>
      <c r="B1476" s="1" t="s">
        <v>1238</v>
      </c>
      <c r="C1476" s="2">
        <v>5986</v>
      </c>
      <c r="D1476" s="2">
        <v>203541</v>
      </c>
      <c r="E1476" s="2">
        <v>12</v>
      </c>
      <c r="F1476" s="2">
        <v>1480</v>
      </c>
      <c r="I1476" s="2">
        <v>308</v>
      </c>
      <c r="J1476" s="2">
        <v>26836</v>
      </c>
      <c r="K1476" s="2">
        <v>26</v>
      </c>
      <c r="L1476" s="2">
        <v>983</v>
      </c>
      <c r="M1476" s="2">
        <v>382</v>
      </c>
      <c r="N1476" s="2">
        <v>13313</v>
      </c>
      <c r="O1476" s="2">
        <v>26</v>
      </c>
      <c r="P1476" s="2">
        <v>6770</v>
      </c>
      <c r="Q1476" s="2">
        <v>727</v>
      </c>
      <c r="R1476" s="2">
        <v>71725</v>
      </c>
      <c r="S1476" s="2">
        <v>143806</v>
      </c>
      <c r="T1476" s="10">
        <f t="shared" ref="T1476:T1520" si="79">SUM(D1476+F1476+H1476)</f>
        <v>205021</v>
      </c>
      <c r="U1476" s="8">
        <f t="shared" ref="U1476:U1520" si="80">T1476/S1476</f>
        <v>1.4256776490549767</v>
      </c>
      <c r="V1476" s="9" t="s">
        <v>5270</v>
      </c>
      <c r="W1476" s="9" t="str">
        <f t="shared" ref="W1476:W1520" si="81">_xlfn.CONCAT(B1476," ",V1476)</f>
        <v>Normanton UD</v>
      </c>
      <c r="X1476" s="9" t="str">
        <f>INDEX(Lookup!$A$2:$A$1349, MATCH(W1476, Lookup!$B$2:$B$1349,0))</f>
        <v>J04000922</v>
      </c>
      <c r="Y1476" s="9" t="str">
        <f>INDEX(Lookup!$F$2:$F$1349, MATCH(W1476, Lookup!$B$2:$B$1349,0))</f>
        <v>e461251</v>
      </c>
      <c r="Z1476" s="6" t="str">
        <f>INDEX(Lookup!$C$2:$C$1300, MATCH(X1476, Lookup!$A$2:$A$1300,0))</f>
        <v>West Yorkshire</v>
      </c>
    </row>
    <row r="1477" spans="1:26" ht="28.15" customHeight="1" x14ac:dyDescent="0.2">
      <c r="A1477" s="6" t="s">
        <v>1239</v>
      </c>
      <c r="B1477" s="1" t="s">
        <v>1239</v>
      </c>
      <c r="C1477" s="2">
        <v>3990</v>
      </c>
      <c r="D1477" s="2">
        <v>165665</v>
      </c>
      <c r="E1477" s="2">
        <v>53</v>
      </c>
      <c r="F1477" s="2">
        <v>6354</v>
      </c>
      <c r="G1477" s="2">
        <v>3</v>
      </c>
      <c r="H1477" s="2">
        <v>658</v>
      </c>
      <c r="I1477" s="2">
        <v>288</v>
      </c>
      <c r="J1477" s="2">
        <v>34319</v>
      </c>
      <c r="K1477" s="2">
        <v>62</v>
      </c>
      <c r="L1477" s="2">
        <v>4475</v>
      </c>
      <c r="M1477" s="2">
        <v>435</v>
      </c>
      <c r="N1477" s="2">
        <v>26329</v>
      </c>
      <c r="O1477" s="2">
        <v>45</v>
      </c>
      <c r="P1477" s="2">
        <v>56757</v>
      </c>
      <c r="Q1477" s="2">
        <v>2870</v>
      </c>
      <c r="R1477" s="2">
        <v>34172</v>
      </c>
      <c r="S1477" s="2">
        <v>392963</v>
      </c>
      <c r="T1477" s="10">
        <f t="shared" si="79"/>
        <v>172677</v>
      </c>
      <c r="U1477" s="8">
        <f t="shared" si="80"/>
        <v>0.43942305000725257</v>
      </c>
      <c r="V1477" s="9" t="s">
        <v>5270</v>
      </c>
      <c r="W1477" s="9" t="str">
        <f t="shared" si="81"/>
        <v>Otley UD</v>
      </c>
      <c r="X1477" s="9" t="str">
        <f>INDEX(Lookup!$A$2:$A$1349, MATCH(W1477, Lookup!$B$2:$B$1349,0))</f>
        <v>J04000963</v>
      </c>
      <c r="Y1477" s="9" t="str">
        <f>INDEX(Lookup!$F$2:$F$1349, MATCH(W1477, Lookup!$B$2:$B$1349,0))</f>
        <v>e461253</v>
      </c>
      <c r="Z1477" s="6" t="str">
        <f>INDEX(Lookup!$C$2:$C$1300, MATCH(X1477, Lookup!$A$2:$A$1300,0))</f>
        <v>West Yorkshire</v>
      </c>
    </row>
    <row r="1478" spans="1:26" ht="28.15" customHeight="1" x14ac:dyDescent="0.2">
      <c r="A1478" s="6" t="s">
        <v>1240</v>
      </c>
      <c r="B1478" s="1" t="s">
        <v>1240</v>
      </c>
      <c r="C1478" s="2">
        <v>2272</v>
      </c>
      <c r="D1478" s="2">
        <v>87200</v>
      </c>
      <c r="E1478" s="2">
        <v>25</v>
      </c>
      <c r="F1478" s="2">
        <v>3186</v>
      </c>
      <c r="G1478" s="2">
        <v>1</v>
      </c>
      <c r="H1478" s="2">
        <v>226</v>
      </c>
      <c r="I1478" s="2">
        <v>103</v>
      </c>
      <c r="J1478" s="2">
        <v>8939</v>
      </c>
      <c r="K1478" s="2">
        <v>10</v>
      </c>
      <c r="L1478" s="2">
        <v>1016</v>
      </c>
      <c r="M1478" s="2">
        <v>399</v>
      </c>
      <c r="N1478" s="2">
        <v>10471</v>
      </c>
      <c r="O1478" s="2">
        <v>16</v>
      </c>
      <c r="P1478" s="2">
        <v>47615</v>
      </c>
      <c r="Q1478" s="2">
        <v>438</v>
      </c>
      <c r="R1478" s="2">
        <v>36731</v>
      </c>
      <c r="S1478" s="2">
        <v>291204</v>
      </c>
      <c r="T1478" s="10">
        <f t="shared" si="79"/>
        <v>90612</v>
      </c>
      <c r="U1478" s="8">
        <f t="shared" si="80"/>
        <v>0.31116330819631599</v>
      </c>
      <c r="V1478" s="9" t="s">
        <v>5270</v>
      </c>
      <c r="W1478" s="9" t="str">
        <f t="shared" si="81"/>
        <v>Penistone UD</v>
      </c>
      <c r="X1478" s="9" t="str">
        <f>INDEX(Lookup!$A$2:$A$1349, MATCH(W1478, Lookup!$B$2:$B$1349,0))</f>
        <v>J04000978</v>
      </c>
      <c r="Y1478" s="9" t="str">
        <f>INDEX(Lookup!$F$2:$F$1349, MATCH(W1478, Lookup!$B$2:$B$1349,0))</f>
        <v>e461254</v>
      </c>
      <c r="Z1478" s="6" t="str">
        <f>INDEX(Lookup!$C$2:$C$1300, MATCH(X1478, Lookup!$A$2:$A$1300,0))</f>
        <v>South Yorkshire</v>
      </c>
    </row>
    <row r="1479" spans="1:26" ht="28.15" customHeight="1" x14ac:dyDescent="0.2">
      <c r="A1479" s="6" t="s">
        <v>1241</v>
      </c>
      <c r="B1479" s="1" t="s">
        <v>1241</v>
      </c>
      <c r="C1479" s="2">
        <v>3500</v>
      </c>
      <c r="D1479" s="2">
        <v>108011</v>
      </c>
      <c r="E1479" s="2">
        <v>26</v>
      </c>
      <c r="F1479" s="2">
        <v>3201</v>
      </c>
      <c r="G1479" s="2">
        <v>2</v>
      </c>
      <c r="H1479" s="2">
        <v>436</v>
      </c>
      <c r="I1479" s="2">
        <v>145</v>
      </c>
      <c r="J1479" s="2">
        <v>6364</v>
      </c>
      <c r="K1479" s="2">
        <v>8</v>
      </c>
      <c r="L1479" s="2">
        <v>201</v>
      </c>
      <c r="M1479" s="2">
        <v>576</v>
      </c>
      <c r="N1479" s="2">
        <v>13789</v>
      </c>
      <c r="O1479" s="2">
        <v>27</v>
      </c>
      <c r="P1479" s="2">
        <v>32847</v>
      </c>
      <c r="Q1479" s="2">
        <v>515</v>
      </c>
      <c r="R1479" s="2">
        <v>22563</v>
      </c>
      <c r="S1479" s="2">
        <v>325375</v>
      </c>
      <c r="T1479" s="10">
        <f t="shared" si="79"/>
        <v>111648</v>
      </c>
      <c r="U1479" s="8">
        <f t="shared" si="80"/>
        <v>0.34313638109873223</v>
      </c>
      <c r="V1479" s="9" t="s">
        <v>5270</v>
      </c>
      <c r="W1479" s="9" t="str">
        <f t="shared" si="81"/>
        <v>Queensbury and Shelf UD</v>
      </c>
      <c r="X1479" s="9" t="str">
        <f>INDEX(Lookup!$A$2:$A$1349, MATCH(W1479, Lookup!$B$2:$B$1349,0))</f>
        <v>J04001026</v>
      </c>
      <c r="Y1479" s="9" t="str">
        <f>INDEX(Lookup!$F$2:$F$1349, MATCH(W1479, Lookup!$B$2:$B$1349,0))</f>
        <v>e461257</v>
      </c>
      <c r="Z1479" s="6" t="str">
        <f>INDEX(Lookup!$C$2:$C$1300, MATCH(X1479, Lookup!$A$2:$A$1300,0))</f>
        <v>West Yorkshire</v>
      </c>
    </row>
    <row r="1480" spans="1:26" ht="28.15" customHeight="1" x14ac:dyDescent="0.2">
      <c r="A1480" s="6" t="s">
        <v>1242</v>
      </c>
      <c r="B1480" s="1" t="s">
        <v>1242</v>
      </c>
      <c r="C1480" s="2">
        <v>6092</v>
      </c>
      <c r="D1480" s="2">
        <v>225895</v>
      </c>
      <c r="E1480" s="2">
        <v>12</v>
      </c>
      <c r="F1480" s="2">
        <v>1316</v>
      </c>
      <c r="I1480" s="2">
        <v>254</v>
      </c>
      <c r="J1480" s="2">
        <v>21599</v>
      </c>
      <c r="K1480" s="2">
        <v>25</v>
      </c>
      <c r="L1480" s="2">
        <v>1781</v>
      </c>
      <c r="M1480" s="2">
        <v>509</v>
      </c>
      <c r="N1480" s="2">
        <v>21386</v>
      </c>
      <c r="O1480" s="2">
        <v>22</v>
      </c>
      <c r="P1480" s="2">
        <v>279970</v>
      </c>
      <c r="Q1480" s="2">
        <v>771</v>
      </c>
      <c r="R1480" s="2">
        <v>87008</v>
      </c>
      <c r="S1480" s="2">
        <v>331599</v>
      </c>
      <c r="T1480" s="10">
        <f t="shared" si="79"/>
        <v>227211</v>
      </c>
      <c r="U1480" s="8">
        <f t="shared" si="80"/>
        <v>0.68519808563958273</v>
      </c>
      <c r="V1480" s="9" t="s">
        <v>5270</v>
      </c>
      <c r="W1480" s="9" t="str">
        <f t="shared" si="81"/>
        <v>Rawmarsh UD</v>
      </c>
      <c r="X1480" s="9" t="str">
        <f>INDEX(Lookup!$A$2:$A$1349, MATCH(W1480, Lookup!$B$2:$B$1349,0))</f>
        <v>J04001033</v>
      </c>
      <c r="Y1480" s="9" t="str">
        <f>INDEX(Lookup!$F$2:$F$1349, MATCH(W1480, Lookup!$B$2:$B$1349,0))</f>
        <v>e461258</v>
      </c>
      <c r="Z1480" s="6" t="str">
        <f>INDEX(Lookup!$C$2:$C$1300, MATCH(X1480, Lookup!$A$2:$A$1300,0))</f>
        <v>South Yorkshire</v>
      </c>
    </row>
    <row r="1481" spans="1:26" ht="28.15" customHeight="1" x14ac:dyDescent="0.2">
      <c r="A1481" s="6" t="s">
        <v>1243</v>
      </c>
      <c r="B1481" s="1" t="s">
        <v>1243</v>
      </c>
      <c r="C1481" s="2">
        <v>1685</v>
      </c>
      <c r="D1481" s="2">
        <v>47348</v>
      </c>
      <c r="E1481" s="2">
        <v>21</v>
      </c>
      <c r="F1481" s="2">
        <v>2614</v>
      </c>
      <c r="I1481" s="2">
        <v>67</v>
      </c>
      <c r="J1481" s="2">
        <v>2700</v>
      </c>
      <c r="K1481" s="2">
        <v>10</v>
      </c>
      <c r="L1481" s="2">
        <v>520</v>
      </c>
      <c r="M1481" s="2">
        <v>297</v>
      </c>
      <c r="N1481" s="2">
        <v>12305</v>
      </c>
      <c r="O1481" s="2">
        <v>23</v>
      </c>
      <c r="P1481" s="2">
        <v>21885</v>
      </c>
      <c r="Q1481" s="2">
        <v>133</v>
      </c>
      <c r="R1481" s="2">
        <v>51917</v>
      </c>
      <c r="S1481" s="2">
        <v>195822</v>
      </c>
      <c r="T1481" s="10">
        <f t="shared" si="79"/>
        <v>49962</v>
      </c>
      <c r="U1481" s="8">
        <f t="shared" si="80"/>
        <v>0.25513987192450288</v>
      </c>
      <c r="V1481" s="9" t="s">
        <v>5270</v>
      </c>
      <c r="W1481" s="9" t="str">
        <f t="shared" si="81"/>
        <v>Ripponden UD</v>
      </c>
      <c r="X1481" s="9" t="str">
        <f>INDEX(Lookup!$A$2:$A$1349, MATCH(W1481, Lookup!$B$2:$B$1349,0))</f>
        <v>J04001054</v>
      </c>
      <c r="Y1481" s="9" t="str">
        <f>INDEX(Lookup!$F$2:$F$1349, MATCH(W1481, Lookup!$B$2:$B$1349,0))</f>
        <v>e461260</v>
      </c>
      <c r="Z1481" s="6" t="str">
        <f>INDEX(Lookup!$C$2:$C$1300, MATCH(X1481, Lookup!$A$2:$A$1300,0))</f>
        <v>West Yorkshire</v>
      </c>
    </row>
    <row r="1482" spans="1:26" ht="28.15" customHeight="1" x14ac:dyDescent="0.2">
      <c r="A1482" s="6" t="s">
        <v>846</v>
      </c>
      <c r="B1482" s="1" t="s">
        <v>846</v>
      </c>
      <c r="C1482" s="2">
        <v>8582</v>
      </c>
      <c r="D1482" s="2">
        <v>321021</v>
      </c>
      <c r="E1482" s="2">
        <v>49</v>
      </c>
      <c r="F1482" s="2">
        <v>5804</v>
      </c>
      <c r="I1482" s="2">
        <v>257</v>
      </c>
      <c r="J1482" s="2">
        <v>20262</v>
      </c>
      <c r="K1482" s="2">
        <v>17</v>
      </c>
      <c r="L1482" s="2">
        <v>1127</v>
      </c>
      <c r="M1482" s="2">
        <v>677</v>
      </c>
      <c r="N1482" s="2">
        <v>35370</v>
      </c>
      <c r="O1482" s="2">
        <v>42</v>
      </c>
      <c r="P1482" s="2">
        <v>127997</v>
      </c>
      <c r="Q1482" s="2">
        <v>9131</v>
      </c>
      <c r="R1482" s="2">
        <v>209986</v>
      </c>
      <c r="S1482" s="2">
        <v>187927</v>
      </c>
      <c r="T1482" s="10">
        <f t="shared" si="79"/>
        <v>326825</v>
      </c>
      <c r="U1482" s="8">
        <f t="shared" si="80"/>
        <v>1.7391061422786507</v>
      </c>
      <c r="V1482" s="9" t="s">
        <v>5270</v>
      </c>
      <c r="W1482" s="9" t="str">
        <f t="shared" si="81"/>
        <v>Rothwell UD</v>
      </c>
      <c r="X1482" s="9" t="str">
        <f>Lookup!$A$1266</f>
        <v>J04001070</v>
      </c>
      <c r="Y1482" s="9" t="str">
        <f>Lookup!$F$1266</f>
        <v>e461261</v>
      </c>
      <c r="Z1482" s="6" t="str">
        <f>INDEX(Lookup!$C$2:$C$1300, MATCH(X1482, Lookup!$A$2:$A$1300,0))</f>
        <v>West Yorkshire</v>
      </c>
    </row>
    <row r="1483" spans="1:26" ht="28.15" customHeight="1" x14ac:dyDescent="0.2">
      <c r="A1483" s="6" t="s">
        <v>537</v>
      </c>
      <c r="B1483" s="1" t="s">
        <v>537</v>
      </c>
      <c r="C1483" s="2">
        <v>2794</v>
      </c>
      <c r="D1483" s="2">
        <v>104903</v>
      </c>
      <c r="E1483" s="2">
        <v>5</v>
      </c>
      <c r="F1483" s="2">
        <v>562</v>
      </c>
      <c r="I1483" s="2">
        <v>122</v>
      </c>
      <c r="J1483" s="2">
        <v>8139</v>
      </c>
      <c r="K1483" s="2">
        <v>10</v>
      </c>
      <c r="L1483" s="2">
        <v>602</v>
      </c>
      <c r="M1483" s="2">
        <v>260</v>
      </c>
      <c r="N1483" s="2">
        <v>5853</v>
      </c>
      <c r="O1483" s="2">
        <v>4</v>
      </c>
      <c r="P1483" s="2">
        <v>3990</v>
      </c>
      <c r="Q1483" s="2">
        <v>247</v>
      </c>
      <c r="R1483" s="2">
        <v>25957</v>
      </c>
      <c r="S1483" s="2">
        <v>639726</v>
      </c>
      <c r="T1483" s="10">
        <f t="shared" si="79"/>
        <v>105465</v>
      </c>
      <c r="U1483" s="8">
        <f t="shared" si="80"/>
        <v>0.16485964303467421</v>
      </c>
      <c r="V1483" s="9" t="s">
        <v>5270</v>
      </c>
      <c r="W1483" s="9" t="str">
        <f t="shared" si="81"/>
        <v>Royston UD</v>
      </c>
      <c r="X1483" s="9" t="s">
        <v>4528</v>
      </c>
      <c r="Y1483" s="9" t="s">
        <v>4529</v>
      </c>
      <c r="Z1483" s="6" t="str">
        <f>INDEX(Lookup!$C$2:$C$1300, MATCH(X1483, Lookup!$A$2:$A$1300,0))</f>
        <v>South Yorkshire</v>
      </c>
    </row>
    <row r="1484" spans="1:26" ht="28.15" customHeight="1" x14ac:dyDescent="0.2">
      <c r="A1484" s="6" t="s">
        <v>1244</v>
      </c>
      <c r="B1484" s="1" t="s">
        <v>1244</v>
      </c>
      <c r="C1484" s="2">
        <v>6194</v>
      </c>
      <c r="D1484" s="2">
        <v>210743</v>
      </c>
      <c r="E1484" s="2">
        <v>158</v>
      </c>
      <c r="F1484" s="2">
        <v>19372</v>
      </c>
      <c r="G1484" s="2">
        <v>5</v>
      </c>
      <c r="H1484" s="2">
        <v>1170</v>
      </c>
      <c r="I1484" s="2">
        <v>243</v>
      </c>
      <c r="J1484" s="2">
        <v>11707</v>
      </c>
      <c r="K1484" s="2">
        <v>17</v>
      </c>
      <c r="L1484" s="2">
        <v>457</v>
      </c>
      <c r="M1484" s="2">
        <v>1021</v>
      </c>
      <c r="N1484" s="2">
        <v>24920</v>
      </c>
      <c r="O1484" s="2">
        <v>81</v>
      </c>
      <c r="P1484" s="2">
        <v>97801</v>
      </c>
      <c r="Q1484" s="2">
        <v>640</v>
      </c>
      <c r="R1484" s="2">
        <v>65970</v>
      </c>
      <c r="S1484" s="2">
        <v>139422</v>
      </c>
      <c r="T1484" s="10">
        <f t="shared" si="79"/>
        <v>231285</v>
      </c>
      <c r="U1484" s="8">
        <f t="shared" si="80"/>
        <v>1.6588845375909111</v>
      </c>
      <c r="V1484" s="9" t="s">
        <v>5270</v>
      </c>
      <c r="W1484" s="9" t="str">
        <f t="shared" si="81"/>
        <v>Saddleworth UD</v>
      </c>
      <c r="X1484" s="9" t="str">
        <f>INDEX(Lookup!$A$2:$A$1349, MATCH(W1484, Lookup!$B$2:$B$1349,0))</f>
        <v>J04001089</v>
      </c>
      <c r="Y1484" s="9" t="str">
        <f>INDEX(Lookup!$F$2:$F$1349, MATCH(W1484, Lookup!$B$2:$B$1349,0))</f>
        <v>e461263</v>
      </c>
      <c r="Z1484" s="6" t="str">
        <f>INDEX(Lookup!$C$2:$C$1300, MATCH(X1484, Lookup!$A$2:$A$1300,0))</f>
        <v>Greater Manchester</v>
      </c>
    </row>
    <row r="1485" spans="1:26" ht="28.15" customHeight="1" x14ac:dyDescent="0.2">
      <c r="A1485" s="6" t="s">
        <v>1245</v>
      </c>
      <c r="B1485" s="1" t="s">
        <v>1245</v>
      </c>
      <c r="C1485" s="2">
        <v>3343</v>
      </c>
      <c r="D1485" s="2">
        <v>132214</v>
      </c>
      <c r="E1485" s="2">
        <v>44</v>
      </c>
      <c r="F1485" s="2">
        <v>5540</v>
      </c>
      <c r="G1485" s="2">
        <v>2</v>
      </c>
      <c r="H1485" s="2">
        <v>436</v>
      </c>
      <c r="I1485" s="2">
        <v>270</v>
      </c>
      <c r="J1485" s="2">
        <v>44910</v>
      </c>
      <c r="K1485" s="2">
        <v>47</v>
      </c>
      <c r="L1485" s="2">
        <v>2880</v>
      </c>
      <c r="M1485" s="2">
        <v>415</v>
      </c>
      <c r="N1485" s="2">
        <v>18064</v>
      </c>
      <c r="O1485" s="2">
        <v>32</v>
      </c>
      <c r="P1485" s="2">
        <v>79749</v>
      </c>
      <c r="Q1485" s="2">
        <v>3726</v>
      </c>
      <c r="R1485" s="2">
        <v>39098</v>
      </c>
      <c r="S1485" s="2">
        <v>730698</v>
      </c>
      <c r="T1485" s="10">
        <f t="shared" si="79"/>
        <v>138190</v>
      </c>
      <c r="U1485" s="8">
        <f t="shared" si="80"/>
        <v>0.18912053953890665</v>
      </c>
      <c r="V1485" s="9" t="s">
        <v>5270</v>
      </c>
      <c r="W1485" s="9" t="str">
        <f t="shared" si="81"/>
        <v>Selby UD</v>
      </c>
      <c r="X1485" s="9" t="str">
        <f>INDEX(Lookup!$A$2:$A$1349, MATCH(W1485, Lookup!$B$2:$B$1349,0))</f>
        <v>J04001119</v>
      </c>
      <c r="Y1485" s="9" t="str">
        <f>INDEX(Lookup!$F$2:$F$1349, MATCH(W1485, Lookup!$B$2:$B$1349,0))</f>
        <v>e461264</v>
      </c>
      <c r="Z1485" s="6" t="str">
        <f>INDEX(Lookup!$C$2:$C$1300, MATCH(X1485, Lookup!$A$2:$A$1300,0))</f>
        <v>North Yorkshire</v>
      </c>
    </row>
    <row r="1486" spans="1:26" ht="28.15" customHeight="1" x14ac:dyDescent="0.2">
      <c r="A1486" s="6" t="s">
        <v>1246</v>
      </c>
      <c r="B1486" s="1" t="s">
        <v>1246</v>
      </c>
      <c r="C1486" s="2">
        <v>9870</v>
      </c>
      <c r="D1486" s="2">
        <v>438907</v>
      </c>
      <c r="E1486" s="2">
        <v>485</v>
      </c>
      <c r="F1486" s="2">
        <v>59752</v>
      </c>
      <c r="G1486" s="2">
        <v>23</v>
      </c>
      <c r="H1486" s="2">
        <v>5378</v>
      </c>
      <c r="I1486" s="2">
        <v>538</v>
      </c>
      <c r="J1486" s="2">
        <v>79965</v>
      </c>
      <c r="K1486" s="2">
        <v>62</v>
      </c>
      <c r="L1486" s="2">
        <v>4261</v>
      </c>
      <c r="M1486" s="2">
        <v>1106</v>
      </c>
      <c r="N1486" s="2">
        <v>40841</v>
      </c>
      <c r="O1486" s="2">
        <v>115</v>
      </c>
      <c r="P1486" s="2">
        <v>152856</v>
      </c>
      <c r="Q1486" s="2">
        <v>3672</v>
      </c>
      <c r="R1486" s="2">
        <v>65489</v>
      </c>
      <c r="S1486" s="2">
        <v>150253</v>
      </c>
      <c r="T1486" s="10">
        <f t="shared" si="79"/>
        <v>504037</v>
      </c>
      <c r="U1486" s="8">
        <f t="shared" si="80"/>
        <v>3.3545885939049471</v>
      </c>
      <c r="V1486" s="9" t="s">
        <v>5270</v>
      </c>
      <c r="W1486" s="9" t="str">
        <f t="shared" si="81"/>
        <v>Shipley UD</v>
      </c>
      <c r="X1486" s="9" t="str">
        <f>INDEX(Lookup!$A$2:$A$1349, MATCH(W1486, Lookup!$B$2:$B$1349,0))</f>
        <v>J04001136</v>
      </c>
      <c r="Y1486" s="9" t="str">
        <f>INDEX(Lookup!$F$2:$F$1349, MATCH(W1486, Lookup!$B$2:$B$1349,0))</f>
        <v>e461265</v>
      </c>
      <c r="Z1486" s="6" t="str">
        <f>INDEX(Lookup!$C$2:$C$1300, MATCH(X1486, Lookup!$A$2:$A$1300,0))</f>
        <v>West Yorkshire</v>
      </c>
    </row>
    <row r="1487" spans="1:26" ht="28.15" customHeight="1" x14ac:dyDescent="0.2">
      <c r="A1487" s="6" t="s">
        <v>1247</v>
      </c>
      <c r="B1487" s="1" t="s">
        <v>1247</v>
      </c>
      <c r="C1487" s="2">
        <v>1854</v>
      </c>
      <c r="D1487" s="2">
        <v>73032</v>
      </c>
      <c r="E1487" s="2">
        <v>27</v>
      </c>
      <c r="F1487" s="2">
        <v>3421</v>
      </c>
      <c r="G1487" s="2">
        <v>1</v>
      </c>
      <c r="H1487" s="2">
        <v>206</v>
      </c>
      <c r="I1487" s="2">
        <v>100</v>
      </c>
      <c r="J1487" s="2">
        <v>5612</v>
      </c>
      <c r="K1487" s="2">
        <v>12</v>
      </c>
      <c r="L1487" s="2">
        <v>481</v>
      </c>
      <c r="M1487" s="2">
        <v>330</v>
      </c>
      <c r="N1487" s="2">
        <v>6094</v>
      </c>
      <c r="O1487" s="2">
        <v>32</v>
      </c>
      <c r="P1487" s="2">
        <v>22756</v>
      </c>
      <c r="Q1487" s="2">
        <v>107</v>
      </c>
      <c r="R1487" s="2">
        <v>21703</v>
      </c>
      <c r="S1487" s="2">
        <v>432780</v>
      </c>
      <c r="T1487" s="10">
        <f t="shared" si="79"/>
        <v>76659</v>
      </c>
      <c r="U1487" s="8">
        <f t="shared" si="80"/>
        <v>0.17713156800221821</v>
      </c>
      <c r="V1487" s="9" t="s">
        <v>5270</v>
      </c>
      <c r="W1487" s="9" t="str">
        <f t="shared" si="81"/>
        <v>Silsden UD</v>
      </c>
      <c r="X1487" s="9" t="str">
        <f>INDEX(Lookup!$A$2:$A$1349, MATCH(W1487, Lookup!$B$2:$B$1349,0))</f>
        <v>J04001142</v>
      </c>
      <c r="Y1487" s="9" t="str">
        <f>INDEX(Lookup!$F$2:$F$1349, MATCH(W1487, Lookup!$B$2:$B$1349,0))</f>
        <v>e461266</v>
      </c>
      <c r="Z1487" s="6" t="str">
        <f>INDEX(Lookup!$C$2:$C$1300, MATCH(X1487, Lookup!$A$2:$A$1300,0))</f>
        <v>West Yorkshire</v>
      </c>
    </row>
    <row r="1488" spans="1:26" ht="28.15" customHeight="1" x14ac:dyDescent="0.2">
      <c r="A1488" s="6" t="s">
        <v>1248</v>
      </c>
      <c r="B1488" s="1" t="s">
        <v>1248</v>
      </c>
      <c r="C1488" s="2">
        <v>4353</v>
      </c>
      <c r="D1488" s="2">
        <v>181319</v>
      </c>
      <c r="E1488" s="2">
        <v>112</v>
      </c>
      <c r="F1488" s="2">
        <v>13626</v>
      </c>
      <c r="G1488" s="2">
        <v>4</v>
      </c>
      <c r="H1488" s="2">
        <v>1076</v>
      </c>
      <c r="I1488" s="2">
        <v>305</v>
      </c>
      <c r="J1488" s="2">
        <v>67551</v>
      </c>
      <c r="K1488" s="2">
        <v>57</v>
      </c>
      <c r="L1488" s="2">
        <v>7148</v>
      </c>
      <c r="M1488" s="2">
        <v>621</v>
      </c>
      <c r="N1488" s="2">
        <v>31793</v>
      </c>
      <c r="O1488" s="2">
        <v>35</v>
      </c>
      <c r="P1488" s="2">
        <v>37185</v>
      </c>
      <c r="Q1488" s="2">
        <v>7385</v>
      </c>
      <c r="R1488" s="2">
        <v>69433</v>
      </c>
      <c r="S1488" s="2">
        <v>326617</v>
      </c>
      <c r="T1488" s="10">
        <f t="shared" si="79"/>
        <v>196021</v>
      </c>
      <c r="U1488" s="8">
        <f t="shared" si="80"/>
        <v>0.60015553385157538</v>
      </c>
      <c r="V1488" s="9" t="s">
        <v>5270</v>
      </c>
      <c r="W1488" s="9" t="str">
        <f t="shared" si="81"/>
        <v>Skipton UD</v>
      </c>
      <c r="X1488" s="9" t="str">
        <f>INDEX(Lookup!$A$2:$A$1349, MATCH(W1488, Lookup!$B$2:$B$1349,0))</f>
        <v>J04001148</v>
      </c>
      <c r="Y1488" s="9" t="str">
        <f>INDEX(Lookup!$F$2:$F$1349, MATCH(W1488, Lookup!$B$2:$B$1349,0))</f>
        <v>e461267</v>
      </c>
      <c r="Z1488" s="6" t="str">
        <f>INDEX(Lookup!$C$2:$C$1300, MATCH(X1488, Lookup!$A$2:$A$1300,0))</f>
        <v>North Yorkshire</v>
      </c>
    </row>
    <row r="1489" spans="1:26" ht="28.15" customHeight="1" x14ac:dyDescent="0.2">
      <c r="A1489" s="6" t="s">
        <v>1249</v>
      </c>
      <c r="B1489" s="1" t="s">
        <v>1249</v>
      </c>
      <c r="C1489" s="2">
        <v>6508</v>
      </c>
      <c r="D1489" s="2">
        <v>161846</v>
      </c>
      <c r="E1489" s="2">
        <v>38</v>
      </c>
      <c r="F1489" s="2">
        <v>4832</v>
      </c>
      <c r="G1489" s="2">
        <v>2</v>
      </c>
      <c r="H1489" s="2">
        <v>452</v>
      </c>
      <c r="I1489" s="2">
        <v>337</v>
      </c>
      <c r="J1489" s="2">
        <v>19018</v>
      </c>
      <c r="K1489" s="2">
        <v>39</v>
      </c>
      <c r="L1489" s="2">
        <v>1302</v>
      </c>
      <c r="M1489" s="2">
        <v>866</v>
      </c>
      <c r="N1489" s="2">
        <v>22287</v>
      </c>
      <c r="O1489" s="2">
        <v>103</v>
      </c>
      <c r="P1489" s="2">
        <v>106517</v>
      </c>
      <c r="Q1489" s="2">
        <v>1237</v>
      </c>
      <c r="R1489" s="2">
        <v>50304</v>
      </c>
      <c r="S1489" s="2">
        <v>851121</v>
      </c>
      <c r="T1489" s="10">
        <f t="shared" si="79"/>
        <v>167130</v>
      </c>
      <c r="U1489" s="8">
        <f t="shared" si="80"/>
        <v>0.19636455921073501</v>
      </c>
      <c r="V1489" s="9" t="s">
        <v>5270</v>
      </c>
      <c r="W1489" s="9" t="str">
        <f t="shared" si="81"/>
        <v>Sowerby Bridge UD</v>
      </c>
      <c r="X1489" s="9" t="str">
        <f>INDEX(Lookup!$A$2:$A$1349, MATCH(W1489, Lookup!$B$2:$B$1349,0))</f>
        <v>J04001173</v>
      </c>
      <c r="Y1489" s="9" t="str">
        <f>INDEX(Lookup!$F$2:$F$1349, MATCH(W1489, Lookup!$B$2:$B$1349,0))</f>
        <v>e461268</v>
      </c>
      <c r="Z1489" s="6" t="str">
        <f>INDEX(Lookup!$C$2:$C$1300, MATCH(X1489, Lookup!$A$2:$A$1300,0))</f>
        <v>West Yorkshire</v>
      </c>
    </row>
    <row r="1490" spans="1:26" ht="28.15" customHeight="1" x14ac:dyDescent="0.2">
      <c r="A1490" s="6" t="s">
        <v>412</v>
      </c>
      <c r="B1490" s="1" t="s">
        <v>412</v>
      </c>
      <c r="C1490" s="2">
        <v>5711</v>
      </c>
      <c r="D1490" s="2">
        <v>209843</v>
      </c>
      <c r="E1490" s="2">
        <v>66</v>
      </c>
      <c r="F1490" s="2">
        <v>7954</v>
      </c>
      <c r="I1490" s="2">
        <v>148</v>
      </c>
      <c r="J1490" s="2">
        <v>9151</v>
      </c>
      <c r="K1490" s="2">
        <v>8</v>
      </c>
      <c r="L1490" s="2">
        <v>3304</v>
      </c>
      <c r="M1490" s="2">
        <v>376</v>
      </c>
      <c r="N1490" s="2">
        <v>15411</v>
      </c>
      <c r="O1490" s="2">
        <v>18</v>
      </c>
      <c r="P1490" s="2">
        <v>4766</v>
      </c>
      <c r="Q1490" s="2">
        <v>3152</v>
      </c>
      <c r="R1490" s="2">
        <v>77577</v>
      </c>
      <c r="S1490" s="2">
        <v>133413</v>
      </c>
      <c r="T1490" s="10">
        <f t="shared" si="79"/>
        <v>217797</v>
      </c>
      <c r="U1490" s="8">
        <f t="shared" si="80"/>
        <v>1.6325020800071957</v>
      </c>
      <c r="V1490" s="9" t="s">
        <v>5270</v>
      </c>
      <c r="W1490" s="9" t="str">
        <f t="shared" si="81"/>
        <v>Stanley UD</v>
      </c>
      <c r="X1490" s="9" t="s">
        <v>5177</v>
      </c>
      <c r="Y1490" s="9" t="s">
        <v>5178</v>
      </c>
      <c r="Z1490" s="6" t="str">
        <f>INDEX(Lookup!$C$2:$C$1300, MATCH(X1490, Lookup!$A$2:$A$1300,0))</f>
        <v>West Yorkshire</v>
      </c>
    </row>
    <row r="1491" spans="1:26" ht="28.15" customHeight="1" x14ac:dyDescent="0.2">
      <c r="A1491" s="6" t="s">
        <v>1250</v>
      </c>
      <c r="B1491" s="1" t="s">
        <v>1250</v>
      </c>
      <c r="C1491" s="2">
        <v>3588</v>
      </c>
      <c r="D1491" s="2">
        <v>150716</v>
      </c>
      <c r="E1491" s="2">
        <v>29</v>
      </c>
      <c r="F1491" s="2">
        <v>3549</v>
      </c>
      <c r="G1491" s="2">
        <v>2</v>
      </c>
      <c r="H1491" s="2">
        <v>714</v>
      </c>
      <c r="I1491" s="2">
        <v>143</v>
      </c>
      <c r="J1491" s="2">
        <v>15497</v>
      </c>
      <c r="K1491" s="2">
        <v>11</v>
      </c>
      <c r="L1491" s="2">
        <v>603</v>
      </c>
      <c r="M1491" s="2">
        <v>552</v>
      </c>
      <c r="N1491" s="2">
        <v>15108</v>
      </c>
      <c r="O1491" s="2">
        <v>14</v>
      </c>
      <c r="P1491" s="2">
        <v>386019</v>
      </c>
      <c r="Q1491" s="2">
        <v>347</v>
      </c>
      <c r="R1491" s="2">
        <v>67606</v>
      </c>
      <c r="S1491" s="2">
        <v>640159</v>
      </c>
      <c r="T1491" s="10">
        <f t="shared" si="79"/>
        <v>154979</v>
      </c>
      <c r="U1491" s="8">
        <f t="shared" si="80"/>
        <v>0.24209454213718778</v>
      </c>
      <c r="V1491" s="9" t="s">
        <v>5270</v>
      </c>
      <c r="W1491" s="9" t="str">
        <f t="shared" si="81"/>
        <v>Stocksbridge UD</v>
      </c>
      <c r="X1491" s="9" t="str">
        <f>INDEX(Lookup!$A$2:$A$1349, MATCH(W1491, Lookup!$B$2:$B$1349,0))</f>
        <v>J04001209</v>
      </c>
      <c r="Y1491" s="9" t="str">
        <f>INDEX(Lookup!$F$2:$F$1349, MATCH(W1491, Lookup!$B$2:$B$1349,0))</f>
        <v>e461271</v>
      </c>
      <c r="Z1491" s="6" t="str">
        <f>INDEX(Lookup!$C$2:$C$1300, MATCH(X1491, Lookup!$A$2:$A$1300,0))</f>
        <v>South Yorkshire</v>
      </c>
    </row>
    <row r="1492" spans="1:26" ht="28.15" customHeight="1" x14ac:dyDescent="0.2">
      <c r="A1492" s="6" t="s">
        <v>1251</v>
      </c>
      <c r="B1492" s="1" t="s">
        <v>1251</v>
      </c>
      <c r="C1492" s="2">
        <v>4475</v>
      </c>
      <c r="D1492" s="2">
        <v>188384</v>
      </c>
      <c r="E1492" s="2">
        <v>20</v>
      </c>
      <c r="F1492" s="2">
        <v>2359</v>
      </c>
      <c r="G1492" s="2">
        <v>1</v>
      </c>
      <c r="H1492" s="2">
        <v>234</v>
      </c>
      <c r="I1492" s="2">
        <v>169</v>
      </c>
      <c r="J1492" s="2">
        <v>14550</v>
      </c>
      <c r="K1492" s="2">
        <v>8</v>
      </c>
      <c r="L1492" s="2">
        <v>632</v>
      </c>
      <c r="M1492" s="2">
        <v>467</v>
      </c>
      <c r="N1492" s="2">
        <v>16808</v>
      </c>
      <c r="O1492" s="2">
        <v>18</v>
      </c>
      <c r="P1492" s="2">
        <v>123600</v>
      </c>
      <c r="Q1492" s="2">
        <v>144</v>
      </c>
      <c r="R1492" s="2">
        <v>68867</v>
      </c>
      <c r="S1492" s="2">
        <v>415578</v>
      </c>
      <c r="T1492" s="10">
        <f t="shared" si="79"/>
        <v>190977</v>
      </c>
      <c r="U1492" s="8">
        <f t="shared" si="80"/>
        <v>0.45954550048366372</v>
      </c>
      <c r="V1492" s="9" t="s">
        <v>5270</v>
      </c>
      <c r="W1492" s="9" t="str">
        <f t="shared" si="81"/>
        <v>Swinton UD</v>
      </c>
      <c r="X1492" s="9" t="str">
        <f>INDEX(Lookup!$A$2:$A$1349, MATCH(W1492, Lookup!$B$2:$B$1349,0))</f>
        <v>J04001246</v>
      </c>
      <c r="Y1492" s="9" t="str">
        <f>INDEX(Lookup!$F$2:$F$1349, MATCH(W1492, Lookup!$B$2:$B$1349,0))</f>
        <v>e461272</v>
      </c>
      <c r="Z1492" s="6" t="str">
        <f>INDEX(Lookup!$C$2:$C$1300, MATCH(X1492, Lookup!$A$2:$A$1300,0))</f>
        <v>South Yorkshire</v>
      </c>
    </row>
    <row r="1493" spans="1:26" ht="28.15" customHeight="1" x14ac:dyDescent="0.2">
      <c r="A1493" s="6" t="s">
        <v>1252</v>
      </c>
      <c r="B1493" s="1" t="s">
        <v>1252</v>
      </c>
      <c r="C1493" s="2">
        <v>787</v>
      </c>
      <c r="D1493" s="2">
        <v>34776</v>
      </c>
      <c r="E1493" s="2">
        <v>29</v>
      </c>
      <c r="F1493" s="2">
        <v>3742</v>
      </c>
      <c r="I1493" s="2">
        <v>40</v>
      </c>
      <c r="J1493" s="2">
        <v>3237</v>
      </c>
      <c r="K1493" s="2">
        <v>3</v>
      </c>
      <c r="L1493" s="2">
        <v>59</v>
      </c>
      <c r="M1493" s="2">
        <v>38</v>
      </c>
      <c r="N1493" s="2">
        <v>3713</v>
      </c>
      <c r="O1493" s="2">
        <v>3</v>
      </c>
      <c r="P1493" s="2">
        <v>1805</v>
      </c>
      <c r="Q1493" s="2">
        <v>23</v>
      </c>
      <c r="R1493" s="2">
        <v>24969</v>
      </c>
      <c r="S1493" s="2">
        <v>72234</v>
      </c>
      <c r="T1493" s="10">
        <f t="shared" si="79"/>
        <v>38518</v>
      </c>
      <c r="U1493" s="8">
        <f t="shared" si="80"/>
        <v>0.53323919483899551</v>
      </c>
      <c r="V1493" s="9" t="s">
        <v>5270</v>
      </c>
      <c r="W1493" s="9" t="str">
        <f t="shared" si="81"/>
        <v>Tickhill UD</v>
      </c>
      <c r="X1493" s="9" t="str">
        <f>INDEX(Lookup!$A$2:$A$1349, MATCH(W1493, Lookup!$B$2:$B$1349,0))</f>
        <v>J04001276</v>
      </c>
      <c r="Y1493" s="9" t="str">
        <f>INDEX(Lookup!$F$2:$F$1349, MATCH(W1493, Lookup!$B$2:$B$1349,0))</f>
        <v>e461273</v>
      </c>
      <c r="Z1493" s="6" t="str">
        <f>INDEX(Lookup!$C$2:$C$1300, MATCH(X1493, Lookup!$A$2:$A$1300,0))</f>
        <v>South Yorkshire</v>
      </c>
    </row>
    <row r="1494" spans="1:26" ht="28.15" customHeight="1" x14ac:dyDescent="0.2">
      <c r="A1494" s="6" t="s">
        <v>1253</v>
      </c>
      <c r="B1494" s="1" t="s">
        <v>5459</v>
      </c>
      <c r="C1494" s="2">
        <v>4900</v>
      </c>
      <c r="D1494" s="2">
        <v>191716</v>
      </c>
      <c r="E1494" s="2">
        <v>44</v>
      </c>
      <c r="F1494" s="2">
        <v>5217</v>
      </c>
      <c r="I1494" s="2">
        <v>196</v>
      </c>
      <c r="J1494" s="2">
        <v>17732</v>
      </c>
      <c r="K1494" s="2">
        <v>16</v>
      </c>
      <c r="L1494" s="2">
        <v>8277</v>
      </c>
      <c r="M1494" s="2">
        <v>421</v>
      </c>
      <c r="N1494" s="2">
        <v>12844</v>
      </c>
      <c r="O1494" s="2">
        <v>13</v>
      </c>
      <c r="P1494" s="2">
        <v>229510</v>
      </c>
      <c r="Q1494" s="2">
        <v>1768</v>
      </c>
      <c r="R1494" s="2">
        <v>152169</v>
      </c>
      <c r="S1494" s="2">
        <v>619233</v>
      </c>
      <c r="T1494" s="10">
        <f t="shared" si="79"/>
        <v>196933</v>
      </c>
      <c r="U1494" s="8">
        <f t="shared" si="80"/>
        <v>0.31802730151655356</v>
      </c>
      <c r="V1494" s="9" t="s">
        <v>5270</v>
      </c>
      <c r="W1494" s="9" t="str">
        <f t="shared" si="81"/>
        <v>Wath upon Dearne UD</v>
      </c>
      <c r="X1494" s="9" t="str">
        <f>INDEX(Lookup!$A$2:$A$1349, MATCH(W1494, Lookup!$B$2:$B$1349,0))</f>
        <v>J04001356</v>
      </c>
      <c r="Y1494" s="9" t="str">
        <f>INDEX(Lookup!$F$2:$F$1349, MATCH(W1494, Lookup!$B$2:$B$1349,0))</f>
        <v>e461275</v>
      </c>
      <c r="Z1494" s="6" t="str">
        <f>INDEX(Lookup!$C$2:$C$1300, MATCH(X1494, Lookup!$A$2:$A$1300,0))</f>
        <v>South Yorkshire</v>
      </c>
    </row>
    <row r="1495" spans="1:26" ht="28.15" customHeight="1" x14ac:dyDescent="0.2">
      <c r="A1495" s="6" t="s">
        <v>1254</v>
      </c>
      <c r="B1495" s="1" t="s">
        <v>1254</v>
      </c>
      <c r="C1495" s="2">
        <v>5822</v>
      </c>
      <c r="D1495" s="2">
        <v>204217</v>
      </c>
      <c r="E1495" s="2">
        <v>30</v>
      </c>
      <c r="F1495" s="2">
        <v>3543</v>
      </c>
      <c r="I1495" s="2">
        <v>239</v>
      </c>
      <c r="J1495" s="2">
        <v>33774</v>
      </c>
      <c r="K1495" s="2">
        <v>32</v>
      </c>
      <c r="L1495" s="2">
        <v>2527</v>
      </c>
      <c r="M1495" s="2">
        <v>527</v>
      </c>
      <c r="N1495" s="2">
        <v>22907</v>
      </c>
      <c r="O1495" s="2">
        <v>15</v>
      </c>
      <c r="P1495" s="2">
        <v>16005</v>
      </c>
      <c r="Q1495" s="2">
        <v>958</v>
      </c>
      <c r="R1495" s="2">
        <v>87517</v>
      </c>
      <c r="S1495" s="2">
        <v>371448</v>
      </c>
      <c r="T1495" s="10">
        <f t="shared" si="79"/>
        <v>207760</v>
      </c>
      <c r="U1495" s="8">
        <f t="shared" si="80"/>
        <v>0.55932458917533545</v>
      </c>
      <c r="V1495" s="9" t="s">
        <v>5270</v>
      </c>
      <c r="W1495" s="9" t="str">
        <f t="shared" si="81"/>
        <v>Wombwell UD</v>
      </c>
      <c r="X1495" s="9" t="str">
        <f>INDEX(Lookup!$A$2:$A$1349, MATCH(W1495, Lookup!$B$2:$B$1349,0))</f>
        <v>J04001444</v>
      </c>
      <c r="Y1495" s="9" t="str">
        <f>INDEX(Lookup!$F$2:$F$1349, MATCH(W1495, Lookup!$B$2:$B$1349,0))</f>
        <v>e461276</v>
      </c>
      <c r="Z1495" s="6" t="str">
        <f>INDEX(Lookup!$C$2:$C$1300, MATCH(X1495, Lookup!$A$2:$A$1300,0))</f>
        <v>South Yorkshire</v>
      </c>
    </row>
    <row r="1496" spans="1:26" ht="28.15" customHeight="1" x14ac:dyDescent="0.2">
      <c r="A1496" s="6" t="s">
        <v>1255</v>
      </c>
      <c r="B1496" s="1" t="s">
        <v>1255</v>
      </c>
      <c r="C1496" s="2">
        <v>4644</v>
      </c>
      <c r="D1496" s="2">
        <v>179348</v>
      </c>
      <c r="E1496" s="2">
        <v>29</v>
      </c>
      <c r="F1496" s="2">
        <v>3590</v>
      </c>
      <c r="I1496" s="2">
        <v>109</v>
      </c>
      <c r="J1496" s="2">
        <v>6658</v>
      </c>
      <c r="K1496" s="2">
        <v>15</v>
      </c>
      <c r="L1496" s="2">
        <v>2408</v>
      </c>
      <c r="M1496" s="2">
        <v>619</v>
      </c>
      <c r="N1496" s="2">
        <v>14411</v>
      </c>
      <c r="O1496" s="2">
        <v>12</v>
      </c>
      <c r="P1496" s="2">
        <v>49025</v>
      </c>
      <c r="Q1496" s="2">
        <v>3473</v>
      </c>
      <c r="R1496" s="2">
        <v>105111</v>
      </c>
      <c r="S1496" s="2">
        <v>364024</v>
      </c>
      <c r="T1496" s="10">
        <f t="shared" si="79"/>
        <v>182938</v>
      </c>
      <c r="U1496" s="8">
        <f t="shared" si="80"/>
        <v>0.50254378832164914</v>
      </c>
      <c r="V1496" s="9" t="s">
        <v>5270</v>
      </c>
      <c r="W1496" s="9" t="str">
        <f t="shared" si="81"/>
        <v>Worsbrough UD</v>
      </c>
      <c r="X1496" s="9" t="str">
        <f>INDEX(Lookup!$A$2:$A$1349, MATCH(W1496, Lookup!$B$2:$B$1349,0))</f>
        <v>J04001454</v>
      </c>
      <c r="Y1496" s="9" t="str">
        <f>INDEX(Lookup!$F$2:$F$1349, MATCH(W1496, Lookup!$B$2:$B$1349,0))</f>
        <v>e461277</v>
      </c>
      <c r="Z1496" s="6" t="str">
        <f>INDEX(Lookup!$C$2:$C$1300, MATCH(X1496, Lookup!$A$2:$A$1300,0))</f>
        <v>South Yorkshire</v>
      </c>
    </row>
    <row r="1497" spans="1:26" ht="28.15" customHeight="1" x14ac:dyDescent="0.2">
      <c r="A1497" s="6" t="s">
        <v>212</v>
      </c>
      <c r="B1497" s="1" t="s">
        <v>212</v>
      </c>
      <c r="T1497" s="10"/>
      <c r="W1497" s="9" t="str">
        <f t="shared" si="81"/>
        <v xml:space="preserve">Rural Districts-- </v>
      </c>
      <c r="X1497" s="9" t="e">
        <f>INDEX(Lookup!$A$2:$A$1349, MATCH(W1497, Lookup!$B$2:$B$1349,0))</f>
        <v>#N/A</v>
      </c>
      <c r="Y1497" s="9" t="e">
        <f>INDEX(Lookup!$F$2:$F$1349, MATCH(W1497, Lookup!$B$2:$B$1349,0))</f>
        <v>#N/A</v>
      </c>
      <c r="Z1497" s="6" t="e">
        <f>INDEX(Lookup!$C$2:$C$1300, MATCH(X1497, Lookup!$A$2:$A$1300,0))</f>
        <v>#N/A</v>
      </c>
    </row>
    <row r="1498" spans="1:26" ht="28.15" customHeight="1" x14ac:dyDescent="0.2">
      <c r="A1498" s="6" t="s">
        <v>1256</v>
      </c>
      <c r="B1498" s="1" t="s">
        <v>1256</v>
      </c>
      <c r="C1498" s="2">
        <v>1016</v>
      </c>
      <c r="D1498" s="2">
        <v>37104</v>
      </c>
      <c r="E1498" s="2">
        <v>57</v>
      </c>
      <c r="F1498" s="2">
        <v>8117</v>
      </c>
      <c r="G1498" s="2">
        <v>10</v>
      </c>
      <c r="H1498" s="2">
        <v>2852</v>
      </c>
      <c r="I1498" s="2">
        <v>45</v>
      </c>
      <c r="J1498" s="2">
        <v>2476</v>
      </c>
      <c r="K1498" s="2">
        <v>22</v>
      </c>
      <c r="L1498" s="2">
        <v>1831</v>
      </c>
      <c r="M1498" s="2">
        <v>192</v>
      </c>
      <c r="N1498" s="2">
        <v>19008</v>
      </c>
      <c r="O1498" s="2">
        <v>4</v>
      </c>
      <c r="P1498" s="2">
        <v>285</v>
      </c>
      <c r="Q1498" s="2">
        <v>204</v>
      </c>
      <c r="R1498" s="2">
        <v>97116</v>
      </c>
      <c r="S1498" s="2">
        <v>168993</v>
      </c>
      <c r="T1498" s="10">
        <f t="shared" si="79"/>
        <v>48073</v>
      </c>
      <c r="U1498" s="8">
        <f t="shared" si="80"/>
        <v>0.28446740397531256</v>
      </c>
      <c r="V1498" s="9" t="s">
        <v>5271</v>
      </c>
      <c r="W1498" s="9" t="str">
        <f t="shared" si="81"/>
        <v>Bowland RD</v>
      </c>
      <c r="X1498" s="9" t="str">
        <f>INDEX(Lookup!$A$2:$A$1349, MATCH(W1498, Lookup!$B$2:$B$1349,0))</f>
        <v>J04000181</v>
      </c>
      <c r="Y1498" s="9" t="str">
        <f>INDEX(Lookup!$F$2:$F$1349, MATCH(W1498, Lookup!$B$2:$B$1349,0))</f>
        <v>e461278</v>
      </c>
      <c r="Z1498" s="6" t="str">
        <f>INDEX(Lookup!$C$2:$C$1300, MATCH(X1498, Lookup!$A$2:$A$1300,0))</f>
        <v>Lancashire</v>
      </c>
    </row>
    <row r="1499" spans="1:26" ht="28.15" customHeight="1" x14ac:dyDescent="0.2">
      <c r="A1499" s="6" t="s">
        <v>119</v>
      </c>
      <c r="B1499" s="1" t="s">
        <v>119</v>
      </c>
      <c r="C1499" s="2">
        <v>18964</v>
      </c>
      <c r="D1499" s="2">
        <v>888955</v>
      </c>
      <c r="E1499" s="2">
        <v>268</v>
      </c>
      <c r="F1499" s="2">
        <v>33095</v>
      </c>
      <c r="G1499" s="2">
        <v>6</v>
      </c>
      <c r="H1499" s="2">
        <v>1416</v>
      </c>
      <c r="I1499" s="2">
        <v>467</v>
      </c>
      <c r="J1499" s="2">
        <v>44175</v>
      </c>
      <c r="K1499" s="2">
        <v>44</v>
      </c>
      <c r="L1499" s="2">
        <v>9509</v>
      </c>
      <c r="M1499" s="2">
        <v>1243</v>
      </c>
      <c r="N1499" s="2">
        <v>75952</v>
      </c>
      <c r="O1499" s="2">
        <v>29</v>
      </c>
      <c r="P1499" s="2">
        <v>271168</v>
      </c>
      <c r="Q1499" s="2">
        <v>34889</v>
      </c>
      <c r="R1499" s="2">
        <v>59058</v>
      </c>
      <c r="S1499" s="2">
        <v>1953217</v>
      </c>
      <c r="T1499" s="10">
        <f t="shared" si="79"/>
        <v>923466</v>
      </c>
      <c r="U1499" s="8">
        <f t="shared" si="80"/>
        <v>0.47279232159048379</v>
      </c>
      <c r="V1499" s="9" t="s">
        <v>5271</v>
      </c>
      <c r="W1499" s="9" t="str">
        <f t="shared" si="81"/>
        <v>Doncaster RD</v>
      </c>
      <c r="X1499" s="9" t="str">
        <f>INDEX(Lookup!$A$2:$A$1349, MATCH(W1499, Lookup!$B$2:$B$1349,0))</f>
        <v>J04000415</v>
      </c>
      <c r="Y1499" s="9" t="str">
        <f>INDEX(Lookup!$F$2:$F$1349, MATCH(W1499, Lookup!$B$2:$B$1349,0))</f>
        <v>e461279</v>
      </c>
      <c r="Z1499" s="6" t="str">
        <f>INDEX(Lookup!$C$2:$C$1300, MATCH(X1499, Lookup!$A$2:$A$1300,0))</f>
        <v>South Yorkshire</v>
      </c>
    </row>
    <row r="1500" spans="1:26" ht="28.15" customHeight="1" x14ac:dyDescent="0.2">
      <c r="A1500" s="6" t="s">
        <v>1192</v>
      </c>
      <c r="B1500" s="1" t="s">
        <v>1192</v>
      </c>
      <c r="C1500" s="2">
        <v>2480</v>
      </c>
      <c r="D1500" s="2">
        <v>82329</v>
      </c>
      <c r="E1500" s="2">
        <v>22</v>
      </c>
      <c r="F1500" s="2">
        <v>2673</v>
      </c>
      <c r="I1500" s="2">
        <v>109</v>
      </c>
      <c r="J1500" s="2">
        <v>4639</v>
      </c>
      <c r="K1500" s="2">
        <v>3</v>
      </c>
      <c r="L1500" s="2">
        <v>447</v>
      </c>
      <c r="M1500" s="2">
        <v>126</v>
      </c>
      <c r="N1500" s="2">
        <v>14508</v>
      </c>
      <c r="O1500" s="2">
        <v>17</v>
      </c>
      <c r="P1500" s="2">
        <v>27853</v>
      </c>
      <c r="Q1500" s="2">
        <v>10502</v>
      </c>
      <c r="R1500" s="2">
        <v>32005</v>
      </c>
      <c r="S1500" s="2">
        <v>174956</v>
      </c>
      <c r="T1500" s="10">
        <f t="shared" si="79"/>
        <v>85002</v>
      </c>
      <c r="U1500" s="8">
        <f t="shared" si="80"/>
        <v>0.48584787032168086</v>
      </c>
      <c r="V1500" s="9" t="s">
        <v>5271</v>
      </c>
      <c r="W1500" s="9" t="str">
        <f t="shared" si="81"/>
        <v>Goole RD</v>
      </c>
      <c r="X1500" s="9" t="str">
        <f>INDEX(Lookup!$A$2:$A$1349, MATCH(W1500, Lookup!$B$2:$B$1349,0))</f>
        <v>J04000543</v>
      </c>
      <c r="Y1500" s="9" t="str">
        <f>INDEX(Lookup!$F$2:$F$1349, MATCH(W1500, Lookup!$B$2:$B$1349,0))</f>
        <v>e461280</v>
      </c>
      <c r="Z1500" s="6" t="str">
        <f>INDEX(Lookup!$C$2:$C$1300, MATCH(X1500, Lookup!$A$2:$A$1300,0))</f>
        <v>Humberside</v>
      </c>
    </row>
    <row r="1501" spans="1:26" ht="28.15" customHeight="1" x14ac:dyDescent="0.2">
      <c r="A1501" s="6" t="s">
        <v>1225</v>
      </c>
      <c r="B1501" s="1" t="s">
        <v>1225</v>
      </c>
      <c r="C1501" s="2">
        <v>14988</v>
      </c>
      <c r="D1501" s="2">
        <v>569646</v>
      </c>
      <c r="E1501" s="2">
        <v>86</v>
      </c>
      <c r="F1501" s="2">
        <v>10889</v>
      </c>
      <c r="G1501" s="2">
        <v>6</v>
      </c>
      <c r="H1501" s="2">
        <v>1416</v>
      </c>
      <c r="I1501" s="2">
        <v>512</v>
      </c>
      <c r="J1501" s="2">
        <v>52950</v>
      </c>
      <c r="K1501" s="2">
        <v>72</v>
      </c>
      <c r="L1501" s="2">
        <v>6672</v>
      </c>
      <c r="M1501" s="2">
        <v>1295</v>
      </c>
      <c r="N1501" s="2">
        <v>42480</v>
      </c>
      <c r="O1501" s="2">
        <v>24</v>
      </c>
      <c r="P1501" s="2">
        <v>46640</v>
      </c>
      <c r="Q1501" s="2">
        <v>1451</v>
      </c>
      <c r="R1501" s="2">
        <v>504931</v>
      </c>
      <c r="S1501" s="2">
        <v>1237045</v>
      </c>
      <c r="T1501" s="10">
        <f t="shared" si="79"/>
        <v>581951</v>
      </c>
      <c r="U1501" s="8">
        <f t="shared" si="80"/>
        <v>0.47043640287944255</v>
      </c>
      <c r="V1501" s="9" t="s">
        <v>5271</v>
      </c>
      <c r="W1501" s="9" t="str">
        <f t="shared" si="81"/>
        <v>Hemsworth RD</v>
      </c>
      <c r="X1501" s="9" t="str">
        <f>INDEX(Lookup!$A$2:$A$1349, MATCH(W1501, Lookup!$B$2:$B$1349,0))</f>
        <v>J04000605</v>
      </c>
      <c r="Y1501" s="9" t="str">
        <f>INDEX(Lookup!$F$2:$F$1349, MATCH(W1501, Lookup!$B$2:$B$1349,0))</f>
        <v>e461281</v>
      </c>
      <c r="Z1501" s="6" t="str">
        <f>INDEX(Lookup!$C$2:$C$1300, MATCH(X1501, Lookup!$A$2:$A$1300,0))</f>
        <v>West Yorkshire</v>
      </c>
    </row>
    <row r="1502" spans="1:26" ht="28.15" customHeight="1" x14ac:dyDescent="0.2">
      <c r="A1502" s="6" t="s">
        <v>1257</v>
      </c>
      <c r="B1502" s="1" t="s">
        <v>1257</v>
      </c>
      <c r="C1502" s="2">
        <v>1459</v>
      </c>
      <c r="D1502" s="2">
        <v>33101</v>
      </c>
      <c r="E1502" s="2">
        <v>7</v>
      </c>
      <c r="F1502" s="2">
        <v>870</v>
      </c>
      <c r="I1502" s="2">
        <v>33</v>
      </c>
      <c r="J1502" s="2">
        <v>1258</v>
      </c>
      <c r="M1502" s="2">
        <v>26</v>
      </c>
      <c r="N1502" s="2">
        <v>4239</v>
      </c>
      <c r="O1502" s="2">
        <v>11</v>
      </c>
      <c r="P1502" s="2">
        <v>8634</v>
      </c>
      <c r="Q1502" s="2">
        <v>113</v>
      </c>
      <c r="R1502" s="2">
        <v>40048</v>
      </c>
      <c r="S1502" s="2">
        <v>88263</v>
      </c>
      <c r="T1502" s="10">
        <f t="shared" si="79"/>
        <v>33971</v>
      </c>
      <c r="U1502" s="8">
        <f t="shared" si="80"/>
        <v>0.38488381314933778</v>
      </c>
      <c r="V1502" s="9" t="s">
        <v>5271</v>
      </c>
      <c r="W1502" s="9" t="str">
        <f t="shared" si="81"/>
        <v>Hepton RD</v>
      </c>
      <c r="X1502" s="9" t="str">
        <f>INDEX(Lookup!$A$2:$A$1349, MATCH(W1502, Lookup!$B$2:$B$1349,0))</f>
        <v>J04000610</v>
      </c>
      <c r="Y1502" s="9" t="str">
        <f>INDEX(Lookup!$F$2:$F$1349, MATCH(W1502, Lookup!$B$2:$B$1349,0))</f>
        <v>e461283</v>
      </c>
      <c r="Z1502" s="6" t="str">
        <f>INDEX(Lookup!$C$2:$C$1300, MATCH(X1502, Lookup!$A$2:$A$1300,0))</f>
        <v>West Yorkshire</v>
      </c>
    </row>
    <row r="1503" spans="1:26" ht="28.15" customHeight="1" x14ac:dyDescent="0.2">
      <c r="A1503" s="6" t="s">
        <v>1258</v>
      </c>
      <c r="B1503" s="1" t="s">
        <v>1258</v>
      </c>
      <c r="C1503" s="2">
        <v>6120</v>
      </c>
      <c r="D1503" s="2">
        <v>257724</v>
      </c>
      <c r="E1503" s="2">
        <v>73</v>
      </c>
      <c r="F1503" s="2">
        <v>8963</v>
      </c>
      <c r="G1503" s="2">
        <v>8</v>
      </c>
      <c r="H1503" s="2">
        <v>2008</v>
      </c>
      <c r="I1503" s="2">
        <v>229</v>
      </c>
      <c r="J1503" s="2">
        <v>18704</v>
      </c>
      <c r="K1503" s="2">
        <v>7</v>
      </c>
      <c r="L1503" s="2">
        <v>2089</v>
      </c>
      <c r="M1503" s="2">
        <v>482</v>
      </c>
      <c r="N1503" s="2">
        <v>20534</v>
      </c>
      <c r="O1503" s="2">
        <v>18</v>
      </c>
      <c r="P1503" s="2">
        <v>38489</v>
      </c>
      <c r="Q1503" s="2">
        <v>2670</v>
      </c>
      <c r="R1503" s="2">
        <v>146593</v>
      </c>
      <c r="S1503" s="2">
        <v>497774</v>
      </c>
      <c r="T1503" s="10">
        <f t="shared" si="79"/>
        <v>268695</v>
      </c>
      <c r="U1503" s="8">
        <f t="shared" si="80"/>
        <v>0.53979315914451131</v>
      </c>
      <c r="V1503" s="9" t="s">
        <v>5271</v>
      </c>
      <c r="W1503" s="9" t="str">
        <f t="shared" si="81"/>
        <v>Kiveton Park RD</v>
      </c>
      <c r="X1503" s="9" t="str">
        <f>INDEX(Lookup!$A$2:$A$1349, MATCH(W1503, Lookup!$B$2:$B$1349,0))</f>
        <v>J04000709</v>
      </c>
      <c r="Y1503" s="9" t="str">
        <f>INDEX(Lookup!$F$2:$F$1349, MATCH(W1503, Lookup!$B$2:$B$1349,0))</f>
        <v>e461284</v>
      </c>
      <c r="Z1503" s="6" t="str">
        <f>INDEX(Lookup!$C$2:$C$1300, MATCH(X1503, Lookup!$A$2:$A$1300,0))</f>
        <v>South Yorkshire</v>
      </c>
    </row>
    <row r="1504" spans="1:26" ht="28.15" customHeight="1" x14ac:dyDescent="0.2">
      <c r="A1504" s="6" t="s">
        <v>1259</v>
      </c>
      <c r="B1504" s="1" t="s">
        <v>1259</v>
      </c>
      <c r="C1504" s="2">
        <v>3496</v>
      </c>
      <c r="D1504" s="2">
        <v>158604</v>
      </c>
      <c r="E1504" s="2">
        <v>219</v>
      </c>
      <c r="F1504" s="2">
        <v>27302</v>
      </c>
      <c r="G1504" s="2">
        <v>37</v>
      </c>
      <c r="H1504" s="2">
        <v>11281</v>
      </c>
      <c r="I1504" s="2">
        <v>122</v>
      </c>
      <c r="J1504" s="2">
        <v>10563</v>
      </c>
      <c r="K1504" s="2">
        <v>10</v>
      </c>
      <c r="L1504" s="2">
        <v>707</v>
      </c>
      <c r="M1504" s="2">
        <v>239</v>
      </c>
      <c r="N1504" s="2">
        <v>33848</v>
      </c>
      <c r="O1504" s="2">
        <v>22</v>
      </c>
      <c r="P1504" s="2">
        <v>7575</v>
      </c>
      <c r="Q1504" s="2">
        <v>28169</v>
      </c>
      <c r="R1504" s="2">
        <v>77686</v>
      </c>
      <c r="S1504" s="2">
        <v>355735</v>
      </c>
      <c r="T1504" s="10">
        <f t="shared" si="79"/>
        <v>197187</v>
      </c>
      <c r="U1504" s="8">
        <f t="shared" si="80"/>
        <v>0.55430868483562201</v>
      </c>
      <c r="V1504" s="9" t="s">
        <v>5271</v>
      </c>
      <c r="W1504" s="9" t="str">
        <f t="shared" si="81"/>
        <v>Nidderdale RD</v>
      </c>
      <c r="X1504" s="9" t="str">
        <f>INDEX(Lookup!$A$2:$A$1349, MATCH(W1504, Lookup!$B$2:$B$1349,0))</f>
        <v>J04000919</v>
      </c>
      <c r="Y1504" s="9" t="str">
        <f>INDEX(Lookup!$F$2:$F$1349, MATCH(W1504, Lookup!$B$2:$B$1349,0))</f>
        <v>e461285</v>
      </c>
      <c r="Z1504" s="6" t="str">
        <f>INDEX(Lookup!$C$2:$C$1300, MATCH(X1504, Lookup!$A$2:$A$1300,0))</f>
        <v>North Yorkshire</v>
      </c>
    </row>
    <row r="1505" spans="1:26" ht="28.15" customHeight="1" x14ac:dyDescent="0.2">
      <c r="A1505" s="6" t="s">
        <v>1260</v>
      </c>
      <c r="B1505" s="1" t="s">
        <v>1260</v>
      </c>
      <c r="C1505" s="2">
        <v>2110</v>
      </c>
      <c r="D1505" s="2">
        <v>75355</v>
      </c>
      <c r="E1505" s="2">
        <v>59</v>
      </c>
      <c r="F1505" s="2">
        <v>7583</v>
      </c>
      <c r="G1505" s="2">
        <v>2</v>
      </c>
      <c r="H1505" s="2">
        <v>823</v>
      </c>
      <c r="I1505" s="2">
        <v>47</v>
      </c>
      <c r="J1505" s="2">
        <v>2692</v>
      </c>
      <c r="K1505" s="2">
        <v>2</v>
      </c>
      <c r="L1505" s="2">
        <v>54</v>
      </c>
      <c r="M1505" s="2">
        <v>237</v>
      </c>
      <c r="N1505" s="2">
        <v>18781</v>
      </c>
      <c r="O1505" s="2">
        <v>15</v>
      </c>
      <c r="P1505" s="2">
        <v>13529</v>
      </c>
      <c r="Q1505" s="2">
        <v>1803</v>
      </c>
      <c r="R1505" s="2">
        <v>44157</v>
      </c>
      <c r="S1505" s="2">
        <v>164777</v>
      </c>
      <c r="T1505" s="10">
        <f t="shared" si="79"/>
        <v>83761</v>
      </c>
      <c r="U1505" s="8">
        <f t="shared" si="80"/>
        <v>0.50832943918143914</v>
      </c>
      <c r="V1505" s="9" t="s">
        <v>5271</v>
      </c>
      <c r="W1505" s="9" t="str">
        <f t="shared" si="81"/>
        <v>Osgoldcross RD</v>
      </c>
      <c r="X1505" s="9" t="str">
        <f>INDEX(Lookup!$A$2:$A$1349, MATCH(W1505, Lookup!$B$2:$B$1349,0))</f>
        <v>J04000958</v>
      </c>
      <c r="Y1505" s="9" t="str">
        <f>INDEX(Lookup!$F$2:$F$1349, MATCH(W1505, Lookup!$B$2:$B$1349,0))</f>
        <v>e461287</v>
      </c>
      <c r="Z1505" s="6" t="str">
        <f>INDEX(Lookup!$C$2:$C$1300, MATCH(X1505, Lookup!$A$2:$A$1300,0))</f>
        <v>North Yorkshire</v>
      </c>
    </row>
    <row r="1506" spans="1:26" ht="28.15" customHeight="1" x14ac:dyDescent="0.2">
      <c r="A1506" s="6" t="s">
        <v>1240</v>
      </c>
      <c r="B1506" s="1" t="s">
        <v>1240</v>
      </c>
      <c r="C1506" s="2">
        <v>2189</v>
      </c>
      <c r="D1506" s="2">
        <v>74949</v>
      </c>
      <c r="E1506" s="2">
        <v>53</v>
      </c>
      <c r="F1506" s="2">
        <v>6564</v>
      </c>
      <c r="G1506" s="2">
        <v>15</v>
      </c>
      <c r="H1506" s="2">
        <v>3771</v>
      </c>
      <c r="I1506" s="2">
        <v>55</v>
      </c>
      <c r="J1506" s="2">
        <v>2880</v>
      </c>
      <c r="K1506" s="2">
        <v>5</v>
      </c>
      <c r="L1506" s="2">
        <v>108</v>
      </c>
      <c r="M1506" s="2">
        <v>308</v>
      </c>
      <c r="N1506" s="2">
        <v>10420</v>
      </c>
      <c r="O1506" s="2">
        <v>13</v>
      </c>
      <c r="P1506" s="2">
        <v>42023</v>
      </c>
      <c r="Q1506" s="2">
        <v>277</v>
      </c>
      <c r="R1506" s="2">
        <v>89054</v>
      </c>
      <c r="S1506" s="2">
        <v>230046</v>
      </c>
      <c r="T1506" s="10">
        <f t="shared" si="79"/>
        <v>85284</v>
      </c>
      <c r="U1506" s="8">
        <f t="shared" si="80"/>
        <v>0.3707258548290342</v>
      </c>
      <c r="V1506" s="9" t="s">
        <v>5271</v>
      </c>
      <c r="W1506" s="9" t="str">
        <f t="shared" si="81"/>
        <v>Penistone RD</v>
      </c>
      <c r="X1506" s="9" t="str">
        <f>INDEX(Lookup!$A$2:$A$1349, MATCH(W1506, Lookup!$B$2:$B$1349,0))</f>
        <v>J04000977</v>
      </c>
      <c r="Y1506" s="9" t="str">
        <f>INDEX(Lookup!$F$2:$F$1349, MATCH(W1506, Lookup!$B$2:$B$1349,0))</f>
        <v>e461288</v>
      </c>
      <c r="Z1506" s="6" t="str">
        <f>INDEX(Lookup!$C$2:$C$1300, MATCH(X1506, Lookup!$A$2:$A$1300,0))</f>
        <v>South Yorkshire</v>
      </c>
    </row>
    <row r="1507" spans="1:26" ht="28.15" customHeight="1" x14ac:dyDescent="0.2">
      <c r="A1507" s="6" t="s">
        <v>1205</v>
      </c>
      <c r="B1507" s="1" t="s">
        <v>1205</v>
      </c>
      <c r="T1507" s="10"/>
      <c r="W1507" s="9" t="str">
        <f t="shared" si="81"/>
        <v xml:space="preserve">YORKSHIRE,WEST RIDING--contd </v>
      </c>
      <c r="X1507" s="9" t="e">
        <f>INDEX(Lookup!$A$2:$A$1349, MATCH(W1507, Lookup!$B$2:$B$1349,0))</f>
        <v>#N/A</v>
      </c>
      <c r="Y1507" s="9" t="e">
        <f>INDEX(Lookup!$F$2:$F$1349, MATCH(W1507, Lookup!$B$2:$B$1349,0))</f>
        <v>#N/A</v>
      </c>
      <c r="Z1507" s="6" t="e">
        <f>INDEX(Lookup!$C$2:$C$1300, MATCH(X1507, Lookup!$A$2:$A$1300,0))</f>
        <v>#N/A</v>
      </c>
    </row>
    <row r="1508" spans="1:26" ht="28.15" customHeight="1" x14ac:dyDescent="0.2">
      <c r="A1508" s="6" t="s">
        <v>1261</v>
      </c>
      <c r="B1508" s="1" t="s">
        <v>1261</v>
      </c>
      <c r="T1508" s="10"/>
      <c r="W1508" s="9" t="str">
        <f t="shared" si="81"/>
        <v xml:space="preserve">Rural Districts--Contd. </v>
      </c>
      <c r="X1508" s="9" t="e">
        <f>INDEX(Lookup!$A$2:$A$1349, MATCH(W1508, Lookup!$B$2:$B$1349,0))</f>
        <v>#N/A</v>
      </c>
      <c r="Y1508" s="9" t="e">
        <f>INDEX(Lookup!$F$2:$F$1349, MATCH(W1508, Lookup!$B$2:$B$1349,0))</f>
        <v>#N/A</v>
      </c>
      <c r="Z1508" s="6" t="e">
        <f>INDEX(Lookup!$C$2:$C$1300, MATCH(X1508, Lookup!$A$2:$A$1300,0))</f>
        <v>#N/A</v>
      </c>
    </row>
    <row r="1509" spans="1:26" ht="28.15" customHeight="1" x14ac:dyDescent="0.2">
      <c r="A1509" s="6" t="s">
        <v>1262</v>
      </c>
      <c r="B1509" s="1" t="s">
        <v>1262</v>
      </c>
      <c r="C1509" s="2">
        <v>2761</v>
      </c>
      <c r="D1509" s="2">
        <v>94753</v>
      </c>
      <c r="E1509" s="2">
        <v>115</v>
      </c>
      <c r="F1509" s="2">
        <v>14850</v>
      </c>
      <c r="G1509" s="2">
        <v>22</v>
      </c>
      <c r="H1509" s="2">
        <v>6688</v>
      </c>
      <c r="I1509" s="2">
        <v>101</v>
      </c>
      <c r="J1509" s="2">
        <v>6233</v>
      </c>
      <c r="K1509" s="2">
        <v>14</v>
      </c>
      <c r="L1509" s="2">
        <v>686</v>
      </c>
      <c r="M1509" s="2">
        <v>274</v>
      </c>
      <c r="N1509" s="2">
        <v>13875</v>
      </c>
      <c r="O1509" s="2">
        <v>28</v>
      </c>
      <c r="P1509" s="2">
        <v>12076</v>
      </c>
      <c r="Q1509" s="2">
        <v>33479</v>
      </c>
      <c r="R1509" s="2">
        <v>147713</v>
      </c>
      <c r="S1509" s="2">
        <v>330353</v>
      </c>
      <c r="T1509" s="10">
        <f t="shared" si="79"/>
        <v>116291</v>
      </c>
      <c r="U1509" s="8">
        <f t="shared" si="80"/>
        <v>0.35202041452627947</v>
      </c>
      <c r="V1509" s="9" t="s">
        <v>5271</v>
      </c>
      <c r="W1509" s="9" t="str">
        <f t="shared" si="81"/>
        <v>Ripon and Pateley Bridge RD</v>
      </c>
      <c r="X1509" s="9" t="str">
        <f>INDEX(Lookup!$A$2:$A$1349, MATCH(W1509, Lookup!$B$2:$B$1349,0))</f>
        <v>J04001052</v>
      </c>
      <c r="Y1509" s="9" t="str">
        <f>INDEX(Lookup!$F$2:$F$1349, MATCH(W1509, Lookup!$B$2:$B$1349,0))</f>
        <v>e461289</v>
      </c>
      <c r="Z1509" s="6" t="str">
        <f>INDEX(Lookup!$C$2:$C$1300, MATCH(X1509, Lookup!$A$2:$A$1300,0))</f>
        <v>North Yorkshire</v>
      </c>
    </row>
    <row r="1510" spans="1:26" ht="28.15" customHeight="1" x14ac:dyDescent="0.2">
      <c r="A1510" s="6" t="s">
        <v>149</v>
      </c>
      <c r="B1510" s="1" t="s">
        <v>4506</v>
      </c>
      <c r="C1510" s="2">
        <v>17782</v>
      </c>
      <c r="D1510" s="2">
        <v>798948</v>
      </c>
      <c r="E1510" s="2">
        <v>221</v>
      </c>
      <c r="F1510" s="2">
        <v>28045</v>
      </c>
      <c r="G1510" s="2">
        <v>7</v>
      </c>
      <c r="H1510" s="2">
        <v>1726</v>
      </c>
      <c r="I1510" s="2">
        <v>399</v>
      </c>
      <c r="J1510" s="2">
        <v>30231</v>
      </c>
      <c r="K1510" s="2">
        <v>14</v>
      </c>
      <c r="L1510" s="2">
        <v>2882</v>
      </c>
      <c r="M1510" s="2">
        <v>1302</v>
      </c>
      <c r="N1510" s="2">
        <v>47106</v>
      </c>
      <c r="O1510" s="2">
        <v>22</v>
      </c>
      <c r="P1510" s="2">
        <v>197574</v>
      </c>
      <c r="Q1510" s="2">
        <v>2321</v>
      </c>
      <c r="R1510" s="2">
        <v>369501</v>
      </c>
      <c r="S1510" s="2">
        <v>1478334</v>
      </c>
      <c r="T1510" s="10">
        <f t="shared" si="79"/>
        <v>828719</v>
      </c>
      <c r="U1510" s="8">
        <f t="shared" si="80"/>
        <v>0.56057629737258297</v>
      </c>
      <c r="V1510" s="9" t="s">
        <v>5271</v>
      </c>
      <c r="W1510" s="9" t="str">
        <f t="shared" si="81"/>
        <v>Rotherham RD</v>
      </c>
      <c r="X1510" s="9" t="str">
        <f>INDEX(Lookup!$A$2:$A$1349, MATCH(W1510, Lookup!$B$2:$B$1349,0))</f>
        <v>J04001068</v>
      </c>
      <c r="Y1510" s="9" t="str">
        <f>INDEX(Lookup!$F$2:$F$1349, MATCH(W1510, Lookup!$B$2:$B$1349,0))</f>
        <v>e461290</v>
      </c>
      <c r="Z1510" s="6" t="str">
        <f>INDEX(Lookup!$C$2:$C$1300, MATCH(X1510, Lookup!$A$2:$A$1300,0))</f>
        <v>South Yorkshire</v>
      </c>
    </row>
    <row r="1511" spans="1:26" ht="28.15" customHeight="1" x14ac:dyDescent="0.2">
      <c r="A1511" s="6" t="s">
        <v>1263</v>
      </c>
      <c r="B1511" s="1" t="s">
        <v>1263</v>
      </c>
      <c r="C1511" s="2">
        <v>932</v>
      </c>
      <c r="D1511" s="2">
        <v>31447</v>
      </c>
      <c r="E1511" s="2">
        <v>24</v>
      </c>
      <c r="F1511" s="2">
        <v>3186</v>
      </c>
      <c r="G1511" s="2">
        <v>2</v>
      </c>
      <c r="H1511" s="2">
        <v>416</v>
      </c>
      <c r="I1511" s="2">
        <v>64</v>
      </c>
      <c r="J1511" s="2">
        <v>4715</v>
      </c>
      <c r="K1511" s="2">
        <v>8</v>
      </c>
      <c r="L1511" s="2">
        <v>192</v>
      </c>
      <c r="M1511" s="2">
        <v>133</v>
      </c>
      <c r="N1511" s="2">
        <v>5800</v>
      </c>
      <c r="O1511" s="2">
        <v>14</v>
      </c>
      <c r="P1511" s="2">
        <v>2210</v>
      </c>
      <c r="Q1511" s="2">
        <v>218</v>
      </c>
      <c r="R1511" s="2">
        <v>23113</v>
      </c>
      <c r="S1511" s="2">
        <v>71297</v>
      </c>
      <c r="T1511" s="10">
        <f t="shared" si="79"/>
        <v>35049</v>
      </c>
      <c r="U1511" s="8">
        <f t="shared" si="80"/>
        <v>0.49159151156430142</v>
      </c>
      <c r="V1511" s="9" t="s">
        <v>5271</v>
      </c>
      <c r="W1511" s="9" t="str">
        <f t="shared" si="81"/>
        <v>Sedbergh RD</v>
      </c>
      <c r="X1511" s="9" t="str">
        <f>INDEX(Lookup!$A$2:$A$1349, MATCH(W1511, Lookup!$B$2:$B$1349,0))</f>
        <v>J04001114</v>
      </c>
      <c r="Y1511" s="9" t="str">
        <f>INDEX(Lookup!$F$2:$F$1349, MATCH(W1511, Lookup!$B$2:$B$1349,0))</f>
        <v>e461291</v>
      </c>
      <c r="Z1511" s="6" t="str">
        <f>INDEX(Lookup!$C$2:$C$1300, MATCH(X1511, Lookup!$A$2:$A$1300,0))</f>
        <v>Cumbria</v>
      </c>
    </row>
    <row r="1512" spans="1:26" ht="28.15" customHeight="1" x14ac:dyDescent="0.2">
      <c r="A1512" s="6" t="s">
        <v>1245</v>
      </c>
      <c r="B1512" s="1" t="s">
        <v>1245</v>
      </c>
      <c r="C1512" s="2">
        <v>1743</v>
      </c>
      <c r="D1512" s="2">
        <v>63891</v>
      </c>
      <c r="E1512" s="2">
        <v>46</v>
      </c>
      <c r="F1512" s="2">
        <v>5529</v>
      </c>
      <c r="G1512" s="2">
        <v>1</v>
      </c>
      <c r="H1512" s="2">
        <v>347</v>
      </c>
      <c r="I1512" s="2">
        <v>41</v>
      </c>
      <c r="J1512" s="2">
        <v>1797</v>
      </c>
      <c r="K1512" s="2">
        <v>1</v>
      </c>
      <c r="L1512" s="2">
        <v>3</v>
      </c>
      <c r="M1512" s="2">
        <v>129</v>
      </c>
      <c r="N1512" s="2">
        <v>8591</v>
      </c>
      <c r="O1512" s="2">
        <v>12</v>
      </c>
      <c r="P1512" s="2">
        <v>1899</v>
      </c>
      <c r="Q1512" s="2">
        <v>8678</v>
      </c>
      <c r="R1512" s="2">
        <v>31200</v>
      </c>
      <c r="S1512" s="2">
        <v>121935</v>
      </c>
      <c r="T1512" s="10">
        <f t="shared" si="79"/>
        <v>69767</v>
      </c>
      <c r="U1512" s="8">
        <f t="shared" si="80"/>
        <v>0.57216549801123551</v>
      </c>
      <c r="V1512" s="9" t="s">
        <v>5271</v>
      </c>
      <c r="W1512" s="9" t="str">
        <f t="shared" si="81"/>
        <v>Selby RD</v>
      </c>
      <c r="X1512" s="9" t="str">
        <f>INDEX(Lookup!$A$2:$A$1349, MATCH(W1512, Lookup!$B$2:$B$1349,0))</f>
        <v>J04001118</v>
      </c>
      <c r="Y1512" s="9" t="str">
        <f>INDEX(Lookup!$F$2:$F$1349, MATCH(W1512, Lookup!$B$2:$B$1349,0))</f>
        <v>e461292</v>
      </c>
      <c r="Z1512" s="6" t="str">
        <f>INDEX(Lookup!$C$2:$C$1300, MATCH(X1512, Lookup!$A$2:$A$1300,0))</f>
        <v>North Yorkshire</v>
      </c>
    </row>
    <row r="1513" spans="1:26" ht="28.15" customHeight="1" x14ac:dyDescent="0.2">
      <c r="A1513" s="6" t="s">
        <v>1264</v>
      </c>
      <c r="B1513" s="1" t="s">
        <v>1264</v>
      </c>
      <c r="C1513" s="2">
        <v>3849</v>
      </c>
      <c r="D1513" s="2">
        <v>142390</v>
      </c>
      <c r="E1513" s="2">
        <v>68</v>
      </c>
      <c r="F1513" s="2">
        <v>8118</v>
      </c>
      <c r="G1513" s="2">
        <v>6</v>
      </c>
      <c r="H1513" s="2">
        <v>1561</v>
      </c>
      <c r="I1513" s="2">
        <v>285</v>
      </c>
      <c r="J1513" s="2">
        <v>21127</v>
      </c>
      <c r="K1513" s="2">
        <v>34</v>
      </c>
      <c r="L1513" s="2">
        <v>1591</v>
      </c>
      <c r="M1513" s="2">
        <v>536</v>
      </c>
      <c r="N1513" s="2">
        <v>29880</v>
      </c>
      <c r="O1513" s="2">
        <v>31</v>
      </c>
      <c r="P1513" s="2">
        <v>18574</v>
      </c>
      <c r="Q1513" s="2">
        <v>1700</v>
      </c>
      <c r="R1513" s="2">
        <v>89626</v>
      </c>
      <c r="S1513" s="2">
        <v>314567</v>
      </c>
      <c r="T1513" s="10">
        <f t="shared" si="79"/>
        <v>152069</v>
      </c>
      <c r="U1513" s="8">
        <f t="shared" si="80"/>
        <v>0.48342324528637776</v>
      </c>
      <c r="V1513" s="9" t="s">
        <v>5271</v>
      </c>
      <c r="W1513" s="9" t="str">
        <f t="shared" si="81"/>
        <v>Settle RD</v>
      </c>
      <c r="X1513" s="9" t="str">
        <f>INDEX(Lookup!$A$2:$A$1349, MATCH(W1513, Lookup!$B$2:$B$1349,0))</f>
        <v>J04001120</v>
      </c>
      <c r="Y1513" s="9" t="str">
        <f>INDEX(Lookup!$F$2:$F$1349, MATCH(W1513, Lookup!$B$2:$B$1349,0))</f>
        <v>e461293</v>
      </c>
      <c r="Z1513" s="6" t="str">
        <f>INDEX(Lookup!$C$2:$C$1300, MATCH(X1513, Lookup!$A$2:$A$1300,0))</f>
        <v>North Yorkshire</v>
      </c>
    </row>
    <row r="1514" spans="1:26" ht="28.15" customHeight="1" x14ac:dyDescent="0.2">
      <c r="A1514" s="6" t="s">
        <v>1248</v>
      </c>
      <c r="B1514" s="1" t="s">
        <v>1248</v>
      </c>
      <c r="C1514" s="2">
        <v>7413</v>
      </c>
      <c r="D1514" s="2">
        <v>273242</v>
      </c>
      <c r="E1514" s="2">
        <v>219</v>
      </c>
      <c r="F1514" s="2">
        <v>28215</v>
      </c>
      <c r="G1514" s="2">
        <v>48</v>
      </c>
      <c r="H1514" s="2">
        <v>12457</v>
      </c>
      <c r="I1514" s="2">
        <v>350</v>
      </c>
      <c r="J1514" s="2">
        <v>17687</v>
      </c>
      <c r="K1514" s="2">
        <v>12</v>
      </c>
      <c r="L1514" s="2">
        <v>249</v>
      </c>
      <c r="M1514" s="2">
        <v>924</v>
      </c>
      <c r="N1514" s="2">
        <v>42880</v>
      </c>
      <c r="O1514" s="2">
        <v>77</v>
      </c>
      <c r="P1514" s="2">
        <v>91268</v>
      </c>
      <c r="Q1514" s="2">
        <v>6376</v>
      </c>
      <c r="R1514" s="2">
        <v>147270</v>
      </c>
      <c r="S1514" s="2">
        <v>619644</v>
      </c>
      <c r="T1514" s="10">
        <f t="shared" si="79"/>
        <v>313914</v>
      </c>
      <c r="U1514" s="8">
        <f t="shared" si="80"/>
        <v>0.50660379185467785</v>
      </c>
      <c r="V1514" s="9" t="s">
        <v>5271</v>
      </c>
      <c r="W1514" s="9" t="str">
        <f t="shared" si="81"/>
        <v>Skipton RD</v>
      </c>
      <c r="X1514" s="9" t="str">
        <f>INDEX(Lookup!$A$2:$A$1349, MATCH(W1514, Lookup!$B$2:$B$1349,0))</f>
        <v>J04001147</v>
      </c>
      <c r="Y1514" s="9" t="str">
        <f>INDEX(Lookup!$F$2:$F$1349, MATCH(W1514, Lookup!$B$2:$B$1349,0))</f>
        <v>e461295</v>
      </c>
      <c r="Z1514" s="6" t="str">
        <f>INDEX(Lookup!$C$2:$C$1300, MATCH(X1514, Lookup!$A$2:$A$1300,0))</f>
        <v>North Yorkshire</v>
      </c>
    </row>
    <row r="1515" spans="1:26" ht="28.15" customHeight="1" x14ac:dyDescent="0.2">
      <c r="A1515" s="6" t="s">
        <v>1265</v>
      </c>
      <c r="B1515" s="1" t="s">
        <v>1265</v>
      </c>
      <c r="C1515" s="2">
        <v>8052</v>
      </c>
      <c r="D1515" s="2">
        <v>330466</v>
      </c>
      <c r="E1515" s="2">
        <v>227</v>
      </c>
      <c r="F1515" s="2">
        <v>28045</v>
      </c>
      <c r="G1515" s="2">
        <v>29</v>
      </c>
      <c r="H1515" s="2">
        <v>7801</v>
      </c>
      <c r="I1515" s="2">
        <v>249</v>
      </c>
      <c r="J1515" s="2">
        <v>18557</v>
      </c>
      <c r="K1515" s="2">
        <v>26</v>
      </c>
      <c r="L1515" s="2">
        <v>1777</v>
      </c>
      <c r="M1515" s="2">
        <v>552</v>
      </c>
      <c r="N1515" s="2">
        <v>50634</v>
      </c>
      <c r="O1515" s="2">
        <v>33</v>
      </c>
      <c r="P1515" s="2">
        <v>153017</v>
      </c>
      <c r="Q1515" s="2">
        <v>34454</v>
      </c>
      <c r="R1515" s="2">
        <v>189213</v>
      </c>
      <c r="S1515" s="2">
        <v>813964</v>
      </c>
      <c r="T1515" s="10">
        <f t="shared" si="79"/>
        <v>366312</v>
      </c>
      <c r="U1515" s="8">
        <f t="shared" si="80"/>
        <v>0.45003464526686682</v>
      </c>
      <c r="V1515" s="9" t="s">
        <v>5271</v>
      </c>
      <c r="W1515" s="9" t="str">
        <f t="shared" si="81"/>
        <v>Tadcaster RD</v>
      </c>
      <c r="X1515" s="9" t="str">
        <f>INDEX(Lookup!$A$2:$A$1349, MATCH(W1515, Lookup!$B$2:$B$1349,0))</f>
        <v>J04001247</v>
      </c>
      <c r="Y1515" s="9" t="str">
        <f>INDEX(Lookup!$F$2:$F$1349, MATCH(W1515, Lookup!$B$2:$B$1349,0))</f>
        <v>e461298</v>
      </c>
      <c r="Z1515" s="6" t="str">
        <f>INDEX(Lookup!$C$2:$C$1300, MATCH(X1515, Lookup!$A$2:$A$1300,0))</f>
        <v>North Yorkshire</v>
      </c>
    </row>
    <row r="1516" spans="1:26" ht="28.15" customHeight="1" x14ac:dyDescent="0.2">
      <c r="A1516" s="6" t="s">
        <v>1266</v>
      </c>
      <c r="B1516" s="1" t="s">
        <v>1266</v>
      </c>
      <c r="C1516" s="2">
        <v>9473</v>
      </c>
      <c r="D1516" s="2">
        <v>407132</v>
      </c>
      <c r="E1516" s="2">
        <v>56</v>
      </c>
      <c r="F1516" s="2">
        <v>6792</v>
      </c>
      <c r="G1516" s="2">
        <v>1</v>
      </c>
      <c r="H1516" s="2">
        <v>258</v>
      </c>
      <c r="I1516" s="2">
        <v>414</v>
      </c>
      <c r="J1516" s="2">
        <v>35825</v>
      </c>
      <c r="K1516" s="2">
        <v>52</v>
      </c>
      <c r="L1516" s="2">
        <v>2672</v>
      </c>
      <c r="M1516" s="2">
        <v>476</v>
      </c>
      <c r="N1516" s="2">
        <v>32564</v>
      </c>
      <c r="O1516" s="2">
        <v>29</v>
      </c>
      <c r="P1516" s="2">
        <v>36825</v>
      </c>
      <c r="Q1516" s="2">
        <v>43384</v>
      </c>
      <c r="R1516" s="2">
        <v>152707</v>
      </c>
      <c r="S1516" s="2">
        <v>718159</v>
      </c>
      <c r="T1516" s="10">
        <f t="shared" si="79"/>
        <v>414182</v>
      </c>
      <c r="U1516" s="8">
        <f t="shared" si="80"/>
        <v>0.57672743779580848</v>
      </c>
      <c r="V1516" s="9" t="s">
        <v>5271</v>
      </c>
      <c r="W1516" s="9" t="str">
        <f t="shared" si="81"/>
        <v>Thorne RD</v>
      </c>
      <c r="X1516" s="9" t="str">
        <f>INDEX(Lookup!$A$2:$A$1349, MATCH(W1516, Lookup!$B$2:$B$1349,0))</f>
        <v>J04001272</v>
      </c>
      <c r="Y1516" s="9" t="str">
        <f>INDEX(Lookup!$F$2:$F$1349, MATCH(W1516, Lookup!$B$2:$B$1349,0))</f>
        <v>e461300</v>
      </c>
      <c r="Z1516" s="6" t="str">
        <f>INDEX(Lookup!$C$2:$C$1300, MATCH(X1516, Lookup!$A$2:$A$1300,0))</f>
        <v>South Yorkshire</v>
      </c>
    </row>
    <row r="1517" spans="1:26" ht="28.15" customHeight="1" x14ac:dyDescent="0.2">
      <c r="A1517" s="6" t="s">
        <v>162</v>
      </c>
      <c r="B1517" s="1" t="s">
        <v>162</v>
      </c>
      <c r="C1517" s="2">
        <v>6445</v>
      </c>
      <c r="D1517" s="2">
        <v>226652</v>
      </c>
      <c r="E1517" s="2">
        <v>61</v>
      </c>
      <c r="F1517" s="2">
        <v>7911</v>
      </c>
      <c r="G1517" s="2">
        <v>3</v>
      </c>
      <c r="H1517" s="2">
        <v>738</v>
      </c>
      <c r="I1517" s="2">
        <v>152</v>
      </c>
      <c r="J1517" s="2">
        <v>9732</v>
      </c>
      <c r="K1517" s="2">
        <v>14</v>
      </c>
      <c r="L1517" s="2">
        <v>1262</v>
      </c>
      <c r="M1517" s="2">
        <v>192</v>
      </c>
      <c r="N1517" s="2">
        <v>15574</v>
      </c>
      <c r="O1517" s="2">
        <v>29</v>
      </c>
      <c r="P1517" s="2">
        <v>6608</v>
      </c>
      <c r="Q1517" s="2">
        <v>1311</v>
      </c>
      <c r="R1517" s="2">
        <v>252246</v>
      </c>
      <c r="S1517" s="2">
        <v>522034</v>
      </c>
      <c r="T1517" s="10">
        <f t="shared" si="79"/>
        <v>235301</v>
      </c>
      <c r="U1517" s="8">
        <f t="shared" si="80"/>
        <v>0.45073884076516091</v>
      </c>
      <c r="V1517" s="9" t="s">
        <v>5271</v>
      </c>
      <c r="W1517" s="9" t="str">
        <f t="shared" si="81"/>
        <v>Wakefield RD</v>
      </c>
      <c r="X1517" s="9" t="str">
        <f>INDEX(Lookup!$A$2:$A$1349, MATCH(W1517, Lookup!$B$2:$B$1349,0))</f>
        <v>J04001322</v>
      </c>
      <c r="Y1517" s="9" t="str">
        <f>INDEX(Lookup!$F$2:$F$1349, MATCH(W1517, Lookup!$B$2:$B$1349,0))</f>
        <v>e461301</v>
      </c>
      <c r="Z1517" s="6" t="str">
        <f>INDEX(Lookup!$C$2:$C$1300, MATCH(X1517, Lookup!$A$2:$A$1300,0))</f>
        <v>West Yorkshire</v>
      </c>
    </row>
    <row r="1518" spans="1:26" ht="28.15" customHeight="1" x14ac:dyDescent="0.2">
      <c r="A1518" s="6" t="s">
        <v>1267</v>
      </c>
      <c r="B1518" s="1" t="s">
        <v>1267</v>
      </c>
      <c r="C1518" s="2">
        <v>5518</v>
      </c>
      <c r="D1518" s="2">
        <v>257957</v>
      </c>
      <c r="E1518" s="2">
        <v>1133</v>
      </c>
      <c r="F1518" s="2">
        <v>145858</v>
      </c>
      <c r="G1518" s="2">
        <v>159</v>
      </c>
      <c r="H1518" s="2">
        <v>44277</v>
      </c>
      <c r="I1518" s="2">
        <v>235</v>
      </c>
      <c r="J1518" s="2">
        <v>24344</v>
      </c>
      <c r="K1518" s="2">
        <v>45</v>
      </c>
      <c r="L1518" s="2">
        <v>4770</v>
      </c>
      <c r="M1518" s="2">
        <v>466</v>
      </c>
      <c r="N1518" s="2">
        <v>50971</v>
      </c>
      <c r="O1518" s="2">
        <v>20</v>
      </c>
      <c r="P1518" s="2">
        <v>9570</v>
      </c>
      <c r="Q1518" s="2">
        <v>21757</v>
      </c>
      <c r="R1518" s="2">
        <v>124717</v>
      </c>
      <c r="S1518" s="2">
        <v>684221</v>
      </c>
      <c r="T1518" s="10">
        <f t="shared" si="79"/>
        <v>448092</v>
      </c>
      <c r="U1518" s="8">
        <f t="shared" si="80"/>
        <v>0.65489366739693755</v>
      </c>
      <c r="V1518" s="9" t="s">
        <v>5271</v>
      </c>
      <c r="W1518" s="9" t="str">
        <f t="shared" si="81"/>
        <v>Wetherby RD</v>
      </c>
      <c r="X1518" s="9" t="str">
        <f>INDEX(Lookup!$A$2:$A$1349, MATCH(W1518, Lookup!$B$2:$B$1349,0))</f>
        <v>J04001393</v>
      </c>
      <c r="Y1518" s="9" t="str">
        <f>INDEX(Lookup!$F$2:$F$1349, MATCH(W1518, Lookup!$B$2:$B$1349,0))</f>
        <v>e461302</v>
      </c>
      <c r="Z1518" s="6" t="str">
        <f>INDEX(Lookup!$C$2:$C$1300, MATCH(X1518, Lookup!$A$2:$A$1300,0))</f>
        <v>West Yorkshire</v>
      </c>
    </row>
    <row r="1519" spans="1:26" ht="28.15" customHeight="1" x14ac:dyDescent="0.2">
      <c r="A1519" s="6" t="s">
        <v>1268</v>
      </c>
      <c r="B1519" s="1" t="s">
        <v>1268</v>
      </c>
      <c r="C1519" s="2">
        <v>1576</v>
      </c>
      <c r="D1519" s="2">
        <v>85435</v>
      </c>
      <c r="E1519" s="2">
        <v>405</v>
      </c>
      <c r="F1519" s="2">
        <v>55586</v>
      </c>
      <c r="G1519" s="2">
        <v>42</v>
      </c>
      <c r="H1519" s="2">
        <v>11304</v>
      </c>
      <c r="I1519" s="2">
        <v>40</v>
      </c>
      <c r="J1519" s="2">
        <v>4343</v>
      </c>
      <c r="K1519" s="2">
        <v>3</v>
      </c>
      <c r="L1519" s="2">
        <v>57</v>
      </c>
      <c r="M1519" s="2">
        <v>145</v>
      </c>
      <c r="N1519" s="2">
        <v>10925</v>
      </c>
      <c r="O1519" s="2">
        <v>7</v>
      </c>
      <c r="P1519" s="2">
        <v>22465</v>
      </c>
      <c r="Q1519" s="2">
        <v>33267</v>
      </c>
      <c r="R1519" s="2">
        <v>85702</v>
      </c>
      <c r="S1519" s="2">
        <v>309084</v>
      </c>
      <c r="T1519" s="10">
        <f t="shared" si="79"/>
        <v>152325</v>
      </c>
      <c r="U1519" s="8">
        <f t="shared" si="80"/>
        <v>0.49282719260783475</v>
      </c>
      <c r="V1519" s="9" t="s">
        <v>5271</v>
      </c>
      <c r="W1519" s="9" t="str">
        <f t="shared" si="81"/>
        <v>Wharfedale RD</v>
      </c>
      <c r="X1519" s="9" t="str">
        <f>INDEX(Lookup!$A$2:$A$1349, MATCH(W1519, Lookup!$B$2:$B$1349,0))</f>
        <v>J04001396</v>
      </c>
      <c r="Y1519" s="9" t="str">
        <f>INDEX(Lookup!$F$2:$F$1349, MATCH(W1519, Lookup!$B$2:$B$1349,0))</f>
        <v>e461304</v>
      </c>
      <c r="Z1519" s="6" t="str">
        <f>INDEX(Lookup!$C$2:$C$1300, MATCH(X1519, Lookup!$A$2:$A$1300,0))</f>
        <v>North Yorkshire</v>
      </c>
    </row>
    <row r="1520" spans="1:26" ht="28.15" customHeight="1" x14ac:dyDescent="0.2">
      <c r="A1520" s="6" t="s">
        <v>1269</v>
      </c>
      <c r="B1520" s="1" t="s">
        <v>1269</v>
      </c>
      <c r="C1520" s="2">
        <v>14210</v>
      </c>
      <c r="D1520" s="2">
        <v>638599</v>
      </c>
      <c r="E1520" s="2">
        <v>213</v>
      </c>
      <c r="F1520" s="2">
        <v>26434</v>
      </c>
      <c r="G1520" s="2">
        <v>14</v>
      </c>
      <c r="H1520" s="2">
        <v>3473</v>
      </c>
      <c r="I1520" s="2">
        <v>351</v>
      </c>
      <c r="J1520" s="2">
        <v>38671</v>
      </c>
      <c r="K1520" s="2">
        <v>12</v>
      </c>
      <c r="L1520" s="2">
        <v>2402</v>
      </c>
      <c r="M1520" s="2">
        <v>1431</v>
      </c>
      <c r="N1520" s="2">
        <v>55446</v>
      </c>
      <c r="O1520" s="2">
        <v>58</v>
      </c>
      <c r="P1520" s="2">
        <v>407812</v>
      </c>
      <c r="Q1520" s="2">
        <v>19017</v>
      </c>
      <c r="R1520" s="2">
        <v>392656</v>
      </c>
      <c r="S1520" s="2">
        <v>1584510</v>
      </c>
      <c r="T1520" s="10">
        <f t="shared" si="79"/>
        <v>668506</v>
      </c>
      <c r="U1520" s="8">
        <f t="shared" si="80"/>
        <v>0.42190077689632755</v>
      </c>
      <c r="V1520" s="9" t="s">
        <v>5271</v>
      </c>
      <c r="W1520" s="9" t="str">
        <f t="shared" si="81"/>
        <v>Wortley RD</v>
      </c>
      <c r="X1520" s="9" t="str">
        <f>INDEX(Lookup!$A$2:$A$1349, MATCH(W1520, Lookup!$B$2:$B$1349,0))</f>
        <v>J04001458</v>
      </c>
      <c r="Y1520" s="9" t="str">
        <f>INDEX(Lookup!$F$2:$F$1349, MATCH(W1520, Lookup!$B$2:$B$1349,0))</f>
        <v>e461305</v>
      </c>
      <c r="Z1520" s="6" t="str">
        <f>INDEX(Lookup!$C$2:$C$1300, MATCH(X1520, Lookup!$A$2:$A$1300,0))</f>
        <v>South Yorkshire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6888-2E8D-4AEB-AFD2-FA14487E8B6A}">
  <dimension ref="A1:I1349"/>
  <sheetViews>
    <sheetView zoomScale="130" zoomScaleNormal="130" workbookViewId="0">
      <selection activeCell="G26" sqref="G26"/>
    </sheetView>
  </sheetViews>
  <sheetFormatPr defaultRowHeight="15" x14ac:dyDescent="0.25"/>
  <cols>
    <col min="1" max="1" width="17.85546875" customWidth="1"/>
    <col min="2" max="2" width="18.42578125" customWidth="1"/>
    <col min="3" max="3" width="29.28515625" customWidth="1"/>
    <col min="7" max="7" width="24.28515625" customWidth="1"/>
  </cols>
  <sheetData>
    <row r="1" spans="1:9" x14ac:dyDescent="0.25">
      <c r="A1" t="s">
        <v>1285</v>
      </c>
      <c r="B1" t="s">
        <v>1286</v>
      </c>
      <c r="C1" t="s">
        <v>1287</v>
      </c>
      <c r="D1" t="s">
        <v>1288</v>
      </c>
      <c r="E1" t="s">
        <v>1289</v>
      </c>
      <c r="F1" t="s">
        <v>1290</v>
      </c>
      <c r="G1" t="s">
        <v>1291</v>
      </c>
      <c r="H1" t="s">
        <v>1292</v>
      </c>
      <c r="I1" t="s">
        <v>1293</v>
      </c>
    </row>
    <row r="2" spans="1:9" x14ac:dyDescent="0.25">
      <c r="A2" t="s">
        <v>1294</v>
      </c>
      <c r="B2" t="s">
        <v>1295</v>
      </c>
      <c r="C2" t="s">
        <v>1296</v>
      </c>
      <c r="D2" t="s">
        <v>1297</v>
      </c>
      <c r="E2" t="s">
        <v>1298</v>
      </c>
      <c r="F2" t="s">
        <v>1299</v>
      </c>
      <c r="G2" t="s">
        <v>5491</v>
      </c>
      <c r="H2">
        <v>0</v>
      </c>
      <c r="I2">
        <v>0</v>
      </c>
    </row>
    <row r="3" spans="1:9" x14ac:dyDescent="0.25">
      <c r="A3" t="s">
        <v>1300</v>
      </c>
      <c r="B3" t="s">
        <v>1301</v>
      </c>
      <c r="C3" t="s">
        <v>1296</v>
      </c>
      <c r="D3" t="s">
        <v>1297</v>
      </c>
      <c r="E3" t="s">
        <v>1298</v>
      </c>
      <c r="F3" t="s">
        <v>1302</v>
      </c>
      <c r="G3" t="s">
        <v>5492</v>
      </c>
      <c r="H3">
        <v>0</v>
      </c>
      <c r="I3">
        <v>0</v>
      </c>
    </row>
    <row r="4" spans="1:9" x14ac:dyDescent="0.25">
      <c r="A4" t="s">
        <v>1303</v>
      </c>
      <c r="B4" t="s">
        <v>1304</v>
      </c>
      <c r="C4" t="s">
        <v>1296</v>
      </c>
      <c r="D4" t="s">
        <v>1297</v>
      </c>
      <c r="E4" t="s">
        <v>1298</v>
      </c>
      <c r="F4" t="s">
        <v>1305</v>
      </c>
      <c r="G4" t="s">
        <v>5493</v>
      </c>
      <c r="H4">
        <v>0</v>
      </c>
      <c r="I4">
        <v>0</v>
      </c>
    </row>
    <row r="5" spans="1:9" x14ac:dyDescent="0.25">
      <c r="A5" t="s">
        <v>1306</v>
      </c>
      <c r="B5" t="s">
        <v>1307</v>
      </c>
      <c r="C5" t="s">
        <v>1296</v>
      </c>
      <c r="D5" t="s">
        <v>1297</v>
      </c>
      <c r="E5" t="s">
        <v>1298</v>
      </c>
      <c r="F5" t="s">
        <v>1308</v>
      </c>
      <c r="G5" t="s">
        <v>5494</v>
      </c>
      <c r="H5">
        <v>0</v>
      </c>
      <c r="I5">
        <v>0</v>
      </c>
    </row>
    <row r="6" spans="1:9" x14ac:dyDescent="0.25">
      <c r="A6" t="s">
        <v>1309</v>
      </c>
      <c r="B6" t="s">
        <v>1310</v>
      </c>
      <c r="C6" t="s">
        <v>1296</v>
      </c>
      <c r="D6" t="s">
        <v>1297</v>
      </c>
      <c r="E6" t="s">
        <v>1298</v>
      </c>
      <c r="F6" t="s">
        <v>1311</v>
      </c>
      <c r="G6" t="s">
        <v>5495</v>
      </c>
      <c r="H6">
        <v>0</v>
      </c>
      <c r="I6">
        <v>0</v>
      </c>
    </row>
    <row r="7" spans="1:9" x14ac:dyDescent="0.25">
      <c r="A7" t="s">
        <v>1312</v>
      </c>
      <c r="B7" t="s">
        <v>1313</v>
      </c>
      <c r="C7" t="s">
        <v>1296</v>
      </c>
      <c r="D7" t="s">
        <v>1297</v>
      </c>
      <c r="E7" t="s">
        <v>1298</v>
      </c>
      <c r="F7" t="s">
        <v>1314</v>
      </c>
      <c r="G7" t="s">
        <v>5496</v>
      </c>
      <c r="H7">
        <v>0</v>
      </c>
      <c r="I7">
        <v>0</v>
      </c>
    </row>
    <row r="8" spans="1:9" x14ac:dyDescent="0.25">
      <c r="A8" t="s">
        <v>1315</v>
      </c>
      <c r="B8" t="s">
        <v>1316</v>
      </c>
      <c r="C8" t="s">
        <v>1296</v>
      </c>
      <c r="D8" t="s">
        <v>1297</v>
      </c>
      <c r="E8" t="s">
        <v>1298</v>
      </c>
      <c r="F8" t="s">
        <v>1317</v>
      </c>
      <c r="G8" t="s">
        <v>5497</v>
      </c>
      <c r="H8">
        <v>0</v>
      </c>
      <c r="I8">
        <v>0</v>
      </c>
    </row>
    <row r="9" spans="1:9" x14ac:dyDescent="0.25">
      <c r="A9" t="s">
        <v>1318</v>
      </c>
      <c r="B9" t="s">
        <v>1319</v>
      </c>
      <c r="C9" t="s">
        <v>1296</v>
      </c>
      <c r="D9" t="s">
        <v>1297</v>
      </c>
      <c r="E9" t="s">
        <v>1298</v>
      </c>
      <c r="F9" t="s">
        <v>1320</v>
      </c>
      <c r="G9" t="s">
        <v>5498</v>
      </c>
      <c r="H9">
        <v>0</v>
      </c>
      <c r="I9">
        <v>0</v>
      </c>
    </row>
    <row r="10" spans="1:9" x14ac:dyDescent="0.25">
      <c r="A10" t="s">
        <v>1321</v>
      </c>
      <c r="B10" t="s">
        <v>1322</v>
      </c>
      <c r="C10" t="s">
        <v>1296</v>
      </c>
      <c r="D10" t="s">
        <v>1297</v>
      </c>
      <c r="E10" t="s">
        <v>1298</v>
      </c>
      <c r="F10" t="s">
        <v>1323</v>
      </c>
      <c r="G10" t="s">
        <v>5499</v>
      </c>
      <c r="H10">
        <v>0</v>
      </c>
      <c r="I10">
        <v>0</v>
      </c>
    </row>
    <row r="11" spans="1:9" x14ac:dyDescent="0.25">
      <c r="A11" t="s">
        <v>1324</v>
      </c>
      <c r="B11" t="s">
        <v>1325</v>
      </c>
      <c r="C11" t="s">
        <v>1296</v>
      </c>
      <c r="D11" t="s">
        <v>1297</v>
      </c>
      <c r="E11" t="s">
        <v>1298</v>
      </c>
      <c r="F11" t="s">
        <v>1326</v>
      </c>
      <c r="G11" t="s">
        <v>5500</v>
      </c>
      <c r="H11">
        <v>0</v>
      </c>
      <c r="I11">
        <v>0</v>
      </c>
    </row>
    <row r="12" spans="1:9" x14ac:dyDescent="0.25">
      <c r="A12" t="s">
        <v>1327</v>
      </c>
      <c r="B12" t="s">
        <v>1328</v>
      </c>
      <c r="C12" t="s">
        <v>1296</v>
      </c>
      <c r="D12" t="s">
        <v>1297</v>
      </c>
      <c r="E12" t="s">
        <v>1298</v>
      </c>
      <c r="F12" t="s">
        <v>1329</v>
      </c>
      <c r="G12" t="s">
        <v>5501</v>
      </c>
      <c r="H12">
        <v>0</v>
      </c>
      <c r="I12">
        <v>0</v>
      </c>
    </row>
    <row r="13" spans="1:9" x14ac:dyDescent="0.25">
      <c r="A13" t="s">
        <v>1330</v>
      </c>
      <c r="B13" t="s">
        <v>1331</v>
      </c>
      <c r="C13" t="s">
        <v>1296</v>
      </c>
      <c r="D13" t="s">
        <v>1297</v>
      </c>
      <c r="E13" t="s">
        <v>1298</v>
      </c>
      <c r="F13" t="s">
        <v>1332</v>
      </c>
      <c r="G13" t="s">
        <v>5502</v>
      </c>
      <c r="H13">
        <v>0</v>
      </c>
      <c r="I13">
        <v>0</v>
      </c>
    </row>
    <row r="14" spans="1:9" x14ac:dyDescent="0.25">
      <c r="A14" t="s">
        <v>1333</v>
      </c>
      <c r="B14" t="s">
        <v>1334</v>
      </c>
      <c r="C14" t="s">
        <v>1296</v>
      </c>
      <c r="D14" t="s">
        <v>1297</v>
      </c>
      <c r="E14" t="s">
        <v>1298</v>
      </c>
      <c r="F14" t="s">
        <v>1335</v>
      </c>
      <c r="G14" t="s">
        <v>5503</v>
      </c>
      <c r="H14">
        <v>0</v>
      </c>
      <c r="I14">
        <v>0</v>
      </c>
    </row>
    <row r="15" spans="1:9" x14ac:dyDescent="0.25">
      <c r="A15" t="s">
        <v>1336</v>
      </c>
      <c r="B15" t="s">
        <v>1337</v>
      </c>
      <c r="C15" t="s">
        <v>1296</v>
      </c>
      <c r="D15" t="s">
        <v>1297</v>
      </c>
      <c r="E15" t="s">
        <v>1298</v>
      </c>
      <c r="F15" t="s">
        <v>1338</v>
      </c>
      <c r="G15" t="s">
        <v>5504</v>
      </c>
      <c r="H15">
        <v>0</v>
      </c>
      <c r="I15">
        <v>0</v>
      </c>
    </row>
    <row r="16" spans="1:9" x14ac:dyDescent="0.25">
      <c r="A16" t="s">
        <v>1339</v>
      </c>
      <c r="B16" t="s">
        <v>1340</v>
      </c>
      <c r="C16" t="s">
        <v>1296</v>
      </c>
      <c r="D16" t="s">
        <v>1297</v>
      </c>
      <c r="E16" t="s">
        <v>1298</v>
      </c>
      <c r="F16" t="s">
        <v>1341</v>
      </c>
      <c r="G16" t="s">
        <v>5505</v>
      </c>
      <c r="H16">
        <v>0</v>
      </c>
      <c r="I16">
        <v>0</v>
      </c>
    </row>
    <row r="17" spans="1:9" x14ac:dyDescent="0.25">
      <c r="A17" t="s">
        <v>1342</v>
      </c>
      <c r="B17" t="s">
        <v>1343</v>
      </c>
      <c r="C17" t="s">
        <v>1296</v>
      </c>
      <c r="D17" t="s">
        <v>1297</v>
      </c>
      <c r="E17" t="s">
        <v>1298</v>
      </c>
      <c r="F17" t="s">
        <v>1344</v>
      </c>
      <c r="G17" t="s">
        <v>5506</v>
      </c>
      <c r="H17">
        <v>0</v>
      </c>
      <c r="I17">
        <v>0</v>
      </c>
    </row>
    <row r="18" spans="1:9" x14ac:dyDescent="0.25">
      <c r="A18" t="s">
        <v>1345</v>
      </c>
      <c r="B18" t="s">
        <v>1346</v>
      </c>
      <c r="C18" t="s">
        <v>1347</v>
      </c>
      <c r="D18" t="s">
        <v>1348</v>
      </c>
      <c r="E18" t="s">
        <v>1349</v>
      </c>
      <c r="F18" t="s">
        <v>1350</v>
      </c>
      <c r="G18" t="s">
        <v>5507</v>
      </c>
      <c r="H18">
        <v>0</v>
      </c>
      <c r="I18">
        <v>0</v>
      </c>
    </row>
    <row r="19" spans="1:9" x14ac:dyDescent="0.25">
      <c r="A19" t="s">
        <v>1351</v>
      </c>
      <c r="B19" t="s">
        <v>1352</v>
      </c>
      <c r="C19" t="s">
        <v>1347</v>
      </c>
      <c r="D19" t="s">
        <v>1348</v>
      </c>
      <c r="E19" t="s">
        <v>1349</v>
      </c>
      <c r="F19" t="s">
        <v>1353</v>
      </c>
      <c r="G19" t="s">
        <v>5508</v>
      </c>
      <c r="H19">
        <v>0</v>
      </c>
      <c r="I19">
        <v>0</v>
      </c>
    </row>
    <row r="20" spans="1:9" x14ac:dyDescent="0.25">
      <c r="A20" t="s">
        <v>1354</v>
      </c>
      <c r="B20" t="s">
        <v>1355</v>
      </c>
      <c r="C20" t="s">
        <v>1347</v>
      </c>
      <c r="D20" t="s">
        <v>1348</v>
      </c>
      <c r="E20" t="s">
        <v>1349</v>
      </c>
      <c r="F20" t="s">
        <v>1356</v>
      </c>
      <c r="G20" t="s">
        <v>5509</v>
      </c>
      <c r="H20">
        <v>0</v>
      </c>
      <c r="I20">
        <v>0</v>
      </c>
    </row>
    <row r="21" spans="1:9" x14ac:dyDescent="0.25">
      <c r="A21" t="s">
        <v>1357</v>
      </c>
      <c r="B21" t="s">
        <v>1358</v>
      </c>
      <c r="C21" t="s">
        <v>1347</v>
      </c>
      <c r="D21" t="s">
        <v>1348</v>
      </c>
      <c r="E21" t="s">
        <v>1349</v>
      </c>
      <c r="F21" t="s">
        <v>1359</v>
      </c>
      <c r="G21" t="s">
        <v>5510</v>
      </c>
      <c r="H21">
        <v>0</v>
      </c>
      <c r="I21">
        <v>0</v>
      </c>
    </row>
    <row r="22" spans="1:9" x14ac:dyDescent="0.25">
      <c r="A22" t="s">
        <v>1360</v>
      </c>
      <c r="B22" t="s">
        <v>1361</v>
      </c>
      <c r="C22" t="s">
        <v>1347</v>
      </c>
      <c r="D22" t="s">
        <v>1348</v>
      </c>
      <c r="E22" t="s">
        <v>1349</v>
      </c>
      <c r="F22" t="s">
        <v>1362</v>
      </c>
      <c r="G22" t="s">
        <v>5511</v>
      </c>
      <c r="H22">
        <v>0</v>
      </c>
      <c r="I22">
        <v>0</v>
      </c>
    </row>
    <row r="23" spans="1:9" x14ac:dyDescent="0.25">
      <c r="A23" t="s">
        <v>1363</v>
      </c>
      <c r="B23" t="s">
        <v>1364</v>
      </c>
      <c r="C23" t="s">
        <v>1347</v>
      </c>
      <c r="D23" t="s">
        <v>1348</v>
      </c>
      <c r="E23" t="s">
        <v>1349</v>
      </c>
      <c r="F23" t="s">
        <v>1365</v>
      </c>
      <c r="G23" t="s">
        <v>5512</v>
      </c>
      <c r="H23">
        <v>0</v>
      </c>
      <c r="I23">
        <v>0</v>
      </c>
    </row>
    <row r="24" spans="1:9" x14ac:dyDescent="0.25">
      <c r="A24" t="s">
        <v>1366</v>
      </c>
      <c r="B24" t="s">
        <v>1367</v>
      </c>
      <c r="C24" t="s">
        <v>1347</v>
      </c>
      <c r="D24" t="s">
        <v>1348</v>
      </c>
      <c r="E24" t="s">
        <v>1349</v>
      </c>
      <c r="F24" t="s">
        <v>1379</v>
      </c>
      <c r="G24" t="s">
        <v>5513</v>
      </c>
      <c r="H24">
        <v>0</v>
      </c>
      <c r="I24">
        <v>0</v>
      </c>
    </row>
    <row r="25" spans="1:9" x14ac:dyDescent="0.25">
      <c r="A25" t="s">
        <v>1368</v>
      </c>
      <c r="B25" t="s">
        <v>1369</v>
      </c>
      <c r="C25" t="s">
        <v>1347</v>
      </c>
      <c r="D25" t="s">
        <v>1348</v>
      </c>
      <c r="E25" t="s">
        <v>1349</v>
      </c>
      <c r="F25" t="s">
        <v>1370</v>
      </c>
      <c r="G25" t="s">
        <v>5514</v>
      </c>
      <c r="H25">
        <v>0</v>
      </c>
      <c r="I25">
        <v>0</v>
      </c>
    </row>
    <row r="26" spans="1:9" x14ac:dyDescent="0.25">
      <c r="A26" t="s">
        <v>1371</v>
      </c>
      <c r="B26" t="s">
        <v>1372</v>
      </c>
      <c r="C26" t="s">
        <v>1347</v>
      </c>
      <c r="D26" t="s">
        <v>1348</v>
      </c>
      <c r="E26" t="s">
        <v>1349</v>
      </c>
      <c r="F26" t="s">
        <v>1373</v>
      </c>
      <c r="G26" t="s">
        <v>5515</v>
      </c>
      <c r="H26">
        <v>0</v>
      </c>
      <c r="I26" t="s">
        <v>1374</v>
      </c>
    </row>
    <row r="27" spans="1:9" x14ac:dyDescent="0.25">
      <c r="A27" t="s">
        <v>1375</v>
      </c>
      <c r="B27" t="s">
        <v>1376</v>
      </c>
      <c r="C27" t="s">
        <v>1347</v>
      </c>
      <c r="D27" t="s">
        <v>1348</v>
      </c>
      <c r="E27" t="s">
        <v>1349</v>
      </c>
      <c r="F27" t="s">
        <v>1373</v>
      </c>
      <c r="G27" t="s">
        <v>5515</v>
      </c>
      <c r="H27">
        <v>0</v>
      </c>
      <c r="I27" t="s">
        <v>1374</v>
      </c>
    </row>
    <row r="28" spans="1:9" x14ac:dyDescent="0.25">
      <c r="A28" t="s">
        <v>1377</v>
      </c>
      <c r="B28" t="s">
        <v>1378</v>
      </c>
      <c r="C28" t="s">
        <v>1347</v>
      </c>
      <c r="D28" t="s">
        <v>1348</v>
      </c>
      <c r="E28" t="s">
        <v>1349</v>
      </c>
      <c r="F28" t="s">
        <v>1379</v>
      </c>
      <c r="G28" t="s">
        <v>5513</v>
      </c>
      <c r="H28">
        <v>0</v>
      </c>
      <c r="I28">
        <v>0</v>
      </c>
    </row>
    <row r="29" spans="1:9" x14ac:dyDescent="0.25">
      <c r="A29" t="s">
        <v>1380</v>
      </c>
      <c r="B29" t="s">
        <v>1381</v>
      </c>
      <c r="C29" t="s">
        <v>1347</v>
      </c>
      <c r="D29" t="s">
        <v>1348</v>
      </c>
      <c r="E29" t="s">
        <v>1349</v>
      </c>
      <c r="F29" t="s">
        <v>1379</v>
      </c>
      <c r="G29" t="s">
        <v>5513</v>
      </c>
      <c r="H29">
        <v>0</v>
      </c>
      <c r="I29">
        <v>0</v>
      </c>
    </row>
    <row r="30" spans="1:9" x14ac:dyDescent="0.25">
      <c r="A30" t="s">
        <v>1382</v>
      </c>
      <c r="B30" t="s">
        <v>1383</v>
      </c>
      <c r="C30" t="s">
        <v>1347</v>
      </c>
      <c r="D30" t="s">
        <v>1348</v>
      </c>
      <c r="E30" t="s">
        <v>1349</v>
      </c>
      <c r="F30" t="s">
        <v>1384</v>
      </c>
      <c r="G30" t="s">
        <v>5516</v>
      </c>
      <c r="H30">
        <v>0</v>
      </c>
      <c r="I30">
        <v>0</v>
      </c>
    </row>
    <row r="31" spans="1:9" x14ac:dyDescent="0.25">
      <c r="A31" t="s">
        <v>1385</v>
      </c>
      <c r="B31" t="s">
        <v>1386</v>
      </c>
      <c r="C31" t="s">
        <v>1387</v>
      </c>
      <c r="D31" t="s">
        <v>1388</v>
      </c>
      <c r="E31" t="s">
        <v>1349</v>
      </c>
      <c r="F31" t="s">
        <v>1389</v>
      </c>
      <c r="G31" t="s">
        <v>5517</v>
      </c>
      <c r="H31">
        <v>0</v>
      </c>
      <c r="I31">
        <v>0</v>
      </c>
    </row>
    <row r="32" spans="1:9" x14ac:dyDescent="0.25">
      <c r="A32" t="s">
        <v>1390</v>
      </c>
      <c r="B32" t="s">
        <v>1391</v>
      </c>
      <c r="C32" t="s">
        <v>1387</v>
      </c>
      <c r="D32" t="s">
        <v>1388</v>
      </c>
      <c r="E32" t="s">
        <v>1349</v>
      </c>
      <c r="F32" t="s">
        <v>1392</v>
      </c>
      <c r="G32" t="s">
        <v>5518</v>
      </c>
      <c r="H32" t="s">
        <v>1393</v>
      </c>
      <c r="I32">
        <v>0</v>
      </c>
    </row>
    <row r="33" spans="1:9" x14ac:dyDescent="0.25">
      <c r="A33" t="s">
        <v>1394</v>
      </c>
      <c r="B33" t="s">
        <v>1395</v>
      </c>
      <c r="C33" t="s">
        <v>1387</v>
      </c>
      <c r="D33" t="s">
        <v>1388</v>
      </c>
      <c r="E33" t="s">
        <v>1349</v>
      </c>
      <c r="F33" t="s">
        <v>1396</v>
      </c>
      <c r="G33" t="s">
        <v>5519</v>
      </c>
      <c r="H33" t="s">
        <v>1397</v>
      </c>
      <c r="I33">
        <v>0</v>
      </c>
    </row>
    <row r="34" spans="1:9" x14ac:dyDescent="0.25">
      <c r="A34" t="s">
        <v>1398</v>
      </c>
      <c r="B34" t="s">
        <v>1399</v>
      </c>
      <c r="C34" t="s">
        <v>1387</v>
      </c>
      <c r="D34" t="s">
        <v>1388</v>
      </c>
      <c r="E34" t="s">
        <v>1349</v>
      </c>
      <c r="F34" t="s">
        <v>1400</v>
      </c>
      <c r="G34" t="s">
        <v>5520</v>
      </c>
      <c r="H34" t="s">
        <v>1393</v>
      </c>
      <c r="I34">
        <v>0</v>
      </c>
    </row>
    <row r="35" spans="1:9" x14ac:dyDescent="0.25">
      <c r="A35" t="s">
        <v>1401</v>
      </c>
      <c r="B35" t="s">
        <v>1402</v>
      </c>
      <c r="C35" t="s">
        <v>1387</v>
      </c>
      <c r="D35" t="s">
        <v>1388</v>
      </c>
      <c r="E35" t="s">
        <v>1349</v>
      </c>
      <c r="F35" t="s">
        <v>1403</v>
      </c>
      <c r="G35" t="s">
        <v>5521</v>
      </c>
      <c r="H35">
        <v>0</v>
      </c>
      <c r="I35">
        <v>0</v>
      </c>
    </row>
    <row r="36" spans="1:9" x14ac:dyDescent="0.25">
      <c r="A36" t="s">
        <v>1404</v>
      </c>
      <c r="B36" t="s">
        <v>1405</v>
      </c>
      <c r="C36" t="s">
        <v>1387</v>
      </c>
      <c r="D36" t="s">
        <v>1388</v>
      </c>
      <c r="E36" t="s">
        <v>1349</v>
      </c>
      <c r="F36" t="s">
        <v>1406</v>
      </c>
      <c r="G36" t="s">
        <v>5522</v>
      </c>
      <c r="H36" t="s">
        <v>1393</v>
      </c>
      <c r="I36">
        <v>0</v>
      </c>
    </row>
    <row r="37" spans="1:9" x14ac:dyDescent="0.25">
      <c r="A37" t="s">
        <v>1407</v>
      </c>
      <c r="B37" t="s">
        <v>1408</v>
      </c>
      <c r="C37" t="s">
        <v>1387</v>
      </c>
      <c r="D37" t="s">
        <v>1388</v>
      </c>
      <c r="E37" t="s">
        <v>1349</v>
      </c>
      <c r="F37" t="s">
        <v>1409</v>
      </c>
      <c r="G37" t="s">
        <v>5523</v>
      </c>
      <c r="H37" t="s">
        <v>1393</v>
      </c>
      <c r="I37">
        <v>0</v>
      </c>
    </row>
    <row r="38" spans="1:9" x14ac:dyDescent="0.25">
      <c r="A38" t="s">
        <v>1410</v>
      </c>
      <c r="B38" t="s">
        <v>1411</v>
      </c>
      <c r="C38" t="s">
        <v>1387</v>
      </c>
      <c r="D38" t="s">
        <v>1388</v>
      </c>
      <c r="E38" t="s">
        <v>1349</v>
      </c>
      <c r="F38" t="s">
        <v>1412</v>
      </c>
      <c r="G38" t="s">
        <v>5524</v>
      </c>
      <c r="H38">
        <v>0</v>
      </c>
      <c r="I38">
        <v>0</v>
      </c>
    </row>
    <row r="39" spans="1:9" x14ac:dyDescent="0.25">
      <c r="A39" t="s">
        <v>1413</v>
      </c>
      <c r="B39" t="s">
        <v>1414</v>
      </c>
      <c r="C39" t="s">
        <v>1387</v>
      </c>
      <c r="D39" t="s">
        <v>1388</v>
      </c>
      <c r="E39" t="s">
        <v>1349</v>
      </c>
      <c r="F39" t="s">
        <v>1415</v>
      </c>
      <c r="G39" t="s">
        <v>5525</v>
      </c>
      <c r="H39">
        <v>0</v>
      </c>
      <c r="I39">
        <v>0</v>
      </c>
    </row>
    <row r="40" spans="1:9" x14ac:dyDescent="0.25">
      <c r="A40" t="s">
        <v>1416</v>
      </c>
      <c r="B40" t="s">
        <v>1417</v>
      </c>
      <c r="C40" t="s">
        <v>1387</v>
      </c>
      <c r="D40" t="s">
        <v>1388</v>
      </c>
      <c r="E40" t="s">
        <v>1349</v>
      </c>
      <c r="F40" t="s">
        <v>1418</v>
      </c>
      <c r="G40" t="s">
        <v>5526</v>
      </c>
      <c r="H40" t="s">
        <v>1419</v>
      </c>
      <c r="I40">
        <v>0</v>
      </c>
    </row>
    <row r="41" spans="1:9" x14ac:dyDescent="0.25">
      <c r="A41" t="s">
        <v>1420</v>
      </c>
      <c r="B41" t="s">
        <v>1421</v>
      </c>
      <c r="C41" t="s">
        <v>1387</v>
      </c>
      <c r="D41" t="s">
        <v>1388</v>
      </c>
      <c r="E41" t="s">
        <v>1349</v>
      </c>
      <c r="F41" t="s">
        <v>1422</v>
      </c>
      <c r="G41" t="s">
        <v>5527</v>
      </c>
      <c r="H41" t="s">
        <v>1423</v>
      </c>
      <c r="I41">
        <v>0</v>
      </c>
    </row>
    <row r="42" spans="1:9" x14ac:dyDescent="0.25">
      <c r="A42" t="s">
        <v>1424</v>
      </c>
      <c r="B42" t="s">
        <v>1425</v>
      </c>
      <c r="C42" t="s">
        <v>1387</v>
      </c>
      <c r="D42" t="s">
        <v>1388</v>
      </c>
      <c r="E42" t="s">
        <v>1349</v>
      </c>
      <c r="F42" t="s">
        <v>1426</v>
      </c>
      <c r="G42" t="s">
        <v>5528</v>
      </c>
      <c r="H42" t="s">
        <v>1393</v>
      </c>
      <c r="I42">
        <v>0</v>
      </c>
    </row>
    <row r="43" spans="1:9" x14ac:dyDescent="0.25">
      <c r="A43" t="s">
        <v>1427</v>
      </c>
      <c r="B43" t="s">
        <v>1428</v>
      </c>
      <c r="C43" t="s">
        <v>1387</v>
      </c>
      <c r="D43" t="s">
        <v>1388</v>
      </c>
      <c r="E43" t="s">
        <v>1349</v>
      </c>
      <c r="F43" t="s">
        <v>1429</v>
      </c>
      <c r="G43" t="s">
        <v>5529</v>
      </c>
      <c r="H43" t="s">
        <v>192</v>
      </c>
      <c r="I43">
        <v>0</v>
      </c>
    </row>
    <row r="44" spans="1:9" x14ac:dyDescent="0.25">
      <c r="A44" t="s">
        <v>1430</v>
      </c>
      <c r="B44" t="s">
        <v>1431</v>
      </c>
      <c r="C44" t="s">
        <v>1387</v>
      </c>
      <c r="D44" t="s">
        <v>1388</v>
      </c>
      <c r="E44" t="s">
        <v>1349</v>
      </c>
      <c r="F44" t="s">
        <v>1432</v>
      </c>
      <c r="G44" t="s">
        <v>5530</v>
      </c>
      <c r="H44" t="s">
        <v>192</v>
      </c>
      <c r="I44">
        <v>0</v>
      </c>
    </row>
    <row r="45" spans="1:9" x14ac:dyDescent="0.25">
      <c r="A45" t="s">
        <v>1433</v>
      </c>
      <c r="B45" t="s">
        <v>1434</v>
      </c>
      <c r="C45" t="s">
        <v>1435</v>
      </c>
      <c r="D45" t="s">
        <v>1388</v>
      </c>
      <c r="E45" t="s">
        <v>1349</v>
      </c>
      <c r="F45" t="s">
        <v>1436</v>
      </c>
      <c r="G45" t="s">
        <v>5531</v>
      </c>
      <c r="H45" t="s">
        <v>1437</v>
      </c>
      <c r="I45">
        <v>0</v>
      </c>
    </row>
    <row r="46" spans="1:9" x14ac:dyDescent="0.25">
      <c r="A46" t="s">
        <v>1438</v>
      </c>
      <c r="B46" t="s">
        <v>1439</v>
      </c>
      <c r="C46" t="s">
        <v>1435</v>
      </c>
      <c r="D46" t="s">
        <v>1388</v>
      </c>
      <c r="E46" t="s">
        <v>1349</v>
      </c>
      <c r="F46" t="s">
        <v>1440</v>
      </c>
      <c r="G46" t="s">
        <v>5532</v>
      </c>
      <c r="H46">
        <v>0</v>
      </c>
      <c r="I46">
        <v>0</v>
      </c>
    </row>
    <row r="47" spans="1:9" x14ac:dyDescent="0.25">
      <c r="A47" t="s">
        <v>1441</v>
      </c>
      <c r="B47" t="s">
        <v>1442</v>
      </c>
      <c r="C47" t="s">
        <v>1435</v>
      </c>
      <c r="D47" t="s">
        <v>1388</v>
      </c>
      <c r="E47" t="s">
        <v>1349</v>
      </c>
      <c r="F47" t="s">
        <v>1443</v>
      </c>
      <c r="G47" t="s">
        <v>5533</v>
      </c>
      <c r="H47">
        <v>0</v>
      </c>
      <c r="I47">
        <v>0</v>
      </c>
    </row>
    <row r="48" spans="1:9" x14ac:dyDescent="0.25">
      <c r="A48" t="s">
        <v>1444</v>
      </c>
      <c r="B48" t="s">
        <v>1445</v>
      </c>
      <c r="C48" t="s">
        <v>1435</v>
      </c>
      <c r="D48" t="s">
        <v>1388</v>
      </c>
      <c r="E48" t="s">
        <v>1349</v>
      </c>
      <c r="F48" t="s">
        <v>1446</v>
      </c>
      <c r="G48" t="s">
        <v>5534</v>
      </c>
      <c r="H48" t="s">
        <v>1447</v>
      </c>
      <c r="I48">
        <v>0</v>
      </c>
    </row>
    <row r="49" spans="1:9" x14ac:dyDescent="0.25">
      <c r="A49" t="s">
        <v>1448</v>
      </c>
      <c r="B49" t="s">
        <v>1449</v>
      </c>
      <c r="C49" t="s">
        <v>1435</v>
      </c>
      <c r="D49" t="s">
        <v>1388</v>
      </c>
      <c r="E49" t="s">
        <v>1349</v>
      </c>
      <c r="F49" t="s">
        <v>1450</v>
      </c>
      <c r="G49" t="s">
        <v>5535</v>
      </c>
      <c r="H49">
        <v>0</v>
      </c>
      <c r="I49">
        <v>0</v>
      </c>
    </row>
    <row r="50" spans="1:9" x14ac:dyDescent="0.25">
      <c r="A50" t="s">
        <v>1451</v>
      </c>
      <c r="B50" t="s">
        <v>1452</v>
      </c>
      <c r="C50" t="s">
        <v>1435</v>
      </c>
      <c r="D50" t="s">
        <v>1388</v>
      </c>
      <c r="E50" t="s">
        <v>1349</v>
      </c>
      <c r="F50" t="s">
        <v>1453</v>
      </c>
      <c r="G50" t="s">
        <v>5536</v>
      </c>
      <c r="H50">
        <v>0</v>
      </c>
      <c r="I50">
        <v>0</v>
      </c>
    </row>
    <row r="51" spans="1:9" x14ac:dyDescent="0.25">
      <c r="A51" t="s">
        <v>1454</v>
      </c>
      <c r="B51" t="s">
        <v>1455</v>
      </c>
      <c r="C51" t="s">
        <v>1435</v>
      </c>
      <c r="D51" t="s">
        <v>1388</v>
      </c>
      <c r="E51" t="s">
        <v>1349</v>
      </c>
      <c r="F51" t="s">
        <v>1456</v>
      </c>
      <c r="G51" t="s">
        <v>5537</v>
      </c>
      <c r="H51">
        <v>0</v>
      </c>
      <c r="I51">
        <v>0</v>
      </c>
    </row>
    <row r="52" spans="1:9" x14ac:dyDescent="0.25">
      <c r="A52" t="s">
        <v>1457</v>
      </c>
      <c r="B52" t="s">
        <v>1458</v>
      </c>
      <c r="C52" t="s">
        <v>1435</v>
      </c>
      <c r="D52" t="s">
        <v>1388</v>
      </c>
      <c r="E52" t="s">
        <v>1349</v>
      </c>
      <c r="F52" t="s">
        <v>1459</v>
      </c>
      <c r="G52" t="s">
        <v>5538</v>
      </c>
      <c r="H52" t="s">
        <v>1437</v>
      </c>
      <c r="I52">
        <v>0</v>
      </c>
    </row>
    <row r="53" spans="1:9" x14ac:dyDescent="0.25">
      <c r="A53" t="s">
        <v>1460</v>
      </c>
      <c r="B53" t="s">
        <v>1461</v>
      </c>
      <c r="C53" t="s">
        <v>1435</v>
      </c>
      <c r="D53" t="s">
        <v>1388</v>
      </c>
      <c r="E53" t="s">
        <v>1349</v>
      </c>
      <c r="F53" t="s">
        <v>1462</v>
      </c>
      <c r="G53" t="s">
        <v>5539</v>
      </c>
      <c r="H53" t="s">
        <v>1447</v>
      </c>
      <c r="I53">
        <v>0</v>
      </c>
    </row>
    <row r="54" spans="1:9" x14ac:dyDescent="0.25">
      <c r="A54" t="s">
        <v>1463</v>
      </c>
      <c r="B54" t="s">
        <v>1464</v>
      </c>
      <c r="C54" t="s">
        <v>1435</v>
      </c>
      <c r="D54" t="s">
        <v>1388</v>
      </c>
      <c r="E54" t="s">
        <v>1349</v>
      </c>
      <c r="F54" t="s">
        <v>1465</v>
      </c>
      <c r="G54" t="s">
        <v>5540</v>
      </c>
      <c r="H54" t="s">
        <v>218</v>
      </c>
      <c r="I54">
        <v>0</v>
      </c>
    </row>
    <row r="55" spans="1:9" x14ac:dyDescent="0.25">
      <c r="A55" t="s">
        <v>1466</v>
      </c>
      <c r="B55" t="s">
        <v>1467</v>
      </c>
      <c r="C55" t="s">
        <v>1435</v>
      </c>
      <c r="D55" t="s">
        <v>1388</v>
      </c>
      <c r="E55" t="s">
        <v>1349</v>
      </c>
      <c r="F55" t="s">
        <v>1468</v>
      </c>
      <c r="G55" t="s">
        <v>5541</v>
      </c>
      <c r="H55" t="s">
        <v>218</v>
      </c>
      <c r="I55">
        <v>0</v>
      </c>
    </row>
    <row r="56" spans="1:9" x14ac:dyDescent="0.25">
      <c r="A56" t="s">
        <v>1469</v>
      </c>
      <c r="B56" t="s">
        <v>1470</v>
      </c>
      <c r="C56" t="s">
        <v>1435</v>
      </c>
      <c r="D56" t="s">
        <v>1388</v>
      </c>
      <c r="E56" t="s">
        <v>1349</v>
      </c>
      <c r="F56" t="s">
        <v>1471</v>
      </c>
      <c r="G56" t="s">
        <v>5542</v>
      </c>
      <c r="H56">
        <v>0</v>
      </c>
      <c r="I56">
        <v>0</v>
      </c>
    </row>
    <row r="57" spans="1:9" x14ac:dyDescent="0.25">
      <c r="A57" t="s">
        <v>1472</v>
      </c>
      <c r="B57" t="s">
        <v>1473</v>
      </c>
      <c r="C57" t="s">
        <v>1435</v>
      </c>
      <c r="D57" t="s">
        <v>1388</v>
      </c>
      <c r="E57" t="s">
        <v>1349</v>
      </c>
      <c r="F57" t="s">
        <v>1474</v>
      </c>
      <c r="G57" t="s">
        <v>5543</v>
      </c>
      <c r="H57">
        <v>0</v>
      </c>
      <c r="I57">
        <v>0</v>
      </c>
    </row>
    <row r="58" spans="1:9" x14ac:dyDescent="0.25">
      <c r="A58" t="s">
        <v>1475</v>
      </c>
      <c r="B58" t="s">
        <v>1476</v>
      </c>
      <c r="C58" t="s">
        <v>1435</v>
      </c>
      <c r="D58" t="s">
        <v>1388</v>
      </c>
      <c r="E58" t="s">
        <v>1349</v>
      </c>
      <c r="F58" t="s">
        <v>1477</v>
      </c>
      <c r="G58" t="s">
        <v>5544</v>
      </c>
      <c r="H58">
        <v>0</v>
      </c>
      <c r="I58">
        <v>0</v>
      </c>
    </row>
    <row r="59" spans="1:9" x14ac:dyDescent="0.25">
      <c r="A59" t="s">
        <v>1478</v>
      </c>
      <c r="B59" t="s">
        <v>1479</v>
      </c>
      <c r="C59" t="s">
        <v>1435</v>
      </c>
      <c r="D59" t="s">
        <v>1388</v>
      </c>
      <c r="E59" t="s">
        <v>1349</v>
      </c>
      <c r="F59" t="s">
        <v>1480</v>
      </c>
      <c r="G59" t="s">
        <v>5545</v>
      </c>
      <c r="H59">
        <v>0</v>
      </c>
      <c r="I59">
        <v>0</v>
      </c>
    </row>
    <row r="60" spans="1:9" x14ac:dyDescent="0.25">
      <c r="A60" t="s">
        <v>1481</v>
      </c>
      <c r="B60" t="s">
        <v>1482</v>
      </c>
      <c r="C60" t="s">
        <v>1435</v>
      </c>
      <c r="D60" t="s">
        <v>1388</v>
      </c>
      <c r="E60" t="s">
        <v>1349</v>
      </c>
      <c r="F60" t="s">
        <v>1483</v>
      </c>
      <c r="G60" t="s">
        <v>5546</v>
      </c>
      <c r="H60">
        <v>0</v>
      </c>
      <c r="I60">
        <v>0</v>
      </c>
    </row>
    <row r="61" spans="1:9" x14ac:dyDescent="0.25">
      <c r="A61" t="s">
        <v>1484</v>
      </c>
      <c r="B61" t="s">
        <v>1485</v>
      </c>
      <c r="C61" t="s">
        <v>1435</v>
      </c>
      <c r="D61" t="s">
        <v>1388</v>
      </c>
      <c r="E61" t="s">
        <v>1349</v>
      </c>
      <c r="F61" t="s">
        <v>1486</v>
      </c>
      <c r="G61" t="s">
        <v>5547</v>
      </c>
      <c r="H61" t="s">
        <v>218</v>
      </c>
      <c r="I61">
        <v>0</v>
      </c>
    </row>
    <row r="62" spans="1:9" x14ac:dyDescent="0.25">
      <c r="A62" t="s">
        <v>1487</v>
      </c>
      <c r="B62" t="s">
        <v>1488</v>
      </c>
      <c r="C62" t="s">
        <v>1489</v>
      </c>
      <c r="D62" t="s">
        <v>1348</v>
      </c>
      <c r="E62" t="s">
        <v>1349</v>
      </c>
      <c r="F62" t="s">
        <v>1490</v>
      </c>
      <c r="G62" t="s">
        <v>5548</v>
      </c>
      <c r="H62">
        <v>0</v>
      </c>
      <c r="I62">
        <v>0</v>
      </c>
    </row>
    <row r="63" spans="1:9" x14ac:dyDescent="0.25">
      <c r="A63" t="s">
        <v>1491</v>
      </c>
      <c r="B63" t="s">
        <v>1492</v>
      </c>
      <c r="C63" t="s">
        <v>1489</v>
      </c>
      <c r="D63" t="s">
        <v>1348</v>
      </c>
      <c r="E63" t="s">
        <v>1349</v>
      </c>
      <c r="F63" t="s">
        <v>1493</v>
      </c>
      <c r="G63" t="s">
        <v>5549</v>
      </c>
      <c r="H63" t="s">
        <v>19</v>
      </c>
      <c r="I63">
        <v>0</v>
      </c>
    </row>
    <row r="64" spans="1:9" x14ac:dyDescent="0.25">
      <c r="A64" t="s">
        <v>1494</v>
      </c>
      <c r="B64" t="s">
        <v>1495</v>
      </c>
      <c r="C64" t="s">
        <v>1489</v>
      </c>
      <c r="D64" t="s">
        <v>1348</v>
      </c>
      <c r="E64" t="s">
        <v>1349</v>
      </c>
      <c r="F64" t="s">
        <v>1496</v>
      </c>
      <c r="G64" t="s">
        <v>5550</v>
      </c>
      <c r="H64">
        <v>0</v>
      </c>
      <c r="I64">
        <v>0</v>
      </c>
    </row>
    <row r="65" spans="1:9" x14ac:dyDescent="0.25">
      <c r="A65" t="s">
        <v>1497</v>
      </c>
      <c r="B65" t="s">
        <v>1498</v>
      </c>
      <c r="C65" t="s">
        <v>1489</v>
      </c>
      <c r="D65" t="s">
        <v>1348</v>
      </c>
      <c r="E65" t="s">
        <v>1349</v>
      </c>
      <c r="F65" t="s">
        <v>1499</v>
      </c>
      <c r="G65" t="s">
        <v>5551</v>
      </c>
      <c r="H65" t="s">
        <v>222</v>
      </c>
      <c r="I65">
        <v>0</v>
      </c>
    </row>
    <row r="66" spans="1:9" x14ac:dyDescent="0.25">
      <c r="A66" t="s">
        <v>1500</v>
      </c>
      <c r="B66" t="s">
        <v>1501</v>
      </c>
      <c r="C66" t="s">
        <v>1489</v>
      </c>
      <c r="D66" t="s">
        <v>1348</v>
      </c>
      <c r="E66" t="s">
        <v>1349</v>
      </c>
      <c r="F66" t="s">
        <v>1502</v>
      </c>
      <c r="G66" t="s">
        <v>5552</v>
      </c>
      <c r="H66" t="s">
        <v>1503</v>
      </c>
      <c r="I66">
        <v>0</v>
      </c>
    </row>
    <row r="67" spans="1:9" x14ac:dyDescent="0.25">
      <c r="A67" t="s">
        <v>1504</v>
      </c>
      <c r="B67" t="s">
        <v>1505</v>
      </c>
      <c r="C67" t="s">
        <v>1489</v>
      </c>
      <c r="D67" t="s">
        <v>1348</v>
      </c>
      <c r="E67" t="s">
        <v>1349</v>
      </c>
      <c r="F67" t="s">
        <v>1506</v>
      </c>
      <c r="G67" t="s">
        <v>5553</v>
      </c>
      <c r="H67" t="s">
        <v>1503</v>
      </c>
      <c r="I67">
        <v>0</v>
      </c>
    </row>
    <row r="68" spans="1:9" x14ac:dyDescent="0.25">
      <c r="A68" t="s">
        <v>1507</v>
      </c>
      <c r="B68" t="s">
        <v>1508</v>
      </c>
      <c r="C68" t="s">
        <v>1489</v>
      </c>
      <c r="D68" t="s">
        <v>1348</v>
      </c>
      <c r="E68" t="s">
        <v>1349</v>
      </c>
      <c r="F68" t="s">
        <v>1509</v>
      </c>
      <c r="G68" t="s">
        <v>5554</v>
      </c>
      <c r="H68">
        <v>0</v>
      </c>
      <c r="I68">
        <v>0</v>
      </c>
    </row>
    <row r="69" spans="1:9" x14ac:dyDescent="0.25">
      <c r="A69" t="s">
        <v>1510</v>
      </c>
      <c r="B69" t="s">
        <v>1511</v>
      </c>
      <c r="C69" t="s">
        <v>1489</v>
      </c>
      <c r="D69" t="s">
        <v>1348</v>
      </c>
      <c r="E69" t="s">
        <v>1349</v>
      </c>
      <c r="F69" t="s">
        <v>1512</v>
      </c>
      <c r="G69" t="s">
        <v>5555</v>
      </c>
      <c r="H69">
        <v>0</v>
      </c>
      <c r="I69">
        <v>0</v>
      </c>
    </row>
    <row r="70" spans="1:9" x14ac:dyDescent="0.25">
      <c r="A70" t="s">
        <v>1513</v>
      </c>
      <c r="B70" t="s">
        <v>1514</v>
      </c>
      <c r="C70" t="s">
        <v>1489</v>
      </c>
      <c r="D70" t="s">
        <v>1348</v>
      </c>
      <c r="E70" t="s">
        <v>1349</v>
      </c>
      <c r="F70" t="s">
        <v>1515</v>
      </c>
      <c r="G70" t="s">
        <v>5556</v>
      </c>
      <c r="H70">
        <v>0</v>
      </c>
      <c r="I70">
        <v>0</v>
      </c>
    </row>
    <row r="71" spans="1:9" x14ac:dyDescent="0.25">
      <c r="A71" t="s">
        <v>1516</v>
      </c>
      <c r="B71" t="s">
        <v>1517</v>
      </c>
      <c r="C71" t="s">
        <v>1489</v>
      </c>
      <c r="D71" t="s">
        <v>1348</v>
      </c>
      <c r="E71" t="s">
        <v>1349</v>
      </c>
      <c r="F71" t="s">
        <v>1518</v>
      </c>
      <c r="G71" t="s">
        <v>5557</v>
      </c>
      <c r="H71" t="s">
        <v>1503</v>
      </c>
      <c r="I71">
        <v>0</v>
      </c>
    </row>
    <row r="72" spans="1:9" x14ac:dyDescent="0.25">
      <c r="A72" t="s">
        <v>1519</v>
      </c>
      <c r="B72" t="s">
        <v>1520</v>
      </c>
      <c r="C72" t="s">
        <v>1489</v>
      </c>
      <c r="D72" t="s">
        <v>1348</v>
      </c>
      <c r="E72" t="s">
        <v>1349</v>
      </c>
      <c r="F72" t="s">
        <v>1521</v>
      </c>
      <c r="G72" t="s">
        <v>5558</v>
      </c>
      <c r="H72">
        <v>0</v>
      </c>
      <c r="I72">
        <v>0</v>
      </c>
    </row>
    <row r="73" spans="1:9" x14ac:dyDescent="0.25">
      <c r="A73" t="s">
        <v>1522</v>
      </c>
      <c r="B73" t="s">
        <v>1523</v>
      </c>
      <c r="C73" t="s">
        <v>1489</v>
      </c>
      <c r="D73" t="s">
        <v>1348</v>
      </c>
      <c r="E73" t="s">
        <v>1349</v>
      </c>
      <c r="F73" t="s">
        <v>1524</v>
      </c>
      <c r="G73" t="s">
        <v>5559</v>
      </c>
      <c r="H73">
        <v>0</v>
      </c>
      <c r="I73">
        <v>0</v>
      </c>
    </row>
    <row r="74" spans="1:9" x14ac:dyDescent="0.25">
      <c r="A74" t="s">
        <v>1525</v>
      </c>
      <c r="B74" t="s">
        <v>1526</v>
      </c>
      <c r="C74" t="s">
        <v>1489</v>
      </c>
      <c r="D74" t="s">
        <v>1348</v>
      </c>
      <c r="E74" t="s">
        <v>1349</v>
      </c>
      <c r="F74" t="s">
        <v>1527</v>
      </c>
      <c r="G74" t="s">
        <v>5560</v>
      </c>
      <c r="H74">
        <v>0</v>
      </c>
      <c r="I74">
        <v>0</v>
      </c>
    </row>
    <row r="75" spans="1:9" x14ac:dyDescent="0.25">
      <c r="A75" t="s">
        <v>1528</v>
      </c>
      <c r="B75" t="s">
        <v>1529</v>
      </c>
      <c r="C75" t="s">
        <v>1489</v>
      </c>
      <c r="D75" t="s">
        <v>1348</v>
      </c>
      <c r="E75" t="s">
        <v>1349</v>
      </c>
      <c r="F75" t="s">
        <v>1530</v>
      </c>
      <c r="G75" t="s">
        <v>5561</v>
      </c>
      <c r="H75">
        <v>0</v>
      </c>
      <c r="I75">
        <v>0</v>
      </c>
    </row>
    <row r="76" spans="1:9" x14ac:dyDescent="0.25">
      <c r="A76" t="s">
        <v>1531</v>
      </c>
      <c r="B76" t="s">
        <v>1532</v>
      </c>
      <c r="C76" t="s">
        <v>1489</v>
      </c>
      <c r="D76" t="s">
        <v>1348</v>
      </c>
      <c r="E76" t="s">
        <v>1349</v>
      </c>
      <c r="F76" t="s">
        <v>1533</v>
      </c>
      <c r="G76" t="s">
        <v>5562</v>
      </c>
      <c r="H76">
        <v>0</v>
      </c>
      <c r="I76">
        <v>0</v>
      </c>
    </row>
    <row r="77" spans="1:9" x14ac:dyDescent="0.25">
      <c r="A77" t="s">
        <v>1534</v>
      </c>
      <c r="B77" t="s">
        <v>1535</v>
      </c>
      <c r="C77" t="s">
        <v>1489</v>
      </c>
      <c r="D77" t="s">
        <v>1348</v>
      </c>
      <c r="E77" t="s">
        <v>1349</v>
      </c>
      <c r="F77" t="s">
        <v>1536</v>
      </c>
      <c r="G77" t="s">
        <v>5563</v>
      </c>
      <c r="H77">
        <v>0</v>
      </c>
      <c r="I77">
        <v>0</v>
      </c>
    </row>
    <row r="78" spans="1:9" x14ac:dyDescent="0.25">
      <c r="A78" t="s">
        <v>1537</v>
      </c>
      <c r="B78" t="s">
        <v>1538</v>
      </c>
      <c r="C78" t="s">
        <v>1489</v>
      </c>
      <c r="D78" t="s">
        <v>1348</v>
      </c>
      <c r="E78" t="s">
        <v>1349</v>
      </c>
      <c r="F78" t="s">
        <v>1539</v>
      </c>
      <c r="G78" t="s">
        <v>5564</v>
      </c>
      <c r="H78" t="s">
        <v>222</v>
      </c>
      <c r="I78">
        <v>0</v>
      </c>
    </row>
    <row r="79" spans="1:9" x14ac:dyDescent="0.25">
      <c r="A79" t="s">
        <v>1540</v>
      </c>
      <c r="B79" t="s">
        <v>1541</v>
      </c>
      <c r="C79" t="s">
        <v>1489</v>
      </c>
      <c r="D79" t="s">
        <v>1348</v>
      </c>
      <c r="E79" t="s">
        <v>1349</v>
      </c>
      <c r="F79" t="s">
        <v>1542</v>
      </c>
      <c r="G79" t="s">
        <v>5565</v>
      </c>
      <c r="H79">
        <v>0</v>
      </c>
      <c r="I79">
        <v>0</v>
      </c>
    </row>
    <row r="80" spans="1:9" x14ac:dyDescent="0.25">
      <c r="A80" t="s">
        <v>1543</v>
      </c>
      <c r="B80" t="s">
        <v>1544</v>
      </c>
      <c r="C80" t="s">
        <v>1489</v>
      </c>
      <c r="D80" t="s">
        <v>1348</v>
      </c>
      <c r="E80" t="s">
        <v>1349</v>
      </c>
      <c r="F80" t="s">
        <v>1545</v>
      </c>
      <c r="G80" t="s">
        <v>5566</v>
      </c>
      <c r="H80">
        <v>0</v>
      </c>
      <c r="I80">
        <v>0</v>
      </c>
    </row>
    <row r="81" spans="1:9" x14ac:dyDescent="0.25">
      <c r="A81" t="s">
        <v>1546</v>
      </c>
      <c r="B81" t="s">
        <v>1547</v>
      </c>
      <c r="C81" t="s">
        <v>1489</v>
      </c>
      <c r="D81" t="s">
        <v>1348</v>
      </c>
      <c r="E81" t="s">
        <v>1349</v>
      </c>
      <c r="F81" t="s">
        <v>1548</v>
      </c>
      <c r="G81" t="s">
        <v>5567</v>
      </c>
      <c r="H81">
        <v>0</v>
      </c>
      <c r="I81">
        <v>0</v>
      </c>
    </row>
    <row r="82" spans="1:9" x14ac:dyDescent="0.25">
      <c r="A82" t="s">
        <v>1549</v>
      </c>
      <c r="B82" t="s">
        <v>1550</v>
      </c>
      <c r="C82" t="s">
        <v>1489</v>
      </c>
      <c r="D82" t="s">
        <v>1348</v>
      </c>
      <c r="E82" t="s">
        <v>1349</v>
      </c>
      <c r="F82" t="s">
        <v>1551</v>
      </c>
      <c r="G82" t="s">
        <v>5568</v>
      </c>
      <c r="H82">
        <v>0</v>
      </c>
      <c r="I82">
        <v>0</v>
      </c>
    </row>
    <row r="83" spans="1:9" x14ac:dyDescent="0.25">
      <c r="A83" t="s">
        <v>1552</v>
      </c>
      <c r="B83" t="s">
        <v>1553</v>
      </c>
      <c r="C83" t="s">
        <v>1489</v>
      </c>
      <c r="D83" t="s">
        <v>1348</v>
      </c>
      <c r="E83" t="s">
        <v>1349</v>
      </c>
      <c r="F83" t="s">
        <v>1554</v>
      </c>
      <c r="G83" t="s">
        <v>5569</v>
      </c>
      <c r="H83">
        <v>0</v>
      </c>
      <c r="I83">
        <v>0</v>
      </c>
    </row>
    <row r="84" spans="1:9" x14ac:dyDescent="0.25">
      <c r="A84" t="s">
        <v>1555</v>
      </c>
      <c r="B84" t="s">
        <v>1556</v>
      </c>
      <c r="C84" t="s">
        <v>1489</v>
      </c>
      <c r="D84" t="s">
        <v>1348</v>
      </c>
      <c r="E84" t="s">
        <v>1349</v>
      </c>
      <c r="F84" t="s">
        <v>1557</v>
      </c>
      <c r="G84" t="s">
        <v>5570</v>
      </c>
      <c r="H84">
        <v>0</v>
      </c>
      <c r="I84">
        <v>0</v>
      </c>
    </row>
    <row r="85" spans="1:9" x14ac:dyDescent="0.25">
      <c r="A85" t="s">
        <v>1558</v>
      </c>
      <c r="B85" t="s">
        <v>1559</v>
      </c>
      <c r="C85" t="s">
        <v>1489</v>
      </c>
      <c r="D85" t="s">
        <v>1348</v>
      </c>
      <c r="E85" t="s">
        <v>1349</v>
      </c>
      <c r="F85" t="s">
        <v>1560</v>
      </c>
      <c r="G85" t="s">
        <v>5571</v>
      </c>
      <c r="H85">
        <v>0</v>
      </c>
      <c r="I85">
        <v>0</v>
      </c>
    </row>
    <row r="86" spans="1:9" x14ac:dyDescent="0.25">
      <c r="A86" t="s">
        <v>1561</v>
      </c>
      <c r="B86" t="s">
        <v>1562</v>
      </c>
      <c r="C86" t="s">
        <v>1489</v>
      </c>
      <c r="D86" t="s">
        <v>1348</v>
      </c>
      <c r="E86" t="s">
        <v>1349</v>
      </c>
      <c r="F86" t="s">
        <v>1563</v>
      </c>
      <c r="G86" t="s">
        <v>5572</v>
      </c>
      <c r="H86">
        <v>0</v>
      </c>
      <c r="I86">
        <v>0</v>
      </c>
    </row>
    <row r="87" spans="1:9" x14ac:dyDescent="0.25">
      <c r="A87" t="s">
        <v>1564</v>
      </c>
      <c r="B87" t="s">
        <v>1565</v>
      </c>
      <c r="C87" t="s">
        <v>1566</v>
      </c>
      <c r="D87" t="s">
        <v>1567</v>
      </c>
      <c r="E87" t="s">
        <v>1298</v>
      </c>
      <c r="F87" t="s">
        <v>1568</v>
      </c>
      <c r="G87" t="s">
        <v>5573</v>
      </c>
      <c r="H87">
        <v>0</v>
      </c>
      <c r="I87">
        <v>0</v>
      </c>
    </row>
    <row r="88" spans="1:9" x14ac:dyDescent="0.25">
      <c r="A88" t="s">
        <v>1569</v>
      </c>
      <c r="B88" t="s">
        <v>1570</v>
      </c>
      <c r="C88" t="s">
        <v>1566</v>
      </c>
      <c r="D88" t="s">
        <v>1567</v>
      </c>
      <c r="E88" t="s">
        <v>1298</v>
      </c>
      <c r="F88" t="s">
        <v>1571</v>
      </c>
      <c r="G88" t="s">
        <v>5574</v>
      </c>
      <c r="H88" t="s">
        <v>226</v>
      </c>
      <c r="I88">
        <v>0</v>
      </c>
    </row>
    <row r="89" spans="1:9" x14ac:dyDescent="0.25">
      <c r="A89" t="s">
        <v>1572</v>
      </c>
      <c r="B89" t="s">
        <v>1573</v>
      </c>
      <c r="C89" t="s">
        <v>1566</v>
      </c>
      <c r="D89" t="s">
        <v>1567</v>
      </c>
      <c r="E89" t="s">
        <v>1298</v>
      </c>
      <c r="F89" t="s">
        <v>1574</v>
      </c>
      <c r="G89" t="s">
        <v>5575</v>
      </c>
      <c r="H89">
        <v>0</v>
      </c>
      <c r="I89">
        <v>0</v>
      </c>
    </row>
    <row r="90" spans="1:9" x14ac:dyDescent="0.25">
      <c r="A90" t="s">
        <v>1575</v>
      </c>
      <c r="B90" t="s">
        <v>1576</v>
      </c>
      <c r="C90" t="s">
        <v>1566</v>
      </c>
      <c r="D90" t="s">
        <v>1567</v>
      </c>
      <c r="E90" t="s">
        <v>1298</v>
      </c>
      <c r="F90" t="s">
        <v>1577</v>
      </c>
      <c r="G90" t="s">
        <v>5576</v>
      </c>
      <c r="H90">
        <v>0</v>
      </c>
      <c r="I90">
        <v>0</v>
      </c>
    </row>
    <row r="91" spans="1:9" x14ac:dyDescent="0.25">
      <c r="A91" t="s">
        <v>1578</v>
      </c>
      <c r="B91" t="s">
        <v>1579</v>
      </c>
      <c r="C91" t="s">
        <v>1566</v>
      </c>
      <c r="D91" t="s">
        <v>1567</v>
      </c>
      <c r="E91" t="s">
        <v>1298</v>
      </c>
      <c r="F91" t="s">
        <v>1580</v>
      </c>
      <c r="G91" t="s">
        <v>5577</v>
      </c>
      <c r="H91" t="s">
        <v>20</v>
      </c>
      <c r="I91">
        <v>0</v>
      </c>
    </row>
    <row r="92" spans="1:9" x14ac:dyDescent="0.25">
      <c r="A92" t="s">
        <v>1581</v>
      </c>
      <c r="B92" t="s">
        <v>1582</v>
      </c>
      <c r="C92" t="s">
        <v>1566</v>
      </c>
      <c r="D92" t="s">
        <v>1567</v>
      </c>
      <c r="E92" t="s">
        <v>1298</v>
      </c>
      <c r="F92" t="s">
        <v>1583</v>
      </c>
      <c r="G92" t="s">
        <v>5578</v>
      </c>
      <c r="H92" t="s">
        <v>20</v>
      </c>
      <c r="I92">
        <v>0</v>
      </c>
    </row>
    <row r="93" spans="1:9" x14ac:dyDescent="0.25">
      <c r="A93" t="s">
        <v>1584</v>
      </c>
      <c r="B93" t="s">
        <v>1585</v>
      </c>
      <c r="C93" t="s">
        <v>1566</v>
      </c>
      <c r="D93" t="s">
        <v>1567</v>
      </c>
      <c r="E93" t="s">
        <v>1298</v>
      </c>
      <c r="F93" t="s">
        <v>1586</v>
      </c>
      <c r="G93" t="s">
        <v>5579</v>
      </c>
      <c r="H93" t="s">
        <v>226</v>
      </c>
      <c r="I93">
        <v>0</v>
      </c>
    </row>
    <row r="94" spans="1:9" x14ac:dyDescent="0.25">
      <c r="A94" t="s">
        <v>1587</v>
      </c>
      <c r="B94" t="s">
        <v>1588</v>
      </c>
      <c r="C94" t="s">
        <v>1566</v>
      </c>
      <c r="D94" t="s">
        <v>1567</v>
      </c>
      <c r="E94" t="s">
        <v>1298</v>
      </c>
      <c r="F94" t="s">
        <v>1589</v>
      </c>
      <c r="G94" t="s">
        <v>5580</v>
      </c>
      <c r="H94" t="s">
        <v>226</v>
      </c>
      <c r="I94">
        <v>0</v>
      </c>
    </row>
    <row r="95" spans="1:9" x14ac:dyDescent="0.25">
      <c r="A95" t="s">
        <v>1590</v>
      </c>
      <c r="B95" t="s">
        <v>1591</v>
      </c>
      <c r="C95" t="s">
        <v>1566</v>
      </c>
      <c r="D95" t="s">
        <v>1567</v>
      </c>
      <c r="E95" t="s">
        <v>1298</v>
      </c>
      <c r="F95" t="s">
        <v>1592</v>
      </c>
      <c r="G95" t="s">
        <v>5581</v>
      </c>
      <c r="H95" t="s">
        <v>1593</v>
      </c>
      <c r="I95">
        <v>0</v>
      </c>
    </row>
    <row r="96" spans="1:9" x14ac:dyDescent="0.25">
      <c r="A96" t="s">
        <v>1594</v>
      </c>
      <c r="B96" t="s">
        <v>1595</v>
      </c>
      <c r="C96" t="s">
        <v>1566</v>
      </c>
      <c r="D96" t="s">
        <v>1567</v>
      </c>
      <c r="E96" t="s">
        <v>1298</v>
      </c>
      <c r="F96" t="s">
        <v>1596</v>
      </c>
      <c r="G96" t="s">
        <v>5582</v>
      </c>
      <c r="H96">
        <v>0</v>
      </c>
      <c r="I96">
        <v>0</v>
      </c>
    </row>
    <row r="97" spans="1:9" x14ac:dyDescent="0.25">
      <c r="A97" t="s">
        <v>1597</v>
      </c>
      <c r="B97" t="s">
        <v>1598</v>
      </c>
      <c r="C97" t="s">
        <v>1566</v>
      </c>
      <c r="D97" t="s">
        <v>1567</v>
      </c>
      <c r="E97" t="s">
        <v>1298</v>
      </c>
      <c r="F97" t="s">
        <v>1599</v>
      </c>
      <c r="G97" t="s">
        <v>5583</v>
      </c>
      <c r="H97" t="s">
        <v>1600</v>
      </c>
      <c r="I97">
        <v>0</v>
      </c>
    </row>
    <row r="98" spans="1:9" x14ac:dyDescent="0.25">
      <c r="A98" t="s">
        <v>1601</v>
      </c>
      <c r="B98" t="s">
        <v>1602</v>
      </c>
      <c r="C98" t="s">
        <v>1566</v>
      </c>
      <c r="D98" t="s">
        <v>1567</v>
      </c>
      <c r="E98" t="s">
        <v>1298</v>
      </c>
      <c r="F98" t="s">
        <v>1603</v>
      </c>
      <c r="G98" t="s">
        <v>5584</v>
      </c>
      <c r="H98">
        <v>0</v>
      </c>
      <c r="I98">
        <v>0</v>
      </c>
    </row>
    <row r="99" spans="1:9" x14ac:dyDescent="0.25">
      <c r="A99" t="s">
        <v>1604</v>
      </c>
      <c r="B99" t="s">
        <v>1605</v>
      </c>
      <c r="C99" t="s">
        <v>1566</v>
      </c>
      <c r="D99" t="s">
        <v>1567</v>
      </c>
      <c r="E99" t="s">
        <v>1298</v>
      </c>
      <c r="F99" t="s">
        <v>1606</v>
      </c>
      <c r="G99" t="s">
        <v>5585</v>
      </c>
      <c r="H99">
        <v>0</v>
      </c>
      <c r="I99">
        <v>0</v>
      </c>
    </row>
    <row r="100" spans="1:9" x14ac:dyDescent="0.25">
      <c r="A100" t="s">
        <v>1607</v>
      </c>
      <c r="B100" t="s">
        <v>1608</v>
      </c>
      <c r="C100" t="s">
        <v>1566</v>
      </c>
      <c r="D100" t="s">
        <v>1567</v>
      </c>
      <c r="E100" t="s">
        <v>1298</v>
      </c>
      <c r="F100" t="s">
        <v>1609</v>
      </c>
      <c r="G100" t="s">
        <v>5586</v>
      </c>
      <c r="H100">
        <v>0</v>
      </c>
      <c r="I100">
        <v>0</v>
      </c>
    </row>
    <row r="101" spans="1:9" x14ac:dyDescent="0.25">
      <c r="A101" t="s">
        <v>1610</v>
      </c>
      <c r="B101" t="s">
        <v>1611</v>
      </c>
      <c r="C101" t="s">
        <v>1566</v>
      </c>
      <c r="D101" t="s">
        <v>1567</v>
      </c>
      <c r="E101" t="s">
        <v>1298</v>
      </c>
      <c r="F101" t="s">
        <v>1612</v>
      </c>
      <c r="G101" t="s">
        <v>5587</v>
      </c>
      <c r="H101">
        <v>0</v>
      </c>
      <c r="I101">
        <v>0</v>
      </c>
    </row>
    <row r="102" spans="1:9" x14ac:dyDescent="0.25">
      <c r="A102" t="s">
        <v>1613</v>
      </c>
      <c r="B102" t="s">
        <v>1614</v>
      </c>
      <c r="C102" t="s">
        <v>1566</v>
      </c>
      <c r="D102" t="s">
        <v>1567</v>
      </c>
      <c r="E102" t="s">
        <v>1298</v>
      </c>
      <c r="F102" t="s">
        <v>1615</v>
      </c>
      <c r="G102" t="s">
        <v>5588</v>
      </c>
      <c r="H102" t="s">
        <v>226</v>
      </c>
      <c r="I102">
        <v>0</v>
      </c>
    </row>
    <row r="103" spans="1:9" x14ac:dyDescent="0.25">
      <c r="A103" t="s">
        <v>1616</v>
      </c>
      <c r="B103" t="s">
        <v>1617</v>
      </c>
      <c r="C103" t="s">
        <v>1566</v>
      </c>
      <c r="D103" t="s">
        <v>1567</v>
      </c>
      <c r="E103" t="s">
        <v>1298</v>
      </c>
      <c r="F103" t="s">
        <v>1618</v>
      </c>
      <c r="G103" t="s">
        <v>5589</v>
      </c>
      <c r="H103" t="s">
        <v>1593</v>
      </c>
      <c r="I103">
        <v>0</v>
      </c>
    </row>
    <row r="104" spans="1:9" x14ac:dyDescent="0.25">
      <c r="A104" t="s">
        <v>1619</v>
      </c>
      <c r="B104" t="s">
        <v>1620</v>
      </c>
      <c r="C104" t="s">
        <v>1566</v>
      </c>
      <c r="D104" t="s">
        <v>1567</v>
      </c>
      <c r="E104" t="s">
        <v>1298</v>
      </c>
      <c r="F104" t="s">
        <v>1621</v>
      </c>
      <c r="G104" t="s">
        <v>5590</v>
      </c>
      <c r="H104" t="s">
        <v>1593</v>
      </c>
      <c r="I104">
        <v>0</v>
      </c>
    </row>
    <row r="105" spans="1:9" x14ac:dyDescent="0.25">
      <c r="A105" t="s">
        <v>1622</v>
      </c>
      <c r="B105" t="s">
        <v>1623</v>
      </c>
      <c r="C105" t="s">
        <v>1566</v>
      </c>
      <c r="D105" t="s">
        <v>1567</v>
      </c>
      <c r="E105" t="s">
        <v>1298</v>
      </c>
      <c r="F105" t="s">
        <v>1624</v>
      </c>
      <c r="G105" t="s">
        <v>5591</v>
      </c>
      <c r="H105" t="s">
        <v>1600</v>
      </c>
      <c r="I105">
        <v>0</v>
      </c>
    </row>
    <row r="106" spans="1:9" x14ac:dyDescent="0.25">
      <c r="A106" t="s">
        <v>1625</v>
      </c>
      <c r="B106" t="s">
        <v>1626</v>
      </c>
      <c r="C106" t="s">
        <v>1566</v>
      </c>
      <c r="D106" t="s">
        <v>1567</v>
      </c>
      <c r="E106" t="s">
        <v>1298</v>
      </c>
      <c r="F106" t="s">
        <v>1627</v>
      </c>
      <c r="G106" t="s">
        <v>5592</v>
      </c>
      <c r="H106">
        <v>0</v>
      </c>
      <c r="I106">
        <v>0</v>
      </c>
    </row>
    <row r="107" spans="1:9" x14ac:dyDescent="0.25">
      <c r="A107" t="s">
        <v>1628</v>
      </c>
      <c r="B107" t="s">
        <v>1629</v>
      </c>
      <c r="C107" t="s">
        <v>1566</v>
      </c>
      <c r="D107" t="s">
        <v>1567</v>
      </c>
      <c r="E107" t="s">
        <v>1298</v>
      </c>
      <c r="F107" t="s">
        <v>1630</v>
      </c>
      <c r="G107" t="s">
        <v>5593</v>
      </c>
      <c r="H107">
        <v>0</v>
      </c>
      <c r="I107">
        <v>0</v>
      </c>
    </row>
    <row r="108" spans="1:9" x14ac:dyDescent="0.25">
      <c r="A108" t="s">
        <v>1631</v>
      </c>
      <c r="B108" t="s">
        <v>1632</v>
      </c>
      <c r="C108" t="s">
        <v>1566</v>
      </c>
      <c r="D108" t="s">
        <v>1567</v>
      </c>
      <c r="E108" t="s">
        <v>1298</v>
      </c>
      <c r="F108" t="s">
        <v>1633</v>
      </c>
      <c r="G108" t="s">
        <v>5594</v>
      </c>
      <c r="H108">
        <v>0</v>
      </c>
      <c r="I108">
        <v>0</v>
      </c>
    </row>
    <row r="109" spans="1:9" x14ac:dyDescent="0.25">
      <c r="A109" t="s">
        <v>1634</v>
      </c>
      <c r="B109" t="s">
        <v>1635</v>
      </c>
      <c r="C109" t="s">
        <v>1566</v>
      </c>
      <c r="D109" t="s">
        <v>1567</v>
      </c>
      <c r="E109" t="s">
        <v>1298</v>
      </c>
      <c r="F109" t="s">
        <v>1636</v>
      </c>
      <c r="G109" t="s">
        <v>5595</v>
      </c>
      <c r="H109">
        <v>0</v>
      </c>
      <c r="I109">
        <v>0</v>
      </c>
    </row>
    <row r="110" spans="1:9" x14ac:dyDescent="0.25">
      <c r="A110" t="s">
        <v>1637</v>
      </c>
      <c r="B110" t="s">
        <v>1638</v>
      </c>
      <c r="C110" t="s">
        <v>1566</v>
      </c>
      <c r="D110" t="s">
        <v>1567</v>
      </c>
      <c r="E110" t="s">
        <v>1298</v>
      </c>
      <c r="F110" t="s">
        <v>1639</v>
      </c>
      <c r="G110" t="s">
        <v>5596</v>
      </c>
      <c r="H110" t="s">
        <v>226</v>
      </c>
      <c r="I110">
        <v>0</v>
      </c>
    </row>
    <row r="111" spans="1:9" x14ac:dyDescent="0.25">
      <c r="A111" t="s">
        <v>1640</v>
      </c>
      <c r="B111" t="s">
        <v>1641</v>
      </c>
      <c r="C111" t="s">
        <v>1566</v>
      </c>
      <c r="D111" t="s">
        <v>1567</v>
      </c>
      <c r="E111" t="s">
        <v>1298</v>
      </c>
      <c r="F111" t="s">
        <v>1642</v>
      </c>
      <c r="G111" t="s">
        <v>5597</v>
      </c>
      <c r="H111" t="s">
        <v>20</v>
      </c>
      <c r="I111">
        <v>0</v>
      </c>
    </row>
    <row r="112" spans="1:9" x14ac:dyDescent="0.25">
      <c r="A112" t="s">
        <v>1643</v>
      </c>
      <c r="B112" t="s">
        <v>1644</v>
      </c>
      <c r="C112" t="s">
        <v>1566</v>
      </c>
      <c r="D112" t="s">
        <v>1567</v>
      </c>
      <c r="E112" t="s">
        <v>1298</v>
      </c>
      <c r="F112" t="s">
        <v>1645</v>
      </c>
      <c r="G112" t="s">
        <v>5598</v>
      </c>
      <c r="H112">
        <v>0</v>
      </c>
      <c r="I112">
        <v>0</v>
      </c>
    </row>
    <row r="113" spans="1:9" x14ac:dyDescent="0.25">
      <c r="A113" t="s">
        <v>1646</v>
      </c>
      <c r="B113" t="s">
        <v>1647</v>
      </c>
      <c r="C113" t="s">
        <v>1566</v>
      </c>
      <c r="D113" t="s">
        <v>1567</v>
      </c>
      <c r="E113" t="s">
        <v>1298</v>
      </c>
      <c r="F113" t="s">
        <v>1648</v>
      </c>
      <c r="G113" t="s">
        <v>5599</v>
      </c>
      <c r="H113">
        <v>0</v>
      </c>
      <c r="I113">
        <v>0</v>
      </c>
    </row>
    <row r="114" spans="1:9" x14ac:dyDescent="0.25">
      <c r="A114" t="s">
        <v>1649</v>
      </c>
      <c r="B114" t="s">
        <v>1650</v>
      </c>
      <c r="C114" t="s">
        <v>1566</v>
      </c>
      <c r="D114" t="s">
        <v>1567</v>
      </c>
      <c r="E114" t="s">
        <v>1298</v>
      </c>
      <c r="F114" t="s">
        <v>1651</v>
      </c>
      <c r="G114" t="s">
        <v>5600</v>
      </c>
      <c r="H114">
        <v>0</v>
      </c>
      <c r="I114">
        <v>0</v>
      </c>
    </row>
    <row r="115" spans="1:9" x14ac:dyDescent="0.25">
      <c r="A115" t="s">
        <v>1652</v>
      </c>
      <c r="B115" t="s">
        <v>1653</v>
      </c>
      <c r="C115" t="s">
        <v>1566</v>
      </c>
      <c r="D115" t="s">
        <v>1567</v>
      </c>
      <c r="E115" t="s">
        <v>1298</v>
      </c>
      <c r="F115" t="s">
        <v>1654</v>
      </c>
      <c r="G115" t="s">
        <v>5601</v>
      </c>
      <c r="H115">
        <v>0</v>
      </c>
      <c r="I115">
        <v>0</v>
      </c>
    </row>
    <row r="116" spans="1:9" x14ac:dyDescent="0.25">
      <c r="A116" t="s">
        <v>1655</v>
      </c>
      <c r="B116" t="s">
        <v>1656</v>
      </c>
      <c r="C116" t="s">
        <v>1566</v>
      </c>
      <c r="D116" t="s">
        <v>1567</v>
      </c>
      <c r="E116" t="s">
        <v>1298</v>
      </c>
      <c r="F116" t="s">
        <v>1657</v>
      </c>
      <c r="G116" t="s">
        <v>5602</v>
      </c>
      <c r="H116">
        <v>0</v>
      </c>
      <c r="I116">
        <v>0</v>
      </c>
    </row>
    <row r="117" spans="1:9" x14ac:dyDescent="0.25">
      <c r="A117" t="s">
        <v>1658</v>
      </c>
      <c r="B117" t="s">
        <v>1659</v>
      </c>
      <c r="C117" t="s">
        <v>1660</v>
      </c>
      <c r="D117" t="s">
        <v>1661</v>
      </c>
      <c r="E117" t="s">
        <v>1298</v>
      </c>
      <c r="F117" t="s">
        <v>1662</v>
      </c>
      <c r="G117" t="s">
        <v>5603</v>
      </c>
      <c r="H117">
        <v>0</v>
      </c>
      <c r="I117" t="s">
        <v>1663</v>
      </c>
    </row>
    <row r="118" spans="1:9" x14ac:dyDescent="0.25">
      <c r="A118" t="s">
        <v>1664</v>
      </c>
      <c r="B118" t="s">
        <v>1665</v>
      </c>
      <c r="C118" t="s">
        <v>1660</v>
      </c>
      <c r="D118" t="s">
        <v>1661</v>
      </c>
      <c r="E118" t="s">
        <v>1298</v>
      </c>
      <c r="F118" t="s">
        <v>1662</v>
      </c>
      <c r="G118" t="s">
        <v>5603</v>
      </c>
      <c r="H118">
        <v>0</v>
      </c>
      <c r="I118" t="s">
        <v>1663</v>
      </c>
    </row>
    <row r="119" spans="1:9" x14ac:dyDescent="0.25">
      <c r="A119" t="s">
        <v>1666</v>
      </c>
      <c r="B119" t="s">
        <v>1667</v>
      </c>
      <c r="C119" t="s">
        <v>1660</v>
      </c>
      <c r="D119" t="s">
        <v>1661</v>
      </c>
      <c r="E119" t="s">
        <v>1298</v>
      </c>
      <c r="F119" t="s">
        <v>1668</v>
      </c>
      <c r="G119" t="s">
        <v>5604</v>
      </c>
      <c r="H119">
        <v>0</v>
      </c>
      <c r="I119">
        <v>0</v>
      </c>
    </row>
    <row r="120" spans="1:9" x14ac:dyDescent="0.25">
      <c r="A120" t="s">
        <v>1669</v>
      </c>
      <c r="B120" t="s">
        <v>1670</v>
      </c>
      <c r="C120" t="s">
        <v>1660</v>
      </c>
      <c r="D120" t="s">
        <v>1661</v>
      </c>
      <c r="E120" t="s">
        <v>1298</v>
      </c>
      <c r="F120" t="s">
        <v>1671</v>
      </c>
      <c r="G120" t="s">
        <v>5605</v>
      </c>
      <c r="H120">
        <v>0</v>
      </c>
      <c r="I120" t="s">
        <v>1672</v>
      </c>
    </row>
    <row r="121" spans="1:9" x14ac:dyDescent="0.25">
      <c r="A121" t="s">
        <v>1673</v>
      </c>
      <c r="B121" t="s">
        <v>1674</v>
      </c>
      <c r="C121" t="s">
        <v>1660</v>
      </c>
      <c r="D121" t="s">
        <v>1661</v>
      </c>
      <c r="E121" t="s">
        <v>1298</v>
      </c>
      <c r="F121" t="s">
        <v>1675</v>
      </c>
      <c r="G121" t="s">
        <v>5606</v>
      </c>
      <c r="H121">
        <v>0</v>
      </c>
      <c r="I121">
        <v>0</v>
      </c>
    </row>
    <row r="122" spans="1:9" x14ac:dyDescent="0.25">
      <c r="A122" t="s">
        <v>1676</v>
      </c>
      <c r="B122" t="s">
        <v>1677</v>
      </c>
      <c r="C122" t="s">
        <v>1660</v>
      </c>
      <c r="D122" t="s">
        <v>1661</v>
      </c>
      <c r="E122" t="s">
        <v>1298</v>
      </c>
      <c r="F122" t="s">
        <v>1662</v>
      </c>
      <c r="G122" t="s">
        <v>5603</v>
      </c>
      <c r="H122">
        <v>0</v>
      </c>
      <c r="I122" t="s">
        <v>1663</v>
      </c>
    </row>
    <row r="123" spans="1:9" x14ac:dyDescent="0.25">
      <c r="A123" t="s">
        <v>1678</v>
      </c>
      <c r="B123" t="s">
        <v>1679</v>
      </c>
      <c r="C123" t="s">
        <v>1660</v>
      </c>
      <c r="D123" t="s">
        <v>1661</v>
      </c>
      <c r="E123" t="s">
        <v>1298</v>
      </c>
      <c r="F123" t="s">
        <v>1662</v>
      </c>
      <c r="G123" t="s">
        <v>5603</v>
      </c>
      <c r="H123">
        <v>0</v>
      </c>
      <c r="I123" t="s">
        <v>1663</v>
      </c>
    </row>
    <row r="124" spans="1:9" x14ac:dyDescent="0.25">
      <c r="A124" t="s">
        <v>1680</v>
      </c>
      <c r="B124" t="s">
        <v>1681</v>
      </c>
      <c r="C124" t="s">
        <v>1660</v>
      </c>
      <c r="D124" t="s">
        <v>1661</v>
      </c>
      <c r="E124" t="s">
        <v>1298</v>
      </c>
      <c r="F124" t="s">
        <v>1682</v>
      </c>
      <c r="G124" t="s">
        <v>5607</v>
      </c>
      <c r="H124">
        <v>0</v>
      </c>
      <c r="I124">
        <v>0</v>
      </c>
    </row>
    <row r="125" spans="1:9" x14ac:dyDescent="0.25">
      <c r="A125" t="s">
        <v>1683</v>
      </c>
      <c r="B125" t="s">
        <v>1684</v>
      </c>
      <c r="C125" t="s">
        <v>1660</v>
      </c>
      <c r="D125" t="s">
        <v>1661</v>
      </c>
      <c r="E125" t="s">
        <v>1298</v>
      </c>
      <c r="F125" t="s">
        <v>1685</v>
      </c>
      <c r="G125" t="s">
        <v>5608</v>
      </c>
      <c r="H125">
        <v>0</v>
      </c>
      <c r="I125">
        <v>0</v>
      </c>
    </row>
    <row r="126" spans="1:9" x14ac:dyDescent="0.25">
      <c r="A126" t="s">
        <v>1686</v>
      </c>
      <c r="B126" t="s">
        <v>1687</v>
      </c>
      <c r="C126" t="s">
        <v>1660</v>
      </c>
      <c r="D126" t="s">
        <v>1661</v>
      </c>
      <c r="E126" t="s">
        <v>1298</v>
      </c>
      <c r="F126" t="s">
        <v>1662</v>
      </c>
      <c r="G126" t="s">
        <v>5603</v>
      </c>
      <c r="H126">
        <v>0</v>
      </c>
      <c r="I126" t="s">
        <v>1663</v>
      </c>
    </row>
    <row r="127" spans="1:9" x14ac:dyDescent="0.25">
      <c r="A127" t="s">
        <v>1688</v>
      </c>
      <c r="B127" t="s">
        <v>1689</v>
      </c>
      <c r="C127" t="s">
        <v>1660</v>
      </c>
      <c r="D127" t="s">
        <v>1661</v>
      </c>
      <c r="E127" t="s">
        <v>1298</v>
      </c>
      <c r="F127" t="s">
        <v>1690</v>
      </c>
      <c r="G127" t="s">
        <v>5609</v>
      </c>
      <c r="H127">
        <v>0</v>
      </c>
      <c r="I127" t="s">
        <v>1691</v>
      </c>
    </row>
    <row r="128" spans="1:9" x14ac:dyDescent="0.25">
      <c r="A128" t="s">
        <v>1692</v>
      </c>
      <c r="B128" t="s">
        <v>1693</v>
      </c>
      <c r="C128" t="s">
        <v>1660</v>
      </c>
      <c r="D128" t="s">
        <v>1661</v>
      </c>
      <c r="E128" t="s">
        <v>1298</v>
      </c>
      <c r="F128" t="s">
        <v>1694</v>
      </c>
      <c r="G128" t="s">
        <v>5610</v>
      </c>
      <c r="H128">
        <v>0</v>
      </c>
      <c r="I128" t="s">
        <v>1696</v>
      </c>
    </row>
    <row r="129" spans="1:9" x14ac:dyDescent="0.25">
      <c r="A129" t="s">
        <v>1697</v>
      </c>
      <c r="B129" t="s">
        <v>1698</v>
      </c>
      <c r="C129" t="s">
        <v>1660</v>
      </c>
      <c r="D129" t="s">
        <v>1661</v>
      </c>
      <c r="E129" t="s">
        <v>1298</v>
      </c>
      <c r="F129" t="s">
        <v>1662</v>
      </c>
      <c r="G129" t="s">
        <v>5603</v>
      </c>
      <c r="H129">
        <v>0</v>
      </c>
      <c r="I129" t="s">
        <v>1663</v>
      </c>
    </row>
    <row r="130" spans="1:9" x14ac:dyDescent="0.25">
      <c r="A130" t="s">
        <v>1699</v>
      </c>
      <c r="B130" t="s">
        <v>1700</v>
      </c>
      <c r="C130" t="s">
        <v>1660</v>
      </c>
      <c r="D130" t="s">
        <v>1661</v>
      </c>
      <c r="E130" t="s">
        <v>1298</v>
      </c>
      <c r="F130" t="s">
        <v>1671</v>
      </c>
      <c r="G130" t="s">
        <v>5605</v>
      </c>
      <c r="H130">
        <v>0</v>
      </c>
      <c r="I130" t="s">
        <v>1672</v>
      </c>
    </row>
    <row r="131" spans="1:9" x14ac:dyDescent="0.25">
      <c r="A131" t="s">
        <v>1701</v>
      </c>
      <c r="B131" t="s">
        <v>1702</v>
      </c>
      <c r="C131" t="s">
        <v>1703</v>
      </c>
      <c r="D131" t="s">
        <v>1297</v>
      </c>
      <c r="E131" t="s">
        <v>1298</v>
      </c>
      <c r="F131" t="s">
        <v>1704</v>
      </c>
      <c r="G131" t="s">
        <v>5611</v>
      </c>
      <c r="H131" t="s">
        <v>1705</v>
      </c>
      <c r="I131">
        <v>0</v>
      </c>
    </row>
    <row r="132" spans="1:9" x14ac:dyDescent="0.25">
      <c r="A132" t="s">
        <v>1706</v>
      </c>
      <c r="B132" t="s">
        <v>1707</v>
      </c>
      <c r="C132" t="s">
        <v>1703</v>
      </c>
      <c r="D132" t="s">
        <v>1297</v>
      </c>
      <c r="E132" t="s">
        <v>1298</v>
      </c>
      <c r="F132" t="s">
        <v>1708</v>
      </c>
      <c r="G132" t="s">
        <v>5612</v>
      </c>
      <c r="H132" t="s">
        <v>1705</v>
      </c>
      <c r="I132">
        <v>0</v>
      </c>
    </row>
    <row r="133" spans="1:9" x14ac:dyDescent="0.25">
      <c r="A133" t="s">
        <v>1709</v>
      </c>
      <c r="B133" t="s">
        <v>1710</v>
      </c>
      <c r="C133" t="s">
        <v>1703</v>
      </c>
      <c r="D133" t="s">
        <v>1297</v>
      </c>
      <c r="E133" t="s">
        <v>1298</v>
      </c>
      <c r="F133" t="s">
        <v>1711</v>
      </c>
      <c r="G133" t="s">
        <v>5613</v>
      </c>
      <c r="H133" t="s">
        <v>284</v>
      </c>
      <c r="I133">
        <v>0</v>
      </c>
    </row>
    <row r="134" spans="1:9" x14ac:dyDescent="0.25">
      <c r="A134" t="s">
        <v>1712</v>
      </c>
      <c r="B134" t="s">
        <v>1713</v>
      </c>
      <c r="C134" t="s">
        <v>1703</v>
      </c>
      <c r="D134" t="s">
        <v>1297</v>
      </c>
      <c r="E134" t="s">
        <v>1298</v>
      </c>
      <c r="F134" t="s">
        <v>1714</v>
      </c>
      <c r="G134" t="s">
        <v>5614</v>
      </c>
      <c r="H134" t="s">
        <v>1705</v>
      </c>
      <c r="I134">
        <v>0</v>
      </c>
    </row>
    <row r="135" spans="1:9" x14ac:dyDescent="0.25">
      <c r="A135" t="s">
        <v>1715</v>
      </c>
      <c r="B135" t="s">
        <v>1716</v>
      </c>
      <c r="C135" t="s">
        <v>1703</v>
      </c>
      <c r="D135" t="s">
        <v>1297</v>
      </c>
      <c r="E135" t="s">
        <v>1298</v>
      </c>
      <c r="F135" t="s">
        <v>1717</v>
      </c>
      <c r="G135" t="s">
        <v>5615</v>
      </c>
      <c r="H135" t="s">
        <v>1718</v>
      </c>
      <c r="I135">
        <v>0</v>
      </c>
    </row>
    <row r="136" spans="1:9" x14ac:dyDescent="0.25">
      <c r="A136" t="s">
        <v>1719</v>
      </c>
      <c r="B136" t="s">
        <v>1720</v>
      </c>
      <c r="C136" t="s">
        <v>1703</v>
      </c>
      <c r="D136" t="s">
        <v>1297</v>
      </c>
      <c r="E136" t="s">
        <v>1298</v>
      </c>
      <c r="F136" t="s">
        <v>1721</v>
      </c>
      <c r="G136" t="s">
        <v>5616</v>
      </c>
      <c r="H136" t="s">
        <v>1722</v>
      </c>
      <c r="I136" t="s">
        <v>1723</v>
      </c>
    </row>
    <row r="137" spans="1:9" x14ac:dyDescent="0.25">
      <c r="A137" t="s">
        <v>1724</v>
      </c>
      <c r="B137" t="s">
        <v>1725</v>
      </c>
      <c r="C137" t="s">
        <v>1703</v>
      </c>
      <c r="D137" t="s">
        <v>1297</v>
      </c>
      <c r="E137" t="s">
        <v>1298</v>
      </c>
      <c r="F137" t="s">
        <v>1726</v>
      </c>
      <c r="G137" t="s">
        <v>5617</v>
      </c>
      <c r="H137" t="s">
        <v>284</v>
      </c>
      <c r="I137">
        <v>0</v>
      </c>
    </row>
    <row r="138" spans="1:9" x14ac:dyDescent="0.25">
      <c r="A138" t="s">
        <v>1727</v>
      </c>
      <c r="B138" t="s">
        <v>1728</v>
      </c>
      <c r="C138" t="s">
        <v>1703</v>
      </c>
      <c r="D138" t="s">
        <v>1297</v>
      </c>
      <c r="E138" t="s">
        <v>1298</v>
      </c>
      <c r="F138" t="s">
        <v>1729</v>
      </c>
      <c r="G138" t="s">
        <v>5618</v>
      </c>
      <c r="H138">
        <v>0</v>
      </c>
      <c r="I138">
        <v>0</v>
      </c>
    </row>
    <row r="139" spans="1:9" x14ac:dyDescent="0.25">
      <c r="A139" t="s">
        <v>1730</v>
      </c>
      <c r="B139" t="s">
        <v>1731</v>
      </c>
      <c r="C139" t="s">
        <v>1703</v>
      </c>
      <c r="D139" t="s">
        <v>1297</v>
      </c>
      <c r="E139" t="s">
        <v>1298</v>
      </c>
      <c r="F139" t="s">
        <v>1732</v>
      </c>
      <c r="G139" t="s">
        <v>5619</v>
      </c>
      <c r="H139" t="s">
        <v>284</v>
      </c>
      <c r="I139">
        <v>0</v>
      </c>
    </row>
    <row r="140" spans="1:9" x14ac:dyDescent="0.25">
      <c r="A140" t="s">
        <v>1733</v>
      </c>
      <c r="B140" t="s">
        <v>1734</v>
      </c>
      <c r="C140" t="s">
        <v>1703</v>
      </c>
      <c r="D140" t="s">
        <v>1297</v>
      </c>
      <c r="E140" t="s">
        <v>1298</v>
      </c>
      <c r="F140" t="s">
        <v>1735</v>
      </c>
      <c r="G140" t="s">
        <v>5620</v>
      </c>
      <c r="H140" t="s">
        <v>1705</v>
      </c>
      <c r="I140">
        <v>0</v>
      </c>
    </row>
    <row r="141" spans="1:9" x14ac:dyDescent="0.25">
      <c r="A141" t="s">
        <v>1736</v>
      </c>
      <c r="B141" t="s">
        <v>1737</v>
      </c>
      <c r="C141" t="s">
        <v>1703</v>
      </c>
      <c r="D141" t="s">
        <v>1297</v>
      </c>
      <c r="E141" t="s">
        <v>1298</v>
      </c>
      <c r="F141" t="s">
        <v>1738</v>
      </c>
      <c r="G141" t="s">
        <v>5621</v>
      </c>
      <c r="H141" t="s">
        <v>1705</v>
      </c>
      <c r="I141">
        <v>0</v>
      </c>
    </row>
    <row r="142" spans="1:9" x14ac:dyDescent="0.25">
      <c r="A142" t="s">
        <v>1739</v>
      </c>
      <c r="B142" t="s">
        <v>1740</v>
      </c>
      <c r="C142" t="s">
        <v>1703</v>
      </c>
      <c r="D142" t="s">
        <v>1297</v>
      </c>
      <c r="E142" t="s">
        <v>1298</v>
      </c>
      <c r="F142" t="s">
        <v>1741</v>
      </c>
      <c r="G142" t="s">
        <v>5622</v>
      </c>
      <c r="H142" t="s">
        <v>1742</v>
      </c>
      <c r="I142">
        <v>0</v>
      </c>
    </row>
    <row r="143" spans="1:9" x14ac:dyDescent="0.25">
      <c r="A143" t="s">
        <v>1743</v>
      </c>
      <c r="B143" t="s">
        <v>1744</v>
      </c>
      <c r="C143" t="s">
        <v>1703</v>
      </c>
      <c r="D143" t="s">
        <v>1297</v>
      </c>
      <c r="E143" t="s">
        <v>1298</v>
      </c>
      <c r="F143" t="s">
        <v>1745</v>
      </c>
      <c r="G143" t="s">
        <v>5623</v>
      </c>
      <c r="H143" t="s">
        <v>1742</v>
      </c>
      <c r="I143">
        <v>0</v>
      </c>
    </row>
    <row r="144" spans="1:9" x14ac:dyDescent="0.25">
      <c r="A144" t="s">
        <v>1746</v>
      </c>
      <c r="B144" t="s">
        <v>1747</v>
      </c>
      <c r="C144" t="s">
        <v>1703</v>
      </c>
      <c r="D144" t="s">
        <v>1297</v>
      </c>
      <c r="E144" t="s">
        <v>1298</v>
      </c>
      <c r="F144" t="s">
        <v>1748</v>
      </c>
      <c r="G144" t="s">
        <v>5624</v>
      </c>
      <c r="H144" t="s">
        <v>1742</v>
      </c>
      <c r="I144">
        <v>0</v>
      </c>
    </row>
    <row r="145" spans="1:9" x14ac:dyDescent="0.25">
      <c r="A145" t="s">
        <v>1749</v>
      </c>
      <c r="B145" t="s">
        <v>1750</v>
      </c>
      <c r="C145" t="s">
        <v>1703</v>
      </c>
      <c r="D145" t="s">
        <v>1297</v>
      </c>
      <c r="E145" t="s">
        <v>1298</v>
      </c>
      <c r="F145" t="s">
        <v>1751</v>
      </c>
      <c r="G145" t="s">
        <v>5625</v>
      </c>
      <c r="H145" t="s">
        <v>1722</v>
      </c>
      <c r="I145" t="s">
        <v>1752</v>
      </c>
    </row>
    <row r="146" spans="1:9" x14ac:dyDescent="0.25">
      <c r="A146" t="s">
        <v>1753</v>
      </c>
      <c r="B146" t="s">
        <v>1754</v>
      </c>
      <c r="C146" t="s">
        <v>1703</v>
      </c>
      <c r="D146" t="s">
        <v>1297</v>
      </c>
      <c r="E146" t="s">
        <v>1298</v>
      </c>
      <c r="F146" t="s">
        <v>1755</v>
      </c>
      <c r="G146" t="s">
        <v>5626</v>
      </c>
      <c r="H146" t="s">
        <v>1722</v>
      </c>
      <c r="I146">
        <v>0</v>
      </c>
    </row>
    <row r="147" spans="1:9" x14ac:dyDescent="0.25">
      <c r="A147" t="s">
        <v>1756</v>
      </c>
      <c r="B147" t="s">
        <v>1757</v>
      </c>
      <c r="C147" t="s">
        <v>1703</v>
      </c>
      <c r="D147" t="s">
        <v>1297</v>
      </c>
      <c r="E147" t="s">
        <v>1298</v>
      </c>
      <c r="F147" t="s">
        <v>1758</v>
      </c>
      <c r="G147" t="s">
        <v>5627</v>
      </c>
      <c r="H147" t="s">
        <v>1705</v>
      </c>
      <c r="I147" t="s">
        <v>1759</v>
      </c>
    </row>
    <row r="148" spans="1:9" x14ac:dyDescent="0.25">
      <c r="A148" t="s">
        <v>1760</v>
      </c>
      <c r="B148" t="s">
        <v>1761</v>
      </c>
      <c r="C148" t="s">
        <v>1703</v>
      </c>
      <c r="D148" t="s">
        <v>1297</v>
      </c>
      <c r="E148" t="s">
        <v>1298</v>
      </c>
      <c r="F148" t="s">
        <v>1762</v>
      </c>
      <c r="G148" t="s">
        <v>5628</v>
      </c>
      <c r="H148" t="s">
        <v>1718</v>
      </c>
      <c r="I148">
        <v>0</v>
      </c>
    </row>
    <row r="149" spans="1:9" x14ac:dyDescent="0.25">
      <c r="A149" t="s">
        <v>1763</v>
      </c>
      <c r="B149" t="s">
        <v>1764</v>
      </c>
      <c r="C149" t="s">
        <v>1703</v>
      </c>
      <c r="D149" t="s">
        <v>1297</v>
      </c>
      <c r="E149" t="s">
        <v>1298</v>
      </c>
      <c r="F149" t="s">
        <v>1765</v>
      </c>
      <c r="G149" t="s">
        <v>5629</v>
      </c>
      <c r="H149" t="s">
        <v>1766</v>
      </c>
      <c r="I149">
        <v>0</v>
      </c>
    </row>
    <row r="150" spans="1:9" x14ac:dyDescent="0.25">
      <c r="A150" t="s">
        <v>1767</v>
      </c>
      <c r="B150" t="s">
        <v>1768</v>
      </c>
      <c r="C150" t="s">
        <v>1703</v>
      </c>
      <c r="D150" t="s">
        <v>1297</v>
      </c>
      <c r="E150" t="s">
        <v>1298</v>
      </c>
      <c r="F150" t="s">
        <v>1769</v>
      </c>
      <c r="G150" t="s">
        <v>5630</v>
      </c>
      <c r="H150" t="s">
        <v>1742</v>
      </c>
      <c r="I150">
        <v>0</v>
      </c>
    </row>
    <row r="151" spans="1:9" x14ac:dyDescent="0.25">
      <c r="A151" t="s">
        <v>1770</v>
      </c>
      <c r="B151" t="s">
        <v>1771</v>
      </c>
      <c r="C151" t="s">
        <v>1703</v>
      </c>
      <c r="D151" t="s">
        <v>1297</v>
      </c>
      <c r="E151" t="s">
        <v>1298</v>
      </c>
      <c r="F151" t="s">
        <v>1751</v>
      </c>
      <c r="G151" t="s">
        <v>5625</v>
      </c>
      <c r="H151" t="s">
        <v>1722</v>
      </c>
      <c r="I151">
        <v>0</v>
      </c>
    </row>
    <row r="152" spans="1:9" x14ac:dyDescent="0.25">
      <c r="A152" t="s">
        <v>1772</v>
      </c>
      <c r="B152" t="s">
        <v>1773</v>
      </c>
      <c r="C152" t="s">
        <v>1703</v>
      </c>
      <c r="D152" t="s">
        <v>1297</v>
      </c>
      <c r="E152" t="s">
        <v>1298</v>
      </c>
      <c r="F152" t="s">
        <v>1721</v>
      </c>
      <c r="G152" t="s">
        <v>5616</v>
      </c>
      <c r="H152" t="s">
        <v>1722</v>
      </c>
      <c r="I152">
        <v>0</v>
      </c>
    </row>
    <row r="153" spans="1:9" x14ac:dyDescent="0.25">
      <c r="A153" t="s">
        <v>1774</v>
      </c>
      <c r="B153" t="s">
        <v>1775</v>
      </c>
      <c r="C153" t="s">
        <v>1703</v>
      </c>
      <c r="D153" t="s">
        <v>1297</v>
      </c>
      <c r="E153" t="s">
        <v>1298</v>
      </c>
      <c r="F153" t="s">
        <v>1776</v>
      </c>
      <c r="G153" t="s">
        <v>5631</v>
      </c>
      <c r="H153" t="s">
        <v>1742</v>
      </c>
      <c r="I153">
        <v>0</v>
      </c>
    </row>
    <row r="154" spans="1:9" x14ac:dyDescent="0.25">
      <c r="A154" t="s">
        <v>1777</v>
      </c>
      <c r="B154" t="s">
        <v>1541</v>
      </c>
      <c r="C154" t="s">
        <v>1703</v>
      </c>
      <c r="D154" t="s">
        <v>1297</v>
      </c>
      <c r="E154" t="s">
        <v>1298</v>
      </c>
      <c r="F154" t="s">
        <v>5490</v>
      </c>
      <c r="G154" t="s">
        <v>5632</v>
      </c>
      <c r="H154" t="s">
        <v>1766</v>
      </c>
      <c r="I154">
        <v>0</v>
      </c>
    </row>
    <row r="155" spans="1:9" x14ac:dyDescent="0.25">
      <c r="A155" t="s">
        <v>1778</v>
      </c>
      <c r="B155" t="s">
        <v>1779</v>
      </c>
      <c r="C155" t="s">
        <v>1703</v>
      </c>
      <c r="D155" t="s">
        <v>1297</v>
      </c>
      <c r="E155" t="s">
        <v>1298</v>
      </c>
      <c r="F155" t="s">
        <v>1780</v>
      </c>
      <c r="G155" t="s">
        <v>5633</v>
      </c>
      <c r="H155" t="s">
        <v>1766</v>
      </c>
      <c r="I155">
        <v>0</v>
      </c>
    </row>
    <row r="156" spans="1:9" x14ac:dyDescent="0.25">
      <c r="A156" t="s">
        <v>1781</v>
      </c>
      <c r="B156" t="s">
        <v>1782</v>
      </c>
      <c r="C156" t="s">
        <v>1703</v>
      </c>
      <c r="D156" t="s">
        <v>1297</v>
      </c>
      <c r="E156" t="s">
        <v>1298</v>
      </c>
      <c r="F156" t="s">
        <v>1783</v>
      </c>
      <c r="G156" t="s">
        <v>5634</v>
      </c>
      <c r="H156" t="s">
        <v>1705</v>
      </c>
      <c r="I156">
        <v>0</v>
      </c>
    </row>
    <row r="157" spans="1:9" x14ac:dyDescent="0.25">
      <c r="A157" t="s">
        <v>1784</v>
      </c>
      <c r="B157" t="s">
        <v>1785</v>
      </c>
      <c r="C157" t="s">
        <v>1703</v>
      </c>
      <c r="D157" t="s">
        <v>1297</v>
      </c>
      <c r="E157" t="s">
        <v>1298</v>
      </c>
      <c r="F157" t="s">
        <v>1786</v>
      </c>
      <c r="G157" t="s">
        <v>5635</v>
      </c>
      <c r="H157" t="s">
        <v>1742</v>
      </c>
      <c r="I157">
        <v>0</v>
      </c>
    </row>
    <row r="158" spans="1:9" x14ac:dyDescent="0.25">
      <c r="A158" t="s">
        <v>1787</v>
      </c>
      <c r="B158" t="s">
        <v>1788</v>
      </c>
      <c r="C158" t="s">
        <v>1703</v>
      </c>
      <c r="D158" t="s">
        <v>1297</v>
      </c>
      <c r="E158" t="s">
        <v>1298</v>
      </c>
      <c r="F158" t="s">
        <v>1789</v>
      </c>
      <c r="G158" t="s">
        <v>5636</v>
      </c>
      <c r="H158" t="s">
        <v>1718</v>
      </c>
      <c r="I158">
        <v>0</v>
      </c>
    </row>
    <row r="159" spans="1:9" x14ac:dyDescent="0.25">
      <c r="A159" t="s">
        <v>1790</v>
      </c>
      <c r="B159" t="s">
        <v>1791</v>
      </c>
      <c r="C159" t="s">
        <v>1703</v>
      </c>
      <c r="D159" t="s">
        <v>1297</v>
      </c>
      <c r="E159" t="s">
        <v>1298</v>
      </c>
      <c r="F159" t="s">
        <v>1792</v>
      </c>
      <c r="G159" t="s">
        <v>5637</v>
      </c>
      <c r="H159" t="s">
        <v>1718</v>
      </c>
      <c r="I159">
        <v>0</v>
      </c>
    </row>
    <row r="160" spans="1:9" x14ac:dyDescent="0.25">
      <c r="A160" t="s">
        <v>1793</v>
      </c>
      <c r="B160" t="s">
        <v>1794</v>
      </c>
      <c r="C160" t="s">
        <v>1703</v>
      </c>
      <c r="D160" t="s">
        <v>1297</v>
      </c>
      <c r="E160" t="s">
        <v>1298</v>
      </c>
      <c r="F160" t="s">
        <v>1758</v>
      </c>
      <c r="G160" t="s">
        <v>5627</v>
      </c>
      <c r="H160" t="s">
        <v>1705</v>
      </c>
      <c r="I160">
        <v>0</v>
      </c>
    </row>
    <row r="161" spans="1:9" x14ac:dyDescent="0.25">
      <c r="A161" t="s">
        <v>1795</v>
      </c>
      <c r="B161" t="s">
        <v>1796</v>
      </c>
      <c r="C161" t="s">
        <v>1703</v>
      </c>
      <c r="D161" t="s">
        <v>1297</v>
      </c>
      <c r="E161" t="s">
        <v>1298</v>
      </c>
      <c r="F161" t="s">
        <v>1797</v>
      </c>
      <c r="G161" t="s">
        <v>5638</v>
      </c>
      <c r="H161" t="s">
        <v>1766</v>
      </c>
      <c r="I161">
        <v>0</v>
      </c>
    </row>
    <row r="162" spans="1:9" x14ac:dyDescent="0.25">
      <c r="A162" t="s">
        <v>1798</v>
      </c>
      <c r="B162" t="s">
        <v>1799</v>
      </c>
      <c r="C162" t="s">
        <v>1800</v>
      </c>
      <c r="D162" t="s">
        <v>1567</v>
      </c>
      <c r="E162" t="s">
        <v>1298</v>
      </c>
      <c r="F162" t="s">
        <v>1801</v>
      </c>
      <c r="G162" t="s">
        <v>5639</v>
      </c>
      <c r="H162" t="s">
        <v>1802</v>
      </c>
      <c r="I162">
        <v>0</v>
      </c>
    </row>
    <row r="163" spans="1:9" x14ac:dyDescent="0.25">
      <c r="A163" t="s">
        <v>1803</v>
      </c>
      <c r="B163" t="s">
        <v>1804</v>
      </c>
      <c r="C163" t="s">
        <v>1800</v>
      </c>
      <c r="D163" t="s">
        <v>1567</v>
      </c>
      <c r="E163" t="s">
        <v>1298</v>
      </c>
      <c r="F163" t="s">
        <v>1805</v>
      </c>
      <c r="G163" t="s">
        <v>5640</v>
      </c>
      <c r="H163" t="s">
        <v>1802</v>
      </c>
      <c r="I163">
        <v>0</v>
      </c>
    </row>
    <row r="164" spans="1:9" x14ac:dyDescent="0.25">
      <c r="A164" t="s">
        <v>1806</v>
      </c>
      <c r="B164" t="s">
        <v>1807</v>
      </c>
      <c r="C164" t="s">
        <v>1800</v>
      </c>
      <c r="D164" t="s">
        <v>1567</v>
      </c>
      <c r="E164" t="s">
        <v>1298</v>
      </c>
      <c r="F164" t="s">
        <v>1808</v>
      </c>
      <c r="G164" t="s">
        <v>5641</v>
      </c>
      <c r="H164" t="s">
        <v>97</v>
      </c>
      <c r="I164">
        <v>0</v>
      </c>
    </row>
    <row r="165" spans="1:9" x14ac:dyDescent="0.25">
      <c r="A165" t="s">
        <v>1809</v>
      </c>
      <c r="B165" t="s">
        <v>1810</v>
      </c>
      <c r="C165" t="s">
        <v>1800</v>
      </c>
      <c r="D165" t="s">
        <v>1567</v>
      </c>
      <c r="E165" t="s">
        <v>1298</v>
      </c>
      <c r="F165" t="s">
        <v>1811</v>
      </c>
      <c r="G165" t="s">
        <v>5642</v>
      </c>
      <c r="H165" t="s">
        <v>113</v>
      </c>
      <c r="I165">
        <v>0</v>
      </c>
    </row>
    <row r="166" spans="1:9" x14ac:dyDescent="0.25">
      <c r="A166" t="s">
        <v>1812</v>
      </c>
      <c r="B166" t="s">
        <v>1813</v>
      </c>
      <c r="C166" t="s">
        <v>1800</v>
      </c>
      <c r="D166" t="s">
        <v>1567</v>
      </c>
      <c r="E166" t="s">
        <v>1298</v>
      </c>
      <c r="F166" t="s">
        <v>1814</v>
      </c>
      <c r="G166" t="s">
        <v>5643</v>
      </c>
      <c r="H166" t="s">
        <v>113</v>
      </c>
      <c r="I166">
        <v>0</v>
      </c>
    </row>
    <row r="167" spans="1:9" x14ac:dyDescent="0.25">
      <c r="A167" t="s">
        <v>1815</v>
      </c>
      <c r="B167" t="s">
        <v>1816</v>
      </c>
      <c r="C167" t="s">
        <v>1800</v>
      </c>
      <c r="D167" t="s">
        <v>1567</v>
      </c>
      <c r="E167" t="s">
        <v>1298</v>
      </c>
      <c r="F167" t="s">
        <v>1817</v>
      </c>
      <c r="G167" t="s">
        <v>5644</v>
      </c>
      <c r="H167" t="s">
        <v>1818</v>
      </c>
      <c r="I167">
        <v>0</v>
      </c>
    </row>
    <row r="168" spans="1:9" x14ac:dyDescent="0.25">
      <c r="A168" t="s">
        <v>1819</v>
      </c>
      <c r="B168" t="s">
        <v>1820</v>
      </c>
      <c r="C168" t="s">
        <v>1800</v>
      </c>
      <c r="D168" t="s">
        <v>1567</v>
      </c>
      <c r="E168" t="s">
        <v>1298</v>
      </c>
      <c r="F168" t="s">
        <v>1821</v>
      </c>
      <c r="G168" t="s">
        <v>5645</v>
      </c>
      <c r="H168" t="s">
        <v>1818</v>
      </c>
      <c r="I168">
        <v>0</v>
      </c>
    </row>
    <row r="169" spans="1:9" x14ac:dyDescent="0.25">
      <c r="A169" t="s">
        <v>1822</v>
      </c>
      <c r="B169" t="s">
        <v>1823</v>
      </c>
      <c r="C169" t="s">
        <v>1800</v>
      </c>
      <c r="D169" t="s">
        <v>1567</v>
      </c>
      <c r="E169" t="s">
        <v>1298</v>
      </c>
      <c r="F169" t="s">
        <v>1824</v>
      </c>
      <c r="G169" t="s">
        <v>5646</v>
      </c>
      <c r="H169" t="s">
        <v>97</v>
      </c>
      <c r="I169">
        <v>0</v>
      </c>
    </row>
    <row r="170" spans="1:9" x14ac:dyDescent="0.25">
      <c r="A170" t="s">
        <v>1825</v>
      </c>
      <c r="B170" t="s">
        <v>1826</v>
      </c>
      <c r="C170" t="s">
        <v>1800</v>
      </c>
      <c r="D170" t="s">
        <v>1567</v>
      </c>
      <c r="E170" t="s">
        <v>1298</v>
      </c>
      <c r="F170" t="s">
        <v>1827</v>
      </c>
      <c r="G170" t="s">
        <v>5647</v>
      </c>
      <c r="H170" t="s">
        <v>1828</v>
      </c>
      <c r="I170">
        <v>0</v>
      </c>
    </row>
    <row r="171" spans="1:9" x14ac:dyDescent="0.25">
      <c r="A171" t="s">
        <v>1829</v>
      </c>
      <c r="B171" t="s">
        <v>1830</v>
      </c>
      <c r="C171" t="s">
        <v>1800</v>
      </c>
      <c r="D171" t="s">
        <v>1567</v>
      </c>
      <c r="E171" t="s">
        <v>1298</v>
      </c>
      <c r="F171" t="s">
        <v>1831</v>
      </c>
      <c r="G171" t="s">
        <v>5648</v>
      </c>
      <c r="H171" t="s">
        <v>1832</v>
      </c>
      <c r="I171">
        <v>0</v>
      </c>
    </row>
    <row r="172" spans="1:9" x14ac:dyDescent="0.25">
      <c r="A172" t="s">
        <v>1833</v>
      </c>
      <c r="B172" t="s">
        <v>1834</v>
      </c>
      <c r="C172" t="s">
        <v>1800</v>
      </c>
      <c r="D172" t="s">
        <v>1567</v>
      </c>
      <c r="E172" t="s">
        <v>1298</v>
      </c>
      <c r="F172" t="s">
        <v>1835</v>
      </c>
      <c r="G172" t="s">
        <v>5649</v>
      </c>
      <c r="H172" t="s">
        <v>1832</v>
      </c>
      <c r="I172">
        <v>0</v>
      </c>
    </row>
    <row r="173" spans="1:9" x14ac:dyDescent="0.25">
      <c r="A173" t="s">
        <v>1836</v>
      </c>
      <c r="B173" t="s">
        <v>1837</v>
      </c>
      <c r="C173" t="s">
        <v>1800</v>
      </c>
      <c r="D173" t="s">
        <v>1567</v>
      </c>
      <c r="E173" t="s">
        <v>1298</v>
      </c>
      <c r="F173" t="s">
        <v>1838</v>
      </c>
      <c r="G173" t="s">
        <v>5650</v>
      </c>
      <c r="H173" t="s">
        <v>1818</v>
      </c>
      <c r="I173">
        <v>0</v>
      </c>
    </row>
    <row r="174" spans="1:9" x14ac:dyDescent="0.25">
      <c r="A174" t="s">
        <v>1839</v>
      </c>
      <c r="B174" t="s">
        <v>1840</v>
      </c>
      <c r="C174" t="s">
        <v>1800</v>
      </c>
      <c r="D174" t="s">
        <v>1567</v>
      </c>
      <c r="E174" t="s">
        <v>1298</v>
      </c>
      <c r="F174" t="s">
        <v>1841</v>
      </c>
      <c r="G174" t="s">
        <v>5651</v>
      </c>
      <c r="H174" t="s">
        <v>1802</v>
      </c>
      <c r="I174">
        <v>0</v>
      </c>
    </row>
    <row r="175" spans="1:9" x14ac:dyDescent="0.25">
      <c r="A175" t="s">
        <v>1842</v>
      </c>
      <c r="B175" t="s">
        <v>1843</v>
      </c>
      <c r="C175" t="s">
        <v>1800</v>
      </c>
      <c r="D175" t="s">
        <v>1567</v>
      </c>
      <c r="E175" t="s">
        <v>1298</v>
      </c>
      <c r="F175" t="s">
        <v>1844</v>
      </c>
      <c r="G175" t="s">
        <v>5652</v>
      </c>
      <c r="H175" t="s">
        <v>1818</v>
      </c>
      <c r="I175">
        <v>0</v>
      </c>
    </row>
    <row r="176" spans="1:9" x14ac:dyDescent="0.25">
      <c r="A176" t="s">
        <v>1845</v>
      </c>
      <c r="B176" t="s">
        <v>1846</v>
      </c>
      <c r="C176" t="s">
        <v>1800</v>
      </c>
      <c r="D176" t="s">
        <v>1567</v>
      </c>
      <c r="E176" t="s">
        <v>1298</v>
      </c>
      <c r="F176" t="s">
        <v>1847</v>
      </c>
      <c r="G176" t="s">
        <v>5653</v>
      </c>
      <c r="H176" t="s">
        <v>1828</v>
      </c>
      <c r="I176">
        <v>0</v>
      </c>
    </row>
    <row r="177" spans="1:9" x14ac:dyDescent="0.25">
      <c r="A177" t="s">
        <v>1848</v>
      </c>
      <c r="B177" t="s">
        <v>1849</v>
      </c>
      <c r="C177" t="s">
        <v>1800</v>
      </c>
      <c r="D177" t="s">
        <v>1567</v>
      </c>
      <c r="E177" t="s">
        <v>1298</v>
      </c>
      <c r="F177" t="s">
        <v>1850</v>
      </c>
      <c r="G177" t="s">
        <v>5654</v>
      </c>
      <c r="H177" t="s">
        <v>1832</v>
      </c>
      <c r="I177">
        <v>0</v>
      </c>
    </row>
    <row r="178" spans="1:9" x14ac:dyDescent="0.25">
      <c r="A178" t="s">
        <v>1851</v>
      </c>
      <c r="B178" t="s">
        <v>1852</v>
      </c>
      <c r="C178" t="s">
        <v>1800</v>
      </c>
      <c r="D178" t="s">
        <v>1567</v>
      </c>
      <c r="E178" t="s">
        <v>1298</v>
      </c>
      <c r="F178" t="s">
        <v>1853</v>
      </c>
      <c r="G178" t="s">
        <v>5655</v>
      </c>
      <c r="H178" t="s">
        <v>1802</v>
      </c>
      <c r="I178">
        <v>0</v>
      </c>
    </row>
    <row r="179" spans="1:9" x14ac:dyDescent="0.25">
      <c r="A179" t="s">
        <v>1854</v>
      </c>
      <c r="B179" t="s">
        <v>1855</v>
      </c>
      <c r="C179" t="s">
        <v>1800</v>
      </c>
      <c r="D179" t="s">
        <v>1567</v>
      </c>
      <c r="E179" t="s">
        <v>1298</v>
      </c>
      <c r="F179" t="s">
        <v>1856</v>
      </c>
      <c r="G179" t="s">
        <v>5656</v>
      </c>
      <c r="H179" t="s">
        <v>1802</v>
      </c>
      <c r="I179">
        <v>0</v>
      </c>
    </row>
    <row r="180" spans="1:9" x14ac:dyDescent="0.25">
      <c r="A180" t="s">
        <v>1857</v>
      </c>
      <c r="B180" t="s">
        <v>1858</v>
      </c>
      <c r="C180" t="s">
        <v>1800</v>
      </c>
      <c r="D180" t="s">
        <v>1567</v>
      </c>
      <c r="E180" t="s">
        <v>1298</v>
      </c>
      <c r="F180" t="s">
        <v>1859</v>
      </c>
      <c r="G180" t="s">
        <v>5657</v>
      </c>
      <c r="H180" t="s">
        <v>1802</v>
      </c>
      <c r="I180">
        <v>0</v>
      </c>
    </row>
    <row r="181" spans="1:9" x14ac:dyDescent="0.25">
      <c r="A181" t="s">
        <v>1860</v>
      </c>
      <c r="B181" t="s">
        <v>1861</v>
      </c>
      <c r="C181" t="s">
        <v>1800</v>
      </c>
      <c r="D181" t="s">
        <v>1567</v>
      </c>
      <c r="E181" t="s">
        <v>1298</v>
      </c>
      <c r="F181" t="s">
        <v>1862</v>
      </c>
      <c r="G181" t="s">
        <v>5658</v>
      </c>
      <c r="H181" t="s">
        <v>1832</v>
      </c>
      <c r="I181">
        <v>0</v>
      </c>
    </row>
    <row r="182" spans="1:9" x14ac:dyDescent="0.25">
      <c r="A182" t="s">
        <v>1863</v>
      </c>
      <c r="B182" t="s">
        <v>1864</v>
      </c>
      <c r="C182" t="s">
        <v>1800</v>
      </c>
      <c r="D182" t="s">
        <v>1567</v>
      </c>
      <c r="E182" t="s">
        <v>1298</v>
      </c>
      <c r="F182" t="s">
        <v>1865</v>
      </c>
      <c r="G182" t="s">
        <v>5659</v>
      </c>
      <c r="H182" t="s">
        <v>1832</v>
      </c>
      <c r="I182">
        <v>0</v>
      </c>
    </row>
    <row r="183" spans="1:9" x14ac:dyDescent="0.25">
      <c r="A183" t="s">
        <v>1866</v>
      </c>
      <c r="B183" t="s">
        <v>1867</v>
      </c>
      <c r="C183" t="s">
        <v>1800</v>
      </c>
      <c r="D183" t="s">
        <v>1567</v>
      </c>
      <c r="E183" t="s">
        <v>1298</v>
      </c>
      <c r="F183" t="s">
        <v>1868</v>
      </c>
      <c r="G183" t="s">
        <v>5660</v>
      </c>
      <c r="H183" t="s">
        <v>1832</v>
      </c>
      <c r="I183">
        <v>0</v>
      </c>
    </row>
    <row r="184" spans="1:9" x14ac:dyDescent="0.25">
      <c r="A184" t="s">
        <v>1869</v>
      </c>
      <c r="B184" t="s">
        <v>1870</v>
      </c>
      <c r="C184" t="s">
        <v>1800</v>
      </c>
      <c r="D184" t="s">
        <v>1567</v>
      </c>
      <c r="E184" t="s">
        <v>1298</v>
      </c>
      <c r="F184" t="s">
        <v>1871</v>
      </c>
      <c r="G184" t="s">
        <v>5661</v>
      </c>
      <c r="H184" t="s">
        <v>1828</v>
      </c>
      <c r="I184">
        <v>0</v>
      </c>
    </row>
    <row r="185" spans="1:9" x14ac:dyDescent="0.25">
      <c r="A185" t="s">
        <v>1872</v>
      </c>
      <c r="B185" t="s">
        <v>1873</v>
      </c>
      <c r="C185" t="s">
        <v>1800</v>
      </c>
      <c r="D185" t="s">
        <v>1567</v>
      </c>
      <c r="E185" t="s">
        <v>1298</v>
      </c>
      <c r="F185" t="s">
        <v>1874</v>
      </c>
      <c r="G185" t="s">
        <v>5662</v>
      </c>
      <c r="H185" t="s">
        <v>1818</v>
      </c>
      <c r="I185">
        <v>0</v>
      </c>
    </row>
    <row r="186" spans="1:9" x14ac:dyDescent="0.25">
      <c r="A186" t="s">
        <v>1875</v>
      </c>
      <c r="B186" t="s">
        <v>1876</v>
      </c>
      <c r="C186" t="s">
        <v>1800</v>
      </c>
      <c r="D186" t="s">
        <v>1567</v>
      </c>
      <c r="E186" t="s">
        <v>1298</v>
      </c>
      <c r="F186" t="s">
        <v>1877</v>
      </c>
      <c r="G186" t="s">
        <v>5663</v>
      </c>
      <c r="H186" t="s">
        <v>1832</v>
      </c>
      <c r="I186">
        <v>0</v>
      </c>
    </row>
    <row r="187" spans="1:9" x14ac:dyDescent="0.25">
      <c r="A187" t="s">
        <v>1878</v>
      </c>
      <c r="B187" t="s">
        <v>1879</v>
      </c>
      <c r="C187" t="s">
        <v>1800</v>
      </c>
      <c r="D187" t="s">
        <v>1567</v>
      </c>
      <c r="E187" t="s">
        <v>1298</v>
      </c>
      <c r="F187" t="s">
        <v>1880</v>
      </c>
      <c r="G187" t="s">
        <v>5664</v>
      </c>
      <c r="H187" t="s">
        <v>1818</v>
      </c>
      <c r="I187">
        <v>0</v>
      </c>
    </row>
    <row r="188" spans="1:9" x14ac:dyDescent="0.25">
      <c r="A188" t="s">
        <v>1881</v>
      </c>
      <c r="B188" t="s">
        <v>1882</v>
      </c>
      <c r="C188" t="s">
        <v>23</v>
      </c>
      <c r="D188" t="s">
        <v>1883</v>
      </c>
      <c r="E188" t="s">
        <v>1298</v>
      </c>
      <c r="F188" t="s">
        <v>1884</v>
      </c>
      <c r="G188" t="s">
        <v>5665</v>
      </c>
      <c r="H188">
        <v>0</v>
      </c>
      <c r="I188">
        <v>0</v>
      </c>
    </row>
    <row r="189" spans="1:9" x14ac:dyDescent="0.25">
      <c r="A189" t="s">
        <v>1885</v>
      </c>
      <c r="B189" t="s">
        <v>1886</v>
      </c>
      <c r="C189" t="s">
        <v>23</v>
      </c>
      <c r="D189" t="s">
        <v>1883</v>
      </c>
      <c r="E189" t="s">
        <v>1298</v>
      </c>
      <c r="F189" t="s">
        <v>1887</v>
      </c>
      <c r="G189" t="s">
        <v>5666</v>
      </c>
      <c r="H189" t="s">
        <v>1888</v>
      </c>
      <c r="I189">
        <v>0</v>
      </c>
    </row>
    <row r="190" spans="1:9" x14ac:dyDescent="0.25">
      <c r="A190" t="s">
        <v>1889</v>
      </c>
      <c r="B190" t="s">
        <v>1890</v>
      </c>
      <c r="C190" t="s">
        <v>23</v>
      </c>
      <c r="D190" t="s">
        <v>1883</v>
      </c>
      <c r="E190" t="s">
        <v>1298</v>
      </c>
      <c r="F190" t="s">
        <v>1891</v>
      </c>
      <c r="G190" t="s">
        <v>5667</v>
      </c>
      <c r="H190" t="s">
        <v>1888</v>
      </c>
      <c r="I190">
        <v>0</v>
      </c>
    </row>
    <row r="191" spans="1:9" x14ac:dyDescent="0.25">
      <c r="A191" t="s">
        <v>1892</v>
      </c>
      <c r="B191" t="s">
        <v>1893</v>
      </c>
      <c r="C191" t="s">
        <v>23</v>
      </c>
      <c r="D191" t="s">
        <v>1883</v>
      </c>
      <c r="E191" t="s">
        <v>1298</v>
      </c>
      <c r="F191" t="s">
        <v>1894</v>
      </c>
      <c r="G191" t="s">
        <v>5668</v>
      </c>
      <c r="H191" t="s">
        <v>1888</v>
      </c>
      <c r="I191">
        <v>0</v>
      </c>
    </row>
    <row r="192" spans="1:9" x14ac:dyDescent="0.25">
      <c r="A192" t="s">
        <v>1895</v>
      </c>
      <c r="B192" t="s">
        <v>1896</v>
      </c>
      <c r="C192" t="s">
        <v>23</v>
      </c>
      <c r="D192" t="s">
        <v>1883</v>
      </c>
      <c r="E192" t="s">
        <v>1298</v>
      </c>
      <c r="F192" t="s">
        <v>1897</v>
      </c>
      <c r="G192" t="s">
        <v>5669</v>
      </c>
      <c r="H192" t="s">
        <v>1888</v>
      </c>
      <c r="I192">
        <v>0</v>
      </c>
    </row>
    <row r="193" spans="1:9" x14ac:dyDescent="0.25">
      <c r="A193" t="s">
        <v>1898</v>
      </c>
      <c r="B193" t="s">
        <v>1899</v>
      </c>
      <c r="C193" t="s">
        <v>23</v>
      </c>
      <c r="D193" t="s">
        <v>1883</v>
      </c>
      <c r="E193" t="s">
        <v>1298</v>
      </c>
      <c r="F193" t="s">
        <v>1930</v>
      </c>
      <c r="G193" t="s">
        <v>5670</v>
      </c>
      <c r="H193">
        <v>0</v>
      </c>
      <c r="I193">
        <v>0</v>
      </c>
    </row>
    <row r="194" spans="1:9" x14ac:dyDescent="0.25">
      <c r="A194" t="s">
        <v>1900</v>
      </c>
      <c r="B194" t="s">
        <v>1901</v>
      </c>
      <c r="C194" t="s">
        <v>23</v>
      </c>
      <c r="D194" t="s">
        <v>1883</v>
      </c>
      <c r="E194" t="s">
        <v>1298</v>
      </c>
      <c r="F194" t="s">
        <v>1902</v>
      </c>
      <c r="G194" t="s">
        <v>5671</v>
      </c>
      <c r="H194">
        <v>0</v>
      </c>
      <c r="I194">
        <v>0</v>
      </c>
    </row>
    <row r="195" spans="1:9" x14ac:dyDescent="0.25">
      <c r="A195" t="s">
        <v>1903</v>
      </c>
      <c r="B195" t="s">
        <v>1904</v>
      </c>
      <c r="C195" t="s">
        <v>23</v>
      </c>
      <c r="D195" t="s">
        <v>1883</v>
      </c>
      <c r="E195" t="s">
        <v>1298</v>
      </c>
      <c r="F195" t="s">
        <v>1905</v>
      </c>
      <c r="G195" t="s">
        <v>5672</v>
      </c>
      <c r="H195" t="s">
        <v>314</v>
      </c>
      <c r="I195">
        <v>0</v>
      </c>
    </row>
    <row r="196" spans="1:9" x14ac:dyDescent="0.25">
      <c r="A196" t="s">
        <v>1906</v>
      </c>
      <c r="B196" t="s">
        <v>1907</v>
      </c>
      <c r="C196" t="s">
        <v>23</v>
      </c>
      <c r="D196" t="s">
        <v>1883</v>
      </c>
      <c r="E196" t="s">
        <v>1298</v>
      </c>
      <c r="F196" t="s">
        <v>1908</v>
      </c>
      <c r="G196" t="s">
        <v>5673</v>
      </c>
      <c r="H196" t="s">
        <v>314</v>
      </c>
      <c r="I196">
        <v>0</v>
      </c>
    </row>
    <row r="197" spans="1:9" x14ac:dyDescent="0.25">
      <c r="A197" t="s">
        <v>1909</v>
      </c>
      <c r="B197" t="s">
        <v>1910</v>
      </c>
      <c r="C197" t="s">
        <v>23</v>
      </c>
      <c r="D197" t="s">
        <v>1883</v>
      </c>
      <c r="E197" t="s">
        <v>1298</v>
      </c>
      <c r="F197" t="s">
        <v>1911</v>
      </c>
      <c r="G197" t="s">
        <v>5674</v>
      </c>
      <c r="H197" t="s">
        <v>1912</v>
      </c>
      <c r="I197">
        <v>0</v>
      </c>
    </row>
    <row r="198" spans="1:9" x14ac:dyDescent="0.25">
      <c r="A198" t="s">
        <v>1913</v>
      </c>
      <c r="B198" t="s">
        <v>1914</v>
      </c>
      <c r="C198" t="s">
        <v>23</v>
      </c>
      <c r="D198" t="s">
        <v>1883</v>
      </c>
      <c r="E198" t="s">
        <v>1298</v>
      </c>
      <c r="F198" t="s">
        <v>1915</v>
      </c>
      <c r="G198" t="s">
        <v>5675</v>
      </c>
      <c r="H198" t="s">
        <v>1912</v>
      </c>
      <c r="I198">
        <v>0</v>
      </c>
    </row>
    <row r="199" spans="1:9" x14ac:dyDescent="0.25">
      <c r="A199" t="s">
        <v>1916</v>
      </c>
      <c r="B199" t="s">
        <v>1917</v>
      </c>
      <c r="C199" t="s">
        <v>23</v>
      </c>
      <c r="D199" t="s">
        <v>1883</v>
      </c>
      <c r="E199" t="s">
        <v>1298</v>
      </c>
      <c r="F199" t="s">
        <v>1918</v>
      </c>
      <c r="G199" t="s">
        <v>5676</v>
      </c>
      <c r="H199">
        <v>0</v>
      </c>
      <c r="I199">
        <v>0</v>
      </c>
    </row>
    <row r="200" spans="1:9" x14ac:dyDescent="0.25">
      <c r="A200" t="s">
        <v>1919</v>
      </c>
      <c r="B200" t="s">
        <v>1920</v>
      </c>
      <c r="C200" t="s">
        <v>23</v>
      </c>
      <c r="D200" t="s">
        <v>1883</v>
      </c>
      <c r="E200" t="s">
        <v>1298</v>
      </c>
      <c r="F200" t="s">
        <v>1921</v>
      </c>
      <c r="G200" t="s">
        <v>5677</v>
      </c>
      <c r="H200">
        <v>0</v>
      </c>
      <c r="I200">
        <v>0</v>
      </c>
    </row>
    <row r="201" spans="1:9" x14ac:dyDescent="0.25">
      <c r="A201" t="s">
        <v>1922</v>
      </c>
      <c r="B201" t="s">
        <v>1923</v>
      </c>
      <c r="C201" t="s">
        <v>23</v>
      </c>
      <c r="D201" t="s">
        <v>1883</v>
      </c>
      <c r="E201" t="s">
        <v>1298</v>
      </c>
      <c r="F201" t="s">
        <v>1924</v>
      </c>
      <c r="G201" t="s">
        <v>5678</v>
      </c>
      <c r="H201">
        <v>0</v>
      </c>
      <c r="I201">
        <v>0</v>
      </c>
    </row>
    <row r="202" spans="1:9" x14ac:dyDescent="0.25">
      <c r="A202" t="s">
        <v>1925</v>
      </c>
      <c r="B202" t="s">
        <v>1926</v>
      </c>
      <c r="C202" t="s">
        <v>23</v>
      </c>
      <c r="D202" t="s">
        <v>1883</v>
      </c>
      <c r="E202" t="s">
        <v>1298</v>
      </c>
      <c r="F202" t="s">
        <v>1927</v>
      </c>
      <c r="G202" t="s">
        <v>5679</v>
      </c>
      <c r="H202" t="s">
        <v>314</v>
      </c>
      <c r="I202">
        <v>0</v>
      </c>
    </row>
    <row r="203" spans="1:9" x14ac:dyDescent="0.25">
      <c r="A203" t="s">
        <v>1928</v>
      </c>
      <c r="B203" t="s">
        <v>1929</v>
      </c>
      <c r="C203" t="s">
        <v>23</v>
      </c>
      <c r="D203" t="s">
        <v>1883</v>
      </c>
      <c r="E203" t="s">
        <v>1298</v>
      </c>
      <c r="F203" t="s">
        <v>1930</v>
      </c>
      <c r="G203" t="s">
        <v>5670</v>
      </c>
      <c r="H203">
        <v>0</v>
      </c>
      <c r="I203">
        <v>0</v>
      </c>
    </row>
    <row r="204" spans="1:9" x14ac:dyDescent="0.25">
      <c r="A204" t="s">
        <v>1931</v>
      </c>
      <c r="B204" t="s">
        <v>1932</v>
      </c>
      <c r="C204" t="s">
        <v>23</v>
      </c>
      <c r="D204" t="s">
        <v>1883</v>
      </c>
      <c r="E204" t="s">
        <v>1298</v>
      </c>
      <c r="F204" t="s">
        <v>1933</v>
      </c>
      <c r="G204" t="s">
        <v>5680</v>
      </c>
      <c r="H204">
        <v>0</v>
      </c>
      <c r="I204">
        <v>0</v>
      </c>
    </row>
    <row r="205" spans="1:9" x14ac:dyDescent="0.25">
      <c r="A205" t="s">
        <v>1934</v>
      </c>
      <c r="B205" t="s">
        <v>1935</v>
      </c>
      <c r="C205" t="s">
        <v>23</v>
      </c>
      <c r="D205" t="s">
        <v>1883</v>
      </c>
      <c r="E205" t="s">
        <v>1298</v>
      </c>
      <c r="F205" t="s">
        <v>1936</v>
      </c>
      <c r="G205" t="s">
        <v>5681</v>
      </c>
      <c r="H205" t="s">
        <v>1912</v>
      </c>
      <c r="I205">
        <v>0</v>
      </c>
    </row>
    <row r="206" spans="1:9" x14ac:dyDescent="0.25">
      <c r="A206" t="s">
        <v>1937</v>
      </c>
      <c r="B206" t="s">
        <v>1938</v>
      </c>
      <c r="C206" t="s">
        <v>23</v>
      </c>
      <c r="D206" t="s">
        <v>1883</v>
      </c>
      <c r="E206" t="s">
        <v>1298</v>
      </c>
      <c r="F206" t="s">
        <v>1939</v>
      </c>
      <c r="G206" t="s">
        <v>5682</v>
      </c>
      <c r="H206">
        <v>0</v>
      </c>
      <c r="I206">
        <v>0</v>
      </c>
    </row>
    <row r="207" spans="1:9" x14ac:dyDescent="0.25">
      <c r="A207" t="s">
        <v>1940</v>
      </c>
      <c r="B207" t="s">
        <v>1941</v>
      </c>
      <c r="C207" t="s">
        <v>23</v>
      </c>
      <c r="D207" t="s">
        <v>1883</v>
      </c>
      <c r="E207" t="s">
        <v>1298</v>
      </c>
      <c r="F207" t="s">
        <v>1942</v>
      </c>
      <c r="G207" t="s">
        <v>5683</v>
      </c>
      <c r="H207">
        <v>0</v>
      </c>
      <c r="I207">
        <v>0</v>
      </c>
    </row>
    <row r="208" spans="1:9" x14ac:dyDescent="0.25">
      <c r="A208" t="s">
        <v>1943</v>
      </c>
      <c r="B208" t="s">
        <v>1944</v>
      </c>
      <c r="C208" t="s">
        <v>23</v>
      </c>
      <c r="D208" t="s">
        <v>1883</v>
      </c>
      <c r="E208" t="s">
        <v>1298</v>
      </c>
      <c r="F208" t="s">
        <v>1945</v>
      </c>
      <c r="G208" t="s">
        <v>5684</v>
      </c>
      <c r="H208">
        <v>0</v>
      </c>
      <c r="I208">
        <v>0</v>
      </c>
    </row>
    <row r="209" spans="1:9" x14ac:dyDescent="0.25">
      <c r="A209" t="s">
        <v>1946</v>
      </c>
      <c r="B209" t="s">
        <v>1947</v>
      </c>
      <c r="C209" t="s">
        <v>23</v>
      </c>
      <c r="D209" t="s">
        <v>1883</v>
      </c>
      <c r="E209" t="s">
        <v>1298</v>
      </c>
      <c r="F209" t="s">
        <v>1948</v>
      </c>
      <c r="G209" t="s">
        <v>5685</v>
      </c>
      <c r="H209" t="s">
        <v>1888</v>
      </c>
      <c r="I209">
        <v>0</v>
      </c>
    </row>
    <row r="210" spans="1:9" x14ac:dyDescent="0.25">
      <c r="A210" t="s">
        <v>1949</v>
      </c>
      <c r="B210" t="s">
        <v>1950</v>
      </c>
      <c r="C210" t="s">
        <v>23</v>
      </c>
      <c r="D210" t="s">
        <v>1883</v>
      </c>
      <c r="E210" t="s">
        <v>1298</v>
      </c>
      <c r="F210" t="s">
        <v>1951</v>
      </c>
      <c r="G210" t="s">
        <v>5686</v>
      </c>
      <c r="H210" t="s">
        <v>1912</v>
      </c>
      <c r="I210">
        <v>0</v>
      </c>
    </row>
    <row r="211" spans="1:9" x14ac:dyDescent="0.25">
      <c r="A211" t="s">
        <v>1952</v>
      </c>
      <c r="B211" t="s">
        <v>1953</v>
      </c>
      <c r="C211" t="s">
        <v>23</v>
      </c>
      <c r="D211" t="s">
        <v>1883</v>
      </c>
      <c r="E211" t="s">
        <v>1298</v>
      </c>
      <c r="F211" t="s">
        <v>1930</v>
      </c>
      <c r="G211" t="s">
        <v>5670</v>
      </c>
      <c r="H211">
        <v>0</v>
      </c>
      <c r="I211">
        <v>0</v>
      </c>
    </row>
    <row r="212" spans="1:9" x14ac:dyDescent="0.25">
      <c r="A212" t="s">
        <v>1954</v>
      </c>
      <c r="B212" t="s">
        <v>1955</v>
      </c>
      <c r="C212" t="s">
        <v>23</v>
      </c>
      <c r="D212" t="s">
        <v>1883</v>
      </c>
      <c r="E212" t="s">
        <v>1298</v>
      </c>
      <c r="F212" t="s">
        <v>1956</v>
      </c>
      <c r="G212" t="s">
        <v>5687</v>
      </c>
      <c r="H212">
        <v>0</v>
      </c>
      <c r="I212">
        <v>0</v>
      </c>
    </row>
    <row r="213" spans="1:9" x14ac:dyDescent="0.25">
      <c r="A213" t="s">
        <v>1957</v>
      </c>
      <c r="B213" t="s">
        <v>1958</v>
      </c>
      <c r="C213" t="s">
        <v>23</v>
      </c>
      <c r="D213" t="s">
        <v>1883</v>
      </c>
      <c r="E213" t="s">
        <v>1298</v>
      </c>
      <c r="F213" t="s">
        <v>1930</v>
      </c>
      <c r="G213" t="s">
        <v>5670</v>
      </c>
      <c r="H213">
        <v>0</v>
      </c>
      <c r="I213">
        <v>0</v>
      </c>
    </row>
    <row r="214" spans="1:9" x14ac:dyDescent="0.25">
      <c r="A214" t="s">
        <v>1959</v>
      </c>
      <c r="B214" t="s">
        <v>1960</v>
      </c>
      <c r="C214" t="s">
        <v>23</v>
      </c>
      <c r="D214" t="s">
        <v>1883</v>
      </c>
      <c r="E214" t="s">
        <v>1298</v>
      </c>
      <c r="F214" t="s">
        <v>1961</v>
      </c>
      <c r="G214" t="s">
        <v>5688</v>
      </c>
      <c r="H214">
        <v>0</v>
      </c>
      <c r="I214">
        <v>0</v>
      </c>
    </row>
    <row r="215" spans="1:9" x14ac:dyDescent="0.25">
      <c r="A215" t="s">
        <v>1962</v>
      </c>
      <c r="B215" t="s">
        <v>1963</v>
      </c>
      <c r="C215" t="s">
        <v>23</v>
      </c>
      <c r="D215" t="s">
        <v>1883</v>
      </c>
      <c r="E215" t="s">
        <v>1298</v>
      </c>
      <c r="F215" t="s">
        <v>1964</v>
      </c>
      <c r="G215" t="s">
        <v>5689</v>
      </c>
      <c r="H215">
        <v>0</v>
      </c>
      <c r="I215">
        <v>0</v>
      </c>
    </row>
    <row r="216" spans="1:9" x14ac:dyDescent="0.25">
      <c r="A216" t="s">
        <v>1965</v>
      </c>
      <c r="B216" t="s">
        <v>1966</v>
      </c>
      <c r="C216" t="s">
        <v>23</v>
      </c>
      <c r="D216" t="s">
        <v>1883</v>
      </c>
      <c r="E216" t="s">
        <v>1298</v>
      </c>
      <c r="F216" t="s">
        <v>1967</v>
      </c>
      <c r="G216" t="s">
        <v>5690</v>
      </c>
      <c r="H216" t="s">
        <v>1912</v>
      </c>
      <c r="I216">
        <v>0</v>
      </c>
    </row>
    <row r="217" spans="1:9" x14ac:dyDescent="0.25">
      <c r="A217" t="s">
        <v>1968</v>
      </c>
      <c r="B217" t="s">
        <v>1969</v>
      </c>
      <c r="C217" t="s">
        <v>23</v>
      </c>
      <c r="D217" t="s">
        <v>1883</v>
      </c>
      <c r="E217" t="s">
        <v>1298</v>
      </c>
      <c r="F217" t="s">
        <v>1970</v>
      </c>
      <c r="G217" t="s">
        <v>5691</v>
      </c>
      <c r="H217" t="s">
        <v>1912</v>
      </c>
      <c r="I217">
        <v>0</v>
      </c>
    </row>
    <row r="218" spans="1:9" x14ac:dyDescent="0.25">
      <c r="A218" t="s">
        <v>1971</v>
      </c>
      <c r="B218" t="s">
        <v>1972</v>
      </c>
      <c r="C218" t="s">
        <v>23</v>
      </c>
      <c r="D218" t="s">
        <v>1883</v>
      </c>
      <c r="E218" t="s">
        <v>1298</v>
      </c>
      <c r="F218" t="s">
        <v>1973</v>
      </c>
      <c r="G218" t="s">
        <v>5692</v>
      </c>
      <c r="H218" t="s">
        <v>1888</v>
      </c>
      <c r="I218">
        <v>0</v>
      </c>
    </row>
    <row r="219" spans="1:9" x14ac:dyDescent="0.25">
      <c r="A219" t="s">
        <v>1974</v>
      </c>
      <c r="B219" t="s">
        <v>1975</v>
      </c>
      <c r="C219" t="s">
        <v>24</v>
      </c>
      <c r="D219" t="s">
        <v>1297</v>
      </c>
      <c r="E219" t="s">
        <v>1298</v>
      </c>
      <c r="F219" t="s">
        <v>1976</v>
      </c>
      <c r="G219" t="s">
        <v>5693</v>
      </c>
      <c r="H219">
        <v>0</v>
      </c>
      <c r="I219">
        <v>0</v>
      </c>
    </row>
    <row r="220" spans="1:9" x14ac:dyDescent="0.25">
      <c r="A220" t="s">
        <v>1977</v>
      </c>
      <c r="B220" t="s">
        <v>1978</v>
      </c>
      <c r="C220" t="s">
        <v>24</v>
      </c>
      <c r="D220" t="s">
        <v>1297</v>
      </c>
      <c r="E220" t="s">
        <v>1298</v>
      </c>
      <c r="F220" t="s">
        <v>1979</v>
      </c>
      <c r="G220" t="s">
        <v>5694</v>
      </c>
      <c r="H220">
        <v>0</v>
      </c>
      <c r="I220">
        <v>0</v>
      </c>
    </row>
    <row r="221" spans="1:9" x14ac:dyDescent="0.25">
      <c r="A221" t="s">
        <v>1980</v>
      </c>
      <c r="B221" t="s">
        <v>1981</v>
      </c>
      <c r="C221" t="s">
        <v>24</v>
      </c>
      <c r="D221" t="s">
        <v>1297</v>
      </c>
      <c r="E221" t="s">
        <v>1298</v>
      </c>
      <c r="F221" t="s">
        <v>1982</v>
      </c>
      <c r="G221" t="s">
        <v>5695</v>
      </c>
      <c r="H221" t="s">
        <v>1983</v>
      </c>
      <c r="I221">
        <v>0</v>
      </c>
    </row>
    <row r="222" spans="1:9" x14ac:dyDescent="0.25">
      <c r="A222" t="s">
        <v>1984</v>
      </c>
      <c r="B222" t="s">
        <v>1985</v>
      </c>
      <c r="C222" t="s">
        <v>24</v>
      </c>
      <c r="D222" t="s">
        <v>1297</v>
      </c>
      <c r="E222" t="s">
        <v>1298</v>
      </c>
      <c r="F222" t="s">
        <v>1986</v>
      </c>
      <c r="G222" t="s">
        <v>5696</v>
      </c>
      <c r="H222" t="s">
        <v>1983</v>
      </c>
      <c r="I222">
        <v>0</v>
      </c>
    </row>
    <row r="223" spans="1:9" x14ac:dyDescent="0.25">
      <c r="A223" t="s">
        <v>1987</v>
      </c>
      <c r="B223" t="s">
        <v>1988</v>
      </c>
      <c r="C223" t="s">
        <v>24</v>
      </c>
      <c r="D223" t="s">
        <v>1297</v>
      </c>
      <c r="E223" t="s">
        <v>1298</v>
      </c>
      <c r="F223" t="s">
        <v>1989</v>
      </c>
      <c r="G223" t="s">
        <v>5697</v>
      </c>
      <c r="H223" t="s">
        <v>1990</v>
      </c>
      <c r="I223">
        <v>0</v>
      </c>
    </row>
    <row r="224" spans="1:9" x14ac:dyDescent="0.25">
      <c r="A224" t="s">
        <v>1991</v>
      </c>
      <c r="B224" t="s">
        <v>1992</v>
      </c>
      <c r="C224" t="s">
        <v>24</v>
      </c>
      <c r="D224" t="s">
        <v>1297</v>
      </c>
      <c r="E224" t="s">
        <v>1298</v>
      </c>
      <c r="F224" t="s">
        <v>1993</v>
      </c>
      <c r="G224" t="s">
        <v>5698</v>
      </c>
      <c r="H224" t="s">
        <v>1990</v>
      </c>
      <c r="I224">
        <v>0</v>
      </c>
    </row>
    <row r="225" spans="1:9" x14ac:dyDescent="0.25">
      <c r="A225" t="s">
        <v>1994</v>
      </c>
      <c r="B225" t="s">
        <v>1995</v>
      </c>
      <c r="C225" t="s">
        <v>24</v>
      </c>
      <c r="D225" t="s">
        <v>1297</v>
      </c>
      <c r="E225" t="s">
        <v>1298</v>
      </c>
      <c r="F225" t="s">
        <v>1996</v>
      </c>
      <c r="G225" t="s">
        <v>5699</v>
      </c>
      <c r="H225">
        <v>0</v>
      </c>
      <c r="I225" t="s">
        <v>1997</v>
      </c>
    </row>
    <row r="226" spans="1:9" x14ac:dyDescent="0.25">
      <c r="A226" t="s">
        <v>1998</v>
      </c>
      <c r="B226" t="s">
        <v>1999</v>
      </c>
      <c r="C226" t="s">
        <v>24</v>
      </c>
      <c r="D226" t="s">
        <v>1297</v>
      </c>
      <c r="E226" t="s">
        <v>1298</v>
      </c>
      <c r="F226" t="s">
        <v>2000</v>
      </c>
      <c r="G226" t="s">
        <v>5700</v>
      </c>
      <c r="H226" t="s">
        <v>1705</v>
      </c>
      <c r="I226" t="s">
        <v>2001</v>
      </c>
    </row>
    <row r="227" spans="1:9" x14ac:dyDescent="0.25">
      <c r="A227" t="s">
        <v>2002</v>
      </c>
      <c r="B227" t="s">
        <v>2003</v>
      </c>
      <c r="C227" t="s">
        <v>24</v>
      </c>
      <c r="D227" t="s">
        <v>1297</v>
      </c>
      <c r="E227" t="s">
        <v>1298</v>
      </c>
      <c r="F227" t="s">
        <v>2004</v>
      </c>
      <c r="G227" t="s">
        <v>5701</v>
      </c>
      <c r="H227">
        <v>0</v>
      </c>
      <c r="I227">
        <v>0</v>
      </c>
    </row>
    <row r="228" spans="1:9" x14ac:dyDescent="0.25">
      <c r="A228" t="s">
        <v>2005</v>
      </c>
      <c r="B228" t="s">
        <v>2006</v>
      </c>
      <c r="C228" t="s">
        <v>24</v>
      </c>
      <c r="D228" t="s">
        <v>1297</v>
      </c>
      <c r="E228" t="s">
        <v>1298</v>
      </c>
      <c r="F228" t="s">
        <v>2007</v>
      </c>
      <c r="G228" t="s">
        <v>5702</v>
      </c>
      <c r="H228">
        <v>0</v>
      </c>
      <c r="I228">
        <v>0</v>
      </c>
    </row>
    <row r="229" spans="1:9" x14ac:dyDescent="0.25">
      <c r="A229" t="s">
        <v>2008</v>
      </c>
      <c r="B229" t="s">
        <v>2009</v>
      </c>
      <c r="C229" t="s">
        <v>24</v>
      </c>
      <c r="D229" t="s">
        <v>1297</v>
      </c>
      <c r="E229" t="s">
        <v>1298</v>
      </c>
      <c r="F229" t="s">
        <v>2010</v>
      </c>
      <c r="G229" t="s">
        <v>5703</v>
      </c>
      <c r="H229" t="s">
        <v>2011</v>
      </c>
      <c r="I229">
        <v>0</v>
      </c>
    </row>
    <row r="230" spans="1:9" x14ac:dyDescent="0.25">
      <c r="A230" t="s">
        <v>2012</v>
      </c>
      <c r="B230" t="s">
        <v>2013</v>
      </c>
      <c r="C230" t="s">
        <v>24</v>
      </c>
      <c r="D230" t="s">
        <v>1297</v>
      </c>
      <c r="E230" t="s">
        <v>1298</v>
      </c>
      <c r="F230" t="s">
        <v>2014</v>
      </c>
      <c r="G230" t="s">
        <v>5704</v>
      </c>
      <c r="H230" t="s">
        <v>2011</v>
      </c>
      <c r="I230">
        <v>0</v>
      </c>
    </row>
    <row r="231" spans="1:9" x14ac:dyDescent="0.25">
      <c r="A231" t="s">
        <v>2015</v>
      </c>
      <c r="B231" t="s">
        <v>2016</v>
      </c>
      <c r="C231" t="s">
        <v>24</v>
      </c>
      <c r="D231" t="s">
        <v>1297</v>
      </c>
      <c r="E231" t="s">
        <v>1298</v>
      </c>
      <c r="F231" t="s">
        <v>2017</v>
      </c>
      <c r="G231" t="s">
        <v>5705</v>
      </c>
      <c r="H231">
        <v>0</v>
      </c>
      <c r="I231">
        <v>0</v>
      </c>
    </row>
    <row r="232" spans="1:9" x14ac:dyDescent="0.25">
      <c r="A232" t="s">
        <v>2018</v>
      </c>
      <c r="B232" t="s">
        <v>2019</v>
      </c>
      <c r="C232" t="s">
        <v>24</v>
      </c>
      <c r="D232" t="s">
        <v>1297</v>
      </c>
      <c r="E232" t="s">
        <v>1298</v>
      </c>
      <c r="F232" t="s">
        <v>2020</v>
      </c>
      <c r="G232" t="s">
        <v>5706</v>
      </c>
      <c r="H232">
        <v>0</v>
      </c>
      <c r="I232">
        <v>0</v>
      </c>
    </row>
    <row r="233" spans="1:9" x14ac:dyDescent="0.25">
      <c r="A233" t="s">
        <v>2021</v>
      </c>
      <c r="B233" t="s">
        <v>2022</v>
      </c>
      <c r="C233" t="s">
        <v>24</v>
      </c>
      <c r="D233" t="s">
        <v>1297</v>
      </c>
      <c r="E233" t="s">
        <v>1298</v>
      </c>
      <c r="F233" t="s">
        <v>2023</v>
      </c>
      <c r="G233" t="s">
        <v>5707</v>
      </c>
      <c r="H233">
        <v>0</v>
      </c>
      <c r="I233">
        <v>0</v>
      </c>
    </row>
    <row r="234" spans="1:9" x14ac:dyDescent="0.25">
      <c r="A234" t="s">
        <v>2024</v>
      </c>
      <c r="B234" t="s">
        <v>2025</v>
      </c>
      <c r="C234" t="s">
        <v>24</v>
      </c>
      <c r="D234" t="s">
        <v>1297</v>
      </c>
      <c r="E234" t="s">
        <v>1298</v>
      </c>
      <c r="F234" t="s">
        <v>2026</v>
      </c>
      <c r="G234" t="s">
        <v>5708</v>
      </c>
      <c r="H234">
        <v>0</v>
      </c>
      <c r="I234">
        <v>0</v>
      </c>
    </row>
    <row r="235" spans="1:9" x14ac:dyDescent="0.25">
      <c r="A235" t="s">
        <v>2027</v>
      </c>
      <c r="B235" t="s">
        <v>2028</v>
      </c>
      <c r="C235" t="s">
        <v>24</v>
      </c>
      <c r="D235" t="s">
        <v>1297</v>
      </c>
      <c r="E235" t="s">
        <v>1298</v>
      </c>
      <c r="F235" t="s">
        <v>2029</v>
      </c>
      <c r="G235" t="s">
        <v>5709</v>
      </c>
      <c r="H235" t="s">
        <v>1990</v>
      </c>
      <c r="I235">
        <v>0</v>
      </c>
    </row>
    <row r="236" spans="1:9" x14ac:dyDescent="0.25">
      <c r="A236" t="s">
        <v>2030</v>
      </c>
      <c r="B236" t="s">
        <v>2031</v>
      </c>
      <c r="C236" t="s">
        <v>24</v>
      </c>
      <c r="D236" t="s">
        <v>1297</v>
      </c>
      <c r="E236" t="s">
        <v>1298</v>
      </c>
      <c r="F236" t="s">
        <v>2000</v>
      </c>
      <c r="G236" t="s">
        <v>5700</v>
      </c>
      <c r="H236" t="s">
        <v>1990</v>
      </c>
      <c r="I236">
        <v>0</v>
      </c>
    </row>
    <row r="237" spans="1:9" x14ac:dyDescent="0.25">
      <c r="A237" t="s">
        <v>2032</v>
      </c>
      <c r="B237" t="s">
        <v>2033</v>
      </c>
      <c r="C237" t="s">
        <v>24</v>
      </c>
      <c r="D237" t="s">
        <v>1297</v>
      </c>
      <c r="E237" t="s">
        <v>1298</v>
      </c>
      <c r="F237" t="s">
        <v>2000</v>
      </c>
      <c r="G237" t="s">
        <v>5700</v>
      </c>
      <c r="H237" t="s">
        <v>1990</v>
      </c>
      <c r="I237" t="s">
        <v>2034</v>
      </c>
    </row>
    <row r="238" spans="1:9" x14ac:dyDescent="0.25">
      <c r="A238" t="s">
        <v>2035</v>
      </c>
      <c r="B238" t="s">
        <v>2036</v>
      </c>
      <c r="C238" t="s">
        <v>24</v>
      </c>
      <c r="D238" t="s">
        <v>1297</v>
      </c>
      <c r="E238" t="s">
        <v>1298</v>
      </c>
      <c r="F238" t="s">
        <v>2037</v>
      </c>
      <c r="G238" t="s">
        <v>5710</v>
      </c>
      <c r="H238">
        <v>0</v>
      </c>
      <c r="I238">
        <v>0</v>
      </c>
    </row>
    <row r="239" spans="1:9" x14ac:dyDescent="0.25">
      <c r="A239" t="s">
        <v>2038</v>
      </c>
      <c r="B239" t="s">
        <v>2039</v>
      </c>
      <c r="C239" t="s">
        <v>24</v>
      </c>
      <c r="D239" t="s">
        <v>1297</v>
      </c>
      <c r="E239" t="s">
        <v>1298</v>
      </c>
      <c r="F239" t="s">
        <v>2040</v>
      </c>
      <c r="G239" t="s">
        <v>5711</v>
      </c>
      <c r="H239">
        <v>0</v>
      </c>
      <c r="I239">
        <v>0</v>
      </c>
    </row>
    <row r="240" spans="1:9" x14ac:dyDescent="0.25">
      <c r="A240" t="s">
        <v>2041</v>
      </c>
      <c r="B240" t="s">
        <v>2042</v>
      </c>
      <c r="C240" t="s">
        <v>24</v>
      </c>
      <c r="D240" t="s">
        <v>1297</v>
      </c>
      <c r="E240" t="s">
        <v>1298</v>
      </c>
      <c r="F240" t="s">
        <v>2043</v>
      </c>
      <c r="G240" t="s">
        <v>5712</v>
      </c>
      <c r="H240" t="s">
        <v>1983</v>
      </c>
      <c r="I240">
        <v>0</v>
      </c>
    </row>
    <row r="241" spans="1:9" x14ac:dyDescent="0.25">
      <c r="A241" t="s">
        <v>2044</v>
      </c>
      <c r="B241" t="s">
        <v>2045</v>
      </c>
      <c r="C241" t="s">
        <v>24</v>
      </c>
      <c r="D241" t="s">
        <v>1297</v>
      </c>
      <c r="E241" t="s">
        <v>1298</v>
      </c>
      <c r="F241" t="s">
        <v>2046</v>
      </c>
      <c r="G241" t="s">
        <v>5713</v>
      </c>
      <c r="H241">
        <v>0</v>
      </c>
      <c r="I241">
        <v>0</v>
      </c>
    </row>
    <row r="242" spans="1:9" x14ac:dyDescent="0.25">
      <c r="A242" t="s">
        <v>2047</v>
      </c>
      <c r="B242" t="s">
        <v>2048</v>
      </c>
      <c r="C242" t="s">
        <v>24</v>
      </c>
      <c r="D242" t="s">
        <v>1297</v>
      </c>
      <c r="E242" t="s">
        <v>1298</v>
      </c>
      <c r="F242" t="s">
        <v>2049</v>
      </c>
      <c r="G242" t="s">
        <v>5714</v>
      </c>
      <c r="H242">
        <v>0</v>
      </c>
      <c r="I242">
        <v>0</v>
      </c>
    </row>
    <row r="243" spans="1:9" x14ac:dyDescent="0.25">
      <c r="A243" t="s">
        <v>2050</v>
      </c>
      <c r="B243" t="s">
        <v>2051</v>
      </c>
      <c r="C243" t="s">
        <v>24</v>
      </c>
      <c r="D243" t="s">
        <v>1297</v>
      </c>
      <c r="E243" t="s">
        <v>1298</v>
      </c>
      <c r="F243" t="s">
        <v>2052</v>
      </c>
      <c r="G243" t="s">
        <v>5715</v>
      </c>
      <c r="H243" t="s">
        <v>1983</v>
      </c>
      <c r="I243">
        <v>0</v>
      </c>
    </row>
    <row r="244" spans="1:9" x14ac:dyDescent="0.25">
      <c r="A244" t="s">
        <v>2053</v>
      </c>
      <c r="B244" t="s">
        <v>2054</v>
      </c>
      <c r="C244" t="s">
        <v>24</v>
      </c>
      <c r="D244" t="s">
        <v>1297</v>
      </c>
      <c r="E244" t="s">
        <v>1298</v>
      </c>
      <c r="F244" t="s">
        <v>2055</v>
      </c>
      <c r="G244" t="s">
        <v>5716</v>
      </c>
      <c r="H244">
        <v>0</v>
      </c>
      <c r="I244">
        <v>0</v>
      </c>
    </row>
    <row r="245" spans="1:9" x14ac:dyDescent="0.25">
      <c r="A245" t="s">
        <v>2056</v>
      </c>
      <c r="B245" t="s">
        <v>2057</v>
      </c>
      <c r="C245" t="s">
        <v>24</v>
      </c>
      <c r="D245" t="s">
        <v>1297</v>
      </c>
      <c r="E245" t="s">
        <v>1298</v>
      </c>
      <c r="F245" t="s">
        <v>2058</v>
      </c>
      <c r="G245" t="s">
        <v>5717</v>
      </c>
      <c r="H245">
        <v>0</v>
      </c>
      <c r="I245">
        <v>0</v>
      </c>
    </row>
    <row r="246" spans="1:9" x14ac:dyDescent="0.25">
      <c r="A246" t="s">
        <v>2059</v>
      </c>
      <c r="B246" t="s">
        <v>2060</v>
      </c>
      <c r="C246" t="s">
        <v>24</v>
      </c>
      <c r="D246" t="s">
        <v>1297</v>
      </c>
      <c r="E246" t="s">
        <v>1298</v>
      </c>
      <c r="F246" t="s">
        <v>2061</v>
      </c>
      <c r="G246" t="s">
        <v>5718</v>
      </c>
      <c r="H246" t="s">
        <v>1990</v>
      </c>
      <c r="I246">
        <v>0</v>
      </c>
    </row>
    <row r="247" spans="1:9" x14ac:dyDescent="0.25">
      <c r="A247" t="s">
        <v>2062</v>
      </c>
      <c r="B247" t="s">
        <v>2063</v>
      </c>
      <c r="C247" t="s">
        <v>24</v>
      </c>
      <c r="D247" t="s">
        <v>1297</v>
      </c>
      <c r="E247" t="s">
        <v>1298</v>
      </c>
      <c r="F247" t="s">
        <v>2064</v>
      </c>
      <c r="G247" t="s">
        <v>5719</v>
      </c>
      <c r="H247" t="s">
        <v>2065</v>
      </c>
      <c r="I247">
        <v>0</v>
      </c>
    </row>
    <row r="248" spans="1:9" x14ac:dyDescent="0.25">
      <c r="A248" t="s">
        <v>2066</v>
      </c>
      <c r="B248" t="s">
        <v>2067</v>
      </c>
      <c r="C248" t="s">
        <v>24</v>
      </c>
      <c r="D248" t="s">
        <v>1297</v>
      </c>
      <c r="E248" t="s">
        <v>1298</v>
      </c>
      <c r="F248" t="s">
        <v>2068</v>
      </c>
      <c r="G248" t="s">
        <v>5720</v>
      </c>
      <c r="H248" t="s">
        <v>2065</v>
      </c>
      <c r="I248">
        <v>0</v>
      </c>
    </row>
    <row r="249" spans="1:9" x14ac:dyDescent="0.25">
      <c r="A249" t="s">
        <v>2069</v>
      </c>
      <c r="B249" t="s">
        <v>2070</v>
      </c>
      <c r="C249" t="s">
        <v>24</v>
      </c>
      <c r="D249" t="s">
        <v>1297</v>
      </c>
      <c r="E249" t="s">
        <v>1298</v>
      </c>
      <c r="F249" t="s">
        <v>2071</v>
      </c>
      <c r="G249" t="s">
        <v>5721</v>
      </c>
      <c r="H249">
        <v>0</v>
      </c>
      <c r="I249">
        <v>0</v>
      </c>
    </row>
    <row r="250" spans="1:9" x14ac:dyDescent="0.25">
      <c r="A250" t="s">
        <v>2072</v>
      </c>
      <c r="B250" t="s">
        <v>2073</v>
      </c>
      <c r="C250" t="s">
        <v>24</v>
      </c>
      <c r="D250" t="s">
        <v>1297</v>
      </c>
      <c r="E250" t="s">
        <v>1298</v>
      </c>
      <c r="F250" t="s">
        <v>1996</v>
      </c>
      <c r="G250" t="s">
        <v>5699</v>
      </c>
      <c r="H250">
        <v>0</v>
      </c>
      <c r="I250" t="s">
        <v>1997</v>
      </c>
    </row>
    <row r="251" spans="1:9" x14ac:dyDescent="0.25">
      <c r="A251" t="s">
        <v>2074</v>
      </c>
      <c r="B251" t="s">
        <v>2075</v>
      </c>
      <c r="C251" t="s">
        <v>24</v>
      </c>
      <c r="D251" t="s">
        <v>1297</v>
      </c>
      <c r="E251" t="s">
        <v>1298</v>
      </c>
      <c r="F251" t="s">
        <v>2076</v>
      </c>
      <c r="G251" t="s">
        <v>5722</v>
      </c>
      <c r="H251">
        <v>0</v>
      </c>
      <c r="I251">
        <v>0</v>
      </c>
    </row>
    <row r="252" spans="1:9" x14ac:dyDescent="0.25">
      <c r="A252" t="s">
        <v>2077</v>
      </c>
      <c r="B252" t="s">
        <v>2078</v>
      </c>
      <c r="C252" t="s">
        <v>24</v>
      </c>
      <c r="D252" t="s">
        <v>1297</v>
      </c>
      <c r="E252" t="s">
        <v>1298</v>
      </c>
      <c r="F252" t="s">
        <v>2076</v>
      </c>
      <c r="G252" t="s">
        <v>5722</v>
      </c>
      <c r="H252">
        <v>0</v>
      </c>
      <c r="I252">
        <v>0</v>
      </c>
    </row>
    <row r="253" spans="1:9" x14ac:dyDescent="0.25">
      <c r="A253" t="s">
        <v>2079</v>
      </c>
      <c r="B253" t="s">
        <v>2080</v>
      </c>
      <c r="C253" t="s">
        <v>24</v>
      </c>
      <c r="D253" t="s">
        <v>1297</v>
      </c>
      <c r="E253" t="s">
        <v>1298</v>
      </c>
      <c r="F253" t="s">
        <v>2081</v>
      </c>
      <c r="G253" t="s">
        <v>5723</v>
      </c>
      <c r="H253">
        <v>0</v>
      </c>
      <c r="I253">
        <v>0</v>
      </c>
    </row>
    <row r="254" spans="1:9" x14ac:dyDescent="0.25">
      <c r="A254" t="s">
        <v>2082</v>
      </c>
      <c r="B254" t="s">
        <v>2083</v>
      </c>
      <c r="C254" t="s">
        <v>24</v>
      </c>
      <c r="D254" t="s">
        <v>1297</v>
      </c>
      <c r="E254" t="s">
        <v>1298</v>
      </c>
      <c r="F254" t="s">
        <v>2084</v>
      </c>
      <c r="G254" t="s">
        <v>5724</v>
      </c>
      <c r="H254">
        <v>0</v>
      </c>
      <c r="I254">
        <v>0</v>
      </c>
    </row>
    <row r="255" spans="1:9" x14ac:dyDescent="0.25">
      <c r="A255" t="s">
        <v>2085</v>
      </c>
      <c r="B255" t="s">
        <v>2086</v>
      </c>
      <c r="C255" t="s">
        <v>24</v>
      </c>
      <c r="D255" t="s">
        <v>1297</v>
      </c>
      <c r="E255" t="s">
        <v>1298</v>
      </c>
      <c r="F255" t="s">
        <v>2087</v>
      </c>
      <c r="G255" t="s">
        <v>5725</v>
      </c>
      <c r="H255">
        <v>0</v>
      </c>
      <c r="I255">
        <v>0</v>
      </c>
    </row>
    <row r="256" spans="1:9" x14ac:dyDescent="0.25">
      <c r="A256" t="s">
        <v>2088</v>
      </c>
      <c r="B256" t="s">
        <v>2089</v>
      </c>
      <c r="C256" t="s">
        <v>24</v>
      </c>
      <c r="D256" t="s">
        <v>1297</v>
      </c>
      <c r="E256" t="s">
        <v>1298</v>
      </c>
      <c r="F256" t="s">
        <v>2090</v>
      </c>
      <c r="G256" t="s">
        <v>5726</v>
      </c>
      <c r="H256" t="s">
        <v>1983</v>
      </c>
      <c r="I256" t="s">
        <v>2091</v>
      </c>
    </row>
    <row r="257" spans="1:9" x14ac:dyDescent="0.25">
      <c r="A257" t="s">
        <v>2092</v>
      </c>
      <c r="B257" t="s">
        <v>2093</v>
      </c>
      <c r="C257" t="s">
        <v>24</v>
      </c>
      <c r="D257" t="s">
        <v>1297</v>
      </c>
      <c r="E257" t="s">
        <v>1298</v>
      </c>
      <c r="F257" t="s">
        <v>2090</v>
      </c>
      <c r="G257" t="s">
        <v>5726</v>
      </c>
      <c r="H257" t="s">
        <v>1983</v>
      </c>
      <c r="I257">
        <v>0</v>
      </c>
    </row>
    <row r="258" spans="1:9" x14ac:dyDescent="0.25">
      <c r="A258" t="s">
        <v>2094</v>
      </c>
      <c r="B258" t="s">
        <v>2095</v>
      </c>
      <c r="C258" t="s">
        <v>24</v>
      </c>
      <c r="D258" t="s">
        <v>1297</v>
      </c>
      <c r="E258" t="s">
        <v>1298</v>
      </c>
      <c r="F258" t="s">
        <v>2096</v>
      </c>
      <c r="G258" t="s">
        <v>5727</v>
      </c>
      <c r="H258">
        <v>0</v>
      </c>
      <c r="I258">
        <v>0</v>
      </c>
    </row>
    <row r="259" spans="1:9" x14ac:dyDescent="0.25">
      <c r="A259" t="s">
        <v>2097</v>
      </c>
      <c r="B259" t="s">
        <v>2098</v>
      </c>
      <c r="C259" t="s">
        <v>24</v>
      </c>
      <c r="D259" t="s">
        <v>1297</v>
      </c>
      <c r="E259" t="s">
        <v>1298</v>
      </c>
      <c r="F259" t="s">
        <v>2099</v>
      </c>
      <c r="G259" t="s">
        <v>5728</v>
      </c>
      <c r="H259" t="s">
        <v>2065</v>
      </c>
      <c r="I259">
        <v>0</v>
      </c>
    </row>
    <row r="260" spans="1:9" x14ac:dyDescent="0.25">
      <c r="A260" t="s">
        <v>2100</v>
      </c>
      <c r="B260" t="s">
        <v>2101</v>
      </c>
      <c r="C260" t="s">
        <v>24</v>
      </c>
      <c r="D260" t="s">
        <v>1297</v>
      </c>
      <c r="E260" t="s">
        <v>1298</v>
      </c>
      <c r="F260" t="s">
        <v>2099</v>
      </c>
      <c r="G260" t="s">
        <v>5728</v>
      </c>
      <c r="H260" t="s">
        <v>2065</v>
      </c>
      <c r="I260" t="s">
        <v>2102</v>
      </c>
    </row>
    <row r="261" spans="1:9" x14ac:dyDescent="0.25">
      <c r="A261" t="s">
        <v>2103</v>
      </c>
      <c r="B261" t="s">
        <v>2104</v>
      </c>
      <c r="C261" t="s">
        <v>24</v>
      </c>
      <c r="D261" t="s">
        <v>1297</v>
      </c>
      <c r="E261" t="s">
        <v>1298</v>
      </c>
      <c r="F261" t="s">
        <v>2105</v>
      </c>
      <c r="G261" t="s">
        <v>5729</v>
      </c>
      <c r="H261">
        <v>0</v>
      </c>
      <c r="I261">
        <v>0</v>
      </c>
    </row>
    <row r="262" spans="1:9" x14ac:dyDescent="0.25">
      <c r="A262" t="s">
        <v>2106</v>
      </c>
      <c r="B262" t="s">
        <v>2107</v>
      </c>
      <c r="C262" t="s">
        <v>24</v>
      </c>
      <c r="D262" t="s">
        <v>1297</v>
      </c>
      <c r="E262" t="s">
        <v>1298</v>
      </c>
      <c r="F262" t="s">
        <v>2108</v>
      </c>
      <c r="G262" t="s">
        <v>5730</v>
      </c>
      <c r="H262" t="s">
        <v>2011</v>
      </c>
      <c r="I262">
        <v>0</v>
      </c>
    </row>
    <row r="263" spans="1:9" x14ac:dyDescent="0.25">
      <c r="A263" t="s">
        <v>2109</v>
      </c>
      <c r="B263" t="s">
        <v>2110</v>
      </c>
      <c r="C263" t="s">
        <v>24</v>
      </c>
      <c r="D263" t="s">
        <v>1297</v>
      </c>
      <c r="E263" t="s">
        <v>1298</v>
      </c>
      <c r="F263" t="s">
        <v>2111</v>
      </c>
      <c r="G263" t="s">
        <v>5731</v>
      </c>
      <c r="H263" t="s">
        <v>2011</v>
      </c>
      <c r="I263">
        <v>0</v>
      </c>
    </row>
    <row r="264" spans="1:9" x14ac:dyDescent="0.25">
      <c r="A264" t="s">
        <v>2112</v>
      </c>
      <c r="B264" t="s">
        <v>2113</v>
      </c>
      <c r="C264" t="s">
        <v>24</v>
      </c>
      <c r="D264" t="s">
        <v>1297</v>
      </c>
      <c r="E264" t="s">
        <v>1298</v>
      </c>
      <c r="F264" t="s">
        <v>1996</v>
      </c>
      <c r="G264" t="s">
        <v>5699</v>
      </c>
      <c r="H264">
        <v>0</v>
      </c>
      <c r="I264" t="s">
        <v>1997</v>
      </c>
    </row>
    <row r="265" spans="1:9" x14ac:dyDescent="0.25">
      <c r="A265" t="s">
        <v>2114</v>
      </c>
      <c r="B265" t="s">
        <v>2115</v>
      </c>
      <c r="C265" t="s">
        <v>24</v>
      </c>
      <c r="D265" t="s">
        <v>1297</v>
      </c>
      <c r="E265" t="s">
        <v>1298</v>
      </c>
      <c r="F265" t="s">
        <v>2116</v>
      </c>
      <c r="G265" t="s">
        <v>5732</v>
      </c>
      <c r="H265" t="s">
        <v>1990</v>
      </c>
      <c r="I265">
        <v>0</v>
      </c>
    </row>
    <row r="266" spans="1:9" x14ac:dyDescent="0.25">
      <c r="A266" t="s">
        <v>2117</v>
      </c>
      <c r="B266" t="s">
        <v>2118</v>
      </c>
      <c r="C266" t="s">
        <v>24</v>
      </c>
      <c r="D266" t="s">
        <v>1297</v>
      </c>
      <c r="E266" t="s">
        <v>1298</v>
      </c>
      <c r="F266" t="s">
        <v>2119</v>
      </c>
      <c r="G266" t="s">
        <v>5733</v>
      </c>
      <c r="H266">
        <v>0</v>
      </c>
      <c r="I266">
        <v>0</v>
      </c>
    </row>
    <row r="267" spans="1:9" x14ac:dyDescent="0.25">
      <c r="A267" t="s">
        <v>2120</v>
      </c>
      <c r="B267" t="s">
        <v>2121</v>
      </c>
      <c r="C267" t="s">
        <v>24</v>
      </c>
      <c r="D267" t="s">
        <v>1297</v>
      </c>
      <c r="E267" t="s">
        <v>1298</v>
      </c>
      <c r="F267" t="s">
        <v>2122</v>
      </c>
      <c r="G267" t="s">
        <v>5734</v>
      </c>
      <c r="H267">
        <v>0</v>
      </c>
      <c r="I267">
        <v>0</v>
      </c>
    </row>
    <row r="268" spans="1:9" x14ac:dyDescent="0.25">
      <c r="A268" t="s">
        <v>2123</v>
      </c>
      <c r="B268" t="s">
        <v>2124</v>
      </c>
      <c r="C268" t="s">
        <v>25</v>
      </c>
      <c r="D268" t="s">
        <v>1297</v>
      </c>
      <c r="E268" t="s">
        <v>1298</v>
      </c>
      <c r="F268" t="s">
        <v>2125</v>
      </c>
      <c r="G268" t="s">
        <v>5735</v>
      </c>
      <c r="H268" t="s">
        <v>2126</v>
      </c>
      <c r="I268">
        <v>0</v>
      </c>
    </row>
    <row r="269" spans="1:9" x14ac:dyDescent="0.25">
      <c r="A269" t="s">
        <v>2127</v>
      </c>
      <c r="B269" t="s">
        <v>2128</v>
      </c>
      <c r="C269" t="s">
        <v>25</v>
      </c>
      <c r="D269" t="s">
        <v>1297</v>
      </c>
      <c r="E269" t="s">
        <v>1298</v>
      </c>
      <c r="F269" t="s">
        <v>2129</v>
      </c>
      <c r="G269" t="s">
        <v>5736</v>
      </c>
      <c r="H269" t="s">
        <v>2130</v>
      </c>
      <c r="I269">
        <v>0</v>
      </c>
    </row>
    <row r="270" spans="1:9" x14ac:dyDescent="0.25">
      <c r="A270" t="s">
        <v>2131</v>
      </c>
      <c r="B270" t="s">
        <v>2132</v>
      </c>
      <c r="C270" t="s">
        <v>25</v>
      </c>
      <c r="D270" t="s">
        <v>1297</v>
      </c>
      <c r="E270" t="s">
        <v>1298</v>
      </c>
      <c r="F270" t="s">
        <v>2133</v>
      </c>
      <c r="G270" t="s">
        <v>5737</v>
      </c>
      <c r="H270" t="s">
        <v>2130</v>
      </c>
      <c r="I270">
        <v>0</v>
      </c>
    </row>
    <row r="271" spans="1:9" x14ac:dyDescent="0.25">
      <c r="A271" t="s">
        <v>2134</v>
      </c>
      <c r="B271" t="s">
        <v>2135</v>
      </c>
      <c r="C271" t="s">
        <v>25</v>
      </c>
      <c r="D271" t="s">
        <v>1297</v>
      </c>
      <c r="E271" t="s">
        <v>1298</v>
      </c>
      <c r="F271" t="s">
        <v>2136</v>
      </c>
      <c r="G271" t="s">
        <v>5738</v>
      </c>
      <c r="H271" t="s">
        <v>105</v>
      </c>
      <c r="I271">
        <v>0</v>
      </c>
    </row>
    <row r="272" spans="1:9" x14ac:dyDescent="0.25">
      <c r="A272" t="s">
        <v>2137</v>
      </c>
      <c r="B272" t="s">
        <v>2138</v>
      </c>
      <c r="C272" t="s">
        <v>25</v>
      </c>
      <c r="D272" t="s">
        <v>1297</v>
      </c>
      <c r="E272" t="s">
        <v>1298</v>
      </c>
      <c r="F272" t="s">
        <v>2139</v>
      </c>
      <c r="G272" t="s">
        <v>5739</v>
      </c>
      <c r="H272" t="s">
        <v>2126</v>
      </c>
      <c r="I272">
        <v>0</v>
      </c>
    </row>
    <row r="273" spans="1:9" x14ac:dyDescent="0.25">
      <c r="A273" t="s">
        <v>2140</v>
      </c>
      <c r="B273" t="s">
        <v>2141</v>
      </c>
      <c r="C273" t="s">
        <v>25</v>
      </c>
      <c r="D273" t="s">
        <v>1297</v>
      </c>
      <c r="E273" t="s">
        <v>1298</v>
      </c>
      <c r="F273" t="s">
        <v>2142</v>
      </c>
      <c r="G273" t="s">
        <v>5740</v>
      </c>
      <c r="H273" t="s">
        <v>2126</v>
      </c>
      <c r="I273">
        <v>0</v>
      </c>
    </row>
    <row r="274" spans="1:9" x14ac:dyDescent="0.25">
      <c r="A274" t="s">
        <v>2143</v>
      </c>
      <c r="B274" t="s">
        <v>2144</v>
      </c>
      <c r="C274" t="s">
        <v>25</v>
      </c>
      <c r="D274" t="s">
        <v>1297</v>
      </c>
      <c r="E274" t="s">
        <v>1298</v>
      </c>
      <c r="F274" t="s">
        <v>2145</v>
      </c>
      <c r="G274" t="s">
        <v>5741</v>
      </c>
      <c r="H274">
        <v>0</v>
      </c>
      <c r="I274">
        <v>0</v>
      </c>
    </row>
    <row r="275" spans="1:9" x14ac:dyDescent="0.25">
      <c r="A275" t="s">
        <v>2146</v>
      </c>
      <c r="B275" t="s">
        <v>2147</v>
      </c>
      <c r="C275" t="s">
        <v>25</v>
      </c>
      <c r="D275" t="s">
        <v>1297</v>
      </c>
      <c r="E275" t="s">
        <v>1298</v>
      </c>
      <c r="F275" t="s">
        <v>2148</v>
      </c>
      <c r="G275" t="s">
        <v>5742</v>
      </c>
      <c r="H275" t="s">
        <v>2126</v>
      </c>
      <c r="I275">
        <v>0</v>
      </c>
    </row>
    <row r="276" spans="1:9" x14ac:dyDescent="0.25">
      <c r="A276" t="s">
        <v>2149</v>
      </c>
      <c r="B276" t="s">
        <v>2150</v>
      </c>
      <c r="C276" t="s">
        <v>25</v>
      </c>
      <c r="D276" t="s">
        <v>1297</v>
      </c>
      <c r="E276" t="s">
        <v>1298</v>
      </c>
      <c r="F276" t="s">
        <v>2151</v>
      </c>
      <c r="G276" t="s">
        <v>5743</v>
      </c>
      <c r="H276" t="s">
        <v>2126</v>
      </c>
      <c r="I276">
        <v>0</v>
      </c>
    </row>
    <row r="277" spans="1:9" x14ac:dyDescent="0.25">
      <c r="A277" t="s">
        <v>2152</v>
      </c>
      <c r="B277" t="s">
        <v>2153</v>
      </c>
      <c r="C277" t="s">
        <v>25</v>
      </c>
      <c r="D277" t="s">
        <v>1297</v>
      </c>
      <c r="E277" t="s">
        <v>1298</v>
      </c>
      <c r="F277" t="s">
        <v>2154</v>
      </c>
      <c r="G277" t="s">
        <v>5744</v>
      </c>
      <c r="H277">
        <v>0</v>
      </c>
      <c r="I277">
        <v>0</v>
      </c>
    </row>
    <row r="278" spans="1:9" x14ac:dyDescent="0.25">
      <c r="A278" t="s">
        <v>2155</v>
      </c>
      <c r="B278" t="s">
        <v>2156</v>
      </c>
      <c r="C278" t="s">
        <v>25</v>
      </c>
      <c r="D278" t="s">
        <v>1297</v>
      </c>
      <c r="E278" t="s">
        <v>1298</v>
      </c>
      <c r="F278" t="s">
        <v>2157</v>
      </c>
      <c r="G278" t="s">
        <v>5745</v>
      </c>
      <c r="H278" t="s">
        <v>376</v>
      </c>
      <c r="I278">
        <v>0</v>
      </c>
    </row>
    <row r="279" spans="1:9" x14ac:dyDescent="0.25">
      <c r="A279" t="s">
        <v>2158</v>
      </c>
      <c r="B279" t="s">
        <v>2159</v>
      </c>
      <c r="C279" t="s">
        <v>25</v>
      </c>
      <c r="D279" t="s">
        <v>1297</v>
      </c>
      <c r="E279" t="s">
        <v>1298</v>
      </c>
      <c r="F279" t="s">
        <v>2160</v>
      </c>
      <c r="G279" t="s">
        <v>5746</v>
      </c>
      <c r="H279" t="s">
        <v>2161</v>
      </c>
      <c r="I279">
        <v>0</v>
      </c>
    </row>
    <row r="280" spans="1:9" x14ac:dyDescent="0.25">
      <c r="A280" t="s">
        <v>2162</v>
      </c>
      <c r="B280" t="s">
        <v>2163</v>
      </c>
      <c r="C280" t="s">
        <v>25</v>
      </c>
      <c r="D280" t="s">
        <v>1297</v>
      </c>
      <c r="E280" t="s">
        <v>1298</v>
      </c>
      <c r="F280" t="s">
        <v>2164</v>
      </c>
      <c r="G280" t="s">
        <v>5747</v>
      </c>
      <c r="H280" t="s">
        <v>2130</v>
      </c>
      <c r="I280">
        <v>0</v>
      </c>
    </row>
    <row r="281" spans="1:9" x14ac:dyDescent="0.25">
      <c r="A281" t="s">
        <v>2165</v>
      </c>
      <c r="B281" t="s">
        <v>2166</v>
      </c>
      <c r="C281" t="s">
        <v>25</v>
      </c>
      <c r="D281" t="s">
        <v>1297</v>
      </c>
      <c r="E281" t="s">
        <v>1298</v>
      </c>
      <c r="F281" t="s">
        <v>2167</v>
      </c>
      <c r="G281" t="s">
        <v>5748</v>
      </c>
      <c r="H281" t="s">
        <v>2130</v>
      </c>
      <c r="I281">
        <v>0</v>
      </c>
    </row>
    <row r="282" spans="1:9" x14ac:dyDescent="0.25">
      <c r="A282" t="s">
        <v>2168</v>
      </c>
      <c r="B282" t="s">
        <v>2169</v>
      </c>
      <c r="C282" t="s">
        <v>25</v>
      </c>
      <c r="D282" t="s">
        <v>1297</v>
      </c>
      <c r="E282" t="s">
        <v>1298</v>
      </c>
      <c r="F282" t="s">
        <v>2170</v>
      </c>
      <c r="G282" t="s">
        <v>5749</v>
      </c>
      <c r="H282" t="s">
        <v>2126</v>
      </c>
      <c r="I282">
        <v>0</v>
      </c>
    </row>
    <row r="283" spans="1:9" x14ac:dyDescent="0.25">
      <c r="A283" t="s">
        <v>2171</v>
      </c>
      <c r="B283" t="s">
        <v>2172</v>
      </c>
      <c r="C283" t="s">
        <v>25</v>
      </c>
      <c r="D283" t="s">
        <v>1297</v>
      </c>
      <c r="E283" t="s">
        <v>1298</v>
      </c>
      <c r="F283" t="s">
        <v>2173</v>
      </c>
      <c r="G283" t="s">
        <v>5750</v>
      </c>
      <c r="H283" t="s">
        <v>2126</v>
      </c>
      <c r="I283">
        <v>0</v>
      </c>
    </row>
    <row r="284" spans="1:9" x14ac:dyDescent="0.25">
      <c r="A284" t="s">
        <v>2174</v>
      </c>
      <c r="B284" t="s">
        <v>2175</v>
      </c>
      <c r="C284" t="s">
        <v>25</v>
      </c>
      <c r="D284" t="s">
        <v>1297</v>
      </c>
      <c r="E284" t="s">
        <v>1298</v>
      </c>
      <c r="F284" t="s">
        <v>2176</v>
      </c>
      <c r="G284" t="s">
        <v>5751</v>
      </c>
      <c r="H284" t="s">
        <v>2130</v>
      </c>
      <c r="I284">
        <v>0</v>
      </c>
    </row>
    <row r="285" spans="1:9" x14ac:dyDescent="0.25">
      <c r="A285" t="s">
        <v>2177</v>
      </c>
      <c r="B285" t="s">
        <v>2178</v>
      </c>
      <c r="C285" t="s">
        <v>25</v>
      </c>
      <c r="D285" t="s">
        <v>1297</v>
      </c>
      <c r="E285" t="s">
        <v>1298</v>
      </c>
      <c r="F285" t="s">
        <v>2179</v>
      </c>
      <c r="G285" t="s">
        <v>5752</v>
      </c>
      <c r="H285" t="s">
        <v>2180</v>
      </c>
      <c r="I285">
        <v>0</v>
      </c>
    </row>
    <row r="286" spans="1:9" x14ac:dyDescent="0.25">
      <c r="A286" t="s">
        <v>2181</v>
      </c>
      <c r="B286" t="s">
        <v>2182</v>
      </c>
      <c r="C286" t="s">
        <v>25</v>
      </c>
      <c r="D286" t="s">
        <v>1297</v>
      </c>
      <c r="E286" t="s">
        <v>1298</v>
      </c>
      <c r="F286" t="s">
        <v>2183</v>
      </c>
      <c r="G286" t="s">
        <v>5753</v>
      </c>
      <c r="H286" t="s">
        <v>2180</v>
      </c>
      <c r="I286">
        <v>0</v>
      </c>
    </row>
    <row r="287" spans="1:9" x14ac:dyDescent="0.25">
      <c r="A287" t="s">
        <v>2184</v>
      </c>
      <c r="B287" t="s">
        <v>2185</v>
      </c>
      <c r="C287" t="s">
        <v>25</v>
      </c>
      <c r="D287" t="s">
        <v>1297</v>
      </c>
      <c r="E287" t="s">
        <v>1298</v>
      </c>
      <c r="F287" t="s">
        <v>2186</v>
      </c>
      <c r="G287" t="s">
        <v>5754</v>
      </c>
      <c r="H287" t="s">
        <v>2180</v>
      </c>
      <c r="I287">
        <v>0</v>
      </c>
    </row>
    <row r="288" spans="1:9" x14ac:dyDescent="0.25">
      <c r="A288" t="s">
        <v>2187</v>
      </c>
      <c r="B288" t="s">
        <v>2188</v>
      </c>
      <c r="C288" t="s">
        <v>25</v>
      </c>
      <c r="D288" t="s">
        <v>1297</v>
      </c>
      <c r="E288" t="s">
        <v>1298</v>
      </c>
      <c r="F288" t="s">
        <v>2189</v>
      </c>
      <c r="G288" t="s">
        <v>5755</v>
      </c>
      <c r="H288" t="s">
        <v>2161</v>
      </c>
      <c r="I288">
        <v>0</v>
      </c>
    </row>
    <row r="289" spans="1:9" x14ac:dyDescent="0.25">
      <c r="A289" t="s">
        <v>2190</v>
      </c>
      <c r="B289" t="s">
        <v>2191</v>
      </c>
      <c r="C289" t="s">
        <v>25</v>
      </c>
      <c r="D289" t="s">
        <v>1297</v>
      </c>
      <c r="E289" t="s">
        <v>1298</v>
      </c>
      <c r="F289" t="s">
        <v>2192</v>
      </c>
      <c r="G289" t="s">
        <v>5756</v>
      </c>
      <c r="H289">
        <v>0</v>
      </c>
      <c r="I289">
        <v>0</v>
      </c>
    </row>
    <row r="290" spans="1:9" x14ac:dyDescent="0.25">
      <c r="A290" t="s">
        <v>2193</v>
      </c>
      <c r="B290" t="s">
        <v>2194</v>
      </c>
      <c r="C290" t="s">
        <v>25</v>
      </c>
      <c r="D290" t="s">
        <v>1297</v>
      </c>
      <c r="E290" t="s">
        <v>1298</v>
      </c>
      <c r="F290" t="s">
        <v>2195</v>
      </c>
      <c r="G290" t="s">
        <v>5757</v>
      </c>
      <c r="H290">
        <v>0</v>
      </c>
      <c r="I290">
        <v>0</v>
      </c>
    </row>
    <row r="291" spans="1:9" x14ac:dyDescent="0.25">
      <c r="A291" t="s">
        <v>2196</v>
      </c>
      <c r="B291" t="s">
        <v>2197</v>
      </c>
      <c r="C291" t="s">
        <v>26</v>
      </c>
      <c r="D291" t="s">
        <v>1661</v>
      </c>
      <c r="E291" t="s">
        <v>1298</v>
      </c>
      <c r="F291" t="s">
        <v>2198</v>
      </c>
      <c r="G291" t="s">
        <v>5758</v>
      </c>
      <c r="H291" t="s">
        <v>2199</v>
      </c>
      <c r="I291">
        <v>0</v>
      </c>
    </row>
    <row r="292" spans="1:9" x14ac:dyDescent="0.25">
      <c r="A292" t="s">
        <v>2200</v>
      </c>
      <c r="B292" t="s">
        <v>2201</v>
      </c>
      <c r="C292" t="s">
        <v>26</v>
      </c>
      <c r="D292" t="s">
        <v>1661</v>
      </c>
      <c r="E292" t="s">
        <v>1298</v>
      </c>
      <c r="F292" t="s">
        <v>2202</v>
      </c>
      <c r="G292" t="s">
        <v>5759</v>
      </c>
      <c r="H292" t="s">
        <v>2199</v>
      </c>
      <c r="I292">
        <v>0</v>
      </c>
    </row>
    <row r="293" spans="1:9" x14ac:dyDescent="0.25">
      <c r="A293" t="s">
        <v>2203</v>
      </c>
      <c r="B293" t="s">
        <v>2204</v>
      </c>
      <c r="C293" t="s">
        <v>26</v>
      </c>
      <c r="D293" t="s">
        <v>1661</v>
      </c>
      <c r="E293" t="s">
        <v>1298</v>
      </c>
      <c r="F293" t="s">
        <v>2205</v>
      </c>
      <c r="G293" t="s">
        <v>5760</v>
      </c>
      <c r="H293" t="s">
        <v>2206</v>
      </c>
      <c r="I293">
        <v>0</v>
      </c>
    </row>
    <row r="294" spans="1:9" x14ac:dyDescent="0.25">
      <c r="A294" t="s">
        <v>2207</v>
      </c>
      <c r="B294" t="s">
        <v>2208</v>
      </c>
      <c r="C294" t="s">
        <v>26</v>
      </c>
      <c r="D294" t="s">
        <v>1661</v>
      </c>
      <c r="E294" t="s">
        <v>1298</v>
      </c>
      <c r="F294" t="s">
        <v>2209</v>
      </c>
      <c r="G294" t="s">
        <v>5761</v>
      </c>
      <c r="H294">
        <v>0</v>
      </c>
      <c r="I294">
        <v>0</v>
      </c>
    </row>
    <row r="295" spans="1:9" x14ac:dyDescent="0.25">
      <c r="A295" t="s">
        <v>2210</v>
      </c>
      <c r="B295" t="s">
        <v>2211</v>
      </c>
      <c r="C295" t="s">
        <v>26</v>
      </c>
      <c r="D295" t="s">
        <v>1661</v>
      </c>
      <c r="E295" t="s">
        <v>1298</v>
      </c>
      <c r="F295" t="s">
        <v>2212</v>
      </c>
      <c r="G295" t="s">
        <v>5762</v>
      </c>
      <c r="H295">
        <v>0</v>
      </c>
      <c r="I295">
        <v>0</v>
      </c>
    </row>
    <row r="296" spans="1:9" x14ac:dyDescent="0.25">
      <c r="A296" t="s">
        <v>2213</v>
      </c>
      <c r="B296" t="s">
        <v>2214</v>
      </c>
      <c r="C296" t="s">
        <v>26</v>
      </c>
      <c r="D296" t="s">
        <v>1661</v>
      </c>
      <c r="E296" t="s">
        <v>1298</v>
      </c>
      <c r="F296" t="s">
        <v>2215</v>
      </c>
      <c r="G296" t="s">
        <v>5763</v>
      </c>
      <c r="H296">
        <v>0</v>
      </c>
      <c r="I296">
        <v>0</v>
      </c>
    </row>
    <row r="297" spans="1:9" x14ac:dyDescent="0.25">
      <c r="A297" t="s">
        <v>2216</v>
      </c>
      <c r="B297" t="s">
        <v>2217</v>
      </c>
      <c r="C297" t="s">
        <v>26</v>
      </c>
      <c r="D297" t="s">
        <v>1661</v>
      </c>
      <c r="E297" t="s">
        <v>1298</v>
      </c>
      <c r="F297" t="s">
        <v>2218</v>
      </c>
      <c r="G297" t="s">
        <v>5764</v>
      </c>
      <c r="H297" t="s">
        <v>2219</v>
      </c>
      <c r="I297">
        <v>0</v>
      </c>
    </row>
    <row r="298" spans="1:9" x14ac:dyDescent="0.25">
      <c r="A298" t="s">
        <v>2220</v>
      </c>
      <c r="B298" t="s">
        <v>2221</v>
      </c>
      <c r="C298" t="s">
        <v>26</v>
      </c>
      <c r="D298" t="s">
        <v>1661</v>
      </c>
      <c r="E298" t="s">
        <v>1298</v>
      </c>
      <c r="F298" t="s">
        <v>2222</v>
      </c>
      <c r="G298" t="s">
        <v>5765</v>
      </c>
      <c r="H298" t="s">
        <v>2206</v>
      </c>
      <c r="I298">
        <v>0</v>
      </c>
    </row>
    <row r="299" spans="1:9" x14ac:dyDescent="0.25">
      <c r="A299" t="s">
        <v>2223</v>
      </c>
      <c r="B299" t="s">
        <v>2224</v>
      </c>
      <c r="C299" t="s">
        <v>26</v>
      </c>
      <c r="D299" t="s">
        <v>1661</v>
      </c>
      <c r="E299" t="s">
        <v>1298</v>
      </c>
      <c r="F299" t="s">
        <v>2225</v>
      </c>
      <c r="G299" t="s">
        <v>5766</v>
      </c>
      <c r="H299">
        <v>0</v>
      </c>
      <c r="I299">
        <v>0</v>
      </c>
    </row>
    <row r="300" spans="1:9" x14ac:dyDescent="0.25">
      <c r="A300" t="s">
        <v>2226</v>
      </c>
      <c r="B300" t="s">
        <v>2227</v>
      </c>
      <c r="C300" t="s">
        <v>26</v>
      </c>
      <c r="D300" t="s">
        <v>1661</v>
      </c>
      <c r="E300" t="s">
        <v>1298</v>
      </c>
      <c r="F300" t="s">
        <v>2228</v>
      </c>
      <c r="G300" t="s">
        <v>5767</v>
      </c>
      <c r="H300">
        <v>0</v>
      </c>
      <c r="I300">
        <v>0</v>
      </c>
    </row>
    <row r="301" spans="1:9" x14ac:dyDescent="0.25">
      <c r="A301" t="s">
        <v>2229</v>
      </c>
      <c r="B301" t="s">
        <v>2230</v>
      </c>
      <c r="C301" t="s">
        <v>26</v>
      </c>
      <c r="D301" t="s">
        <v>1661</v>
      </c>
      <c r="E301" t="s">
        <v>1298</v>
      </c>
      <c r="F301" t="s">
        <v>2231</v>
      </c>
      <c r="G301" t="s">
        <v>5768</v>
      </c>
      <c r="H301">
        <v>0</v>
      </c>
      <c r="I301">
        <v>0</v>
      </c>
    </row>
    <row r="302" spans="1:9" x14ac:dyDescent="0.25">
      <c r="A302" t="s">
        <v>2232</v>
      </c>
      <c r="B302" t="s">
        <v>2233</v>
      </c>
      <c r="C302" t="s">
        <v>26</v>
      </c>
      <c r="D302" t="s">
        <v>1661</v>
      </c>
      <c r="E302" t="s">
        <v>1298</v>
      </c>
      <c r="F302" t="s">
        <v>2234</v>
      </c>
      <c r="G302" t="s">
        <v>5769</v>
      </c>
      <c r="H302">
        <v>0</v>
      </c>
      <c r="I302">
        <v>0</v>
      </c>
    </row>
    <row r="303" spans="1:9" x14ac:dyDescent="0.25">
      <c r="A303" t="s">
        <v>2235</v>
      </c>
      <c r="B303" t="s">
        <v>2236</v>
      </c>
      <c r="C303" t="s">
        <v>26</v>
      </c>
      <c r="D303" t="s">
        <v>1661</v>
      </c>
      <c r="E303" t="s">
        <v>1298</v>
      </c>
      <c r="F303" t="s">
        <v>2237</v>
      </c>
      <c r="G303" t="s">
        <v>5770</v>
      </c>
      <c r="H303" t="s">
        <v>416</v>
      </c>
      <c r="I303">
        <v>0</v>
      </c>
    </row>
    <row r="304" spans="1:9" x14ac:dyDescent="0.25">
      <c r="A304" t="s">
        <v>2238</v>
      </c>
      <c r="B304" t="s">
        <v>2239</v>
      </c>
      <c r="C304" t="s">
        <v>26</v>
      </c>
      <c r="D304" t="s">
        <v>1661</v>
      </c>
      <c r="E304" t="s">
        <v>1298</v>
      </c>
      <c r="F304" t="s">
        <v>2240</v>
      </c>
      <c r="G304" t="s">
        <v>5771</v>
      </c>
      <c r="H304" t="s">
        <v>2219</v>
      </c>
      <c r="I304">
        <v>0</v>
      </c>
    </row>
    <row r="305" spans="1:9" x14ac:dyDescent="0.25">
      <c r="A305" t="s">
        <v>2241</v>
      </c>
      <c r="B305" t="s">
        <v>2242</v>
      </c>
      <c r="C305" t="s">
        <v>26</v>
      </c>
      <c r="D305" t="s">
        <v>1661</v>
      </c>
      <c r="E305" t="s">
        <v>1298</v>
      </c>
      <c r="F305" t="s">
        <v>2243</v>
      </c>
      <c r="G305" t="s">
        <v>5772</v>
      </c>
      <c r="H305" t="s">
        <v>416</v>
      </c>
      <c r="I305">
        <v>0</v>
      </c>
    </row>
    <row r="306" spans="1:9" x14ac:dyDescent="0.25">
      <c r="A306" t="s">
        <v>2244</v>
      </c>
      <c r="B306" t="s">
        <v>2245</v>
      </c>
      <c r="C306" t="s">
        <v>26</v>
      </c>
      <c r="D306" t="s">
        <v>1661</v>
      </c>
      <c r="E306" t="s">
        <v>1298</v>
      </c>
      <c r="F306" t="s">
        <v>2246</v>
      </c>
      <c r="G306" t="s">
        <v>5773</v>
      </c>
      <c r="H306">
        <v>0</v>
      </c>
      <c r="I306">
        <v>0</v>
      </c>
    </row>
    <row r="307" spans="1:9" x14ac:dyDescent="0.25">
      <c r="A307" t="s">
        <v>2247</v>
      </c>
      <c r="B307" t="s">
        <v>2248</v>
      </c>
      <c r="C307" t="s">
        <v>26</v>
      </c>
      <c r="D307" t="s">
        <v>1661</v>
      </c>
      <c r="E307" t="s">
        <v>1298</v>
      </c>
      <c r="F307" t="s">
        <v>2249</v>
      </c>
      <c r="G307" t="s">
        <v>5774</v>
      </c>
      <c r="H307">
        <v>0</v>
      </c>
      <c r="I307">
        <v>0</v>
      </c>
    </row>
    <row r="308" spans="1:9" x14ac:dyDescent="0.25">
      <c r="A308" t="s">
        <v>2250</v>
      </c>
      <c r="B308" t="s">
        <v>2251</v>
      </c>
      <c r="C308" t="s">
        <v>26</v>
      </c>
      <c r="D308" t="s">
        <v>1661</v>
      </c>
      <c r="E308" t="s">
        <v>1298</v>
      </c>
      <c r="F308" t="s">
        <v>2252</v>
      </c>
      <c r="G308" t="s">
        <v>5775</v>
      </c>
      <c r="H308">
        <v>0</v>
      </c>
      <c r="I308">
        <v>0</v>
      </c>
    </row>
    <row r="309" spans="1:9" x14ac:dyDescent="0.25">
      <c r="A309" t="s">
        <v>2253</v>
      </c>
      <c r="B309" t="s">
        <v>2254</v>
      </c>
      <c r="C309" t="s">
        <v>26</v>
      </c>
      <c r="D309" t="s">
        <v>1661</v>
      </c>
      <c r="E309" t="s">
        <v>1298</v>
      </c>
      <c r="F309" t="s">
        <v>2255</v>
      </c>
      <c r="G309" t="s">
        <v>5776</v>
      </c>
      <c r="H309" t="s">
        <v>2219</v>
      </c>
      <c r="I309">
        <v>0</v>
      </c>
    </row>
    <row r="310" spans="1:9" x14ac:dyDescent="0.25">
      <c r="A310" t="s">
        <v>2256</v>
      </c>
      <c r="B310" t="s">
        <v>2257</v>
      </c>
      <c r="C310" t="s">
        <v>26</v>
      </c>
      <c r="D310" t="s">
        <v>1661</v>
      </c>
      <c r="E310" t="s">
        <v>1298</v>
      </c>
      <c r="F310" t="s">
        <v>2258</v>
      </c>
      <c r="G310" t="s">
        <v>5777</v>
      </c>
      <c r="H310" t="s">
        <v>2199</v>
      </c>
      <c r="I310">
        <v>0</v>
      </c>
    </row>
    <row r="311" spans="1:9" x14ac:dyDescent="0.25">
      <c r="A311" t="s">
        <v>2259</v>
      </c>
      <c r="B311" t="s">
        <v>2260</v>
      </c>
      <c r="C311" t="s">
        <v>26</v>
      </c>
      <c r="D311" t="s">
        <v>1661</v>
      </c>
      <c r="E311" t="s">
        <v>1298</v>
      </c>
      <c r="F311" t="s">
        <v>2261</v>
      </c>
      <c r="G311" t="s">
        <v>5778</v>
      </c>
      <c r="H311" t="s">
        <v>2206</v>
      </c>
      <c r="I311">
        <v>0</v>
      </c>
    </row>
    <row r="312" spans="1:9" x14ac:dyDescent="0.25">
      <c r="A312" t="s">
        <v>2262</v>
      </c>
      <c r="B312" t="s">
        <v>2263</v>
      </c>
      <c r="C312" t="s">
        <v>26</v>
      </c>
      <c r="D312" t="s">
        <v>1661</v>
      </c>
      <c r="E312" t="s">
        <v>1298</v>
      </c>
      <c r="F312" t="s">
        <v>2264</v>
      </c>
      <c r="G312" t="s">
        <v>5779</v>
      </c>
      <c r="H312" t="s">
        <v>2206</v>
      </c>
      <c r="I312">
        <v>0</v>
      </c>
    </row>
    <row r="313" spans="1:9" x14ac:dyDescent="0.25">
      <c r="A313" t="s">
        <v>2265</v>
      </c>
      <c r="B313" t="s">
        <v>2266</v>
      </c>
      <c r="C313" t="s">
        <v>56</v>
      </c>
      <c r="D313" t="s">
        <v>1388</v>
      </c>
      <c r="E313" t="s">
        <v>1349</v>
      </c>
      <c r="F313" t="s">
        <v>2267</v>
      </c>
      <c r="G313" t="s">
        <v>5780</v>
      </c>
      <c r="H313" t="s">
        <v>2268</v>
      </c>
      <c r="I313">
        <v>0</v>
      </c>
    </row>
    <row r="314" spans="1:9" x14ac:dyDescent="0.25">
      <c r="A314" t="s">
        <v>2269</v>
      </c>
      <c r="B314" t="s">
        <v>2270</v>
      </c>
      <c r="C314" t="s">
        <v>56</v>
      </c>
      <c r="D314" t="s">
        <v>1388</v>
      </c>
      <c r="E314" t="s">
        <v>1349</v>
      </c>
      <c r="F314" t="s">
        <v>2271</v>
      </c>
      <c r="G314" t="s">
        <v>5781</v>
      </c>
      <c r="H314" t="s">
        <v>2268</v>
      </c>
      <c r="I314">
        <v>0</v>
      </c>
    </row>
    <row r="315" spans="1:9" x14ac:dyDescent="0.25">
      <c r="A315" t="s">
        <v>2272</v>
      </c>
      <c r="B315" t="s">
        <v>2273</v>
      </c>
      <c r="C315" t="s">
        <v>56</v>
      </c>
      <c r="D315" t="s">
        <v>1388</v>
      </c>
      <c r="E315" t="s">
        <v>1349</v>
      </c>
      <c r="F315" t="s">
        <v>2274</v>
      </c>
      <c r="G315" t="s">
        <v>5782</v>
      </c>
      <c r="H315" t="s">
        <v>2275</v>
      </c>
      <c r="I315">
        <v>0</v>
      </c>
    </row>
    <row r="316" spans="1:9" x14ac:dyDescent="0.25">
      <c r="A316" t="s">
        <v>2276</v>
      </c>
      <c r="B316" t="s">
        <v>2277</v>
      </c>
      <c r="C316" t="s">
        <v>56</v>
      </c>
      <c r="D316" t="s">
        <v>1388</v>
      </c>
      <c r="E316" t="s">
        <v>1349</v>
      </c>
      <c r="F316" t="s">
        <v>2278</v>
      </c>
      <c r="G316" t="s">
        <v>5783</v>
      </c>
      <c r="H316" t="s">
        <v>1061</v>
      </c>
      <c r="I316">
        <v>0</v>
      </c>
    </row>
    <row r="317" spans="1:9" x14ac:dyDescent="0.25">
      <c r="A317" t="s">
        <v>2279</v>
      </c>
      <c r="B317" t="s">
        <v>2280</v>
      </c>
      <c r="C317" t="s">
        <v>56</v>
      </c>
      <c r="D317" t="s">
        <v>1388</v>
      </c>
      <c r="E317" t="s">
        <v>1349</v>
      </c>
      <c r="F317" t="s">
        <v>2281</v>
      </c>
      <c r="G317" t="s">
        <v>5784</v>
      </c>
      <c r="H317" t="s">
        <v>121</v>
      </c>
      <c r="I317">
        <v>0</v>
      </c>
    </row>
    <row r="318" spans="1:9" x14ac:dyDescent="0.25">
      <c r="A318" t="s">
        <v>2282</v>
      </c>
      <c r="B318" t="s">
        <v>2283</v>
      </c>
      <c r="C318" t="s">
        <v>56</v>
      </c>
      <c r="D318" t="s">
        <v>1388</v>
      </c>
      <c r="E318" t="s">
        <v>1349</v>
      </c>
      <c r="F318" t="s">
        <v>2284</v>
      </c>
      <c r="G318" t="s">
        <v>5785</v>
      </c>
      <c r="H318" t="s">
        <v>2285</v>
      </c>
      <c r="I318">
        <v>0</v>
      </c>
    </row>
    <row r="319" spans="1:9" x14ac:dyDescent="0.25">
      <c r="A319" t="s">
        <v>2286</v>
      </c>
      <c r="B319" t="s">
        <v>2287</v>
      </c>
      <c r="C319" t="s">
        <v>56</v>
      </c>
      <c r="D319" t="s">
        <v>1388</v>
      </c>
      <c r="E319" t="s">
        <v>1349</v>
      </c>
      <c r="F319" t="s">
        <v>2288</v>
      </c>
      <c r="G319" t="s">
        <v>5786</v>
      </c>
      <c r="H319" t="s">
        <v>130</v>
      </c>
      <c r="I319">
        <v>0</v>
      </c>
    </row>
    <row r="320" spans="1:9" x14ac:dyDescent="0.25">
      <c r="A320" t="s">
        <v>2289</v>
      </c>
      <c r="B320" t="s">
        <v>2290</v>
      </c>
      <c r="C320" t="s">
        <v>56</v>
      </c>
      <c r="D320" t="s">
        <v>1388</v>
      </c>
      <c r="E320" t="s">
        <v>1349</v>
      </c>
      <c r="F320" t="s">
        <v>2291</v>
      </c>
      <c r="G320" t="s">
        <v>5787</v>
      </c>
      <c r="H320" t="s">
        <v>2275</v>
      </c>
      <c r="I320">
        <v>0</v>
      </c>
    </row>
    <row r="321" spans="1:9" x14ac:dyDescent="0.25">
      <c r="A321" t="s">
        <v>2292</v>
      </c>
      <c r="B321" t="s">
        <v>2293</v>
      </c>
      <c r="C321" t="s">
        <v>56</v>
      </c>
      <c r="D321" t="s">
        <v>1388</v>
      </c>
      <c r="E321" t="s">
        <v>1349</v>
      </c>
      <c r="F321" t="s">
        <v>2294</v>
      </c>
      <c r="G321" t="s">
        <v>5788</v>
      </c>
      <c r="H321" t="s">
        <v>1061</v>
      </c>
      <c r="I321">
        <v>0</v>
      </c>
    </row>
    <row r="322" spans="1:9" x14ac:dyDescent="0.25">
      <c r="A322" t="s">
        <v>2295</v>
      </c>
      <c r="B322" t="s">
        <v>2296</v>
      </c>
      <c r="C322" t="s">
        <v>56</v>
      </c>
      <c r="D322" t="s">
        <v>1388</v>
      </c>
      <c r="E322" t="s">
        <v>1349</v>
      </c>
      <c r="F322" t="s">
        <v>2297</v>
      </c>
      <c r="G322" t="s">
        <v>5789</v>
      </c>
      <c r="H322" t="s">
        <v>1061</v>
      </c>
      <c r="I322">
        <v>0</v>
      </c>
    </row>
    <row r="323" spans="1:9" x14ac:dyDescent="0.25">
      <c r="A323" t="s">
        <v>2298</v>
      </c>
      <c r="B323" t="s">
        <v>2299</v>
      </c>
      <c r="C323" t="s">
        <v>56</v>
      </c>
      <c r="D323" t="s">
        <v>1388</v>
      </c>
      <c r="E323" t="s">
        <v>1349</v>
      </c>
      <c r="F323" t="s">
        <v>2300</v>
      </c>
      <c r="G323" t="s">
        <v>5790</v>
      </c>
      <c r="H323" t="s">
        <v>2275</v>
      </c>
      <c r="I323">
        <v>0</v>
      </c>
    </row>
    <row r="324" spans="1:9" x14ac:dyDescent="0.25">
      <c r="A324" t="s">
        <v>2301</v>
      </c>
      <c r="B324" t="s">
        <v>2302</v>
      </c>
      <c r="C324" t="s">
        <v>56</v>
      </c>
      <c r="D324" t="s">
        <v>1388</v>
      </c>
      <c r="E324" t="s">
        <v>1349</v>
      </c>
      <c r="F324" t="s">
        <v>2303</v>
      </c>
      <c r="G324" t="s">
        <v>5791</v>
      </c>
      <c r="H324" t="s">
        <v>2268</v>
      </c>
      <c r="I324">
        <v>0</v>
      </c>
    </row>
    <row r="325" spans="1:9" x14ac:dyDescent="0.25">
      <c r="A325" t="s">
        <v>2304</v>
      </c>
      <c r="B325" t="s">
        <v>2305</v>
      </c>
      <c r="C325" t="s">
        <v>56</v>
      </c>
      <c r="D325" t="s">
        <v>1388</v>
      </c>
      <c r="E325" t="s">
        <v>1349</v>
      </c>
      <c r="F325" t="s">
        <v>2306</v>
      </c>
      <c r="G325" t="s">
        <v>5792</v>
      </c>
      <c r="H325" t="s">
        <v>1061</v>
      </c>
      <c r="I325">
        <v>0</v>
      </c>
    </row>
    <row r="326" spans="1:9" x14ac:dyDescent="0.25">
      <c r="A326" t="s">
        <v>2307</v>
      </c>
      <c r="B326" t="s">
        <v>2308</v>
      </c>
      <c r="C326" t="s">
        <v>56</v>
      </c>
      <c r="D326" t="s">
        <v>1388</v>
      </c>
      <c r="E326" t="s">
        <v>1349</v>
      </c>
      <c r="F326" t="s">
        <v>2309</v>
      </c>
      <c r="G326" t="s">
        <v>5793</v>
      </c>
      <c r="H326" t="s">
        <v>2285</v>
      </c>
      <c r="I326">
        <v>0</v>
      </c>
    </row>
    <row r="327" spans="1:9" x14ac:dyDescent="0.25">
      <c r="A327" t="s">
        <v>2310</v>
      </c>
      <c r="B327" t="s">
        <v>2311</v>
      </c>
      <c r="C327" t="s">
        <v>27</v>
      </c>
      <c r="D327" t="s">
        <v>1348</v>
      </c>
      <c r="E327" t="s">
        <v>1349</v>
      </c>
      <c r="F327" t="s">
        <v>2312</v>
      </c>
      <c r="G327" t="s">
        <v>5794</v>
      </c>
      <c r="H327" t="s">
        <v>435</v>
      </c>
      <c r="I327">
        <v>0</v>
      </c>
    </row>
    <row r="328" spans="1:9" x14ac:dyDescent="0.25">
      <c r="A328" t="s">
        <v>2313</v>
      </c>
      <c r="B328" t="s">
        <v>2314</v>
      </c>
      <c r="C328" t="s">
        <v>27</v>
      </c>
      <c r="D328" t="s">
        <v>1348</v>
      </c>
      <c r="E328" t="s">
        <v>1349</v>
      </c>
      <c r="F328" t="s">
        <v>2315</v>
      </c>
      <c r="G328" t="s">
        <v>5795</v>
      </c>
      <c r="H328" t="s">
        <v>2316</v>
      </c>
      <c r="I328">
        <v>0</v>
      </c>
    </row>
    <row r="329" spans="1:9" x14ac:dyDescent="0.25">
      <c r="A329" t="s">
        <v>2317</v>
      </c>
      <c r="B329" t="s">
        <v>2318</v>
      </c>
      <c r="C329" t="s">
        <v>27</v>
      </c>
      <c r="D329" t="s">
        <v>1348</v>
      </c>
      <c r="E329" t="s">
        <v>1349</v>
      </c>
      <c r="F329" t="s">
        <v>2319</v>
      </c>
      <c r="G329" t="s">
        <v>5796</v>
      </c>
      <c r="H329" t="s">
        <v>456</v>
      </c>
      <c r="I329">
        <v>0</v>
      </c>
    </row>
    <row r="330" spans="1:9" x14ac:dyDescent="0.25">
      <c r="A330" t="s">
        <v>2320</v>
      </c>
      <c r="B330" t="s">
        <v>2321</v>
      </c>
      <c r="C330" t="s">
        <v>27</v>
      </c>
      <c r="D330" t="s">
        <v>1348</v>
      </c>
      <c r="E330" t="s">
        <v>1349</v>
      </c>
      <c r="F330" t="s">
        <v>2322</v>
      </c>
      <c r="G330" t="s">
        <v>5797</v>
      </c>
      <c r="H330" t="s">
        <v>456</v>
      </c>
      <c r="I330">
        <v>0</v>
      </c>
    </row>
    <row r="331" spans="1:9" x14ac:dyDescent="0.25">
      <c r="A331" t="s">
        <v>2323</v>
      </c>
      <c r="B331" t="s">
        <v>2324</v>
      </c>
      <c r="C331" t="s">
        <v>27</v>
      </c>
      <c r="D331" t="s">
        <v>1348</v>
      </c>
      <c r="E331" t="s">
        <v>1349</v>
      </c>
      <c r="F331" t="s">
        <v>2325</v>
      </c>
      <c r="G331" t="s">
        <v>5798</v>
      </c>
      <c r="H331">
        <v>0</v>
      </c>
      <c r="I331">
        <v>0</v>
      </c>
    </row>
    <row r="332" spans="1:9" x14ac:dyDescent="0.25">
      <c r="A332" t="s">
        <v>2326</v>
      </c>
      <c r="B332" t="s">
        <v>2327</v>
      </c>
      <c r="C332" t="s">
        <v>27</v>
      </c>
      <c r="D332" t="s">
        <v>1348</v>
      </c>
      <c r="E332" t="s">
        <v>1349</v>
      </c>
      <c r="F332" t="s">
        <v>2328</v>
      </c>
      <c r="G332" t="s">
        <v>5799</v>
      </c>
      <c r="H332" t="s">
        <v>2329</v>
      </c>
      <c r="I332">
        <v>0</v>
      </c>
    </row>
    <row r="333" spans="1:9" x14ac:dyDescent="0.25">
      <c r="A333" t="s">
        <v>2330</v>
      </c>
      <c r="B333" t="s">
        <v>2331</v>
      </c>
      <c r="C333" t="s">
        <v>27</v>
      </c>
      <c r="D333" t="s">
        <v>1348</v>
      </c>
      <c r="E333" t="s">
        <v>1349</v>
      </c>
      <c r="F333" t="s">
        <v>2332</v>
      </c>
      <c r="G333" t="s">
        <v>5800</v>
      </c>
      <c r="H333" t="s">
        <v>430</v>
      </c>
      <c r="I333">
        <v>0</v>
      </c>
    </row>
    <row r="334" spans="1:9" x14ac:dyDescent="0.25">
      <c r="A334" t="s">
        <v>2333</v>
      </c>
      <c r="B334" t="s">
        <v>2334</v>
      </c>
      <c r="C334" t="s">
        <v>27</v>
      </c>
      <c r="D334" t="s">
        <v>1348</v>
      </c>
      <c r="E334" t="s">
        <v>1349</v>
      </c>
      <c r="F334" t="s">
        <v>2335</v>
      </c>
      <c r="G334" t="s">
        <v>5801</v>
      </c>
      <c r="H334" t="s">
        <v>2336</v>
      </c>
      <c r="I334">
        <v>0</v>
      </c>
    </row>
    <row r="335" spans="1:9" x14ac:dyDescent="0.25">
      <c r="A335" t="s">
        <v>2337</v>
      </c>
      <c r="B335" t="s">
        <v>2338</v>
      </c>
      <c r="C335" t="s">
        <v>27</v>
      </c>
      <c r="D335" t="s">
        <v>1348</v>
      </c>
      <c r="E335" t="s">
        <v>1349</v>
      </c>
      <c r="F335" t="s">
        <v>2339</v>
      </c>
      <c r="G335" t="s">
        <v>5802</v>
      </c>
      <c r="H335" t="s">
        <v>423</v>
      </c>
      <c r="I335">
        <v>0</v>
      </c>
    </row>
    <row r="336" spans="1:9" x14ac:dyDescent="0.25">
      <c r="A336" t="s">
        <v>2340</v>
      </c>
      <c r="B336" t="s">
        <v>2341</v>
      </c>
      <c r="C336" t="s">
        <v>27</v>
      </c>
      <c r="D336" t="s">
        <v>1348</v>
      </c>
      <c r="E336" t="s">
        <v>1349</v>
      </c>
      <c r="F336" t="s">
        <v>2342</v>
      </c>
      <c r="G336" t="s">
        <v>5803</v>
      </c>
      <c r="H336" t="s">
        <v>423</v>
      </c>
      <c r="I336">
        <v>0</v>
      </c>
    </row>
    <row r="337" spans="1:9" x14ac:dyDescent="0.25">
      <c r="A337" t="s">
        <v>2343</v>
      </c>
      <c r="B337" t="s">
        <v>2344</v>
      </c>
      <c r="C337" t="s">
        <v>27</v>
      </c>
      <c r="D337" t="s">
        <v>1348</v>
      </c>
      <c r="E337" t="s">
        <v>1349</v>
      </c>
      <c r="F337" t="s">
        <v>2345</v>
      </c>
      <c r="G337" t="s">
        <v>5804</v>
      </c>
      <c r="H337">
        <v>0</v>
      </c>
      <c r="I337">
        <v>0</v>
      </c>
    </row>
    <row r="338" spans="1:9" x14ac:dyDescent="0.25">
      <c r="A338" t="s">
        <v>2346</v>
      </c>
      <c r="B338" t="s">
        <v>2347</v>
      </c>
      <c r="C338" t="s">
        <v>27</v>
      </c>
      <c r="D338" t="s">
        <v>1348</v>
      </c>
      <c r="E338" t="s">
        <v>1349</v>
      </c>
      <c r="F338" t="s">
        <v>2348</v>
      </c>
      <c r="G338" t="s">
        <v>5805</v>
      </c>
      <c r="H338" t="s">
        <v>2329</v>
      </c>
      <c r="I338">
        <v>0</v>
      </c>
    </row>
    <row r="339" spans="1:9" x14ac:dyDescent="0.25">
      <c r="A339" t="s">
        <v>2349</v>
      </c>
      <c r="B339" t="s">
        <v>2350</v>
      </c>
      <c r="C339" t="s">
        <v>27</v>
      </c>
      <c r="D339" t="s">
        <v>1348</v>
      </c>
      <c r="E339" t="s">
        <v>1349</v>
      </c>
      <c r="F339" t="s">
        <v>2351</v>
      </c>
      <c r="G339" t="s">
        <v>5806</v>
      </c>
      <c r="H339" t="s">
        <v>425</v>
      </c>
      <c r="I339">
        <v>0</v>
      </c>
    </row>
    <row r="340" spans="1:9" x14ac:dyDescent="0.25">
      <c r="A340" t="s">
        <v>2352</v>
      </c>
      <c r="B340" t="s">
        <v>2353</v>
      </c>
      <c r="C340" t="s">
        <v>27</v>
      </c>
      <c r="D340" t="s">
        <v>1348</v>
      </c>
      <c r="E340" t="s">
        <v>1349</v>
      </c>
      <c r="F340" t="s">
        <v>2354</v>
      </c>
      <c r="G340" t="s">
        <v>5807</v>
      </c>
      <c r="H340" t="s">
        <v>2355</v>
      </c>
      <c r="I340">
        <v>0</v>
      </c>
    </row>
    <row r="341" spans="1:9" x14ac:dyDescent="0.25">
      <c r="A341" t="s">
        <v>2356</v>
      </c>
      <c r="B341" t="s">
        <v>2357</v>
      </c>
      <c r="C341" t="s">
        <v>27</v>
      </c>
      <c r="D341" t="s">
        <v>1348</v>
      </c>
      <c r="E341" t="s">
        <v>1349</v>
      </c>
      <c r="F341" t="s">
        <v>2373</v>
      </c>
      <c r="G341" t="s">
        <v>5808</v>
      </c>
      <c r="H341">
        <v>0</v>
      </c>
      <c r="I341" t="s">
        <v>2358</v>
      </c>
    </row>
    <row r="342" spans="1:9" x14ac:dyDescent="0.25">
      <c r="A342" t="s">
        <v>2359</v>
      </c>
      <c r="B342" t="s">
        <v>2360</v>
      </c>
      <c r="C342" t="s">
        <v>27</v>
      </c>
      <c r="D342" t="s">
        <v>1348</v>
      </c>
      <c r="E342" t="s">
        <v>1349</v>
      </c>
      <c r="F342" t="s">
        <v>2361</v>
      </c>
      <c r="G342" t="s">
        <v>5809</v>
      </c>
      <c r="H342">
        <v>0</v>
      </c>
      <c r="I342">
        <v>0</v>
      </c>
    </row>
    <row r="343" spans="1:9" x14ac:dyDescent="0.25">
      <c r="A343" t="s">
        <v>2362</v>
      </c>
      <c r="B343" t="s">
        <v>2363</v>
      </c>
      <c r="C343" t="s">
        <v>27</v>
      </c>
      <c r="D343" t="s">
        <v>1348</v>
      </c>
      <c r="E343" t="s">
        <v>1349</v>
      </c>
      <c r="F343" t="s">
        <v>2364</v>
      </c>
      <c r="G343" t="s">
        <v>5810</v>
      </c>
      <c r="H343" t="s">
        <v>2329</v>
      </c>
      <c r="I343">
        <v>0</v>
      </c>
    </row>
    <row r="344" spans="1:9" x14ac:dyDescent="0.25">
      <c r="A344" t="s">
        <v>2365</v>
      </c>
      <c r="B344" t="s">
        <v>2366</v>
      </c>
      <c r="C344" t="s">
        <v>27</v>
      </c>
      <c r="D344" t="s">
        <v>1348</v>
      </c>
      <c r="E344" t="s">
        <v>1349</v>
      </c>
      <c r="F344" t="s">
        <v>2367</v>
      </c>
      <c r="G344" t="s">
        <v>5811</v>
      </c>
      <c r="H344" t="s">
        <v>456</v>
      </c>
      <c r="I344">
        <v>0</v>
      </c>
    </row>
    <row r="345" spans="1:9" x14ac:dyDescent="0.25">
      <c r="A345" t="s">
        <v>2368</v>
      </c>
      <c r="B345" t="s">
        <v>2369</v>
      </c>
      <c r="C345" t="s">
        <v>27</v>
      </c>
      <c r="D345" t="s">
        <v>1348</v>
      </c>
      <c r="E345" t="s">
        <v>1349</v>
      </c>
      <c r="F345" t="s">
        <v>2370</v>
      </c>
      <c r="G345" t="s">
        <v>5812</v>
      </c>
      <c r="H345" t="s">
        <v>456</v>
      </c>
      <c r="I345">
        <v>0</v>
      </c>
    </row>
    <row r="346" spans="1:9" x14ac:dyDescent="0.25">
      <c r="A346" t="s">
        <v>2371</v>
      </c>
      <c r="B346" t="s">
        <v>2372</v>
      </c>
      <c r="C346" t="s">
        <v>27</v>
      </c>
      <c r="D346" t="s">
        <v>1348</v>
      </c>
      <c r="E346" t="s">
        <v>1349</v>
      </c>
      <c r="F346" t="s">
        <v>2373</v>
      </c>
      <c r="G346" t="s">
        <v>5813</v>
      </c>
      <c r="H346">
        <v>0</v>
      </c>
      <c r="I346" t="s">
        <v>2374</v>
      </c>
    </row>
    <row r="347" spans="1:9" x14ac:dyDescent="0.25">
      <c r="A347" t="s">
        <v>2375</v>
      </c>
      <c r="B347" t="s">
        <v>2376</v>
      </c>
      <c r="C347" t="s">
        <v>27</v>
      </c>
      <c r="D347" t="s">
        <v>1348</v>
      </c>
      <c r="E347" t="s">
        <v>1349</v>
      </c>
      <c r="F347" t="s">
        <v>2377</v>
      </c>
      <c r="G347" t="s">
        <v>5814</v>
      </c>
      <c r="H347" t="s">
        <v>2329</v>
      </c>
      <c r="I347">
        <v>0</v>
      </c>
    </row>
    <row r="348" spans="1:9" x14ac:dyDescent="0.25">
      <c r="A348" t="s">
        <v>2378</v>
      </c>
      <c r="B348" t="s">
        <v>2379</v>
      </c>
      <c r="C348" t="s">
        <v>27</v>
      </c>
      <c r="D348" t="s">
        <v>1348</v>
      </c>
      <c r="E348" t="s">
        <v>1349</v>
      </c>
      <c r="F348" t="s">
        <v>2380</v>
      </c>
      <c r="G348" t="s">
        <v>5815</v>
      </c>
      <c r="H348" t="s">
        <v>425</v>
      </c>
      <c r="I348">
        <v>0</v>
      </c>
    </row>
    <row r="349" spans="1:9" x14ac:dyDescent="0.25">
      <c r="A349" t="s">
        <v>2381</v>
      </c>
      <c r="B349" t="s">
        <v>2382</v>
      </c>
      <c r="C349" t="s">
        <v>27</v>
      </c>
      <c r="D349" t="s">
        <v>1348</v>
      </c>
      <c r="E349" t="s">
        <v>1349</v>
      </c>
      <c r="F349" t="s">
        <v>2383</v>
      </c>
      <c r="G349" t="s">
        <v>5816</v>
      </c>
      <c r="H349" t="s">
        <v>430</v>
      </c>
      <c r="I349">
        <v>0</v>
      </c>
    </row>
    <row r="350" spans="1:9" x14ac:dyDescent="0.25">
      <c r="A350" t="s">
        <v>2384</v>
      </c>
      <c r="B350" t="s">
        <v>2385</v>
      </c>
      <c r="C350" t="s">
        <v>27</v>
      </c>
      <c r="D350" t="s">
        <v>1348</v>
      </c>
      <c r="E350" t="s">
        <v>1349</v>
      </c>
      <c r="F350" t="s">
        <v>2386</v>
      </c>
      <c r="G350" t="s">
        <v>5817</v>
      </c>
      <c r="H350" t="s">
        <v>430</v>
      </c>
      <c r="I350">
        <v>0</v>
      </c>
    </row>
    <row r="351" spans="1:9" x14ac:dyDescent="0.25">
      <c r="A351" t="s">
        <v>2387</v>
      </c>
      <c r="B351" t="s">
        <v>2388</v>
      </c>
      <c r="C351" t="s">
        <v>27</v>
      </c>
      <c r="D351" t="s">
        <v>1348</v>
      </c>
      <c r="E351" t="s">
        <v>1349</v>
      </c>
      <c r="F351" t="s">
        <v>2389</v>
      </c>
      <c r="G351" t="s">
        <v>5818</v>
      </c>
      <c r="H351" t="s">
        <v>460</v>
      </c>
      <c r="I351">
        <v>0</v>
      </c>
    </row>
    <row r="352" spans="1:9" x14ac:dyDescent="0.25">
      <c r="A352" t="s">
        <v>2390</v>
      </c>
      <c r="B352" t="s">
        <v>2391</v>
      </c>
      <c r="C352" t="s">
        <v>27</v>
      </c>
      <c r="D352" t="s">
        <v>1348</v>
      </c>
      <c r="E352" t="s">
        <v>1349</v>
      </c>
      <c r="F352" t="s">
        <v>2392</v>
      </c>
      <c r="G352" t="s">
        <v>5819</v>
      </c>
      <c r="H352" t="s">
        <v>460</v>
      </c>
      <c r="I352">
        <v>0</v>
      </c>
    </row>
    <row r="353" spans="1:9" x14ac:dyDescent="0.25">
      <c r="A353" t="s">
        <v>2393</v>
      </c>
      <c r="B353" t="s">
        <v>2394</v>
      </c>
      <c r="C353" t="s">
        <v>27</v>
      </c>
      <c r="D353" t="s">
        <v>1348</v>
      </c>
      <c r="E353" t="s">
        <v>1349</v>
      </c>
      <c r="F353" t="s">
        <v>2395</v>
      </c>
      <c r="G353" t="s">
        <v>5820</v>
      </c>
      <c r="H353" t="s">
        <v>2355</v>
      </c>
      <c r="I353">
        <v>0</v>
      </c>
    </row>
    <row r="354" spans="1:9" x14ac:dyDescent="0.25">
      <c r="A354" t="s">
        <v>2396</v>
      </c>
      <c r="B354" t="s">
        <v>2397</v>
      </c>
      <c r="C354" t="s">
        <v>27</v>
      </c>
      <c r="D354" t="s">
        <v>1348</v>
      </c>
      <c r="E354" t="s">
        <v>1349</v>
      </c>
      <c r="F354" t="s">
        <v>2398</v>
      </c>
      <c r="G354" t="s">
        <v>5821</v>
      </c>
      <c r="H354" t="s">
        <v>2355</v>
      </c>
      <c r="I354">
        <v>0</v>
      </c>
    </row>
    <row r="355" spans="1:9" x14ac:dyDescent="0.25">
      <c r="A355" t="s">
        <v>2399</v>
      </c>
      <c r="B355" t="s">
        <v>2400</v>
      </c>
      <c r="C355" t="s">
        <v>27</v>
      </c>
      <c r="D355" t="s">
        <v>1348</v>
      </c>
      <c r="E355" t="s">
        <v>1349</v>
      </c>
      <c r="F355" t="s">
        <v>2401</v>
      </c>
      <c r="G355" t="s">
        <v>5822</v>
      </c>
      <c r="H355" t="s">
        <v>2402</v>
      </c>
      <c r="I355">
        <v>0</v>
      </c>
    </row>
    <row r="356" spans="1:9" x14ac:dyDescent="0.25">
      <c r="A356" t="s">
        <v>2403</v>
      </c>
      <c r="B356" t="s">
        <v>2404</v>
      </c>
      <c r="C356" t="s">
        <v>27</v>
      </c>
      <c r="D356" t="s">
        <v>1348</v>
      </c>
      <c r="E356" t="s">
        <v>1349</v>
      </c>
      <c r="F356" t="s">
        <v>2405</v>
      </c>
      <c r="G356" t="s">
        <v>5823</v>
      </c>
      <c r="H356" t="s">
        <v>2329</v>
      </c>
      <c r="I356">
        <v>0</v>
      </c>
    </row>
    <row r="357" spans="1:9" x14ac:dyDescent="0.25">
      <c r="A357" t="s">
        <v>2406</v>
      </c>
      <c r="B357" t="s">
        <v>2407</v>
      </c>
      <c r="C357" t="s">
        <v>27</v>
      </c>
      <c r="D357" t="s">
        <v>1348</v>
      </c>
      <c r="E357" t="s">
        <v>1349</v>
      </c>
      <c r="F357" t="s">
        <v>2408</v>
      </c>
      <c r="G357" t="s">
        <v>5824</v>
      </c>
      <c r="H357" t="s">
        <v>2336</v>
      </c>
      <c r="I357">
        <v>0</v>
      </c>
    </row>
    <row r="358" spans="1:9" x14ac:dyDescent="0.25">
      <c r="A358" t="s">
        <v>2409</v>
      </c>
      <c r="B358" t="s">
        <v>2410</v>
      </c>
      <c r="C358" t="s">
        <v>27</v>
      </c>
      <c r="D358" t="s">
        <v>1348</v>
      </c>
      <c r="E358" t="s">
        <v>1349</v>
      </c>
      <c r="F358" t="s">
        <v>2411</v>
      </c>
      <c r="G358" t="s">
        <v>5825</v>
      </c>
      <c r="H358">
        <v>0</v>
      </c>
      <c r="I358">
        <v>0</v>
      </c>
    </row>
    <row r="359" spans="1:9" x14ac:dyDescent="0.25">
      <c r="A359" t="s">
        <v>2412</v>
      </c>
      <c r="B359" t="s">
        <v>2413</v>
      </c>
      <c r="C359" t="s">
        <v>27</v>
      </c>
      <c r="D359" t="s">
        <v>1348</v>
      </c>
      <c r="E359" t="s">
        <v>1349</v>
      </c>
      <c r="F359" t="s">
        <v>2414</v>
      </c>
      <c r="G359" t="s">
        <v>5826</v>
      </c>
      <c r="H359" t="s">
        <v>425</v>
      </c>
      <c r="I359">
        <v>0</v>
      </c>
    </row>
    <row r="360" spans="1:9" x14ac:dyDescent="0.25">
      <c r="A360" t="s">
        <v>2415</v>
      </c>
      <c r="B360" t="s">
        <v>2416</v>
      </c>
      <c r="C360" t="s">
        <v>27</v>
      </c>
      <c r="D360" t="s">
        <v>1348</v>
      </c>
      <c r="E360" t="s">
        <v>1349</v>
      </c>
      <c r="F360" t="s">
        <v>2417</v>
      </c>
      <c r="G360" t="s">
        <v>5827</v>
      </c>
      <c r="H360" t="s">
        <v>456</v>
      </c>
      <c r="I360">
        <v>0</v>
      </c>
    </row>
    <row r="361" spans="1:9" x14ac:dyDescent="0.25">
      <c r="A361" t="s">
        <v>2418</v>
      </c>
      <c r="B361" t="s">
        <v>2419</v>
      </c>
      <c r="C361" t="s">
        <v>27</v>
      </c>
      <c r="D361" t="s">
        <v>1348</v>
      </c>
      <c r="E361" t="s">
        <v>1349</v>
      </c>
      <c r="F361" t="s">
        <v>2420</v>
      </c>
      <c r="G361" t="s">
        <v>5828</v>
      </c>
      <c r="H361" t="s">
        <v>425</v>
      </c>
      <c r="I361">
        <v>0</v>
      </c>
    </row>
    <row r="362" spans="1:9" x14ac:dyDescent="0.25">
      <c r="A362" t="s">
        <v>2421</v>
      </c>
      <c r="B362" t="s">
        <v>2422</v>
      </c>
      <c r="C362" t="s">
        <v>28</v>
      </c>
      <c r="D362" t="s">
        <v>1297</v>
      </c>
      <c r="E362" t="s">
        <v>1298</v>
      </c>
      <c r="F362" t="s">
        <v>2423</v>
      </c>
      <c r="G362" t="s">
        <v>5829</v>
      </c>
      <c r="H362">
        <v>0</v>
      </c>
      <c r="I362">
        <v>0</v>
      </c>
    </row>
    <row r="363" spans="1:9" x14ac:dyDescent="0.25">
      <c r="A363" t="s">
        <v>2424</v>
      </c>
      <c r="B363" t="s">
        <v>2425</v>
      </c>
      <c r="C363" t="s">
        <v>28</v>
      </c>
      <c r="D363" t="s">
        <v>1297</v>
      </c>
      <c r="E363" t="s">
        <v>1298</v>
      </c>
      <c r="F363" t="s">
        <v>2426</v>
      </c>
      <c r="G363" t="s">
        <v>5830</v>
      </c>
      <c r="H363">
        <v>0</v>
      </c>
      <c r="I363">
        <v>0</v>
      </c>
    </row>
    <row r="364" spans="1:9" x14ac:dyDescent="0.25">
      <c r="A364" t="s">
        <v>2427</v>
      </c>
      <c r="B364" t="s">
        <v>2428</v>
      </c>
      <c r="C364" t="s">
        <v>28</v>
      </c>
      <c r="D364" t="s">
        <v>1297</v>
      </c>
      <c r="E364" t="s">
        <v>1298</v>
      </c>
      <c r="F364" t="s">
        <v>2429</v>
      </c>
      <c r="G364" t="s">
        <v>5831</v>
      </c>
      <c r="H364">
        <v>0</v>
      </c>
      <c r="I364">
        <v>0</v>
      </c>
    </row>
    <row r="365" spans="1:9" x14ac:dyDescent="0.25">
      <c r="A365" t="s">
        <v>2430</v>
      </c>
      <c r="B365" t="s">
        <v>2431</v>
      </c>
      <c r="C365" t="s">
        <v>28</v>
      </c>
      <c r="D365" t="s">
        <v>1297</v>
      </c>
      <c r="E365" t="s">
        <v>1298</v>
      </c>
      <c r="F365" t="s">
        <v>2432</v>
      </c>
      <c r="G365" t="s">
        <v>5832</v>
      </c>
      <c r="H365">
        <v>0</v>
      </c>
      <c r="I365">
        <v>0</v>
      </c>
    </row>
    <row r="366" spans="1:9" x14ac:dyDescent="0.25">
      <c r="A366" t="s">
        <v>2433</v>
      </c>
      <c r="B366" t="s">
        <v>2434</v>
      </c>
      <c r="C366" t="s">
        <v>28</v>
      </c>
      <c r="D366" t="s">
        <v>1297</v>
      </c>
      <c r="E366" t="s">
        <v>1298</v>
      </c>
      <c r="F366" t="s">
        <v>2435</v>
      </c>
      <c r="G366" t="s">
        <v>5833</v>
      </c>
      <c r="H366">
        <v>0</v>
      </c>
      <c r="I366">
        <v>0</v>
      </c>
    </row>
    <row r="367" spans="1:9" x14ac:dyDescent="0.25">
      <c r="A367" t="s">
        <v>2436</v>
      </c>
      <c r="B367" t="s">
        <v>2437</v>
      </c>
      <c r="C367" t="s">
        <v>28</v>
      </c>
      <c r="D367" t="s">
        <v>1297</v>
      </c>
      <c r="E367" t="s">
        <v>1298</v>
      </c>
      <c r="F367" t="s">
        <v>2438</v>
      </c>
      <c r="G367" t="s">
        <v>5834</v>
      </c>
      <c r="H367">
        <v>0</v>
      </c>
      <c r="I367">
        <v>0</v>
      </c>
    </row>
    <row r="368" spans="1:9" x14ac:dyDescent="0.25">
      <c r="A368" t="s">
        <v>2439</v>
      </c>
      <c r="B368" t="s">
        <v>2440</v>
      </c>
      <c r="C368" t="s">
        <v>28</v>
      </c>
      <c r="D368" t="s">
        <v>1297</v>
      </c>
      <c r="E368" t="s">
        <v>1298</v>
      </c>
      <c r="F368" t="s">
        <v>2441</v>
      </c>
      <c r="G368" t="s">
        <v>5835</v>
      </c>
      <c r="H368">
        <v>0</v>
      </c>
      <c r="I368">
        <v>0</v>
      </c>
    </row>
    <row r="369" spans="1:9" x14ac:dyDescent="0.25">
      <c r="A369" t="s">
        <v>2442</v>
      </c>
      <c r="B369" t="s">
        <v>2443</v>
      </c>
      <c r="C369" t="s">
        <v>28</v>
      </c>
      <c r="D369" t="s">
        <v>1297</v>
      </c>
      <c r="E369" t="s">
        <v>1298</v>
      </c>
      <c r="F369" t="s">
        <v>2446</v>
      </c>
      <c r="G369" t="s">
        <v>5836</v>
      </c>
      <c r="H369">
        <v>0</v>
      </c>
      <c r="I369">
        <v>0</v>
      </c>
    </row>
    <row r="370" spans="1:9" x14ac:dyDescent="0.25">
      <c r="A370" t="s">
        <v>2444</v>
      </c>
      <c r="B370" t="s">
        <v>2445</v>
      </c>
      <c r="C370" t="s">
        <v>28</v>
      </c>
      <c r="D370" t="s">
        <v>1297</v>
      </c>
      <c r="E370" t="s">
        <v>1298</v>
      </c>
      <c r="F370" t="s">
        <v>2446</v>
      </c>
      <c r="G370" t="s">
        <v>5836</v>
      </c>
      <c r="H370">
        <v>0</v>
      </c>
      <c r="I370">
        <v>0</v>
      </c>
    </row>
    <row r="371" spans="1:9" x14ac:dyDescent="0.25">
      <c r="A371" t="s">
        <v>2447</v>
      </c>
      <c r="B371" t="s">
        <v>2448</v>
      </c>
      <c r="C371" t="s">
        <v>28</v>
      </c>
      <c r="D371" t="s">
        <v>1297</v>
      </c>
      <c r="E371" t="s">
        <v>1298</v>
      </c>
      <c r="F371" t="s">
        <v>2449</v>
      </c>
      <c r="G371" t="s">
        <v>5837</v>
      </c>
      <c r="H371">
        <v>0</v>
      </c>
      <c r="I371">
        <v>0</v>
      </c>
    </row>
    <row r="372" spans="1:9" x14ac:dyDescent="0.25">
      <c r="A372" t="s">
        <v>2450</v>
      </c>
      <c r="B372" t="s">
        <v>2451</v>
      </c>
      <c r="C372" t="s">
        <v>28</v>
      </c>
      <c r="D372" t="s">
        <v>1297</v>
      </c>
      <c r="E372" t="s">
        <v>1298</v>
      </c>
      <c r="F372" t="s">
        <v>2452</v>
      </c>
      <c r="G372" t="s">
        <v>5838</v>
      </c>
      <c r="H372">
        <v>0</v>
      </c>
      <c r="I372">
        <v>0</v>
      </c>
    </row>
    <row r="373" spans="1:9" x14ac:dyDescent="0.25">
      <c r="A373" t="s">
        <v>2453</v>
      </c>
      <c r="B373" t="s">
        <v>2454</v>
      </c>
      <c r="C373" t="s">
        <v>28</v>
      </c>
      <c r="D373" t="s">
        <v>1297</v>
      </c>
      <c r="E373" t="s">
        <v>1298</v>
      </c>
      <c r="F373" t="s">
        <v>2455</v>
      </c>
      <c r="G373" t="s">
        <v>5839</v>
      </c>
      <c r="H373">
        <v>0</v>
      </c>
      <c r="I373">
        <v>0</v>
      </c>
    </row>
    <row r="374" spans="1:9" x14ac:dyDescent="0.25">
      <c r="A374" t="s">
        <v>2456</v>
      </c>
      <c r="B374" t="s">
        <v>2457</v>
      </c>
      <c r="C374" t="s">
        <v>28</v>
      </c>
      <c r="D374" t="s">
        <v>1297</v>
      </c>
      <c r="E374" t="s">
        <v>1298</v>
      </c>
      <c r="F374" t="s">
        <v>2458</v>
      </c>
      <c r="G374" t="s">
        <v>5840</v>
      </c>
      <c r="H374">
        <v>0</v>
      </c>
      <c r="I374">
        <v>0</v>
      </c>
    </row>
    <row r="375" spans="1:9" x14ac:dyDescent="0.25">
      <c r="A375" t="s">
        <v>2459</v>
      </c>
      <c r="B375" t="s">
        <v>2460</v>
      </c>
      <c r="C375" t="s">
        <v>28</v>
      </c>
      <c r="D375" t="s">
        <v>1297</v>
      </c>
      <c r="E375" t="s">
        <v>1298</v>
      </c>
      <c r="F375" t="s">
        <v>2461</v>
      </c>
      <c r="G375" t="s">
        <v>5841</v>
      </c>
      <c r="H375">
        <v>0</v>
      </c>
      <c r="I375">
        <v>0</v>
      </c>
    </row>
    <row r="376" spans="1:9" x14ac:dyDescent="0.25">
      <c r="A376" t="s">
        <v>2462</v>
      </c>
      <c r="B376" t="s">
        <v>2463</v>
      </c>
      <c r="C376" t="s">
        <v>28</v>
      </c>
      <c r="D376" t="s">
        <v>1297</v>
      </c>
      <c r="E376" t="s">
        <v>1298</v>
      </c>
      <c r="F376" t="s">
        <v>2464</v>
      </c>
      <c r="G376" t="s">
        <v>5842</v>
      </c>
      <c r="H376">
        <v>0</v>
      </c>
      <c r="I376">
        <v>0</v>
      </c>
    </row>
    <row r="377" spans="1:9" x14ac:dyDescent="0.25">
      <c r="A377" t="s">
        <v>2465</v>
      </c>
      <c r="B377" t="s">
        <v>2466</v>
      </c>
      <c r="C377" t="s">
        <v>28</v>
      </c>
      <c r="D377" t="s">
        <v>1297</v>
      </c>
      <c r="E377" t="s">
        <v>1298</v>
      </c>
      <c r="F377" t="s">
        <v>2467</v>
      </c>
      <c r="G377" t="s">
        <v>5843</v>
      </c>
      <c r="H377">
        <v>0</v>
      </c>
      <c r="I377">
        <v>0</v>
      </c>
    </row>
    <row r="378" spans="1:9" x14ac:dyDescent="0.25">
      <c r="A378" t="s">
        <v>2468</v>
      </c>
      <c r="B378" t="s">
        <v>2469</v>
      </c>
      <c r="C378" t="s">
        <v>28</v>
      </c>
      <c r="D378" t="s">
        <v>1297</v>
      </c>
      <c r="E378" t="s">
        <v>1298</v>
      </c>
      <c r="F378" t="s">
        <v>2470</v>
      </c>
      <c r="G378" t="s">
        <v>5844</v>
      </c>
      <c r="H378">
        <v>0</v>
      </c>
      <c r="I378">
        <v>0</v>
      </c>
    </row>
    <row r="379" spans="1:9" x14ac:dyDescent="0.25">
      <c r="A379" t="s">
        <v>2471</v>
      </c>
      <c r="B379" t="s">
        <v>2472</v>
      </c>
      <c r="C379" t="s">
        <v>28</v>
      </c>
      <c r="D379" t="s">
        <v>1297</v>
      </c>
      <c r="E379" t="s">
        <v>1298</v>
      </c>
      <c r="F379" t="s">
        <v>2473</v>
      </c>
      <c r="G379" t="s">
        <v>5845</v>
      </c>
      <c r="H379">
        <v>0</v>
      </c>
      <c r="I379">
        <v>0</v>
      </c>
    </row>
    <row r="380" spans="1:9" x14ac:dyDescent="0.25">
      <c r="A380" t="s">
        <v>2474</v>
      </c>
      <c r="B380" t="s">
        <v>2475</v>
      </c>
      <c r="C380" t="s">
        <v>28</v>
      </c>
      <c r="D380" t="s">
        <v>1297</v>
      </c>
      <c r="E380" t="s">
        <v>1298</v>
      </c>
      <c r="F380" t="s">
        <v>2476</v>
      </c>
      <c r="G380" t="s">
        <v>5846</v>
      </c>
      <c r="H380">
        <v>0</v>
      </c>
      <c r="I380">
        <v>0</v>
      </c>
    </row>
    <row r="381" spans="1:9" x14ac:dyDescent="0.25">
      <c r="A381" t="s">
        <v>2477</v>
      </c>
      <c r="B381" t="s">
        <v>2478</v>
      </c>
      <c r="C381" t="s">
        <v>2479</v>
      </c>
      <c r="D381" t="s">
        <v>1567</v>
      </c>
      <c r="E381" t="s">
        <v>1298</v>
      </c>
      <c r="F381" t="s">
        <v>2480</v>
      </c>
      <c r="G381" t="s">
        <v>5847</v>
      </c>
      <c r="H381">
        <v>0</v>
      </c>
      <c r="I381">
        <v>0</v>
      </c>
    </row>
    <row r="382" spans="1:9" x14ac:dyDescent="0.25">
      <c r="A382" t="s">
        <v>2481</v>
      </c>
      <c r="B382" t="s">
        <v>2482</v>
      </c>
      <c r="C382" t="s">
        <v>2479</v>
      </c>
      <c r="D382" t="s">
        <v>1567</v>
      </c>
      <c r="E382" t="s">
        <v>1298</v>
      </c>
      <c r="F382" t="s">
        <v>2483</v>
      </c>
      <c r="G382" t="s">
        <v>5848</v>
      </c>
      <c r="H382">
        <v>0</v>
      </c>
      <c r="I382">
        <v>0</v>
      </c>
    </row>
    <row r="383" spans="1:9" x14ac:dyDescent="0.25">
      <c r="A383" t="s">
        <v>2484</v>
      </c>
      <c r="B383" t="s">
        <v>2485</v>
      </c>
      <c r="C383" t="s">
        <v>2479</v>
      </c>
      <c r="D383" t="s">
        <v>1567</v>
      </c>
      <c r="E383" t="s">
        <v>1298</v>
      </c>
      <c r="F383" t="s">
        <v>2486</v>
      </c>
      <c r="G383" t="s">
        <v>5849</v>
      </c>
      <c r="H383">
        <v>0</v>
      </c>
      <c r="I383">
        <v>0</v>
      </c>
    </row>
    <row r="384" spans="1:9" x14ac:dyDescent="0.25">
      <c r="A384" t="s">
        <v>2487</v>
      </c>
      <c r="B384" t="s">
        <v>2488</v>
      </c>
      <c r="C384" t="s">
        <v>2479</v>
      </c>
      <c r="D384" t="s">
        <v>1567</v>
      </c>
      <c r="E384" t="s">
        <v>1298</v>
      </c>
      <c r="F384" t="s">
        <v>2489</v>
      </c>
      <c r="G384" t="s">
        <v>5850</v>
      </c>
      <c r="H384" t="s">
        <v>2490</v>
      </c>
      <c r="I384">
        <v>0</v>
      </c>
    </row>
    <row r="385" spans="1:9" x14ac:dyDescent="0.25">
      <c r="A385" t="s">
        <v>2491</v>
      </c>
      <c r="B385" t="s">
        <v>2492</v>
      </c>
      <c r="C385" t="s">
        <v>2479</v>
      </c>
      <c r="D385" t="s">
        <v>1567</v>
      </c>
      <c r="E385" t="s">
        <v>1298</v>
      </c>
      <c r="F385" t="s">
        <v>2493</v>
      </c>
      <c r="G385" t="s">
        <v>5851</v>
      </c>
      <c r="H385">
        <v>0</v>
      </c>
      <c r="I385">
        <v>0</v>
      </c>
    </row>
    <row r="386" spans="1:9" x14ac:dyDescent="0.25">
      <c r="A386" t="s">
        <v>2494</v>
      </c>
      <c r="B386" t="s">
        <v>2495</v>
      </c>
      <c r="C386" t="s">
        <v>2479</v>
      </c>
      <c r="D386" t="s">
        <v>1567</v>
      </c>
      <c r="E386" t="s">
        <v>1298</v>
      </c>
      <c r="F386" t="s">
        <v>2496</v>
      </c>
      <c r="G386" t="s">
        <v>5852</v>
      </c>
      <c r="H386">
        <v>0</v>
      </c>
      <c r="I386">
        <v>0</v>
      </c>
    </row>
    <row r="387" spans="1:9" x14ac:dyDescent="0.25">
      <c r="A387" t="s">
        <v>2497</v>
      </c>
      <c r="B387" t="s">
        <v>2498</v>
      </c>
      <c r="C387" t="s">
        <v>2479</v>
      </c>
      <c r="D387" t="s">
        <v>1567</v>
      </c>
      <c r="E387" t="s">
        <v>1298</v>
      </c>
      <c r="F387" t="s">
        <v>2499</v>
      </c>
      <c r="G387" t="s">
        <v>5853</v>
      </c>
      <c r="H387" t="s">
        <v>2490</v>
      </c>
      <c r="I387">
        <v>0</v>
      </c>
    </row>
    <row r="388" spans="1:9" x14ac:dyDescent="0.25">
      <c r="A388" t="s">
        <v>2500</v>
      </c>
      <c r="B388" t="s">
        <v>2501</v>
      </c>
      <c r="C388" t="s">
        <v>2479</v>
      </c>
      <c r="D388" t="s">
        <v>1567</v>
      </c>
      <c r="E388" t="s">
        <v>1298</v>
      </c>
      <c r="F388" t="s">
        <v>2502</v>
      </c>
      <c r="G388" t="s">
        <v>5854</v>
      </c>
      <c r="H388">
        <v>0</v>
      </c>
      <c r="I388">
        <v>0</v>
      </c>
    </row>
    <row r="389" spans="1:9" x14ac:dyDescent="0.25">
      <c r="A389" t="s">
        <v>2503</v>
      </c>
      <c r="B389" t="s">
        <v>2504</v>
      </c>
      <c r="C389" t="s">
        <v>2479</v>
      </c>
      <c r="D389" t="s">
        <v>1567</v>
      </c>
      <c r="E389" t="s">
        <v>1298</v>
      </c>
      <c r="F389" t="s">
        <v>2505</v>
      </c>
      <c r="G389" t="s">
        <v>5855</v>
      </c>
      <c r="H389">
        <v>0</v>
      </c>
      <c r="I389">
        <v>0</v>
      </c>
    </row>
    <row r="390" spans="1:9" x14ac:dyDescent="0.25">
      <c r="A390" t="s">
        <v>2506</v>
      </c>
      <c r="B390" t="s">
        <v>2507</v>
      </c>
      <c r="C390" t="s">
        <v>2479</v>
      </c>
      <c r="D390" t="s">
        <v>1567</v>
      </c>
      <c r="E390" t="s">
        <v>1298</v>
      </c>
      <c r="F390" t="s">
        <v>2508</v>
      </c>
      <c r="G390" t="s">
        <v>5856</v>
      </c>
      <c r="H390">
        <v>0</v>
      </c>
      <c r="I390">
        <v>0</v>
      </c>
    </row>
    <row r="391" spans="1:9" x14ac:dyDescent="0.25">
      <c r="A391" t="s">
        <v>2509</v>
      </c>
      <c r="B391" t="s">
        <v>2510</v>
      </c>
      <c r="C391" t="s">
        <v>2479</v>
      </c>
      <c r="D391" t="s">
        <v>1567</v>
      </c>
      <c r="E391" t="s">
        <v>1298</v>
      </c>
      <c r="F391" t="s">
        <v>2511</v>
      </c>
      <c r="G391" t="s">
        <v>5857</v>
      </c>
      <c r="H391">
        <v>0</v>
      </c>
      <c r="I391">
        <v>0</v>
      </c>
    </row>
    <row r="392" spans="1:9" x14ac:dyDescent="0.25">
      <c r="A392" t="s">
        <v>2512</v>
      </c>
      <c r="B392" t="s">
        <v>2513</v>
      </c>
      <c r="C392" t="s">
        <v>2479</v>
      </c>
      <c r="D392" t="s">
        <v>1567</v>
      </c>
      <c r="E392" t="s">
        <v>1298</v>
      </c>
      <c r="F392" t="s">
        <v>2514</v>
      </c>
      <c r="G392" t="s">
        <v>5858</v>
      </c>
      <c r="H392" t="s">
        <v>158</v>
      </c>
      <c r="I392">
        <v>0</v>
      </c>
    </row>
    <row r="393" spans="1:9" x14ac:dyDescent="0.25">
      <c r="A393" t="s">
        <v>2515</v>
      </c>
      <c r="B393" t="s">
        <v>2516</v>
      </c>
      <c r="C393" t="s">
        <v>2479</v>
      </c>
      <c r="D393" t="s">
        <v>1567</v>
      </c>
      <c r="E393" t="s">
        <v>1298</v>
      </c>
      <c r="F393" t="s">
        <v>2517</v>
      </c>
      <c r="G393" t="s">
        <v>5859</v>
      </c>
      <c r="H393">
        <v>0</v>
      </c>
      <c r="I393">
        <v>0</v>
      </c>
    </row>
    <row r="394" spans="1:9" x14ac:dyDescent="0.25">
      <c r="A394" t="s">
        <v>2518</v>
      </c>
      <c r="B394" t="s">
        <v>2519</v>
      </c>
      <c r="C394" t="s">
        <v>2479</v>
      </c>
      <c r="D394" t="s">
        <v>1567</v>
      </c>
      <c r="E394" t="s">
        <v>1298</v>
      </c>
      <c r="F394" t="s">
        <v>2520</v>
      </c>
      <c r="G394" t="s">
        <v>5860</v>
      </c>
      <c r="H394" t="s">
        <v>2521</v>
      </c>
      <c r="I394">
        <v>0</v>
      </c>
    </row>
    <row r="395" spans="1:9" x14ac:dyDescent="0.25">
      <c r="A395" t="s">
        <v>2522</v>
      </c>
      <c r="B395" t="s">
        <v>2523</v>
      </c>
      <c r="C395" t="s">
        <v>2479</v>
      </c>
      <c r="D395" t="s">
        <v>1567</v>
      </c>
      <c r="E395" t="s">
        <v>1298</v>
      </c>
      <c r="F395" t="s">
        <v>2524</v>
      </c>
      <c r="G395" t="s">
        <v>5861</v>
      </c>
      <c r="H395" t="s">
        <v>158</v>
      </c>
      <c r="I395">
        <v>0</v>
      </c>
    </row>
    <row r="396" spans="1:9" x14ac:dyDescent="0.25">
      <c r="A396" t="s">
        <v>2525</v>
      </c>
      <c r="B396" t="s">
        <v>2526</v>
      </c>
      <c r="C396" t="s">
        <v>2479</v>
      </c>
      <c r="D396" t="s">
        <v>1567</v>
      </c>
      <c r="E396" t="s">
        <v>1298</v>
      </c>
      <c r="F396" t="s">
        <v>2527</v>
      </c>
      <c r="G396" t="s">
        <v>5862</v>
      </c>
      <c r="H396" t="s">
        <v>2521</v>
      </c>
      <c r="I396">
        <v>0</v>
      </c>
    </row>
    <row r="397" spans="1:9" x14ac:dyDescent="0.25">
      <c r="A397" t="s">
        <v>2528</v>
      </c>
      <c r="B397" t="s">
        <v>2529</v>
      </c>
      <c r="C397" t="s">
        <v>2479</v>
      </c>
      <c r="D397" t="s">
        <v>1567</v>
      </c>
      <c r="E397" t="s">
        <v>1298</v>
      </c>
      <c r="F397" t="s">
        <v>2530</v>
      </c>
      <c r="G397" t="s">
        <v>5863</v>
      </c>
      <c r="H397" t="s">
        <v>2490</v>
      </c>
      <c r="I397">
        <v>0</v>
      </c>
    </row>
    <row r="398" spans="1:9" x14ac:dyDescent="0.25">
      <c r="A398" t="s">
        <v>2531</v>
      </c>
      <c r="B398" t="s">
        <v>2532</v>
      </c>
      <c r="C398" t="s">
        <v>2479</v>
      </c>
      <c r="D398" t="s">
        <v>1567</v>
      </c>
      <c r="E398" t="s">
        <v>1298</v>
      </c>
      <c r="F398" t="s">
        <v>2533</v>
      </c>
      <c r="G398" t="s">
        <v>5864</v>
      </c>
      <c r="H398" t="s">
        <v>2490</v>
      </c>
      <c r="I398">
        <v>0</v>
      </c>
    </row>
    <row r="399" spans="1:9" x14ac:dyDescent="0.25">
      <c r="A399" t="s">
        <v>2534</v>
      </c>
      <c r="B399" t="s">
        <v>2535</v>
      </c>
      <c r="C399" t="s">
        <v>2479</v>
      </c>
      <c r="D399" t="s">
        <v>1567</v>
      </c>
      <c r="E399" t="s">
        <v>1298</v>
      </c>
      <c r="F399" t="s">
        <v>2536</v>
      </c>
      <c r="G399" t="s">
        <v>5865</v>
      </c>
      <c r="H399" t="s">
        <v>2490</v>
      </c>
      <c r="I399">
        <v>0</v>
      </c>
    </row>
    <row r="400" spans="1:9" x14ac:dyDescent="0.25">
      <c r="A400" t="s">
        <v>2537</v>
      </c>
      <c r="B400" t="s">
        <v>2538</v>
      </c>
      <c r="C400" t="s">
        <v>2479</v>
      </c>
      <c r="D400" t="s">
        <v>1567</v>
      </c>
      <c r="E400" t="s">
        <v>1298</v>
      </c>
      <c r="F400" t="s">
        <v>2539</v>
      </c>
      <c r="G400" t="s">
        <v>5866</v>
      </c>
      <c r="H400">
        <v>0</v>
      </c>
      <c r="I400">
        <v>0</v>
      </c>
    </row>
    <row r="401" spans="1:9" x14ac:dyDescent="0.25">
      <c r="A401" t="s">
        <v>2540</v>
      </c>
      <c r="B401" t="s">
        <v>2541</v>
      </c>
      <c r="C401" t="s">
        <v>2479</v>
      </c>
      <c r="D401" t="s">
        <v>1567</v>
      </c>
      <c r="E401" t="s">
        <v>1298</v>
      </c>
      <c r="F401" t="s">
        <v>2542</v>
      </c>
      <c r="G401" t="s">
        <v>5867</v>
      </c>
      <c r="H401" t="s">
        <v>2521</v>
      </c>
      <c r="I401">
        <v>0</v>
      </c>
    </row>
    <row r="402" spans="1:9" x14ac:dyDescent="0.25">
      <c r="A402" t="s">
        <v>2543</v>
      </c>
      <c r="B402" t="s">
        <v>2544</v>
      </c>
      <c r="C402" t="s">
        <v>2479</v>
      </c>
      <c r="D402" t="s">
        <v>1567</v>
      </c>
      <c r="E402" t="s">
        <v>1298</v>
      </c>
      <c r="F402" t="s">
        <v>2545</v>
      </c>
      <c r="G402" t="s">
        <v>5868</v>
      </c>
      <c r="H402">
        <v>0</v>
      </c>
      <c r="I402">
        <v>0</v>
      </c>
    </row>
    <row r="403" spans="1:9" x14ac:dyDescent="0.25">
      <c r="A403" t="s">
        <v>2546</v>
      </c>
      <c r="B403" t="s">
        <v>2547</v>
      </c>
      <c r="C403" t="s">
        <v>2479</v>
      </c>
      <c r="D403" t="s">
        <v>1567</v>
      </c>
      <c r="E403" t="s">
        <v>1298</v>
      </c>
      <c r="F403" t="s">
        <v>2548</v>
      </c>
      <c r="G403" t="s">
        <v>5869</v>
      </c>
      <c r="H403">
        <v>0</v>
      </c>
      <c r="I403">
        <v>0</v>
      </c>
    </row>
    <row r="404" spans="1:9" x14ac:dyDescent="0.25">
      <c r="A404" t="s">
        <v>2549</v>
      </c>
      <c r="B404" t="s">
        <v>2550</v>
      </c>
      <c r="C404" t="s">
        <v>2479</v>
      </c>
      <c r="D404" t="s">
        <v>1567</v>
      </c>
      <c r="E404" t="s">
        <v>1298</v>
      </c>
      <c r="F404" t="s">
        <v>2551</v>
      </c>
      <c r="G404" t="s">
        <v>5870</v>
      </c>
      <c r="H404">
        <v>0</v>
      </c>
      <c r="I404">
        <v>0</v>
      </c>
    </row>
    <row r="405" spans="1:9" x14ac:dyDescent="0.25">
      <c r="A405" t="s">
        <v>2552</v>
      </c>
      <c r="B405" t="s">
        <v>2553</v>
      </c>
      <c r="C405" t="s">
        <v>2479</v>
      </c>
      <c r="D405" t="s">
        <v>1567</v>
      </c>
      <c r="E405" t="s">
        <v>1298</v>
      </c>
      <c r="F405" t="s">
        <v>2554</v>
      </c>
      <c r="G405" t="s">
        <v>5871</v>
      </c>
      <c r="H405" t="s">
        <v>158</v>
      </c>
      <c r="I405">
        <v>0</v>
      </c>
    </row>
    <row r="406" spans="1:9" x14ac:dyDescent="0.25">
      <c r="A406" t="s">
        <v>2555</v>
      </c>
      <c r="B406" t="s">
        <v>2556</v>
      </c>
      <c r="C406" t="s">
        <v>2479</v>
      </c>
      <c r="D406" t="s">
        <v>1567</v>
      </c>
      <c r="E406" t="s">
        <v>1298</v>
      </c>
      <c r="F406" t="s">
        <v>2557</v>
      </c>
      <c r="G406" t="s">
        <v>5872</v>
      </c>
      <c r="H406" t="s">
        <v>148</v>
      </c>
      <c r="I406">
        <v>0</v>
      </c>
    </row>
    <row r="407" spans="1:9" x14ac:dyDescent="0.25">
      <c r="A407" t="s">
        <v>2558</v>
      </c>
      <c r="B407" t="s">
        <v>2559</v>
      </c>
      <c r="C407" t="s">
        <v>2479</v>
      </c>
      <c r="D407" t="s">
        <v>1567</v>
      </c>
      <c r="E407" t="s">
        <v>1298</v>
      </c>
      <c r="F407" t="s">
        <v>2560</v>
      </c>
      <c r="G407" t="s">
        <v>5873</v>
      </c>
      <c r="H407">
        <v>0</v>
      </c>
      <c r="I407">
        <v>0</v>
      </c>
    </row>
    <row r="408" spans="1:9" x14ac:dyDescent="0.25">
      <c r="A408" t="s">
        <v>2561</v>
      </c>
      <c r="B408" t="s">
        <v>2562</v>
      </c>
      <c r="C408" t="s">
        <v>2479</v>
      </c>
      <c r="D408" t="s">
        <v>1567</v>
      </c>
      <c r="E408" t="s">
        <v>1298</v>
      </c>
      <c r="F408" t="s">
        <v>2563</v>
      </c>
      <c r="G408" t="s">
        <v>5874</v>
      </c>
      <c r="H408">
        <v>0</v>
      </c>
      <c r="I408">
        <v>0</v>
      </c>
    </row>
    <row r="409" spans="1:9" x14ac:dyDescent="0.25">
      <c r="A409" t="s">
        <v>2564</v>
      </c>
      <c r="B409" t="s">
        <v>2565</v>
      </c>
      <c r="C409" t="s">
        <v>2479</v>
      </c>
      <c r="D409" t="s">
        <v>1567</v>
      </c>
      <c r="E409" t="s">
        <v>1298</v>
      </c>
      <c r="F409" t="s">
        <v>2566</v>
      </c>
      <c r="G409" t="s">
        <v>5875</v>
      </c>
      <c r="H409" t="s">
        <v>2490</v>
      </c>
      <c r="I409">
        <v>0</v>
      </c>
    </row>
    <row r="410" spans="1:9" x14ac:dyDescent="0.25">
      <c r="A410" t="s">
        <v>2567</v>
      </c>
      <c r="B410" t="s">
        <v>2568</v>
      </c>
      <c r="C410" t="s">
        <v>2479</v>
      </c>
      <c r="D410" t="s">
        <v>1567</v>
      </c>
      <c r="E410" t="s">
        <v>1298</v>
      </c>
      <c r="F410" t="s">
        <v>2569</v>
      </c>
      <c r="G410" t="s">
        <v>5876</v>
      </c>
      <c r="H410">
        <v>0</v>
      </c>
      <c r="I410">
        <v>0</v>
      </c>
    </row>
    <row r="411" spans="1:9" x14ac:dyDescent="0.25">
      <c r="A411" t="s">
        <v>2570</v>
      </c>
      <c r="B411" t="s">
        <v>2571</v>
      </c>
      <c r="C411" t="s">
        <v>2479</v>
      </c>
      <c r="D411" t="s">
        <v>1567</v>
      </c>
      <c r="E411" t="s">
        <v>1298</v>
      </c>
      <c r="F411" t="s">
        <v>2572</v>
      </c>
      <c r="G411" t="s">
        <v>5877</v>
      </c>
      <c r="H411">
        <v>0</v>
      </c>
      <c r="I411">
        <v>0</v>
      </c>
    </row>
    <row r="412" spans="1:9" x14ac:dyDescent="0.25">
      <c r="A412" t="s">
        <v>2573</v>
      </c>
      <c r="B412" t="s">
        <v>2574</v>
      </c>
      <c r="C412" t="s">
        <v>2479</v>
      </c>
      <c r="D412" t="s">
        <v>1567</v>
      </c>
      <c r="E412" t="s">
        <v>1298</v>
      </c>
      <c r="F412" t="s">
        <v>2575</v>
      </c>
      <c r="G412" t="s">
        <v>5878</v>
      </c>
      <c r="H412">
        <v>0</v>
      </c>
      <c r="I412">
        <v>0</v>
      </c>
    </row>
    <row r="413" spans="1:9" x14ac:dyDescent="0.25">
      <c r="A413" t="s">
        <v>2576</v>
      </c>
      <c r="B413" t="s">
        <v>2577</v>
      </c>
      <c r="C413" t="s">
        <v>2479</v>
      </c>
      <c r="D413" t="s">
        <v>1567</v>
      </c>
      <c r="E413" t="s">
        <v>1298</v>
      </c>
      <c r="F413" t="s">
        <v>2578</v>
      </c>
      <c r="G413" t="s">
        <v>5879</v>
      </c>
      <c r="H413" t="s">
        <v>2521</v>
      </c>
      <c r="I413">
        <v>0</v>
      </c>
    </row>
    <row r="414" spans="1:9" x14ac:dyDescent="0.25">
      <c r="A414" t="s">
        <v>2579</v>
      </c>
      <c r="B414" t="s">
        <v>2580</v>
      </c>
      <c r="C414" t="s">
        <v>2479</v>
      </c>
      <c r="D414" t="s">
        <v>1567</v>
      </c>
      <c r="E414" t="s">
        <v>1298</v>
      </c>
      <c r="F414" t="s">
        <v>2581</v>
      </c>
      <c r="G414" t="s">
        <v>5880</v>
      </c>
      <c r="H414">
        <v>0</v>
      </c>
      <c r="I414">
        <v>0</v>
      </c>
    </row>
    <row r="415" spans="1:9" x14ac:dyDescent="0.25">
      <c r="A415" t="s">
        <v>2582</v>
      </c>
      <c r="B415" t="s">
        <v>2583</v>
      </c>
      <c r="C415" t="s">
        <v>2479</v>
      </c>
      <c r="D415" t="s">
        <v>1567</v>
      </c>
      <c r="E415" t="s">
        <v>1298</v>
      </c>
      <c r="F415" t="s">
        <v>2584</v>
      </c>
      <c r="G415" t="s">
        <v>5881</v>
      </c>
      <c r="H415">
        <v>0</v>
      </c>
      <c r="I415">
        <v>0</v>
      </c>
    </row>
    <row r="416" spans="1:9" x14ac:dyDescent="0.25">
      <c r="A416" t="s">
        <v>2585</v>
      </c>
      <c r="B416" t="s">
        <v>2586</v>
      </c>
      <c r="C416" t="s">
        <v>2479</v>
      </c>
      <c r="D416" t="s">
        <v>1567</v>
      </c>
      <c r="E416" t="s">
        <v>1298</v>
      </c>
      <c r="F416" t="s">
        <v>2587</v>
      </c>
      <c r="G416" t="s">
        <v>5882</v>
      </c>
      <c r="H416" t="s">
        <v>148</v>
      </c>
      <c r="I416">
        <v>0</v>
      </c>
    </row>
    <row r="417" spans="1:9" x14ac:dyDescent="0.25">
      <c r="A417" t="s">
        <v>2588</v>
      </c>
      <c r="B417" t="s">
        <v>2589</v>
      </c>
      <c r="C417" t="s">
        <v>2479</v>
      </c>
      <c r="D417" t="s">
        <v>1567</v>
      </c>
      <c r="E417" t="s">
        <v>1298</v>
      </c>
      <c r="F417" t="s">
        <v>2590</v>
      </c>
      <c r="G417" t="s">
        <v>5883</v>
      </c>
      <c r="H417" t="s">
        <v>2490</v>
      </c>
      <c r="I417">
        <v>0</v>
      </c>
    </row>
    <row r="418" spans="1:9" x14ac:dyDescent="0.25">
      <c r="A418" t="s">
        <v>2591</v>
      </c>
      <c r="B418" t="s">
        <v>2592</v>
      </c>
      <c r="C418" t="s">
        <v>2479</v>
      </c>
      <c r="D418" t="s">
        <v>1567</v>
      </c>
      <c r="E418" t="s">
        <v>1298</v>
      </c>
      <c r="F418" t="s">
        <v>2593</v>
      </c>
      <c r="G418" t="s">
        <v>5884</v>
      </c>
      <c r="H418" t="s">
        <v>137</v>
      </c>
      <c r="I418">
        <v>0</v>
      </c>
    </row>
    <row r="419" spans="1:9" x14ac:dyDescent="0.25">
      <c r="A419" t="s">
        <v>2594</v>
      </c>
      <c r="B419" t="s">
        <v>2595</v>
      </c>
      <c r="C419" t="s">
        <v>2479</v>
      </c>
      <c r="D419" t="s">
        <v>1567</v>
      </c>
      <c r="E419" t="s">
        <v>1298</v>
      </c>
      <c r="F419" t="s">
        <v>2596</v>
      </c>
      <c r="G419" t="s">
        <v>5885</v>
      </c>
      <c r="H419" t="s">
        <v>158</v>
      </c>
      <c r="I419">
        <v>0</v>
      </c>
    </row>
    <row r="420" spans="1:9" x14ac:dyDescent="0.25">
      <c r="A420" t="s">
        <v>2597</v>
      </c>
      <c r="B420" t="s">
        <v>2598</v>
      </c>
      <c r="C420" t="s">
        <v>2479</v>
      </c>
      <c r="D420" t="s">
        <v>1567</v>
      </c>
      <c r="E420" t="s">
        <v>1298</v>
      </c>
      <c r="F420" t="s">
        <v>2599</v>
      </c>
      <c r="G420" t="s">
        <v>5886</v>
      </c>
      <c r="H420" t="s">
        <v>148</v>
      </c>
      <c r="I420">
        <v>0</v>
      </c>
    </row>
    <row r="421" spans="1:9" x14ac:dyDescent="0.25">
      <c r="A421" t="s">
        <v>2600</v>
      </c>
      <c r="B421" t="s">
        <v>2601</v>
      </c>
      <c r="C421" t="s">
        <v>2479</v>
      </c>
      <c r="D421" t="s">
        <v>1567</v>
      </c>
      <c r="E421" t="s">
        <v>1298</v>
      </c>
      <c r="F421" t="s">
        <v>2602</v>
      </c>
      <c r="G421" t="s">
        <v>5887</v>
      </c>
      <c r="H421" t="s">
        <v>148</v>
      </c>
      <c r="I421">
        <v>0</v>
      </c>
    </row>
    <row r="422" spans="1:9" x14ac:dyDescent="0.25">
      <c r="A422" t="s">
        <v>2603</v>
      </c>
      <c r="B422" t="s">
        <v>2604</v>
      </c>
      <c r="C422" t="s">
        <v>2479</v>
      </c>
      <c r="D422" t="s">
        <v>1567</v>
      </c>
      <c r="E422" t="s">
        <v>1298</v>
      </c>
      <c r="F422" t="s">
        <v>2605</v>
      </c>
      <c r="G422" t="s">
        <v>5888</v>
      </c>
      <c r="H422" t="s">
        <v>2490</v>
      </c>
      <c r="I422">
        <v>0</v>
      </c>
    </row>
    <row r="423" spans="1:9" x14ac:dyDescent="0.25">
      <c r="A423" t="s">
        <v>2606</v>
      </c>
      <c r="B423" t="s">
        <v>2607</v>
      </c>
      <c r="C423" t="s">
        <v>2479</v>
      </c>
      <c r="D423" t="s">
        <v>1567</v>
      </c>
      <c r="E423" t="s">
        <v>1298</v>
      </c>
      <c r="F423" t="s">
        <v>2608</v>
      </c>
      <c r="G423" t="s">
        <v>5889</v>
      </c>
      <c r="H423" t="s">
        <v>2521</v>
      </c>
      <c r="I423">
        <v>0</v>
      </c>
    </row>
    <row r="424" spans="1:9" x14ac:dyDescent="0.25">
      <c r="A424" t="s">
        <v>2609</v>
      </c>
      <c r="B424" t="s">
        <v>2610</v>
      </c>
      <c r="C424" t="s">
        <v>2479</v>
      </c>
      <c r="D424" t="s">
        <v>1567</v>
      </c>
      <c r="E424" t="s">
        <v>1298</v>
      </c>
      <c r="F424" t="s">
        <v>2611</v>
      </c>
      <c r="G424" t="s">
        <v>5890</v>
      </c>
      <c r="H424">
        <v>0</v>
      </c>
      <c r="I424">
        <v>0</v>
      </c>
    </row>
    <row r="425" spans="1:9" x14ac:dyDescent="0.25">
      <c r="A425" t="s">
        <v>2612</v>
      </c>
      <c r="B425" t="s">
        <v>2613</v>
      </c>
      <c r="C425" t="s">
        <v>2479</v>
      </c>
      <c r="D425" t="s">
        <v>1567</v>
      </c>
      <c r="E425" t="s">
        <v>1298</v>
      </c>
      <c r="F425" t="s">
        <v>2614</v>
      </c>
      <c r="G425" t="s">
        <v>5891</v>
      </c>
      <c r="H425">
        <v>0</v>
      </c>
      <c r="I425">
        <v>0</v>
      </c>
    </row>
    <row r="426" spans="1:9" x14ac:dyDescent="0.25">
      <c r="A426" t="s">
        <v>2615</v>
      </c>
      <c r="B426" t="s">
        <v>2616</v>
      </c>
      <c r="C426" t="s">
        <v>2479</v>
      </c>
      <c r="D426" t="s">
        <v>1567</v>
      </c>
      <c r="E426" t="s">
        <v>1298</v>
      </c>
      <c r="F426" t="s">
        <v>2617</v>
      </c>
      <c r="G426" t="s">
        <v>5892</v>
      </c>
      <c r="H426">
        <v>0</v>
      </c>
      <c r="I426">
        <v>0</v>
      </c>
    </row>
    <row r="427" spans="1:9" x14ac:dyDescent="0.25">
      <c r="A427" t="s">
        <v>2618</v>
      </c>
      <c r="B427" t="s">
        <v>2619</v>
      </c>
      <c r="C427" t="s">
        <v>2479</v>
      </c>
      <c r="D427" t="s">
        <v>1567</v>
      </c>
      <c r="E427" t="s">
        <v>1298</v>
      </c>
      <c r="F427" t="s">
        <v>2620</v>
      </c>
      <c r="G427" t="s">
        <v>5893</v>
      </c>
      <c r="H427">
        <v>0</v>
      </c>
      <c r="I427">
        <v>0</v>
      </c>
    </row>
    <row r="428" spans="1:9" x14ac:dyDescent="0.25">
      <c r="A428" t="s">
        <v>2621</v>
      </c>
      <c r="B428" t="s">
        <v>2622</v>
      </c>
      <c r="C428" t="s">
        <v>2479</v>
      </c>
      <c r="D428" t="s">
        <v>1567</v>
      </c>
      <c r="E428" t="s">
        <v>1298</v>
      </c>
      <c r="F428" t="s">
        <v>2623</v>
      </c>
      <c r="G428" t="s">
        <v>5894</v>
      </c>
      <c r="H428" t="s">
        <v>148</v>
      </c>
      <c r="I428">
        <v>0</v>
      </c>
    </row>
    <row r="429" spans="1:9" x14ac:dyDescent="0.25">
      <c r="A429" t="s">
        <v>2624</v>
      </c>
      <c r="B429" t="s">
        <v>2625</v>
      </c>
      <c r="C429" t="s">
        <v>2479</v>
      </c>
      <c r="D429" t="s">
        <v>1567</v>
      </c>
      <c r="E429" t="s">
        <v>1298</v>
      </c>
      <c r="F429" t="s">
        <v>2626</v>
      </c>
      <c r="G429" t="s">
        <v>5895</v>
      </c>
      <c r="H429" t="s">
        <v>2521</v>
      </c>
      <c r="I429">
        <v>0</v>
      </c>
    </row>
    <row r="430" spans="1:9" x14ac:dyDescent="0.25">
      <c r="A430" t="s">
        <v>2627</v>
      </c>
      <c r="B430" t="s">
        <v>2628</v>
      </c>
      <c r="C430" t="s">
        <v>2479</v>
      </c>
      <c r="D430" t="s">
        <v>1567</v>
      </c>
      <c r="E430" t="s">
        <v>1298</v>
      </c>
      <c r="F430" t="s">
        <v>2629</v>
      </c>
      <c r="G430" t="s">
        <v>5896</v>
      </c>
      <c r="H430" t="s">
        <v>2521</v>
      </c>
      <c r="I430">
        <v>0</v>
      </c>
    </row>
    <row r="431" spans="1:9" x14ac:dyDescent="0.25">
      <c r="A431" t="s">
        <v>2630</v>
      </c>
      <c r="B431" t="s">
        <v>2631</v>
      </c>
      <c r="C431" t="s">
        <v>2479</v>
      </c>
      <c r="D431" t="s">
        <v>1567</v>
      </c>
      <c r="E431" t="s">
        <v>1298</v>
      </c>
      <c r="F431" t="s">
        <v>2632</v>
      </c>
      <c r="G431" t="s">
        <v>5897</v>
      </c>
      <c r="H431">
        <v>0</v>
      </c>
      <c r="I431">
        <v>0</v>
      </c>
    </row>
    <row r="432" spans="1:9" x14ac:dyDescent="0.25">
      <c r="A432" t="s">
        <v>2633</v>
      </c>
      <c r="B432" t="s">
        <v>2634</v>
      </c>
      <c r="C432" t="s">
        <v>2479</v>
      </c>
      <c r="D432" t="s">
        <v>1567</v>
      </c>
      <c r="E432" t="s">
        <v>1298</v>
      </c>
      <c r="F432" t="s">
        <v>2635</v>
      </c>
      <c r="G432" t="s">
        <v>5898</v>
      </c>
      <c r="H432">
        <v>0</v>
      </c>
      <c r="I432">
        <v>0</v>
      </c>
    </row>
    <row r="433" spans="1:9" x14ac:dyDescent="0.25">
      <c r="A433" t="s">
        <v>2636</v>
      </c>
      <c r="B433" t="s">
        <v>2637</v>
      </c>
      <c r="C433" t="s">
        <v>2479</v>
      </c>
      <c r="D433" t="s">
        <v>1567</v>
      </c>
      <c r="E433" t="s">
        <v>1298</v>
      </c>
      <c r="F433" t="s">
        <v>2638</v>
      </c>
      <c r="G433" t="s">
        <v>5899</v>
      </c>
      <c r="H433" t="s">
        <v>2490</v>
      </c>
      <c r="I433">
        <v>0</v>
      </c>
    </row>
    <row r="434" spans="1:9" x14ac:dyDescent="0.25">
      <c r="A434" t="s">
        <v>2639</v>
      </c>
      <c r="B434" t="s">
        <v>2640</v>
      </c>
      <c r="C434" t="s">
        <v>2479</v>
      </c>
      <c r="D434" t="s">
        <v>1567</v>
      </c>
      <c r="E434" t="s">
        <v>1298</v>
      </c>
      <c r="F434" t="s">
        <v>2641</v>
      </c>
      <c r="G434" t="s">
        <v>5900</v>
      </c>
      <c r="H434">
        <v>0</v>
      </c>
      <c r="I434">
        <v>0</v>
      </c>
    </row>
    <row r="435" spans="1:9" x14ac:dyDescent="0.25">
      <c r="A435" t="s">
        <v>2642</v>
      </c>
      <c r="B435" t="s">
        <v>2643</v>
      </c>
      <c r="C435" t="s">
        <v>2479</v>
      </c>
      <c r="D435" t="s">
        <v>1567</v>
      </c>
      <c r="E435" t="s">
        <v>1298</v>
      </c>
      <c r="F435" t="s">
        <v>2644</v>
      </c>
      <c r="G435" t="s">
        <v>5901</v>
      </c>
      <c r="H435" t="s">
        <v>158</v>
      </c>
      <c r="I435">
        <v>0</v>
      </c>
    </row>
    <row r="436" spans="1:9" x14ac:dyDescent="0.25">
      <c r="A436" t="s">
        <v>2645</v>
      </c>
      <c r="B436" t="s">
        <v>2646</v>
      </c>
      <c r="C436" t="s">
        <v>2479</v>
      </c>
      <c r="D436" t="s">
        <v>1567</v>
      </c>
      <c r="E436" t="s">
        <v>1298</v>
      </c>
      <c r="F436" t="s">
        <v>2647</v>
      </c>
      <c r="G436" t="s">
        <v>5902</v>
      </c>
      <c r="H436">
        <v>0</v>
      </c>
      <c r="I436">
        <v>0</v>
      </c>
    </row>
    <row r="437" spans="1:9" x14ac:dyDescent="0.25">
      <c r="A437" t="s">
        <v>2648</v>
      </c>
      <c r="B437" t="s">
        <v>2649</v>
      </c>
      <c r="C437" t="s">
        <v>2479</v>
      </c>
      <c r="D437" t="s">
        <v>1567</v>
      </c>
      <c r="E437" t="s">
        <v>1298</v>
      </c>
      <c r="F437" t="s">
        <v>2650</v>
      </c>
      <c r="G437" t="s">
        <v>5903</v>
      </c>
      <c r="H437">
        <v>0</v>
      </c>
      <c r="I437">
        <v>0</v>
      </c>
    </row>
    <row r="438" spans="1:9" x14ac:dyDescent="0.25">
      <c r="A438" t="s">
        <v>2651</v>
      </c>
      <c r="B438" t="s">
        <v>2652</v>
      </c>
      <c r="C438" t="s">
        <v>2479</v>
      </c>
      <c r="D438" t="s">
        <v>1567</v>
      </c>
      <c r="E438" t="s">
        <v>1298</v>
      </c>
      <c r="F438" t="s">
        <v>2653</v>
      </c>
      <c r="G438" t="s">
        <v>5904</v>
      </c>
      <c r="H438">
        <v>0</v>
      </c>
      <c r="I438">
        <v>0</v>
      </c>
    </row>
    <row r="439" spans="1:9" x14ac:dyDescent="0.25">
      <c r="A439" t="s">
        <v>2654</v>
      </c>
      <c r="B439" t="s">
        <v>2655</v>
      </c>
      <c r="C439" t="s">
        <v>2479</v>
      </c>
      <c r="D439" t="s">
        <v>1567</v>
      </c>
      <c r="E439" t="s">
        <v>1298</v>
      </c>
      <c r="F439" t="s">
        <v>2656</v>
      </c>
      <c r="G439" t="s">
        <v>5905</v>
      </c>
      <c r="H439">
        <v>0</v>
      </c>
      <c r="I439">
        <v>0</v>
      </c>
    </row>
    <row r="440" spans="1:9" x14ac:dyDescent="0.25">
      <c r="A440" t="s">
        <v>2657</v>
      </c>
      <c r="B440" t="s">
        <v>2658</v>
      </c>
      <c r="C440" t="s">
        <v>2479</v>
      </c>
      <c r="D440" t="s">
        <v>1567</v>
      </c>
      <c r="E440" t="s">
        <v>1298</v>
      </c>
      <c r="F440" t="s">
        <v>2659</v>
      </c>
      <c r="G440" t="s">
        <v>5906</v>
      </c>
      <c r="H440">
        <v>0</v>
      </c>
      <c r="I440">
        <v>0</v>
      </c>
    </row>
    <row r="441" spans="1:9" x14ac:dyDescent="0.25">
      <c r="A441" t="s">
        <v>2660</v>
      </c>
      <c r="B441" t="s">
        <v>2661</v>
      </c>
      <c r="C441" t="s">
        <v>2479</v>
      </c>
      <c r="D441" t="s">
        <v>1567</v>
      </c>
      <c r="E441" t="s">
        <v>1298</v>
      </c>
      <c r="F441" t="s">
        <v>2662</v>
      </c>
      <c r="G441" t="s">
        <v>5907</v>
      </c>
      <c r="H441">
        <v>0</v>
      </c>
      <c r="I441">
        <v>0</v>
      </c>
    </row>
    <row r="442" spans="1:9" x14ac:dyDescent="0.25">
      <c r="A442" t="s">
        <v>2663</v>
      </c>
      <c r="B442" t="s">
        <v>2664</v>
      </c>
      <c r="C442" t="s">
        <v>2479</v>
      </c>
      <c r="D442" t="s">
        <v>1567</v>
      </c>
      <c r="E442" t="s">
        <v>1298</v>
      </c>
      <c r="F442" t="s">
        <v>2665</v>
      </c>
      <c r="G442" t="s">
        <v>5908</v>
      </c>
      <c r="H442" t="s">
        <v>148</v>
      </c>
      <c r="I442">
        <v>0</v>
      </c>
    </row>
    <row r="443" spans="1:9" x14ac:dyDescent="0.25">
      <c r="A443" t="s">
        <v>2666</v>
      </c>
      <c r="B443" t="s">
        <v>2667</v>
      </c>
      <c r="C443" t="s">
        <v>2479</v>
      </c>
      <c r="D443" t="s">
        <v>1567</v>
      </c>
      <c r="E443" t="s">
        <v>1298</v>
      </c>
      <c r="F443" t="s">
        <v>2668</v>
      </c>
      <c r="G443" t="s">
        <v>5909</v>
      </c>
      <c r="H443">
        <v>0</v>
      </c>
      <c r="I443">
        <v>0</v>
      </c>
    </row>
    <row r="444" spans="1:9" x14ac:dyDescent="0.25">
      <c r="A444" t="s">
        <v>2669</v>
      </c>
      <c r="B444" t="s">
        <v>2670</v>
      </c>
      <c r="C444" t="s">
        <v>2479</v>
      </c>
      <c r="D444" t="s">
        <v>1567</v>
      </c>
      <c r="E444" t="s">
        <v>1298</v>
      </c>
      <c r="F444" t="s">
        <v>2671</v>
      </c>
      <c r="G444" t="s">
        <v>5910</v>
      </c>
      <c r="H444">
        <v>0</v>
      </c>
      <c r="I444">
        <v>0</v>
      </c>
    </row>
    <row r="445" spans="1:9" x14ac:dyDescent="0.25">
      <c r="A445" t="s">
        <v>2672</v>
      </c>
      <c r="B445" t="s">
        <v>2673</v>
      </c>
      <c r="C445" t="s">
        <v>2479</v>
      </c>
      <c r="D445" t="s">
        <v>1567</v>
      </c>
      <c r="E445" t="s">
        <v>1298</v>
      </c>
      <c r="F445" t="s">
        <v>2674</v>
      </c>
      <c r="G445" t="s">
        <v>5911</v>
      </c>
      <c r="H445">
        <v>0</v>
      </c>
      <c r="I445">
        <v>0</v>
      </c>
    </row>
    <row r="446" spans="1:9" x14ac:dyDescent="0.25">
      <c r="A446" t="s">
        <v>2675</v>
      </c>
      <c r="B446" t="s">
        <v>2676</v>
      </c>
      <c r="C446" t="s">
        <v>2479</v>
      </c>
      <c r="D446" t="s">
        <v>1567</v>
      </c>
      <c r="E446" t="s">
        <v>1298</v>
      </c>
      <c r="F446" t="s">
        <v>2677</v>
      </c>
      <c r="G446" t="s">
        <v>5912</v>
      </c>
      <c r="H446">
        <v>0</v>
      </c>
      <c r="I446">
        <v>0</v>
      </c>
    </row>
    <row r="447" spans="1:9" x14ac:dyDescent="0.25">
      <c r="A447" t="s">
        <v>2678</v>
      </c>
      <c r="B447" t="s">
        <v>2679</v>
      </c>
      <c r="C447" t="s">
        <v>29</v>
      </c>
      <c r="D447" t="s">
        <v>1388</v>
      </c>
      <c r="E447" t="s">
        <v>1349</v>
      </c>
      <c r="F447" t="s">
        <v>2680</v>
      </c>
      <c r="G447" t="s">
        <v>5913</v>
      </c>
      <c r="H447">
        <v>0</v>
      </c>
      <c r="I447">
        <v>0</v>
      </c>
    </row>
    <row r="448" spans="1:9" x14ac:dyDescent="0.25">
      <c r="A448" t="s">
        <v>2681</v>
      </c>
      <c r="B448" t="s">
        <v>2682</v>
      </c>
      <c r="C448" t="s">
        <v>29</v>
      </c>
      <c r="D448" t="s">
        <v>1388</v>
      </c>
      <c r="E448" t="s">
        <v>1349</v>
      </c>
      <c r="F448" t="s">
        <v>2683</v>
      </c>
      <c r="G448" t="s">
        <v>5914</v>
      </c>
      <c r="H448" t="s">
        <v>2684</v>
      </c>
      <c r="I448">
        <v>0</v>
      </c>
    </row>
    <row r="449" spans="1:9" x14ac:dyDescent="0.25">
      <c r="A449" t="s">
        <v>2685</v>
      </c>
      <c r="B449" t="s">
        <v>2686</v>
      </c>
      <c r="C449" t="s">
        <v>29</v>
      </c>
      <c r="D449" t="s">
        <v>1388</v>
      </c>
      <c r="E449" t="s">
        <v>1349</v>
      </c>
      <c r="F449" t="s">
        <v>2687</v>
      </c>
      <c r="G449" t="s">
        <v>5915</v>
      </c>
      <c r="H449" t="s">
        <v>2684</v>
      </c>
      <c r="I449">
        <v>0</v>
      </c>
    </row>
    <row r="450" spans="1:9" x14ac:dyDescent="0.25">
      <c r="A450" t="s">
        <v>2688</v>
      </c>
      <c r="B450" t="s">
        <v>2689</v>
      </c>
      <c r="C450" t="s">
        <v>29</v>
      </c>
      <c r="D450" t="s">
        <v>1388</v>
      </c>
      <c r="E450" t="s">
        <v>1349</v>
      </c>
      <c r="F450" t="s">
        <v>2690</v>
      </c>
      <c r="G450" t="s">
        <v>5916</v>
      </c>
      <c r="H450">
        <v>0</v>
      </c>
      <c r="I450">
        <v>0</v>
      </c>
    </row>
    <row r="451" spans="1:9" x14ac:dyDescent="0.25">
      <c r="A451" t="s">
        <v>2691</v>
      </c>
      <c r="B451" t="s">
        <v>2692</v>
      </c>
      <c r="C451" t="s">
        <v>29</v>
      </c>
      <c r="D451" t="s">
        <v>1388</v>
      </c>
      <c r="E451" t="s">
        <v>1349</v>
      </c>
      <c r="F451" t="s">
        <v>2693</v>
      </c>
      <c r="G451" t="s">
        <v>5917</v>
      </c>
      <c r="H451">
        <v>0</v>
      </c>
      <c r="I451">
        <v>0</v>
      </c>
    </row>
    <row r="452" spans="1:9" x14ac:dyDescent="0.25">
      <c r="A452" t="s">
        <v>2694</v>
      </c>
      <c r="B452" t="s">
        <v>2695</v>
      </c>
      <c r="C452" t="s">
        <v>29</v>
      </c>
      <c r="D452" t="s">
        <v>1388</v>
      </c>
      <c r="E452" t="s">
        <v>1349</v>
      </c>
      <c r="F452" t="s">
        <v>2696</v>
      </c>
      <c r="G452" t="s">
        <v>5918</v>
      </c>
      <c r="H452" t="s">
        <v>2697</v>
      </c>
      <c r="I452">
        <v>0</v>
      </c>
    </row>
    <row r="453" spans="1:9" x14ac:dyDescent="0.25">
      <c r="A453" t="s">
        <v>2698</v>
      </c>
      <c r="B453" t="s">
        <v>2699</v>
      </c>
      <c r="C453" t="s">
        <v>29</v>
      </c>
      <c r="D453" t="s">
        <v>1388</v>
      </c>
      <c r="E453" t="s">
        <v>1349</v>
      </c>
      <c r="F453" t="s">
        <v>2700</v>
      </c>
      <c r="G453" t="s">
        <v>5919</v>
      </c>
      <c r="H453" t="s">
        <v>2697</v>
      </c>
      <c r="I453">
        <v>0</v>
      </c>
    </row>
    <row r="454" spans="1:9" x14ac:dyDescent="0.25">
      <c r="A454" t="s">
        <v>2701</v>
      </c>
      <c r="B454" t="s">
        <v>2702</v>
      </c>
      <c r="C454" t="s">
        <v>29</v>
      </c>
      <c r="D454" t="s">
        <v>1388</v>
      </c>
      <c r="E454" t="s">
        <v>1349</v>
      </c>
      <c r="F454" t="s">
        <v>2703</v>
      </c>
      <c r="G454" t="s">
        <v>5920</v>
      </c>
      <c r="H454">
        <v>0</v>
      </c>
      <c r="I454">
        <v>0</v>
      </c>
    </row>
    <row r="455" spans="1:9" x14ac:dyDescent="0.25">
      <c r="A455" t="s">
        <v>2704</v>
      </c>
      <c r="B455" t="s">
        <v>2705</v>
      </c>
      <c r="C455" t="s">
        <v>29</v>
      </c>
      <c r="D455" t="s">
        <v>1388</v>
      </c>
      <c r="E455" t="s">
        <v>1349</v>
      </c>
      <c r="F455" t="s">
        <v>2706</v>
      </c>
      <c r="G455" t="s">
        <v>5921</v>
      </c>
      <c r="H455">
        <v>0</v>
      </c>
      <c r="I455">
        <v>0</v>
      </c>
    </row>
    <row r="456" spans="1:9" x14ac:dyDescent="0.25">
      <c r="A456" t="s">
        <v>2707</v>
      </c>
      <c r="B456" t="s">
        <v>2708</v>
      </c>
      <c r="C456" t="s">
        <v>29</v>
      </c>
      <c r="D456" t="s">
        <v>1388</v>
      </c>
      <c r="E456" t="s">
        <v>1349</v>
      </c>
      <c r="F456" t="s">
        <v>2709</v>
      </c>
      <c r="G456" t="s">
        <v>5922</v>
      </c>
      <c r="H456" t="s">
        <v>495</v>
      </c>
      <c r="I456">
        <v>0</v>
      </c>
    </row>
    <row r="457" spans="1:9" x14ac:dyDescent="0.25">
      <c r="A457" t="s">
        <v>2710</v>
      </c>
      <c r="B457" t="s">
        <v>2711</v>
      </c>
      <c r="C457" t="s">
        <v>29</v>
      </c>
      <c r="D457" t="s">
        <v>1388</v>
      </c>
      <c r="E457" t="s">
        <v>1349</v>
      </c>
      <c r="F457" t="s">
        <v>2712</v>
      </c>
      <c r="G457" t="s">
        <v>5923</v>
      </c>
      <c r="H457">
        <v>0</v>
      </c>
      <c r="I457">
        <v>0</v>
      </c>
    </row>
    <row r="458" spans="1:9" x14ac:dyDescent="0.25">
      <c r="A458" t="s">
        <v>2713</v>
      </c>
      <c r="B458" t="s">
        <v>2714</v>
      </c>
      <c r="C458" t="s">
        <v>29</v>
      </c>
      <c r="D458" t="s">
        <v>1388</v>
      </c>
      <c r="E458" t="s">
        <v>1349</v>
      </c>
      <c r="F458" t="s">
        <v>2715</v>
      </c>
      <c r="G458" t="s">
        <v>5924</v>
      </c>
      <c r="H458">
        <v>0</v>
      </c>
      <c r="I458">
        <v>0</v>
      </c>
    </row>
    <row r="459" spans="1:9" x14ac:dyDescent="0.25">
      <c r="A459" t="s">
        <v>2716</v>
      </c>
      <c r="B459" t="s">
        <v>2717</v>
      </c>
      <c r="C459" t="s">
        <v>29</v>
      </c>
      <c r="D459" t="s">
        <v>1388</v>
      </c>
      <c r="E459" t="s">
        <v>1349</v>
      </c>
      <c r="F459" t="s">
        <v>2718</v>
      </c>
      <c r="G459" t="s">
        <v>5925</v>
      </c>
      <c r="H459" t="s">
        <v>490</v>
      </c>
      <c r="I459">
        <v>0</v>
      </c>
    </row>
    <row r="460" spans="1:9" x14ac:dyDescent="0.25">
      <c r="A460" t="s">
        <v>2719</v>
      </c>
      <c r="B460" t="s">
        <v>2720</v>
      </c>
      <c r="C460" t="s">
        <v>29</v>
      </c>
      <c r="D460" t="s">
        <v>1388</v>
      </c>
      <c r="E460" t="s">
        <v>1349</v>
      </c>
      <c r="F460" t="s">
        <v>2721</v>
      </c>
      <c r="G460" t="s">
        <v>5926</v>
      </c>
      <c r="H460">
        <v>0</v>
      </c>
      <c r="I460">
        <v>0</v>
      </c>
    </row>
    <row r="461" spans="1:9" x14ac:dyDescent="0.25">
      <c r="A461" t="s">
        <v>2722</v>
      </c>
      <c r="B461" t="s">
        <v>2723</v>
      </c>
      <c r="C461" t="s">
        <v>29</v>
      </c>
      <c r="D461" t="s">
        <v>1388</v>
      </c>
      <c r="E461" t="s">
        <v>1349</v>
      </c>
      <c r="F461" t="s">
        <v>2724</v>
      </c>
      <c r="G461" t="s">
        <v>5927</v>
      </c>
      <c r="H461" t="s">
        <v>2725</v>
      </c>
      <c r="I461">
        <v>0</v>
      </c>
    </row>
    <row r="462" spans="1:9" x14ac:dyDescent="0.25">
      <c r="A462" t="s">
        <v>2726</v>
      </c>
      <c r="B462" t="s">
        <v>2727</v>
      </c>
      <c r="C462" t="s">
        <v>29</v>
      </c>
      <c r="D462" t="s">
        <v>1388</v>
      </c>
      <c r="E462" t="s">
        <v>1349</v>
      </c>
      <c r="F462" t="s">
        <v>2728</v>
      </c>
      <c r="G462" t="s">
        <v>5928</v>
      </c>
      <c r="H462" t="s">
        <v>2697</v>
      </c>
      <c r="I462">
        <v>0</v>
      </c>
    </row>
    <row r="463" spans="1:9" x14ac:dyDescent="0.25">
      <c r="A463" t="s">
        <v>2729</v>
      </c>
      <c r="B463" t="s">
        <v>2730</v>
      </c>
      <c r="C463" t="s">
        <v>29</v>
      </c>
      <c r="D463" t="s">
        <v>1388</v>
      </c>
      <c r="E463" t="s">
        <v>1349</v>
      </c>
      <c r="F463" t="s">
        <v>2731</v>
      </c>
      <c r="G463" t="s">
        <v>5929</v>
      </c>
      <c r="H463">
        <v>0</v>
      </c>
      <c r="I463">
        <v>0</v>
      </c>
    </row>
    <row r="464" spans="1:9" x14ac:dyDescent="0.25">
      <c r="A464" t="s">
        <v>2732</v>
      </c>
      <c r="B464" t="s">
        <v>2733</v>
      </c>
      <c r="C464" t="s">
        <v>29</v>
      </c>
      <c r="D464" t="s">
        <v>1388</v>
      </c>
      <c r="E464" t="s">
        <v>1349</v>
      </c>
      <c r="F464" t="s">
        <v>2734</v>
      </c>
      <c r="G464" t="s">
        <v>5930</v>
      </c>
      <c r="H464">
        <v>0</v>
      </c>
      <c r="I464">
        <v>0</v>
      </c>
    </row>
    <row r="465" spans="1:9" x14ac:dyDescent="0.25">
      <c r="A465" t="s">
        <v>2735</v>
      </c>
      <c r="B465" t="s">
        <v>2736</v>
      </c>
      <c r="C465" t="s">
        <v>29</v>
      </c>
      <c r="D465" t="s">
        <v>1388</v>
      </c>
      <c r="E465" t="s">
        <v>1349</v>
      </c>
      <c r="F465" t="s">
        <v>2737</v>
      </c>
      <c r="G465" t="s">
        <v>5931</v>
      </c>
      <c r="H465" t="s">
        <v>2684</v>
      </c>
      <c r="I465">
        <v>0</v>
      </c>
    </row>
    <row r="466" spans="1:9" x14ac:dyDescent="0.25">
      <c r="A466" t="s">
        <v>2738</v>
      </c>
      <c r="B466" t="s">
        <v>2739</v>
      </c>
      <c r="C466" t="s">
        <v>29</v>
      </c>
      <c r="D466" t="s">
        <v>1388</v>
      </c>
      <c r="E466" t="s">
        <v>1349</v>
      </c>
      <c r="F466" t="s">
        <v>2740</v>
      </c>
      <c r="G466" t="s">
        <v>5932</v>
      </c>
      <c r="H466" t="s">
        <v>2684</v>
      </c>
      <c r="I466">
        <v>0</v>
      </c>
    </row>
    <row r="467" spans="1:9" x14ac:dyDescent="0.25">
      <c r="A467" t="s">
        <v>2741</v>
      </c>
      <c r="B467" t="s">
        <v>2742</v>
      </c>
      <c r="C467" t="s">
        <v>29</v>
      </c>
      <c r="D467" t="s">
        <v>1388</v>
      </c>
      <c r="E467" t="s">
        <v>1349</v>
      </c>
      <c r="F467" t="s">
        <v>2743</v>
      </c>
      <c r="G467" t="s">
        <v>5933</v>
      </c>
      <c r="H467" t="s">
        <v>2744</v>
      </c>
      <c r="I467">
        <v>0</v>
      </c>
    </row>
    <row r="468" spans="1:9" x14ac:dyDescent="0.25">
      <c r="A468" t="s">
        <v>2745</v>
      </c>
      <c r="B468" t="s">
        <v>2746</v>
      </c>
      <c r="C468" t="s">
        <v>29</v>
      </c>
      <c r="D468" t="s">
        <v>1388</v>
      </c>
      <c r="E468" t="s">
        <v>1349</v>
      </c>
      <c r="F468" t="s">
        <v>2747</v>
      </c>
      <c r="G468" t="s">
        <v>5934</v>
      </c>
      <c r="H468">
        <v>0</v>
      </c>
      <c r="I468">
        <v>0</v>
      </c>
    </row>
    <row r="469" spans="1:9" x14ac:dyDescent="0.25">
      <c r="A469" t="s">
        <v>2748</v>
      </c>
      <c r="B469" t="s">
        <v>2749</v>
      </c>
      <c r="C469" t="s">
        <v>29</v>
      </c>
      <c r="D469" t="s">
        <v>1388</v>
      </c>
      <c r="E469" t="s">
        <v>1349</v>
      </c>
      <c r="F469" t="s">
        <v>2750</v>
      </c>
      <c r="G469" t="s">
        <v>5935</v>
      </c>
      <c r="H469">
        <v>0</v>
      </c>
      <c r="I469">
        <v>0</v>
      </c>
    </row>
    <row r="470" spans="1:9" x14ac:dyDescent="0.25">
      <c r="A470" t="s">
        <v>2751</v>
      </c>
      <c r="B470" t="s">
        <v>2752</v>
      </c>
      <c r="C470" t="s">
        <v>29</v>
      </c>
      <c r="D470" t="s">
        <v>1388</v>
      </c>
      <c r="E470" t="s">
        <v>1349</v>
      </c>
      <c r="F470" t="s">
        <v>2753</v>
      </c>
      <c r="G470" t="s">
        <v>5936</v>
      </c>
      <c r="H470">
        <v>0</v>
      </c>
      <c r="I470">
        <v>0</v>
      </c>
    </row>
    <row r="471" spans="1:9" x14ac:dyDescent="0.25">
      <c r="A471" t="s">
        <v>2754</v>
      </c>
      <c r="B471" t="s">
        <v>2755</v>
      </c>
      <c r="C471" t="s">
        <v>29</v>
      </c>
      <c r="D471" t="s">
        <v>1388</v>
      </c>
      <c r="E471" t="s">
        <v>1349</v>
      </c>
      <c r="F471" t="s">
        <v>2756</v>
      </c>
      <c r="G471" t="s">
        <v>5937</v>
      </c>
      <c r="H471">
        <v>0</v>
      </c>
      <c r="I471">
        <v>0</v>
      </c>
    </row>
    <row r="472" spans="1:9" x14ac:dyDescent="0.25">
      <c r="A472" t="s">
        <v>2757</v>
      </c>
      <c r="B472" t="s">
        <v>2758</v>
      </c>
      <c r="C472" t="s">
        <v>29</v>
      </c>
      <c r="D472" t="s">
        <v>1388</v>
      </c>
      <c r="E472" t="s">
        <v>1349</v>
      </c>
      <c r="F472" t="s">
        <v>2759</v>
      </c>
      <c r="G472" t="s">
        <v>5938</v>
      </c>
      <c r="H472">
        <v>0</v>
      </c>
      <c r="I472">
        <v>0</v>
      </c>
    </row>
    <row r="473" spans="1:9" x14ac:dyDescent="0.25">
      <c r="A473" t="s">
        <v>2760</v>
      </c>
      <c r="B473" t="s">
        <v>2761</v>
      </c>
      <c r="C473" t="s">
        <v>29</v>
      </c>
      <c r="D473" t="s">
        <v>1388</v>
      </c>
      <c r="E473" t="s">
        <v>1349</v>
      </c>
      <c r="F473" t="s">
        <v>2762</v>
      </c>
      <c r="G473" t="s">
        <v>5939</v>
      </c>
      <c r="H473">
        <v>0</v>
      </c>
      <c r="I473">
        <v>0</v>
      </c>
    </row>
    <row r="474" spans="1:9" x14ac:dyDescent="0.25">
      <c r="A474" t="s">
        <v>2763</v>
      </c>
      <c r="B474" t="s">
        <v>2764</v>
      </c>
      <c r="C474" t="s">
        <v>2765</v>
      </c>
      <c r="D474" t="s">
        <v>2766</v>
      </c>
      <c r="E474" t="s">
        <v>1298</v>
      </c>
      <c r="F474" t="s">
        <v>2767</v>
      </c>
      <c r="G474" t="s">
        <v>5940</v>
      </c>
      <c r="H474" t="s">
        <v>2768</v>
      </c>
      <c r="I474">
        <v>0</v>
      </c>
    </row>
    <row r="475" spans="1:9" x14ac:dyDescent="0.25">
      <c r="A475" t="s">
        <v>2769</v>
      </c>
      <c r="B475" t="s">
        <v>2770</v>
      </c>
      <c r="C475" t="s">
        <v>2765</v>
      </c>
      <c r="D475" t="s">
        <v>2766</v>
      </c>
      <c r="E475" t="s">
        <v>1298</v>
      </c>
      <c r="F475" t="s">
        <v>2771</v>
      </c>
      <c r="G475" t="s">
        <v>5941</v>
      </c>
      <c r="H475">
        <v>0</v>
      </c>
      <c r="I475">
        <v>0</v>
      </c>
    </row>
    <row r="476" spans="1:9" x14ac:dyDescent="0.25">
      <c r="A476" t="s">
        <v>2772</v>
      </c>
      <c r="B476" t="s">
        <v>2773</v>
      </c>
      <c r="C476" t="s">
        <v>2765</v>
      </c>
      <c r="D476" t="s">
        <v>2766</v>
      </c>
      <c r="E476" t="s">
        <v>1298</v>
      </c>
      <c r="F476" t="s">
        <v>2774</v>
      </c>
      <c r="G476" t="s">
        <v>5942</v>
      </c>
      <c r="H476">
        <v>0</v>
      </c>
      <c r="I476">
        <v>0</v>
      </c>
    </row>
    <row r="477" spans="1:9" x14ac:dyDescent="0.25">
      <c r="A477" t="s">
        <v>2775</v>
      </c>
      <c r="B477" t="s">
        <v>2776</v>
      </c>
      <c r="C477" t="s">
        <v>2765</v>
      </c>
      <c r="D477" t="s">
        <v>2766</v>
      </c>
      <c r="E477" t="s">
        <v>1298</v>
      </c>
      <c r="F477" t="s">
        <v>2777</v>
      </c>
      <c r="G477" t="s">
        <v>5943</v>
      </c>
      <c r="H477" t="s">
        <v>2778</v>
      </c>
      <c r="I477">
        <v>0</v>
      </c>
    </row>
    <row r="478" spans="1:9" x14ac:dyDescent="0.25">
      <c r="A478" t="s">
        <v>2779</v>
      </c>
      <c r="B478" t="s">
        <v>2780</v>
      </c>
      <c r="C478" t="s">
        <v>2765</v>
      </c>
      <c r="D478" t="s">
        <v>2766</v>
      </c>
      <c r="E478" t="s">
        <v>1298</v>
      </c>
      <c r="F478" t="s">
        <v>2777</v>
      </c>
      <c r="G478" t="s">
        <v>5943</v>
      </c>
      <c r="H478" t="s">
        <v>2778</v>
      </c>
      <c r="I478" t="s">
        <v>2781</v>
      </c>
    </row>
    <row r="479" spans="1:9" x14ac:dyDescent="0.25">
      <c r="A479" t="s">
        <v>2782</v>
      </c>
      <c r="B479" t="s">
        <v>2783</v>
      </c>
      <c r="C479" t="s">
        <v>2765</v>
      </c>
      <c r="D479" t="s">
        <v>2766</v>
      </c>
      <c r="E479" t="s">
        <v>1298</v>
      </c>
      <c r="F479" t="s">
        <v>2784</v>
      </c>
      <c r="G479" t="s">
        <v>5944</v>
      </c>
      <c r="H479" t="s">
        <v>2778</v>
      </c>
      <c r="I479">
        <v>0</v>
      </c>
    </row>
    <row r="480" spans="1:9" x14ac:dyDescent="0.25">
      <c r="A480" t="s">
        <v>2785</v>
      </c>
      <c r="B480" t="s">
        <v>2786</v>
      </c>
      <c r="C480" t="s">
        <v>2765</v>
      </c>
      <c r="D480" t="s">
        <v>2766</v>
      </c>
      <c r="E480" t="s">
        <v>1298</v>
      </c>
      <c r="F480" t="s">
        <v>2787</v>
      </c>
      <c r="G480" t="s">
        <v>5945</v>
      </c>
      <c r="H480">
        <v>0</v>
      </c>
      <c r="I480">
        <v>0</v>
      </c>
    </row>
    <row r="481" spans="1:9" x14ac:dyDescent="0.25">
      <c r="A481" t="s">
        <v>2788</v>
      </c>
      <c r="B481" t="s">
        <v>2789</v>
      </c>
      <c r="C481" t="s">
        <v>2765</v>
      </c>
      <c r="D481" t="s">
        <v>2766</v>
      </c>
      <c r="E481" t="s">
        <v>1298</v>
      </c>
      <c r="F481" t="s">
        <v>2790</v>
      </c>
      <c r="G481" t="s">
        <v>5946</v>
      </c>
      <c r="H481">
        <v>0</v>
      </c>
      <c r="I481">
        <v>0</v>
      </c>
    </row>
    <row r="482" spans="1:9" x14ac:dyDescent="0.25">
      <c r="A482" t="s">
        <v>2791</v>
      </c>
      <c r="B482" t="s">
        <v>2792</v>
      </c>
      <c r="C482" t="s">
        <v>2765</v>
      </c>
      <c r="D482" t="s">
        <v>2766</v>
      </c>
      <c r="E482" t="s">
        <v>1298</v>
      </c>
      <c r="F482" t="s">
        <v>2793</v>
      </c>
      <c r="G482" t="s">
        <v>5947</v>
      </c>
      <c r="H482">
        <v>0</v>
      </c>
      <c r="I482">
        <v>0</v>
      </c>
    </row>
    <row r="483" spans="1:9" x14ac:dyDescent="0.25">
      <c r="A483" t="s">
        <v>2794</v>
      </c>
      <c r="B483" t="s">
        <v>2795</v>
      </c>
      <c r="C483" t="s">
        <v>2765</v>
      </c>
      <c r="D483" t="s">
        <v>2766</v>
      </c>
      <c r="E483" t="s">
        <v>1298</v>
      </c>
      <c r="F483" t="s">
        <v>2796</v>
      </c>
      <c r="G483" t="s">
        <v>5948</v>
      </c>
      <c r="H483">
        <v>0</v>
      </c>
      <c r="I483">
        <v>0</v>
      </c>
    </row>
    <row r="484" spans="1:9" x14ac:dyDescent="0.25">
      <c r="A484" t="s">
        <v>2797</v>
      </c>
      <c r="B484" t="s">
        <v>2798</v>
      </c>
      <c r="C484" t="s">
        <v>2765</v>
      </c>
      <c r="D484" t="s">
        <v>2766</v>
      </c>
      <c r="E484" t="s">
        <v>1298</v>
      </c>
      <c r="F484" t="s">
        <v>2799</v>
      </c>
      <c r="G484" t="s">
        <v>5949</v>
      </c>
      <c r="H484" t="s">
        <v>2778</v>
      </c>
      <c r="I484">
        <v>0</v>
      </c>
    </row>
    <row r="485" spans="1:9" x14ac:dyDescent="0.25">
      <c r="A485" t="s">
        <v>2800</v>
      </c>
      <c r="B485" t="s">
        <v>2801</v>
      </c>
      <c r="C485" t="s">
        <v>2765</v>
      </c>
      <c r="D485" t="s">
        <v>2766</v>
      </c>
      <c r="E485" t="s">
        <v>1298</v>
      </c>
      <c r="F485" t="s">
        <v>2802</v>
      </c>
      <c r="G485" t="s">
        <v>5950</v>
      </c>
      <c r="H485" t="s">
        <v>2778</v>
      </c>
      <c r="I485">
        <v>0</v>
      </c>
    </row>
    <row r="486" spans="1:9" x14ac:dyDescent="0.25">
      <c r="A486" t="s">
        <v>2803</v>
      </c>
      <c r="B486" t="s">
        <v>2804</v>
      </c>
      <c r="C486" t="s">
        <v>2765</v>
      </c>
      <c r="D486" t="s">
        <v>2766</v>
      </c>
      <c r="E486" t="s">
        <v>1298</v>
      </c>
      <c r="F486" t="s">
        <v>2805</v>
      </c>
      <c r="G486" t="s">
        <v>5951</v>
      </c>
      <c r="H486" t="s">
        <v>2768</v>
      </c>
      <c r="I486">
        <v>0</v>
      </c>
    </row>
    <row r="487" spans="1:9" x14ac:dyDescent="0.25">
      <c r="A487" t="s">
        <v>2806</v>
      </c>
      <c r="B487" t="s">
        <v>2807</v>
      </c>
      <c r="C487" t="s">
        <v>2765</v>
      </c>
      <c r="D487" t="s">
        <v>2766</v>
      </c>
      <c r="E487" t="s">
        <v>1298</v>
      </c>
      <c r="F487" t="s">
        <v>2808</v>
      </c>
      <c r="G487" t="s">
        <v>5952</v>
      </c>
      <c r="H487" t="s">
        <v>2768</v>
      </c>
      <c r="I487">
        <v>0</v>
      </c>
    </row>
    <row r="488" spans="1:9" x14ac:dyDescent="0.25">
      <c r="A488" t="s">
        <v>2809</v>
      </c>
      <c r="B488" t="s">
        <v>2810</v>
      </c>
      <c r="C488" t="s">
        <v>2765</v>
      </c>
      <c r="D488" t="s">
        <v>2766</v>
      </c>
      <c r="E488" t="s">
        <v>1298</v>
      </c>
      <c r="F488" t="s">
        <v>2811</v>
      </c>
      <c r="G488" t="s">
        <v>5953</v>
      </c>
      <c r="H488" t="s">
        <v>2778</v>
      </c>
      <c r="I488">
        <v>0</v>
      </c>
    </row>
    <row r="489" spans="1:9" x14ac:dyDescent="0.25">
      <c r="A489" t="s">
        <v>2812</v>
      </c>
      <c r="B489" t="s">
        <v>2813</v>
      </c>
      <c r="C489" t="s">
        <v>2765</v>
      </c>
      <c r="D489" t="s">
        <v>2766</v>
      </c>
      <c r="E489" t="s">
        <v>1298</v>
      </c>
      <c r="F489" t="s">
        <v>2814</v>
      </c>
      <c r="G489" t="s">
        <v>5954</v>
      </c>
      <c r="H489" t="s">
        <v>2778</v>
      </c>
      <c r="I489">
        <v>0</v>
      </c>
    </row>
    <row r="490" spans="1:9" x14ac:dyDescent="0.25">
      <c r="A490" t="s">
        <v>2815</v>
      </c>
      <c r="B490" t="s">
        <v>2816</v>
      </c>
      <c r="C490" t="s">
        <v>2765</v>
      </c>
      <c r="D490" t="s">
        <v>2766</v>
      </c>
      <c r="E490" t="s">
        <v>1298</v>
      </c>
      <c r="F490" t="s">
        <v>2817</v>
      </c>
      <c r="G490" t="s">
        <v>5955</v>
      </c>
      <c r="H490" t="s">
        <v>2778</v>
      </c>
      <c r="I490">
        <v>0</v>
      </c>
    </row>
    <row r="491" spans="1:9" x14ac:dyDescent="0.25">
      <c r="A491" t="s">
        <v>2818</v>
      </c>
      <c r="B491" t="s">
        <v>2819</v>
      </c>
      <c r="C491" t="s">
        <v>2765</v>
      </c>
      <c r="D491" t="s">
        <v>2766</v>
      </c>
      <c r="E491" t="s">
        <v>1298</v>
      </c>
      <c r="F491" t="s">
        <v>2817</v>
      </c>
      <c r="G491" t="s">
        <v>5955</v>
      </c>
      <c r="H491" t="s">
        <v>2778</v>
      </c>
      <c r="I491" t="s">
        <v>2820</v>
      </c>
    </row>
    <row r="492" spans="1:9" x14ac:dyDescent="0.25">
      <c r="A492" t="s">
        <v>2821</v>
      </c>
      <c r="B492" t="s">
        <v>2822</v>
      </c>
      <c r="C492" t="s">
        <v>2765</v>
      </c>
      <c r="D492" t="s">
        <v>2766</v>
      </c>
      <c r="E492" t="s">
        <v>1298</v>
      </c>
      <c r="F492" t="s">
        <v>2823</v>
      </c>
      <c r="G492" t="s">
        <v>5956</v>
      </c>
      <c r="H492" t="s">
        <v>2778</v>
      </c>
      <c r="I492">
        <v>0</v>
      </c>
    </row>
    <row r="493" spans="1:9" x14ac:dyDescent="0.25">
      <c r="A493" t="s">
        <v>2824</v>
      </c>
      <c r="B493" t="s">
        <v>2825</v>
      </c>
      <c r="C493" t="s">
        <v>2765</v>
      </c>
      <c r="D493" t="s">
        <v>2766</v>
      </c>
      <c r="E493" t="s">
        <v>1298</v>
      </c>
      <c r="F493" t="s">
        <v>2826</v>
      </c>
      <c r="G493" t="s">
        <v>5957</v>
      </c>
      <c r="H493" t="s">
        <v>2778</v>
      </c>
      <c r="I493">
        <v>0</v>
      </c>
    </row>
    <row r="494" spans="1:9" x14ac:dyDescent="0.25">
      <c r="A494" t="s">
        <v>2827</v>
      </c>
      <c r="B494" t="s">
        <v>2828</v>
      </c>
      <c r="C494" t="s">
        <v>2765</v>
      </c>
      <c r="D494" t="s">
        <v>2766</v>
      </c>
      <c r="E494" t="s">
        <v>1298</v>
      </c>
      <c r="F494" t="s">
        <v>2829</v>
      </c>
      <c r="G494" t="s">
        <v>5958</v>
      </c>
      <c r="H494" t="s">
        <v>2830</v>
      </c>
      <c r="I494">
        <v>0</v>
      </c>
    </row>
    <row r="495" spans="1:9" x14ac:dyDescent="0.25">
      <c r="A495" t="s">
        <v>2831</v>
      </c>
      <c r="B495" t="s">
        <v>2832</v>
      </c>
      <c r="C495" t="s">
        <v>2765</v>
      </c>
      <c r="D495" t="s">
        <v>2766</v>
      </c>
      <c r="E495" t="s">
        <v>1298</v>
      </c>
      <c r="F495" t="s">
        <v>2833</v>
      </c>
      <c r="G495" t="s">
        <v>5959</v>
      </c>
      <c r="H495" t="s">
        <v>2830</v>
      </c>
      <c r="I495">
        <v>0</v>
      </c>
    </row>
    <row r="496" spans="1:9" x14ac:dyDescent="0.25">
      <c r="A496" t="s">
        <v>2834</v>
      </c>
      <c r="B496" t="s">
        <v>2835</v>
      </c>
      <c r="C496" t="s">
        <v>2765</v>
      </c>
      <c r="D496" t="s">
        <v>2766</v>
      </c>
      <c r="E496" t="s">
        <v>1298</v>
      </c>
      <c r="F496" t="s">
        <v>2836</v>
      </c>
      <c r="G496" t="s">
        <v>5960</v>
      </c>
      <c r="H496">
        <v>0</v>
      </c>
      <c r="I496">
        <v>0</v>
      </c>
    </row>
    <row r="497" spans="1:9" x14ac:dyDescent="0.25">
      <c r="A497" t="s">
        <v>2837</v>
      </c>
      <c r="B497" t="s">
        <v>2838</v>
      </c>
      <c r="C497" t="s">
        <v>2765</v>
      </c>
      <c r="D497" t="s">
        <v>2766</v>
      </c>
      <c r="E497" t="s">
        <v>1298</v>
      </c>
      <c r="F497" t="s">
        <v>2839</v>
      </c>
      <c r="G497" t="s">
        <v>5961</v>
      </c>
      <c r="H497">
        <v>0</v>
      </c>
      <c r="I497">
        <v>0</v>
      </c>
    </row>
    <row r="498" spans="1:9" x14ac:dyDescent="0.25">
      <c r="A498" t="s">
        <v>2840</v>
      </c>
      <c r="B498" t="s">
        <v>2841</v>
      </c>
      <c r="C498" t="s">
        <v>2765</v>
      </c>
      <c r="D498" t="s">
        <v>2766</v>
      </c>
      <c r="E498" t="s">
        <v>1298</v>
      </c>
      <c r="F498" t="s">
        <v>2842</v>
      </c>
      <c r="G498" t="s">
        <v>5962</v>
      </c>
      <c r="H498" t="s">
        <v>2778</v>
      </c>
      <c r="I498">
        <v>0</v>
      </c>
    </row>
    <row r="499" spans="1:9" x14ac:dyDescent="0.25">
      <c r="A499" t="s">
        <v>2843</v>
      </c>
      <c r="B499" t="s">
        <v>2844</v>
      </c>
      <c r="C499" t="s">
        <v>2765</v>
      </c>
      <c r="D499" t="s">
        <v>2766</v>
      </c>
      <c r="E499" t="s">
        <v>1298</v>
      </c>
      <c r="F499" t="s">
        <v>2845</v>
      </c>
      <c r="G499" t="s">
        <v>5963</v>
      </c>
      <c r="H499" t="s">
        <v>2778</v>
      </c>
      <c r="I499">
        <v>0</v>
      </c>
    </row>
    <row r="500" spans="1:9" x14ac:dyDescent="0.25">
      <c r="A500" t="s">
        <v>2846</v>
      </c>
      <c r="B500" t="s">
        <v>2847</v>
      </c>
      <c r="C500" t="s">
        <v>2765</v>
      </c>
      <c r="D500" t="s">
        <v>2766</v>
      </c>
      <c r="E500" t="s">
        <v>1298</v>
      </c>
      <c r="F500" t="s">
        <v>2848</v>
      </c>
      <c r="G500" t="s">
        <v>5964</v>
      </c>
      <c r="H500" t="s">
        <v>2768</v>
      </c>
      <c r="I500">
        <v>0</v>
      </c>
    </row>
    <row r="501" spans="1:9" x14ac:dyDescent="0.25">
      <c r="A501" t="s">
        <v>2849</v>
      </c>
      <c r="B501" t="s">
        <v>2850</v>
      </c>
      <c r="C501" t="s">
        <v>2765</v>
      </c>
      <c r="D501" t="s">
        <v>2766</v>
      </c>
      <c r="E501" t="s">
        <v>1298</v>
      </c>
      <c r="F501" t="s">
        <v>2851</v>
      </c>
      <c r="G501" t="s">
        <v>5965</v>
      </c>
      <c r="H501" t="s">
        <v>2830</v>
      </c>
      <c r="I501">
        <v>0</v>
      </c>
    </row>
    <row r="502" spans="1:9" x14ac:dyDescent="0.25">
      <c r="A502" t="s">
        <v>2852</v>
      </c>
      <c r="B502" t="s">
        <v>2853</v>
      </c>
      <c r="C502" t="s">
        <v>2765</v>
      </c>
      <c r="D502" t="s">
        <v>2766</v>
      </c>
      <c r="E502" t="s">
        <v>1298</v>
      </c>
      <c r="F502" t="s">
        <v>2854</v>
      </c>
      <c r="G502" t="s">
        <v>5966</v>
      </c>
      <c r="H502" t="s">
        <v>2830</v>
      </c>
      <c r="I502">
        <v>0</v>
      </c>
    </row>
    <row r="503" spans="1:9" x14ac:dyDescent="0.25">
      <c r="A503" t="s">
        <v>2855</v>
      </c>
      <c r="B503" t="s">
        <v>2856</v>
      </c>
      <c r="C503" t="s">
        <v>2765</v>
      </c>
      <c r="D503" t="s">
        <v>2766</v>
      </c>
      <c r="E503" t="s">
        <v>1298</v>
      </c>
      <c r="F503" t="s">
        <v>2857</v>
      </c>
      <c r="G503" t="s">
        <v>5967</v>
      </c>
      <c r="H503" t="s">
        <v>2778</v>
      </c>
      <c r="I503">
        <v>0</v>
      </c>
    </row>
    <row r="504" spans="1:9" x14ac:dyDescent="0.25">
      <c r="A504" t="s">
        <v>2858</v>
      </c>
      <c r="B504" t="s">
        <v>2859</v>
      </c>
      <c r="C504" t="s">
        <v>2765</v>
      </c>
      <c r="D504" t="s">
        <v>2766</v>
      </c>
      <c r="E504" t="s">
        <v>1298</v>
      </c>
      <c r="F504" t="s">
        <v>2860</v>
      </c>
      <c r="G504" t="s">
        <v>5968</v>
      </c>
      <c r="H504">
        <v>0</v>
      </c>
      <c r="I504">
        <v>0</v>
      </c>
    </row>
    <row r="505" spans="1:9" x14ac:dyDescent="0.25">
      <c r="A505" t="s">
        <v>2861</v>
      </c>
      <c r="B505" t="s">
        <v>2862</v>
      </c>
      <c r="C505" t="s">
        <v>31</v>
      </c>
      <c r="D505" t="s">
        <v>1348</v>
      </c>
      <c r="E505" t="s">
        <v>1349</v>
      </c>
      <c r="F505" t="s">
        <v>2863</v>
      </c>
      <c r="G505" t="s">
        <v>5969</v>
      </c>
      <c r="H505">
        <v>0</v>
      </c>
      <c r="I505">
        <v>0</v>
      </c>
    </row>
    <row r="506" spans="1:9" x14ac:dyDescent="0.25">
      <c r="A506" t="s">
        <v>2864</v>
      </c>
      <c r="B506" t="s">
        <v>2865</v>
      </c>
      <c r="C506" t="s">
        <v>31</v>
      </c>
      <c r="D506" t="s">
        <v>1348</v>
      </c>
      <c r="E506" t="s">
        <v>1349</v>
      </c>
      <c r="F506" t="s">
        <v>2866</v>
      </c>
      <c r="G506" t="s">
        <v>5970</v>
      </c>
      <c r="H506" t="s">
        <v>2867</v>
      </c>
      <c r="I506">
        <v>0</v>
      </c>
    </row>
    <row r="507" spans="1:9" x14ac:dyDescent="0.25">
      <c r="A507" t="s">
        <v>2868</v>
      </c>
      <c r="B507" t="s">
        <v>2869</v>
      </c>
      <c r="C507" t="s">
        <v>31</v>
      </c>
      <c r="D507" t="s">
        <v>1348</v>
      </c>
      <c r="E507" t="s">
        <v>1349</v>
      </c>
      <c r="F507" t="s">
        <v>2870</v>
      </c>
      <c r="G507" t="s">
        <v>5971</v>
      </c>
      <c r="H507" t="s">
        <v>2867</v>
      </c>
      <c r="I507">
        <v>0</v>
      </c>
    </row>
    <row r="508" spans="1:9" x14ac:dyDescent="0.25">
      <c r="A508" t="s">
        <v>2871</v>
      </c>
      <c r="B508" t="s">
        <v>2872</v>
      </c>
      <c r="C508" t="s">
        <v>31</v>
      </c>
      <c r="D508" t="s">
        <v>1348</v>
      </c>
      <c r="E508" t="s">
        <v>1349</v>
      </c>
      <c r="F508" t="s">
        <v>2873</v>
      </c>
      <c r="G508" t="s">
        <v>5972</v>
      </c>
      <c r="H508">
        <v>0</v>
      </c>
      <c r="I508">
        <v>0</v>
      </c>
    </row>
    <row r="509" spans="1:9" x14ac:dyDescent="0.25">
      <c r="A509" t="s">
        <v>2874</v>
      </c>
      <c r="B509" t="s">
        <v>2875</v>
      </c>
      <c r="C509" t="s">
        <v>31</v>
      </c>
      <c r="D509" t="s">
        <v>1348</v>
      </c>
      <c r="E509" t="s">
        <v>1349</v>
      </c>
      <c r="F509" t="s">
        <v>2876</v>
      </c>
      <c r="G509" t="s">
        <v>5973</v>
      </c>
      <c r="H509">
        <v>0</v>
      </c>
      <c r="I509">
        <v>0</v>
      </c>
    </row>
    <row r="510" spans="1:9" x14ac:dyDescent="0.25">
      <c r="A510" t="s">
        <v>2877</v>
      </c>
      <c r="B510" t="s">
        <v>2878</v>
      </c>
      <c r="C510" t="s">
        <v>31</v>
      </c>
      <c r="D510" t="s">
        <v>1348</v>
      </c>
      <c r="E510" t="s">
        <v>1349</v>
      </c>
      <c r="F510" t="s">
        <v>2879</v>
      </c>
      <c r="G510" t="s">
        <v>5974</v>
      </c>
      <c r="H510">
        <v>0</v>
      </c>
      <c r="I510">
        <v>0</v>
      </c>
    </row>
    <row r="511" spans="1:9" x14ac:dyDescent="0.25">
      <c r="A511" t="s">
        <v>2880</v>
      </c>
      <c r="B511" t="s">
        <v>2881</v>
      </c>
      <c r="C511" t="s">
        <v>31</v>
      </c>
      <c r="D511" t="s">
        <v>1348</v>
      </c>
      <c r="E511" t="s">
        <v>1349</v>
      </c>
      <c r="F511" t="s">
        <v>2882</v>
      </c>
      <c r="G511" t="s">
        <v>5975</v>
      </c>
      <c r="H511" t="s">
        <v>2883</v>
      </c>
      <c r="I511">
        <v>0</v>
      </c>
    </row>
    <row r="512" spans="1:9" x14ac:dyDescent="0.25">
      <c r="A512" t="s">
        <v>2884</v>
      </c>
      <c r="B512" t="s">
        <v>2885</v>
      </c>
      <c r="C512" t="s">
        <v>31</v>
      </c>
      <c r="D512" t="s">
        <v>1348</v>
      </c>
      <c r="E512" t="s">
        <v>1349</v>
      </c>
      <c r="F512" t="s">
        <v>2886</v>
      </c>
      <c r="G512" t="s">
        <v>5976</v>
      </c>
      <c r="H512">
        <v>0</v>
      </c>
      <c r="I512">
        <v>0</v>
      </c>
    </row>
    <row r="513" spans="1:9" x14ac:dyDescent="0.25">
      <c r="A513" t="s">
        <v>2887</v>
      </c>
      <c r="B513" t="s">
        <v>2888</v>
      </c>
      <c r="C513" t="s">
        <v>31</v>
      </c>
      <c r="D513" t="s">
        <v>1348</v>
      </c>
      <c r="E513" t="s">
        <v>1349</v>
      </c>
      <c r="F513" t="s">
        <v>2889</v>
      </c>
      <c r="G513" t="s">
        <v>5977</v>
      </c>
      <c r="H513">
        <v>0</v>
      </c>
      <c r="I513">
        <v>0</v>
      </c>
    </row>
    <row r="514" spans="1:9" x14ac:dyDescent="0.25">
      <c r="A514" t="s">
        <v>2890</v>
      </c>
      <c r="B514" t="s">
        <v>2891</v>
      </c>
      <c r="C514" t="s">
        <v>31</v>
      </c>
      <c r="D514" t="s">
        <v>1348</v>
      </c>
      <c r="E514" t="s">
        <v>1349</v>
      </c>
      <c r="F514" t="s">
        <v>2892</v>
      </c>
      <c r="G514" t="s">
        <v>5978</v>
      </c>
      <c r="H514" t="s">
        <v>2893</v>
      </c>
      <c r="I514">
        <v>0</v>
      </c>
    </row>
    <row r="515" spans="1:9" x14ac:dyDescent="0.25">
      <c r="A515" t="s">
        <v>2894</v>
      </c>
      <c r="B515" t="s">
        <v>2895</v>
      </c>
      <c r="C515" t="s">
        <v>31</v>
      </c>
      <c r="D515" t="s">
        <v>1348</v>
      </c>
      <c r="E515" t="s">
        <v>1349</v>
      </c>
      <c r="F515" t="s">
        <v>2896</v>
      </c>
      <c r="G515" t="s">
        <v>5979</v>
      </c>
      <c r="H515" t="s">
        <v>2897</v>
      </c>
      <c r="I515">
        <v>0</v>
      </c>
    </row>
    <row r="516" spans="1:9" x14ac:dyDescent="0.25">
      <c r="A516" t="s">
        <v>2898</v>
      </c>
      <c r="B516" t="s">
        <v>2899</v>
      </c>
      <c r="C516" t="s">
        <v>31</v>
      </c>
      <c r="D516" t="s">
        <v>1348</v>
      </c>
      <c r="E516" t="s">
        <v>1349</v>
      </c>
      <c r="F516" t="s">
        <v>2900</v>
      </c>
      <c r="G516" t="s">
        <v>5980</v>
      </c>
      <c r="H516" t="s">
        <v>2867</v>
      </c>
      <c r="I516">
        <v>0</v>
      </c>
    </row>
    <row r="517" spans="1:9" x14ac:dyDescent="0.25">
      <c r="A517" t="s">
        <v>2901</v>
      </c>
      <c r="B517" t="s">
        <v>2902</v>
      </c>
      <c r="C517" t="s">
        <v>31</v>
      </c>
      <c r="D517" t="s">
        <v>1348</v>
      </c>
      <c r="E517" t="s">
        <v>1349</v>
      </c>
      <c r="F517" t="s">
        <v>2903</v>
      </c>
      <c r="G517" t="s">
        <v>5981</v>
      </c>
      <c r="H517" t="s">
        <v>2867</v>
      </c>
      <c r="I517">
        <v>0</v>
      </c>
    </row>
    <row r="518" spans="1:9" x14ac:dyDescent="0.25">
      <c r="A518" t="s">
        <v>2904</v>
      </c>
      <c r="B518" t="s">
        <v>2905</v>
      </c>
      <c r="C518" t="s">
        <v>31</v>
      </c>
      <c r="D518" t="s">
        <v>1348</v>
      </c>
      <c r="E518" t="s">
        <v>1349</v>
      </c>
      <c r="F518" t="s">
        <v>2906</v>
      </c>
      <c r="G518" t="s">
        <v>5982</v>
      </c>
      <c r="H518">
        <v>0</v>
      </c>
      <c r="I518">
        <v>0</v>
      </c>
    </row>
    <row r="519" spans="1:9" x14ac:dyDescent="0.25">
      <c r="A519" t="s">
        <v>2907</v>
      </c>
      <c r="B519" t="s">
        <v>2908</v>
      </c>
      <c r="C519" t="s">
        <v>31</v>
      </c>
      <c r="D519" t="s">
        <v>1348</v>
      </c>
      <c r="E519" t="s">
        <v>1349</v>
      </c>
      <c r="F519" t="s">
        <v>2909</v>
      </c>
      <c r="G519" t="s">
        <v>5983</v>
      </c>
      <c r="H519">
        <v>0</v>
      </c>
      <c r="I519">
        <v>0</v>
      </c>
    </row>
    <row r="520" spans="1:9" x14ac:dyDescent="0.25">
      <c r="A520" t="s">
        <v>2910</v>
      </c>
      <c r="B520" t="s">
        <v>2911</v>
      </c>
      <c r="C520" t="s">
        <v>31</v>
      </c>
      <c r="D520" t="s">
        <v>1348</v>
      </c>
      <c r="E520" t="s">
        <v>1349</v>
      </c>
      <c r="F520" t="s">
        <v>2912</v>
      </c>
      <c r="G520" t="s">
        <v>5984</v>
      </c>
      <c r="H520">
        <v>0</v>
      </c>
      <c r="I520">
        <v>0</v>
      </c>
    </row>
    <row r="521" spans="1:9" x14ac:dyDescent="0.25">
      <c r="A521" t="s">
        <v>2913</v>
      </c>
      <c r="B521" t="s">
        <v>2914</v>
      </c>
      <c r="C521" t="s">
        <v>31</v>
      </c>
      <c r="D521" t="s">
        <v>1348</v>
      </c>
      <c r="E521" t="s">
        <v>1349</v>
      </c>
      <c r="F521" t="s">
        <v>2915</v>
      </c>
      <c r="G521" t="s">
        <v>5985</v>
      </c>
      <c r="H521">
        <v>0</v>
      </c>
      <c r="I521">
        <v>0</v>
      </c>
    </row>
    <row r="522" spans="1:9" x14ac:dyDescent="0.25">
      <c r="A522" t="s">
        <v>2916</v>
      </c>
      <c r="B522" t="s">
        <v>2917</v>
      </c>
      <c r="C522" t="s">
        <v>31</v>
      </c>
      <c r="D522" t="s">
        <v>1348</v>
      </c>
      <c r="E522" t="s">
        <v>1349</v>
      </c>
      <c r="F522" t="s">
        <v>2918</v>
      </c>
      <c r="G522" t="s">
        <v>5986</v>
      </c>
      <c r="H522" t="s">
        <v>2883</v>
      </c>
      <c r="I522">
        <v>0</v>
      </c>
    </row>
    <row r="523" spans="1:9" x14ac:dyDescent="0.25">
      <c r="A523" t="s">
        <v>2919</v>
      </c>
      <c r="B523" t="s">
        <v>2920</v>
      </c>
      <c r="C523" t="s">
        <v>31</v>
      </c>
      <c r="D523" t="s">
        <v>1348</v>
      </c>
      <c r="E523" t="s">
        <v>1349</v>
      </c>
      <c r="F523" t="s">
        <v>2921</v>
      </c>
      <c r="G523" t="s">
        <v>5987</v>
      </c>
      <c r="H523">
        <v>0</v>
      </c>
      <c r="I523">
        <v>0</v>
      </c>
    </row>
    <row r="524" spans="1:9" x14ac:dyDescent="0.25">
      <c r="A524" t="s">
        <v>2922</v>
      </c>
      <c r="B524" t="s">
        <v>2923</v>
      </c>
      <c r="C524" t="s">
        <v>31</v>
      </c>
      <c r="D524" t="s">
        <v>1348</v>
      </c>
      <c r="E524" t="s">
        <v>1349</v>
      </c>
      <c r="F524" t="s">
        <v>2924</v>
      </c>
      <c r="G524" t="s">
        <v>5988</v>
      </c>
      <c r="H524">
        <v>0</v>
      </c>
      <c r="I524">
        <v>0</v>
      </c>
    </row>
    <row r="525" spans="1:9" x14ac:dyDescent="0.25">
      <c r="A525" t="s">
        <v>2925</v>
      </c>
      <c r="B525" t="s">
        <v>2926</v>
      </c>
      <c r="C525" t="s">
        <v>31</v>
      </c>
      <c r="D525" t="s">
        <v>1348</v>
      </c>
      <c r="E525" t="s">
        <v>1349</v>
      </c>
      <c r="F525" t="s">
        <v>2927</v>
      </c>
      <c r="G525" t="s">
        <v>5989</v>
      </c>
      <c r="H525">
        <v>0</v>
      </c>
      <c r="I525">
        <v>0</v>
      </c>
    </row>
    <row r="526" spans="1:9" x14ac:dyDescent="0.25">
      <c r="A526" t="s">
        <v>2928</v>
      </c>
      <c r="B526" t="s">
        <v>2929</v>
      </c>
      <c r="C526" t="s">
        <v>31</v>
      </c>
      <c r="D526" t="s">
        <v>1348</v>
      </c>
      <c r="E526" t="s">
        <v>1349</v>
      </c>
      <c r="F526" t="s">
        <v>2930</v>
      </c>
      <c r="G526" t="s">
        <v>5990</v>
      </c>
      <c r="H526">
        <v>0</v>
      </c>
      <c r="I526">
        <v>0</v>
      </c>
    </row>
    <row r="527" spans="1:9" x14ac:dyDescent="0.25">
      <c r="A527" t="s">
        <v>2931</v>
      </c>
      <c r="B527" t="s">
        <v>2932</v>
      </c>
      <c r="C527" t="s">
        <v>31</v>
      </c>
      <c r="D527" t="s">
        <v>1348</v>
      </c>
      <c r="E527" t="s">
        <v>1349</v>
      </c>
      <c r="F527" t="s">
        <v>2933</v>
      </c>
      <c r="G527" t="s">
        <v>5991</v>
      </c>
      <c r="H527">
        <v>0</v>
      </c>
      <c r="I527">
        <v>0</v>
      </c>
    </row>
    <row r="528" spans="1:9" x14ac:dyDescent="0.25">
      <c r="A528" t="s">
        <v>2934</v>
      </c>
      <c r="B528" t="s">
        <v>2935</v>
      </c>
      <c r="C528" t="s">
        <v>31</v>
      </c>
      <c r="D528" t="s">
        <v>1348</v>
      </c>
      <c r="E528" t="s">
        <v>1349</v>
      </c>
      <c r="F528" t="s">
        <v>2936</v>
      </c>
      <c r="G528" t="s">
        <v>5992</v>
      </c>
      <c r="H528" t="s">
        <v>2893</v>
      </c>
      <c r="I528">
        <v>0</v>
      </c>
    </row>
    <row r="529" spans="1:9" x14ac:dyDescent="0.25">
      <c r="A529" t="s">
        <v>2937</v>
      </c>
      <c r="B529" t="s">
        <v>2938</v>
      </c>
      <c r="C529" t="s">
        <v>31</v>
      </c>
      <c r="D529" t="s">
        <v>1348</v>
      </c>
      <c r="E529" t="s">
        <v>1349</v>
      </c>
      <c r="F529" t="s">
        <v>2939</v>
      </c>
      <c r="G529" t="s">
        <v>5993</v>
      </c>
      <c r="H529" t="s">
        <v>2893</v>
      </c>
      <c r="I529">
        <v>0</v>
      </c>
    </row>
    <row r="530" spans="1:9" x14ac:dyDescent="0.25">
      <c r="A530" t="s">
        <v>2940</v>
      </c>
      <c r="B530" t="s">
        <v>2941</v>
      </c>
      <c r="C530" t="s">
        <v>31</v>
      </c>
      <c r="D530" t="s">
        <v>1348</v>
      </c>
      <c r="E530" t="s">
        <v>1349</v>
      </c>
      <c r="F530" t="s">
        <v>2942</v>
      </c>
      <c r="G530" t="s">
        <v>5994</v>
      </c>
      <c r="H530">
        <v>0</v>
      </c>
      <c r="I530">
        <v>0</v>
      </c>
    </row>
    <row r="531" spans="1:9" x14ac:dyDescent="0.25">
      <c r="A531" t="s">
        <v>2943</v>
      </c>
      <c r="B531" t="s">
        <v>2944</v>
      </c>
      <c r="C531" t="s">
        <v>31</v>
      </c>
      <c r="D531" t="s">
        <v>1348</v>
      </c>
      <c r="E531" t="s">
        <v>1349</v>
      </c>
      <c r="F531" t="s">
        <v>2945</v>
      </c>
      <c r="G531" t="s">
        <v>5995</v>
      </c>
      <c r="H531" t="s">
        <v>2867</v>
      </c>
      <c r="I531">
        <v>0</v>
      </c>
    </row>
    <row r="532" spans="1:9" x14ac:dyDescent="0.25">
      <c r="A532" t="s">
        <v>2946</v>
      </c>
      <c r="B532" t="s">
        <v>2947</v>
      </c>
      <c r="C532" t="s">
        <v>31</v>
      </c>
      <c r="D532" t="s">
        <v>1348</v>
      </c>
      <c r="E532" t="s">
        <v>1349</v>
      </c>
      <c r="F532" t="s">
        <v>2948</v>
      </c>
      <c r="G532" t="s">
        <v>5996</v>
      </c>
      <c r="H532">
        <v>0</v>
      </c>
      <c r="I532">
        <v>0</v>
      </c>
    </row>
    <row r="533" spans="1:9" x14ac:dyDescent="0.25">
      <c r="A533" t="s">
        <v>2949</v>
      </c>
      <c r="B533" t="s">
        <v>2950</v>
      </c>
      <c r="C533" t="s">
        <v>31</v>
      </c>
      <c r="D533" t="s">
        <v>1348</v>
      </c>
      <c r="E533" t="s">
        <v>1349</v>
      </c>
      <c r="F533" t="s">
        <v>2951</v>
      </c>
      <c r="G533" t="s">
        <v>5997</v>
      </c>
      <c r="H533">
        <v>0</v>
      </c>
      <c r="I533">
        <v>0</v>
      </c>
    </row>
    <row r="534" spans="1:9" x14ac:dyDescent="0.25">
      <c r="A534" t="s">
        <v>2952</v>
      </c>
      <c r="B534" t="s">
        <v>2953</v>
      </c>
      <c r="C534" t="s">
        <v>31</v>
      </c>
      <c r="D534" t="s">
        <v>1348</v>
      </c>
      <c r="E534" t="s">
        <v>1349</v>
      </c>
      <c r="F534" t="s">
        <v>2954</v>
      </c>
      <c r="G534" t="s">
        <v>5998</v>
      </c>
      <c r="H534" t="s">
        <v>523</v>
      </c>
      <c r="I534">
        <v>0</v>
      </c>
    </row>
    <row r="535" spans="1:9" x14ac:dyDescent="0.25">
      <c r="A535" t="s">
        <v>2955</v>
      </c>
      <c r="B535" t="s">
        <v>2956</v>
      </c>
      <c r="C535" t="s">
        <v>31</v>
      </c>
      <c r="D535" t="s">
        <v>1348</v>
      </c>
      <c r="E535" t="s">
        <v>1349</v>
      </c>
      <c r="F535" t="s">
        <v>2957</v>
      </c>
      <c r="G535" t="s">
        <v>5999</v>
      </c>
      <c r="H535">
        <v>0</v>
      </c>
      <c r="I535">
        <v>0</v>
      </c>
    </row>
    <row r="536" spans="1:9" x14ac:dyDescent="0.25">
      <c r="A536" t="s">
        <v>2958</v>
      </c>
      <c r="B536" t="s">
        <v>2959</v>
      </c>
      <c r="C536" t="s">
        <v>31</v>
      </c>
      <c r="D536" t="s">
        <v>1348</v>
      </c>
      <c r="E536" t="s">
        <v>1349</v>
      </c>
      <c r="F536" t="s">
        <v>2960</v>
      </c>
      <c r="G536" t="s">
        <v>6000</v>
      </c>
      <c r="H536" t="s">
        <v>2897</v>
      </c>
      <c r="I536">
        <v>0</v>
      </c>
    </row>
    <row r="537" spans="1:9" x14ac:dyDescent="0.25">
      <c r="A537" t="s">
        <v>2961</v>
      </c>
      <c r="B537" t="s">
        <v>2962</v>
      </c>
      <c r="C537" t="s">
        <v>31</v>
      </c>
      <c r="D537" t="s">
        <v>1348</v>
      </c>
      <c r="E537" t="s">
        <v>1349</v>
      </c>
      <c r="F537" t="s">
        <v>2963</v>
      </c>
      <c r="G537" t="s">
        <v>6001</v>
      </c>
      <c r="H537" t="s">
        <v>2897</v>
      </c>
      <c r="I537">
        <v>0</v>
      </c>
    </row>
    <row r="538" spans="1:9" x14ac:dyDescent="0.25">
      <c r="A538" t="s">
        <v>2964</v>
      </c>
      <c r="B538" t="s">
        <v>2965</v>
      </c>
      <c r="C538" t="s">
        <v>2966</v>
      </c>
      <c r="D538" t="s">
        <v>2967</v>
      </c>
      <c r="E538" t="s">
        <v>1298</v>
      </c>
      <c r="F538" t="s">
        <v>2968</v>
      </c>
      <c r="G538" t="s">
        <v>6002</v>
      </c>
      <c r="H538" t="s">
        <v>2969</v>
      </c>
      <c r="I538">
        <v>0</v>
      </c>
    </row>
    <row r="539" spans="1:9" x14ac:dyDescent="0.25">
      <c r="A539" t="s">
        <v>2970</v>
      </c>
      <c r="B539" t="s">
        <v>2971</v>
      </c>
      <c r="C539" t="s">
        <v>2966</v>
      </c>
      <c r="D539" t="s">
        <v>2967</v>
      </c>
      <c r="E539" t="s">
        <v>1298</v>
      </c>
      <c r="F539" t="s">
        <v>2972</v>
      </c>
      <c r="G539" t="s">
        <v>6003</v>
      </c>
      <c r="H539">
        <v>0</v>
      </c>
      <c r="I539">
        <v>0</v>
      </c>
    </row>
    <row r="540" spans="1:9" x14ac:dyDescent="0.25">
      <c r="A540" t="s">
        <v>2973</v>
      </c>
      <c r="B540" t="s">
        <v>2974</v>
      </c>
      <c r="C540" t="s">
        <v>2966</v>
      </c>
      <c r="D540" t="s">
        <v>2967</v>
      </c>
      <c r="E540" t="s">
        <v>1298</v>
      </c>
      <c r="F540" t="s">
        <v>2975</v>
      </c>
      <c r="G540" t="s">
        <v>6004</v>
      </c>
      <c r="H540">
        <v>0</v>
      </c>
      <c r="I540">
        <v>0</v>
      </c>
    </row>
    <row r="541" spans="1:9" x14ac:dyDescent="0.25">
      <c r="A541" t="s">
        <v>2976</v>
      </c>
      <c r="B541" t="s">
        <v>2977</v>
      </c>
      <c r="C541" t="s">
        <v>2966</v>
      </c>
      <c r="D541" t="s">
        <v>2967</v>
      </c>
      <c r="E541" t="s">
        <v>1298</v>
      </c>
      <c r="F541" t="s">
        <v>2978</v>
      </c>
      <c r="G541" t="s">
        <v>6005</v>
      </c>
      <c r="H541">
        <v>0</v>
      </c>
      <c r="I541">
        <v>0</v>
      </c>
    </row>
    <row r="542" spans="1:9" x14ac:dyDescent="0.25">
      <c r="A542" t="s">
        <v>2979</v>
      </c>
      <c r="B542" t="s">
        <v>2980</v>
      </c>
      <c r="C542" t="s">
        <v>2966</v>
      </c>
      <c r="D542" t="s">
        <v>2967</v>
      </c>
      <c r="E542" t="s">
        <v>1298</v>
      </c>
      <c r="F542" t="s">
        <v>2981</v>
      </c>
      <c r="G542" t="s">
        <v>6006</v>
      </c>
      <c r="H542">
        <v>0</v>
      </c>
      <c r="I542">
        <v>0</v>
      </c>
    </row>
    <row r="543" spans="1:9" x14ac:dyDescent="0.25">
      <c r="A543" t="s">
        <v>2982</v>
      </c>
      <c r="B543" t="s">
        <v>2983</v>
      </c>
      <c r="C543" t="s">
        <v>2966</v>
      </c>
      <c r="D543" t="s">
        <v>2967</v>
      </c>
      <c r="E543" t="s">
        <v>1298</v>
      </c>
      <c r="F543" t="s">
        <v>2984</v>
      </c>
      <c r="G543" t="s">
        <v>6007</v>
      </c>
      <c r="H543" t="s">
        <v>2969</v>
      </c>
      <c r="I543">
        <v>0</v>
      </c>
    </row>
    <row r="544" spans="1:9" x14ac:dyDescent="0.25">
      <c r="A544" t="s">
        <v>2985</v>
      </c>
      <c r="B544" t="s">
        <v>2986</v>
      </c>
      <c r="C544" t="s">
        <v>2966</v>
      </c>
      <c r="D544" t="s">
        <v>2967</v>
      </c>
      <c r="E544" t="s">
        <v>1298</v>
      </c>
      <c r="F544" t="s">
        <v>2987</v>
      </c>
      <c r="G544" t="s">
        <v>6008</v>
      </c>
      <c r="H544" t="s">
        <v>2988</v>
      </c>
      <c r="I544">
        <v>0</v>
      </c>
    </row>
    <row r="545" spans="1:9" x14ac:dyDescent="0.25">
      <c r="A545" t="s">
        <v>2989</v>
      </c>
      <c r="B545" t="s">
        <v>2990</v>
      </c>
      <c r="C545" t="s">
        <v>2966</v>
      </c>
      <c r="D545" t="s">
        <v>2967</v>
      </c>
      <c r="E545" t="s">
        <v>1298</v>
      </c>
      <c r="F545" t="s">
        <v>2991</v>
      </c>
      <c r="G545" t="s">
        <v>6009</v>
      </c>
      <c r="H545">
        <v>0</v>
      </c>
      <c r="I545">
        <v>0</v>
      </c>
    </row>
    <row r="546" spans="1:9" x14ac:dyDescent="0.25">
      <c r="A546" t="s">
        <v>2992</v>
      </c>
      <c r="B546" t="s">
        <v>2993</v>
      </c>
      <c r="C546" t="s">
        <v>2966</v>
      </c>
      <c r="D546" t="s">
        <v>2967</v>
      </c>
      <c r="E546" t="s">
        <v>1298</v>
      </c>
      <c r="F546" t="s">
        <v>2994</v>
      </c>
      <c r="G546" t="s">
        <v>6010</v>
      </c>
      <c r="H546">
        <v>0</v>
      </c>
      <c r="I546">
        <v>0</v>
      </c>
    </row>
    <row r="547" spans="1:9" x14ac:dyDescent="0.25">
      <c r="A547" t="s">
        <v>2995</v>
      </c>
      <c r="B547" t="s">
        <v>2996</v>
      </c>
      <c r="C547" t="s">
        <v>2966</v>
      </c>
      <c r="D547" t="s">
        <v>2967</v>
      </c>
      <c r="E547" t="s">
        <v>1298</v>
      </c>
      <c r="F547" t="s">
        <v>2997</v>
      </c>
      <c r="G547" t="s">
        <v>6011</v>
      </c>
      <c r="H547" t="s">
        <v>2969</v>
      </c>
      <c r="I547">
        <v>0</v>
      </c>
    </row>
    <row r="548" spans="1:9" x14ac:dyDescent="0.25">
      <c r="A548" t="s">
        <v>2998</v>
      </c>
      <c r="B548" t="s">
        <v>2999</v>
      </c>
      <c r="C548" t="s">
        <v>2966</v>
      </c>
      <c r="D548" t="s">
        <v>2967</v>
      </c>
      <c r="E548" t="s">
        <v>1298</v>
      </c>
      <c r="F548" t="s">
        <v>3000</v>
      </c>
      <c r="G548" t="s">
        <v>6012</v>
      </c>
      <c r="H548">
        <v>0</v>
      </c>
      <c r="I548">
        <v>0</v>
      </c>
    </row>
    <row r="549" spans="1:9" x14ac:dyDescent="0.25">
      <c r="A549" t="s">
        <v>3001</v>
      </c>
      <c r="B549" t="s">
        <v>3002</v>
      </c>
      <c r="C549" t="s">
        <v>2966</v>
      </c>
      <c r="D549" t="s">
        <v>2967</v>
      </c>
      <c r="E549" t="s">
        <v>1298</v>
      </c>
      <c r="F549" t="s">
        <v>3003</v>
      </c>
      <c r="G549" t="s">
        <v>6013</v>
      </c>
      <c r="H549">
        <v>0</v>
      </c>
      <c r="I549">
        <v>0</v>
      </c>
    </row>
    <row r="550" spans="1:9" x14ac:dyDescent="0.25">
      <c r="A550" t="s">
        <v>3004</v>
      </c>
      <c r="B550" t="s">
        <v>3005</v>
      </c>
      <c r="C550" t="s">
        <v>2966</v>
      </c>
      <c r="D550" t="s">
        <v>2967</v>
      </c>
      <c r="E550" t="s">
        <v>1298</v>
      </c>
      <c r="F550" t="s">
        <v>3006</v>
      </c>
      <c r="G550" t="s">
        <v>6014</v>
      </c>
      <c r="H550" t="s">
        <v>2988</v>
      </c>
      <c r="I550">
        <v>0</v>
      </c>
    </row>
    <row r="551" spans="1:9" x14ac:dyDescent="0.25">
      <c r="A551" t="s">
        <v>3007</v>
      </c>
      <c r="B551" t="s">
        <v>3008</v>
      </c>
      <c r="C551" t="s">
        <v>2966</v>
      </c>
      <c r="D551" t="s">
        <v>2967</v>
      </c>
      <c r="E551" t="s">
        <v>1298</v>
      </c>
      <c r="F551" t="s">
        <v>3009</v>
      </c>
      <c r="G551" t="s">
        <v>6015</v>
      </c>
      <c r="H551" t="s">
        <v>2988</v>
      </c>
      <c r="I551">
        <v>0</v>
      </c>
    </row>
    <row r="552" spans="1:9" x14ac:dyDescent="0.25">
      <c r="A552" t="s">
        <v>3010</v>
      </c>
      <c r="B552" t="s">
        <v>3011</v>
      </c>
      <c r="C552" t="s">
        <v>2966</v>
      </c>
      <c r="D552" t="s">
        <v>2967</v>
      </c>
      <c r="E552" t="s">
        <v>1298</v>
      </c>
      <c r="F552" t="s">
        <v>3012</v>
      </c>
      <c r="G552" t="s">
        <v>6016</v>
      </c>
      <c r="H552">
        <v>0</v>
      </c>
      <c r="I552">
        <v>0</v>
      </c>
    </row>
    <row r="553" spans="1:9" x14ac:dyDescent="0.25">
      <c r="A553" t="s">
        <v>3013</v>
      </c>
      <c r="B553" t="s">
        <v>3014</v>
      </c>
      <c r="C553" t="s">
        <v>2966</v>
      </c>
      <c r="D553" t="s">
        <v>2967</v>
      </c>
      <c r="E553" t="s">
        <v>1298</v>
      </c>
      <c r="F553" t="s">
        <v>3015</v>
      </c>
      <c r="G553" t="s">
        <v>6017</v>
      </c>
      <c r="H553">
        <v>0</v>
      </c>
      <c r="I553">
        <v>0</v>
      </c>
    </row>
    <row r="554" spans="1:9" x14ac:dyDescent="0.25">
      <c r="A554" t="s">
        <v>3016</v>
      </c>
      <c r="B554" t="s">
        <v>3017</v>
      </c>
      <c r="C554" t="s">
        <v>2966</v>
      </c>
      <c r="D554" t="s">
        <v>2967</v>
      </c>
      <c r="E554" t="s">
        <v>1298</v>
      </c>
      <c r="F554" t="s">
        <v>3018</v>
      </c>
      <c r="G554" t="s">
        <v>6018</v>
      </c>
      <c r="H554">
        <v>0</v>
      </c>
      <c r="I554">
        <v>0</v>
      </c>
    </row>
    <row r="555" spans="1:9" x14ac:dyDescent="0.25">
      <c r="A555" t="s">
        <v>3019</v>
      </c>
      <c r="B555" t="s">
        <v>3020</v>
      </c>
      <c r="C555" t="s">
        <v>2966</v>
      </c>
      <c r="D555" t="s">
        <v>2967</v>
      </c>
      <c r="E555" t="s">
        <v>1298</v>
      </c>
      <c r="F555" t="s">
        <v>3021</v>
      </c>
      <c r="G555" t="s">
        <v>6019</v>
      </c>
      <c r="H555">
        <v>0</v>
      </c>
      <c r="I555">
        <v>0</v>
      </c>
    </row>
    <row r="556" spans="1:9" x14ac:dyDescent="0.25">
      <c r="A556" t="s">
        <v>3022</v>
      </c>
      <c r="B556" t="s">
        <v>3023</v>
      </c>
      <c r="C556" t="s">
        <v>2966</v>
      </c>
      <c r="D556" t="s">
        <v>2967</v>
      </c>
      <c r="E556" t="s">
        <v>1298</v>
      </c>
      <c r="F556" t="s">
        <v>3024</v>
      </c>
      <c r="G556" t="s">
        <v>6020</v>
      </c>
      <c r="H556">
        <v>0</v>
      </c>
      <c r="I556">
        <v>0</v>
      </c>
    </row>
    <row r="557" spans="1:9" x14ac:dyDescent="0.25">
      <c r="A557" t="s">
        <v>3025</v>
      </c>
      <c r="B557" t="s">
        <v>3026</v>
      </c>
      <c r="C557" t="s">
        <v>2966</v>
      </c>
      <c r="D557" t="s">
        <v>2967</v>
      </c>
      <c r="E557" t="s">
        <v>1298</v>
      </c>
      <c r="F557" t="s">
        <v>3027</v>
      </c>
      <c r="G557" t="s">
        <v>6021</v>
      </c>
      <c r="H557" t="s">
        <v>2969</v>
      </c>
      <c r="I557">
        <v>0</v>
      </c>
    </row>
    <row r="558" spans="1:9" x14ac:dyDescent="0.25">
      <c r="A558" t="s">
        <v>3028</v>
      </c>
      <c r="B558" t="s">
        <v>3029</v>
      </c>
      <c r="C558" t="s">
        <v>2966</v>
      </c>
      <c r="D558" t="s">
        <v>2967</v>
      </c>
      <c r="E558" t="s">
        <v>1298</v>
      </c>
      <c r="F558" t="s">
        <v>3030</v>
      </c>
      <c r="G558" t="s">
        <v>6022</v>
      </c>
      <c r="H558">
        <v>0</v>
      </c>
      <c r="I558">
        <v>0</v>
      </c>
    </row>
    <row r="559" spans="1:9" x14ac:dyDescent="0.25">
      <c r="A559" t="s">
        <v>3031</v>
      </c>
      <c r="B559" t="s">
        <v>3032</v>
      </c>
      <c r="C559" t="s">
        <v>2966</v>
      </c>
      <c r="D559" t="s">
        <v>2967</v>
      </c>
      <c r="E559" t="s">
        <v>1298</v>
      </c>
      <c r="F559" t="s">
        <v>3033</v>
      </c>
      <c r="G559" t="s">
        <v>6023</v>
      </c>
      <c r="H559">
        <v>0</v>
      </c>
      <c r="I559">
        <v>0</v>
      </c>
    </row>
    <row r="560" spans="1:9" x14ac:dyDescent="0.25">
      <c r="A560" t="s">
        <v>3034</v>
      </c>
      <c r="B560" t="s">
        <v>3035</v>
      </c>
      <c r="C560" t="s">
        <v>2966</v>
      </c>
      <c r="D560" t="s">
        <v>2967</v>
      </c>
      <c r="E560" t="s">
        <v>1298</v>
      </c>
      <c r="F560" t="s">
        <v>3036</v>
      </c>
      <c r="G560" t="s">
        <v>6024</v>
      </c>
      <c r="H560" t="s">
        <v>2969</v>
      </c>
      <c r="I560">
        <v>0</v>
      </c>
    </row>
    <row r="561" spans="1:9" x14ac:dyDescent="0.25">
      <c r="A561" t="s">
        <v>3037</v>
      </c>
      <c r="B561" t="s">
        <v>3038</v>
      </c>
      <c r="C561" t="s">
        <v>2966</v>
      </c>
      <c r="D561" t="s">
        <v>2967</v>
      </c>
      <c r="E561" t="s">
        <v>1298</v>
      </c>
      <c r="F561" t="s">
        <v>3039</v>
      </c>
      <c r="G561" t="s">
        <v>6025</v>
      </c>
      <c r="H561">
        <v>0</v>
      </c>
      <c r="I561">
        <v>0</v>
      </c>
    </row>
    <row r="562" spans="1:9" x14ac:dyDescent="0.25">
      <c r="A562" t="s">
        <v>3040</v>
      </c>
      <c r="B562" t="s">
        <v>3041</v>
      </c>
      <c r="C562" t="s">
        <v>3042</v>
      </c>
      <c r="D562" t="s">
        <v>41</v>
      </c>
      <c r="E562" t="s">
        <v>1349</v>
      </c>
      <c r="F562" t="s">
        <v>3043</v>
      </c>
      <c r="G562" t="s">
        <v>6026</v>
      </c>
      <c r="H562">
        <v>0</v>
      </c>
      <c r="I562" t="s">
        <v>3044</v>
      </c>
    </row>
    <row r="563" spans="1:9" x14ac:dyDescent="0.25">
      <c r="A563" t="s">
        <v>3045</v>
      </c>
      <c r="B563" t="s">
        <v>3046</v>
      </c>
      <c r="C563" t="s">
        <v>3042</v>
      </c>
      <c r="D563" t="s">
        <v>41</v>
      </c>
      <c r="E563" t="s">
        <v>1349</v>
      </c>
      <c r="F563" t="s">
        <v>3047</v>
      </c>
      <c r="G563" t="s">
        <v>6027</v>
      </c>
      <c r="H563" t="s">
        <v>88</v>
      </c>
      <c r="I563">
        <v>0</v>
      </c>
    </row>
    <row r="564" spans="1:9" x14ac:dyDescent="0.25">
      <c r="A564" t="s">
        <v>3048</v>
      </c>
      <c r="B564" t="s">
        <v>3049</v>
      </c>
      <c r="C564" t="s">
        <v>3042</v>
      </c>
      <c r="D564" t="s">
        <v>41</v>
      </c>
      <c r="E564" t="s">
        <v>1349</v>
      </c>
      <c r="F564" t="s">
        <v>3050</v>
      </c>
      <c r="G564" t="s">
        <v>6028</v>
      </c>
      <c r="H564" t="s">
        <v>3051</v>
      </c>
      <c r="I564">
        <v>0</v>
      </c>
    </row>
    <row r="565" spans="1:9" x14ac:dyDescent="0.25">
      <c r="A565" t="s">
        <v>3052</v>
      </c>
      <c r="B565" t="s">
        <v>3053</v>
      </c>
      <c r="C565" t="s">
        <v>3042</v>
      </c>
      <c r="D565" t="s">
        <v>41</v>
      </c>
      <c r="E565" t="s">
        <v>1349</v>
      </c>
      <c r="F565" t="s">
        <v>3047</v>
      </c>
      <c r="G565" t="s">
        <v>6027</v>
      </c>
      <c r="H565" t="s">
        <v>88</v>
      </c>
      <c r="I565">
        <v>0</v>
      </c>
    </row>
    <row r="566" spans="1:9" x14ac:dyDescent="0.25">
      <c r="A566" t="s">
        <v>3054</v>
      </c>
      <c r="B566" t="s">
        <v>3055</v>
      </c>
      <c r="C566" t="s">
        <v>3042</v>
      </c>
      <c r="D566" t="s">
        <v>41</v>
      </c>
      <c r="E566" t="s">
        <v>1349</v>
      </c>
      <c r="F566" t="s">
        <v>3056</v>
      </c>
      <c r="G566" t="s">
        <v>6029</v>
      </c>
      <c r="H566" t="s">
        <v>3057</v>
      </c>
      <c r="I566">
        <v>0</v>
      </c>
    </row>
    <row r="567" spans="1:9" x14ac:dyDescent="0.25">
      <c r="A567" t="s">
        <v>3058</v>
      </c>
      <c r="B567" t="s">
        <v>3059</v>
      </c>
      <c r="C567" t="s">
        <v>3042</v>
      </c>
      <c r="D567" t="s">
        <v>41</v>
      </c>
      <c r="E567" t="s">
        <v>1349</v>
      </c>
      <c r="F567" t="s">
        <v>3060</v>
      </c>
      <c r="G567" t="s">
        <v>6030</v>
      </c>
      <c r="H567" t="s">
        <v>3061</v>
      </c>
      <c r="I567">
        <v>0</v>
      </c>
    </row>
    <row r="568" spans="1:9" x14ac:dyDescent="0.25">
      <c r="A568" t="s">
        <v>3062</v>
      </c>
      <c r="B568" t="s">
        <v>3063</v>
      </c>
      <c r="C568" t="s">
        <v>3042</v>
      </c>
      <c r="D568" t="s">
        <v>41</v>
      </c>
      <c r="E568" t="s">
        <v>1349</v>
      </c>
      <c r="F568" t="s">
        <v>3064</v>
      </c>
      <c r="G568" t="s">
        <v>6031</v>
      </c>
      <c r="H568" t="s">
        <v>82</v>
      </c>
      <c r="I568">
        <v>0</v>
      </c>
    </row>
    <row r="569" spans="1:9" x14ac:dyDescent="0.25">
      <c r="A569" t="s">
        <v>3065</v>
      </c>
      <c r="B569" t="s">
        <v>3066</v>
      </c>
      <c r="C569" t="s">
        <v>3067</v>
      </c>
      <c r="D569" t="s">
        <v>41</v>
      </c>
      <c r="E569" t="s">
        <v>1349</v>
      </c>
      <c r="F569" t="s">
        <v>3068</v>
      </c>
      <c r="G569" t="s">
        <v>6032</v>
      </c>
      <c r="H569">
        <v>0</v>
      </c>
      <c r="I569" t="s">
        <v>3069</v>
      </c>
    </row>
    <row r="570" spans="1:9" x14ac:dyDescent="0.25">
      <c r="A570" t="s">
        <v>3070</v>
      </c>
      <c r="B570" t="s">
        <v>3071</v>
      </c>
      <c r="C570" t="s">
        <v>3042</v>
      </c>
      <c r="D570" t="s">
        <v>41</v>
      </c>
      <c r="E570" t="s">
        <v>1349</v>
      </c>
      <c r="F570" t="s">
        <v>3072</v>
      </c>
      <c r="G570" t="s">
        <v>6033</v>
      </c>
      <c r="H570" t="s">
        <v>79</v>
      </c>
      <c r="I570">
        <v>0</v>
      </c>
    </row>
    <row r="571" spans="1:9" x14ac:dyDescent="0.25">
      <c r="A571" t="s">
        <v>3073</v>
      </c>
      <c r="B571" t="s">
        <v>3074</v>
      </c>
      <c r="C571" t="s">
        <v>3042</v>
      </c>
      <c r="D571" t="s">
        <v>41</v>
      </c>
      <c r="E571" t="s">
        <v>1349</v>
      </c>
      <c r="F571" t="s">
        <v>3075</v>
      </c>
      <c r="G571" t="s">
        <v>6034</v>
      </c>
      <c r="H571" t="s">
        <v>3076</v>
      </c>
      <c r="I571">
        <v>0</v>
      </c>
    </row>
    <row r="572" spans="1:9" x14ac:dyDescent="0.25">
      <c r="A572" t="s">
        <v>3077</v>
      </c>
      <c r="B572" t="s">
        <v>3078</v>
      </c>
      <c r="C572" t="s">
        <v>3042</v>
      </c>
      <c r="D572" t="s">
        <v>41</v>
      </c>
      <c r="E572" t="s">
        <v>1349</v>
      </c>
      <c r="F572" t="s">
        <v>3079</v>
      </c>
      <c r="G572" t="s">
        <v>6035</v>
      </c>
      <c r="H572" t="s">
        <v>75</v>
      </c>
      <c r="I572">
        <v>0</v>
      </c>
    </row>
    <row r="573" spans="1:9" x14ac:dyDescent="0.25">
      <c r="A573" t="s">
        <v>3080</v>
      </c>
      <c r="B573" t="s">
        <v>3081</v>
      </c>
      <c r="C573" t="s">
        <v>3042</v>
      </c>
      <c r="D573" t="s">
        <v>41</v>
      </c>
      <c r="E573" t="s">
        <v>1349</v>
      </c>
      <c r="F573" t="s">
        <v>3075</v>
      </c>
      <c r="G573" t="s">
        <v>6034</v>
      </c>
      <c r="H573" t="s">
        <v>3076</v>
      </c>
      <c r="I573">
        <v>0</v>
      </c>
    </row>
    <row r="574" spans="1:9" x14ac:dyDescent="0.25">
      <c r="A574" t="s">
        <v>3082</v>
      </c>
      <c r="B574" t="s">
        <v>3083</v>
      </c>
      <c r="C574" t="s">
        <v>3042</v>
      </c>
      <c r="D574" t="s">
        <v>41</v>
      </c>
      <c r="E574" t="s">
        <v>1349</v>
      </c>
      <c r="F574" t="s">
        <v>3084</v>
      </c>
      <c r="G574" t="s">
        <v>6036</v>
      </c>
      <c r="H574" t="s">
        <v>3085</v>
      </c>
      <c r="I574">
        <v>0</v>
      </c>
    </row>
    <row r="575" spans="1:9" x14ac:dyDescent="0.25">
      <c r="A575" t="s">
        <v>3086</v>
      </c>
      <c r="B575" t="s">
        <v>3087</v>
      </c>
      <c r="C575" t="s">
        <v>3042</v>
      </c>
      <c r="D575" t="s">
        <v>41</v>
      </c>
      <c r="E575" t="s">
        <v>1349</v>
      </c>
      <c r="F575" t="s">
        <v>3084</v>
      </c>
      <c r="G575" t="s">
        <v>6036</v>
      </c>
      <c r="H575" t="s">
        <v>3085</v>
      </c>
      <c r="I575">
        <v>0</v>
      </c>
    </row>
    <row r="576" spans="1:9" x14ac:dyDescent="0.25">
      <c r="A576" t="s">
        <v>3088</v>
      </c>
      <c r="B576" t="s">
        <v>3089</v>
      </c>
      <c r="C576" t="s">
        <v>3067</v>
      </c>
      <c r="D576" t="s">
        <v>41</v>
      </c>
      <c r="E576" t="s">
        <v>1349</v>
      </c>
      <c r="F576" t="s">
        <v>3090</v>
      </c>
      <c r="G576" t="s">
        <v>6037</v>
      </c>
      <c r="H576" t="s">
        <v>3091</v>
      </c>
      <c r="I576">
        <v>0</v>
      </c>
    </row>
    <row r="577" spans="1:9" x14ac:dyDescent="0.25">
      <c r="A577" t="s">
        <v>3092</v>
      </c>
      <c r="B577" t="s">
        <v>3093</v>
      </c>
      <c r="C577" t="s">
        <v>3042</v>
      </c>
      <c r="D577" t="s">
        <v>41</v>
      </c>
      <c r="E577" t="s">
        <v>1349</v>
      </c>
      <c r="F577" t="s">
        <v>3072</v>
      </c>
      <c r="G577" t="s">
        <v>6033</v>
      </c>
      <c r="H577" t="s">
        <v>79</v>
      </c>
      <c r="I577">
        <v>0</v>
      </c>
    </row>
    <row r="578" spans="1:9" x14ac:dyDescent="0.25">
      <c r="A578" t="s">
        <v>3094</v>
      </c>
      <c r="B578" t="s">
        <v>3095</v>
      </c>
      <c r="C578" t="s">
        <v>3042</v>
      </c>
      <c r="D578" t="s">
        <v>41</v>
      </c>
      <c r="E578" t="s">
        <v>1349</v>
      </c>
      <c r="F578" t="s">
        <v>3056</v>
      </c>
      <c r="G578" t="s">
        <v>6029</v>
      </c>
      <c r="H578" t="s">
        <v>3057</v>
      </c>
      <c r="I578">
        <v>0</v>
      </c>
    </row>
    <row r="579" spans="1:9" x14ac:dyDescent="0.25">
      <c r="A579" t="s">
        <v>3096</v>
      </c>
      <c r="B579" t="s">
        <v>3097</v>
      </c>
      <c r="C579" t="s">
        <v>3042</v>
      </c>
      <c r="D579" t="s">
        <v>41</v>
      </c>
      <c r="E579" t="s">
        <v>1349</v>
      </c>
      <c r="F579" t="s">
        <v>3098</v>
      </c>
      <c r="G579" t="s">
        <v>6038</v>
      </c>
      <c r="H579">
        <v>0</v>
      </c>
      <c r="I579" t="s">
        <v>3044</v>
      </c>
    </row>
    <row r="580" spans="1:9" x14ac:dyDescent="0.25">
      <c r="A580" t="s">
        <v>3099</v>
      </c>
      <c r="B580" t="s">
        <v>3100</v>
      </c>
      <c r="C580" t="s">
        <v>3042</v>
      </c>
      <c r="D580" t="s">
        <v>41</v>
      </c>
      <c r="E580" t="s">
        <v>1349</v>
      </c>
      <c r="F580" t="s">
        <v>3064</v>
      </c>
      <c r="G580" t="s">
        <v>6031</v>
      </c>
      <c r="H580" t="s">
        <v>82</v>
      </c>
      <c r="I580">
        <v>0</v>
      </c>
    </row>
    <row r="581" spans="1:9" x14ac:dyDescent="0.25">
      <c r="A581" t="s">
        <v>3101</v>
      </c>
      <c r="B581" t="s">
        <v>3102</v>
      </c>
      <c r="C581" t="s">
        <v>3042</v>
      </c>
      <c r="D581" t="s">
        <v>41</v>
      </c>
      <c r="E581" t="s">
        <v>1349</v>
      </c>
      <c r="F581" t="s">
        <v>3103</v>
      </c>
      <c r="G581" t="s">
        <v>6039</v>
      </c>
      <c r="H581" t="s">
        <v>3104</v>
      </c>
      <c r="I581">
        <v>0</v>
      </c>
    </row>
    <row r="582" spans="1:9" x14ac:dyDescent="0.25">
      <c r="A582" t="s">
        <v>3105</v>
      </c>
      <c r="B582" t="s">
        <v>3106</v>
      </c>
      <c r="C582" t="s">
        <v>3042</v>
      </c>
      <c r="D582" t="s">
        <v>41</v>
      </c>
      <c r="E582" t="s">
        <v>1349</v>
      </c>
      <c r="F582" t="s">
        <v>3050</v>
      </c>
      <c r="G582" t="s">
        <v>6028</v>
      </c>
      <c r="H582" t="s">
        <v>3051</v>
      </c>
      <c r="I582">
        <v>0</v>
      </c>
    </row>
    <row r="583" spans="1:9" x14ac:dyDescent="0.25">
      <c r="A583" t="s">
        <v>3107</v>
      </c>
      <c r="B583" t="s">
        <v>3108</v>
      </c>
      <c r="C583" t="s">
        <v>3042</v>
      </c>
      <c r="D583" t="s">
        <v>41</v>
      </c>
      <c r="E583" t="s">
        <v>1349</v>
      </c>
      <c r="F583" t="s">
        <v>3079</v>
      </c>
      <c r="G583" t="s">
        <v>6035</v>
      </c>
      <c r="H583" t="s">
        <v>75</v>
      </c>
      <c r="I583">
        <v>0</v>
      </c>
    </row>
    <row r="584" spans="1:9" x14ac:dyDescent="0.25">
      <c r="A584" t="s">
        <v>3109</v>
      </c>
      <c r="B584" t="s">
        <v>3110</v>
      </c>
      <c r="C584" t="s">
        <v>3042</v>
      </c>
      <c r="D584" t="s">
        <v>41</v>
      </c>
      <c r="E584" t="s">
        <v>1349</v>
      </c>
      <c r="F584" t="s">
        <v>3047</v>
      </c>
      <c r="G584" t="s">
        <v>6027</v>
      </c>
      <c r="H584" t="s">
        <v>88</v>
      </c>
      <c r="I584">
        <v>0</v>
      </c>
    </row>
    <row r="585" spans="1:9" x14ac:dyDescent="0.25">
      <c r="A585" t="s">
        <v>3111</v>
      </c>
      <c r="B585" t="s">
        <v>3112</v>
      </c>
      <c r="C585" t="s">
        <v>3042</v>
      </c>
      <c r="D585" t="s">
        <v>41</v>
      </c>
      <c r="E585" t="s">
        <v>1349</v>
      </c>
      <c r="F585" t="s">
        <v>3103</v>
      </c>
      <c r="G585" t="s">
        <v>6039</v>
      </c>
      <c r="H585" t="s">
        <v>3104</v>
      </c>
      <c r="I585">
        <v>0</v>
      </c>
    </row>
    <row r="586" spans="1:9" x14ac:dyDescent="0.25">
      <c r="A586" t="s">
        <v>3113</v>
      </c>
      <c r="B586" t="s">
        <v>3114</v>
      </c>
      <c r="C586" t="s">
        <v>3042</v>
      </c>
      <c r="D586" t="s">
        <v>41</v>
      </c>
      <c r="E586" t="s">
        <v>1349</v>
      </c>
      <c r="F586" t="s">
        <v>3084</v>
      </c>
      <c r="G586" t="s">
        <v>6036</v>
      </c>
      <c r="H586" t="s">
        <v>3085</v>
      </c>
      <c r="I586">
        <v>0</v>
      </c>
    </row>
    <row r="587" spans="1:9" x14ac:dyDescent="0.25">
      <c r="A587" t="s">
        <v>3115</v>
      </c>
      <c r="B587" t="s">
        <v>3116</v>
      </c>
      <c r="C587" t="s">
        <v>3042</v>
      </c>
      <c r="D587" t="s">
        <v>41</v>
      </c>
      <c r="E587" t="s">
        <v>1349</v>
      </c>
      <c r="F587" t="s">
        <v>3050</v>
      </c>
      <c r="G587" t="s">
        <v>6028</v>
      </c>
      <c r="H587" t="s">
        <v>3051</v>
      </c>
      <c r="I587">
        <v>0</v>
      </c>
    </row>
    <row r="588" spans="1:9" x14ac:dyDescent="0.25">
      <c r="A588" t="s">
        <v>3117</v>
      </c>
      <c r="B588" t="s">
        <v>3118</v>
      </c>
      <c r="C588" t="s">
        <v>3042</v>
      </c>
      <c r="D588" t="s">
        <v>41</v>
      </c>
      <c r="E588" t="s">
        <v>1349</v>
      </c>
      <c r="F588" t="s">
        <v>3079</v>
      </c>
      <c r="G588" t="s">
        <v>6035</v>
      </c>
      <c r="H588" t="s">
        <v>75</v>
      </c>
      <c r="I588">
        <v>0</v>
      </c>
    </row>
    <row r="589" spans="1:9" x14ac:dyDescent="0.25">
      <c r="A589" t="s">
        <v>3119</v>
      </c>
      <c r="B589" t="s">
        <v>3120</v>
      </c>
      <c r="C589" t="s">
        <v>3067</v>
      </c>
      <c r="D589" t="s">
        <v>41</v>
      </c>
      <c r="E589" t="s">
        <v>1349</v>
      </c>
      <c r="F589" t="s">
        <v>3090</v>
      </c>
      <c r="G589" t="s">
        <v>6037</v>
      </c>
      <c r="H589" t="s">
        <v>3091</v>
      </c>
      <c r="I589">
        <v>0</v>
      </c>
    </row>
    <row r="590" spans="1:9" x14ac:dyDescent="0.25">
      <c r="A590" t="s">
        <v>3121</v>
      </c>
      <c r="B590" t="s">
        <v>3122</v>
      </c>
      <c r="C590" t="s">
        <v>3042</v>
      </c>
      <c r="D590" t="s">
        <v>41</v>
      </c>
      <c r="E590" t="s">
        <v>1349</v>
      </c>
      <c r="F590" t="s">
        <v>3043</v>
      </c>
      <c r="G590" t="s">
        <v>6026</v>
      </c>
      <c r="H590">
        <v>0</v>
      </c>
      <c r="I590" t="s">
        <v>3044</v>
      </c>
    </row>
    <row r="591" spans="1:9" x14ac:dyDescent="0.25">
      <c r="A591" t="s">
        <v>3123</v>
      </c>
      <c r="B591" t="s">
        <v>3124</v>
      </c>
      <c r="C591" t="s">
        <v>3067</v>
      </c>
      <c r="D591" t="s">
        <v>41</v>
      </c>
      <c r="E591" t="s">
        <v>1349</v>
      </c>
      <c r="F591" t="s">
        <v>3068</v>
      </c>
      <c r="G591" t="s">
        <v>6032</v>
      </c>
      <c r="H591">
        <v>0</v>
      </c>
      <c r="I591">
        <v>0</v>
      </c>
    </row>
    <row r="592" spans="1:9" x14ac:dyDescent="0.25">
      <c r="A592" t="s">
        <v>3125</v>
      </c>
      <c r="B592" t="s">
        <v>3126</v>
      </c>
      <c r="C592" t="s">
        <v>3042</v>
      </c>
      <c r="D592" t="s">
        <v>41</v>
      </c>
      <c r="E592" t="s">
        <v>1349</v>
      </c>
      <c r="F592" t="s">
        <v>3103</v>
      </c>
      <c r="G592" t="s">
        <v>6039</v>
      </c>
      <c r="H592" t="s">
        <v>3104</v>
      </c>
      <c r="I592">
        <v>0</v>
      </c>
    </row>
    <row r="593" spans="1:9" x14ac:dyDescent="0.25">
      <c r="A593" t="s">
        <v>3127</v>
      </c>
      <c r="B593" t="s">
        <v>3128</v>
      </c>
      <c r="C593" t="s">
        <v>3067</v>
      </c>
      <c r="D593" t="s">
        <v>41</v>
      </c>
      <c r="E593" t="s">
        <v>1349</v>
      </c>
      <c r="F593" t="s">
        <v>3090</v>
      </c>
      <c r="G593" t="s">
        <v>6037</v>
      </c>
      <c r="H593" t="s">
        <v>3091</v>
      </c>
      <c r="I593">
        <v>0</v>
      </c>
    </row>
    <row r="594" spans="1:9" x14ac:dyDescent="0.25">
      <c r="A594" t="s">
        <v>3129</v>
      </c>
      <c r="B594" t="s">
        <v>3130</v>
      </c>
      <c r="C594" t="s">
        <v>3131</v>
      </c>
      <c r="D594" t="s">
        <v>1388</v>
      </c>
      <c r="E594" t="s">
        <v>1349</v>
      </c>
      <c r="F594" t="s">
        <v>3132</v>
      </c>
      <c r="G594" t="s">
        <v>6040</v>
      </c>
      <c r="H594" t="s">
        <v>3133</v>
      </c>
      <c r="I594">
        <v>0</v>
      </c>
    </row>
    <row r="595" spans="1:9" x14ac:dyDescent="0.25">
      <c r="A595" t="s">
        <v>3134</v>
      </c>
      <c r="B595" t="s">
        <v>3135</v>
      </c>
      <c r="C595" t="s">
        <v>3131</v>
      </c>
      <c r="D595" t="s">
        <v>1388</v>
      </c>
      <c r="E595" t="s">
        <v>1349</v>
      </c>
      <c r="F595" t="s">
        <v>3136</v>
      </c>
      <c r="G595" t="s">
        <v>6041</v>
      </c>
      <c r="H595" t="s">
        <v>3133</v>
      </c>
      <c r="I595">
        <v>0</v>
      </c>
    </row>
    <row r="596" spans="1:9" x14ac:dyDescent="0.25">
      <c r="A596" t="s">
        <v>3137</v>
      </c>
      <c r="B596" t="s">
        <v>3138</v>
      </c>
      <c r="C596" t="s">
        <v>3131</v>
      </c>
      <c r="D596" t="s">
        <v>1388</v>
      </c>
      <c r="E596" t="s">
        <v>1349</v>
      </c>
      <c r="F596" t="s">
        <v>3139</v>
      </c>
      <c r="G596" t="s">
        <v>6042</v>
      </c>
      <c r="H596" t="s">
        <v>3133</v>
      </c>
      <c r="I596">
        <v>0</v>
      </c>
    </row>
    <row r="597" spans="1:9" x14ac:dyDescent="0.25">
      <c r="A597" t="s">
        <v>3140</v>
      </c>
      <c r="B597" t="s">
        <v>3141</v>
      </c>
      <c r="C597" t="s">
        <v>3131</v>
      </c>
      <c r="D597" t="s">
        <v>1388</v>
      </c>
      <c r="E597" t="s">
        <v>1349</v>
      </c>
      <c r="F597" t="s">
        <v>3142</v>
      </c>
      <c r="G597" t="s">
        <v>6043</v>
      </c>
      <c r="H597" t="s">
        <v>3133</v>
      </c>
      <c r="I597">
        <v>0</v>
      </c>
    </row>
    <row r="598" spans="1:9" x14ac:dyDescent="0.25">
      <c r="A598" t="s">
        <v>3143</v>
      </c>
      <c r="B598" t="s">
        <v>3144</v>
      </c>
      <c r="C598" t="s">
        <v>3131</v>
      </c>
      <c r="D598" t="s">
        <v>1388</v>
      </c>
      <c r="E598" t="s">
        <v>1349</v>
      </c>
      <c r="F598" t="s">
        <v>3145</v>
      </c>
      <c r="G598" t="s">
        <v>6044</v>
      </c>
      <c r="H598" t="s">
        <v>3133</v>
      </c>
      <c r="I598">
        <v>0</v>
      </c>
    </row>
    <row r="599" spans="1:9" x14ac:dyDescent="0.25">
      <c r="A599" t="s">
        <v>3146</v>
      </c>
      <c r="B599" t="s">
        <v>3147</v>
      </c>
      <c r="C599" t="s">
        <v>3131</v>
      </c>
      <c r="D599" t="s">
        <v>1388</v>
      </c>
      <c r="E599" t="s">
        <v>1349</v>
      </c>
      <c r="F599" t="s">
        <v>3148</v>
      </c>
      <c r="G599" t="s">
        <v>6045</v>
      </c>
      <c r="H599" t="s">
        <v>3133</v>
      </c>
      <c r="I599">
        <v>0</v>
      </c>
    </row>
    <row r="600" spans="1:9" x14ac:dyDescent="0.25">
      <c r="A600" t="s">
        <v>3149</v>
      </c>
      <c r="B600" t="s">
        <v>3150</v>
      </c>
      <c r="C600" t="s">
        <v>35</v>
      </c>
      <c r="D600" t="s">
        <v>1388</v>
      </c>
      <c r="E600" t="s">
        <v>1349</v>
      </c>
      <c r="F600" t="s">
        <v>3151</v>
      </c>
      <c r="G600" t="s">
        <v>6046</v>
      </c>
      <c r="H600" t="s">
        <v>597</v>
      </c>
      <c r="I600">
        <v>0</v>
      </c>
    </row>
    <row r="601" spans="1:9" x14ac:dyDescent="0.25">
      <c r="A601" t="s">
        <v>3152</v>
      </c>
      <c r="B601" t="s">
        <v>3153</v>
      </c>
      <c r="C601" t="s">
        <v>35</v>
      </c>
      <c r="D601" t="s">
        <v>1388</v>
      </c>
      <c r="E601" t="s">
        <v>1349</v>
      </c>
      <c r="F601" t="s">
        <v>3154</v>
      </c>
      <c r="G601" t="s">
        <v>6047</v>
      </c>
      <c r="H601" t="s">
        <v>112</v>
      </c>
      <c r="I601">
        <v>0</v>
      </c>
    </row>
    <row r="602" spans="1:9" x14ac:dyDescent="0.25">
      <c r="A602" t="s">
        <v>3155</v>
      </c>
      <c r="B602" t="s">
        <v>3156</v>
      </c>
      <c r="C602" t="s">
        <v>35</v>
      </c>
      <c r="D602" t="s">
        <v>1388</v>
      </c>
      <c r="E602" t="s">
        <v>1349</v>
      </c>
      <c r="F602" t="s">
        <v>3157</v>
      </c>
      <c r="G602" t="s">
        <v>6048</v>
      </c>
      <c r="H602">
        <v>0</v>
      </c>
      <c r="I602">
        <v>0</v>
      </c>
    </row>
    <row r="603" spans="1:9" x14ac:dyDescent="0.25">
      <c r="A603" t="s">
        <v>3158</v>
      </c>
      <c r="B603" t="s">
        <v>3159</v>
      </c>
      <c r="C603" t="s">
        <v>35</v>
      </c>
      <c r="D603" t="s">
        <v>1388</v>
      </c>
      <c r="E603" t="s">
        <v>1349</v>
      </c>
      <c r="F603" t="s">
        <v>3160</v>
      </c>
      <c r="G603" t="s">
        <v>6049</v>
      </c>
      <c r="H603" t="s">
        <v>112</v>
      </c>
      <c r="I603">
        <v>0</v>
      </c>
    </row>
    <row r="604" spans="1:9" x14ac:dyDescent="0.25">
      <c r="A604" t="s">
        <v>3161</v>
      </c>
      <c r="B604" t="s">
        <v>3162</v>
      </c>
      <c r="C604" t="s">
        <v>35</v>
      </c>
      <c r="D604" t="s">
        <v>1388</v>
      </c>
      <c r="E604" t="s">
        <v>1349</v>
      </c>
      <c r="F604" t="s">
        <v>3163</v>
      </c>
      <c r="G604" t="s">
        <v>6050</v>
      </c>
      <c r="H604">
        <v>0</v>
      </c>
      <c r="I604">
        <v>0</v>
      </c>
    </row>
    <row r="605" spans="1:9" x14ac:dyDescent="0.25">
      <c r="A605" t="s">
        <v>3164</v>
      </c>
      <c r="B605" t="s">
        <v>3165</v>
      </c>
      <c r="C605" t="s">
        <v>35</v>
      </c>
      <c r="D605" t="s">
        <v>1388</v>
      </c>
      <c r="E605" t="s">
        <v>1349</v>
      </c>
      <c r="F605" t="s">
        <v>3166</v>
      </c>
      <c r="G605" t="s">
        <v>6051</v>
      </c>
      <c r="H605">
        <v>0</v>
      </c>
      <c r="I605">
        <v>0</v>
      </c>
    </row>
    <row r="606" spans="1:9" x14ac:dyDescent="0.25">
      <c r="A606" t="s">
        <v>3167</v>
      </c>
      <c r="B606" t="s">
        <v>3168</v>
      </c>
      <c r="C606" t="s">
        <v>35</v>
      </c>
      <c r="D606" t="s">
        <v>1388</v>
      </c>
      <c r="E606" t="s">
        <v>1349</v>
      </c>
      <c r="F606" t="s">
        <v>3169</v>
      </c>
      <c r="G606" t="s">
        <v>6052</v>
      </c>
      <c r="H606" t="s">
        <v>578</v>
      </c>
      <c r="I606">
        <v>0</v>
      </c>
    </row>
    <row r="607" spans="1:9" x14ac:dyDescent="0.25">
      <c r="A607" t="s">
        <v>3170</v>
      </c>
      <c r="B607" t="s">
        <v>3171</v>
      </c>
      <c r="C607" t="s">
        <v>35</v>
      </c>
      <c r="D607" t="s">
        <v>1388</v>
      </c>
      <c r="E607" t="s">
        <v>1349</v>
      </c>
      <c r="F607" t="s">
        <v>3172</v>
      </c>
      <c r="G607" t="s">
        <v>6053</v>
      </c>
      <c r="H607" t="s">
        <v>578</v>
      </c>
      <c r="I607">
        <v>0</v>
      </c>
    </row>
    <row r="608" spans="1:9" x14ac:dyDescent="0.25">
      <c r="A608" t="s">
        <v>3173</v>
      </c>
      <c r="B608" t="s">
        <v>3174</v>
      </c>
      <c r="C608" t="s">
        <v>35</v>
      </c>
      <c r="D608" t="s">
        <v>1388</v>
      </c>
      <c r="E608" t="s">
        <v>1349</v>
      </c>
      <c r="F608" t="s">
        <v>3175</v>
      </c>
      <c r="G608" t="s">
        <v>6054</v>
      </c>
      <c r="H608">
        <v>0</v>
      </c>
      <c r="I608">
        <v>0</v>
      </c>
    </row>
    <row r="609" spans="1:9" x14ac:dyDescent="0.25">
      <c r="A609" t="s">
        <v>3176</v>
      </c>
      <c r="B609" t="s">
        <v>3177</v>
      </c>
      <c r="C609" t="s">
        <v>35</v>
      </c>
      <c r="D609" t="s">
        <v>1388</v>
      </c>
      <c r="E609" t="s">
        <v>1349</v>
      </c>
      <c r="F609" t="s">
        <v>3178</v>
      </c>
      <c r="G609" t="s">
        <v>6055</v>
      </c>
      <c r="H609">
        <v>0</v>
      </c>
      <c r="I609">
        <v>0</v>
      </c>
    </row>
    <row r="610" spans="1:9" x14ac:dyDescent="0.25">
      <c r="A610" t="s">
        <v>3179</v>
      </c>
      <c r="B610" t="s">
        <v>3180</v>
      </c>
      <c r="C610" t="s">
        <v>35</v>
      </c>
      <c r="D610" t="s">
        <v>1388</v>
      </c>
      <c r="E610" t="s">
        <v>1349</v>
      </c>
      <c r="F610" t="s">
        <v>3181</v>
      </c>
      <c r="G610" t="s">
        <v>6056</v>
      </c>
      <c r="H610">
        <v>0</v>
      </c>
      <c r="I610">
        <v>0</v>
      </c>
    </row>
    <row r="611" spans="1:9" x14ac:dyDescent="0.25">
      <c r="A611" t="s">
        <v>3182</v>
      </c>
      <c r="B611" t="s">
        <v>3183</v>
      </c>
      <c r="C611" t="s">
        <v>35</v>
      </c>
      <c r="D611" t="s">
        <v>1388</v>
      </c>
      <c r="E611" t="s">
        <v>1349</v>
      </c>
      <c r="F611" t="s">
        <v>3184</v>
      </c>
      <c r="G611" t="s">
        <v>6057</v>
      </c>
      <c r="H611" t="s">
        <v>597</v>
      </c>
      <c r="I611">
        <v>0</v>
      </c>
    </row>
    <row r="612" spans="1:9" x14ac:dyDescent="0.25">
      <c r="A612" t="s">
        <v>3185</v>
      </c>
      <c r="B612" t="s">
        <v>3186</v>
      </c>
      <c r="C612" t="s">
        <v>35</v>
      </c>
      <c r="D612" t="s">
        <v>1388</v>
      </c>
      <c r="E612" t="s">
        <v>1349</v>
      </c>
      <c r="F612" t="s">
        <v>3187</v>
      </c>
      <c r="G612" t="s">
        <v>6058</v>
      </c>
      <c r="H612">
        <v>0</v>
      </c>
      <c r="I612">
        <v>0</v>
      </c>
    </row>
    <row r="613" spans="1:9" x14ac:dyDescent="0.25">
      <c r="A613" t="s">
        <v>3188</v>
      </c>
      <c r="B613" t="s">
        <v>3189</v>
      </c>
      <c r="C613" t="s">
        <v>35</v>
      </c>
      <c r="D613" t="s">
        <v>1388</v>
      </c>
      <c r="E613" t="s">
        <v>1349</v>
      </c>
      <c r="F613" t="s">
        <v>3190</v>
      </c>
      <c r="G613" t="s">
        <v>6059</v>
      </c>
      <c r="H613" t="s">
        <v>3191</v>
      </c>
      <c r="I613">
        <v>0</v>
      </c>
    </row>
    <row r="614" spans="1:9" x14ac:dyDescent="0.25">
      <c r="A614" t="s">
        <v>3192</v>
      </c>
      <c r="B614" t="s">
        <v>3193</v>
      </c>
      <c r="C614" t="s">
        <v>35</v>
      </c>
      <c r="D614" t="s">
        <v>1388</v>
      </c>
      <c r="E614" t="s">
        <v>1349</v>
      </c>
      <c r="F614" t="s">
        <v>3194</v>
      </c>
      <c r="G614" t="s">
        <v>6060</v>
      </c>
      <c r="H614" t="s">
        <v>622</v>
      </c>
      <c r="I614">
        <v>0</v>
      </c>
    </row>
    <row r="615" spans="1:9" x14ac:dyDescent="0.25">
      <c r="A615" t="s">
        <v>3195</v>
      </c>
      <c r="B615" t="s">
        <v>3196</v>
      </c>
      <c r="C615" t="s">
        <v>35</v>
      </c>
      <c r="D615" t="s">
        <v>1388</v>
      </c>
      <c r="E615" t="s">
        <v>1349</v>
      </c>
      <c r="F615" t="s">
        <v>3197</v>
      </c>
      <c r="G615" t="s">
        <v>6061</v>
      </c>
      <c r="H615" t="s">
        <v>3191</v>
      </c>
      <c r="I615">
        <v>0</v>
      </c>
    </row>
    <row r="616" spans="1:9" x14ac:dyDescent="0.25">
      <c r="A616" t="s">
        <v>3198</v>
      </c>
      <c r="B616" t="s">
        <v>3199</v>
      </c>
      <c r="C616" t="s">
        <v>35</v>
      </c>
      <c r="D616" t="s">
        <v>1388</v>
      </c>
      <c r="E616" t="s">
        <v>1349</v>
      </c>
      <c r="F616" t="s">
        <v>3200</v>
      </c>
      <c r="G616" t="s">
        <v>6062</v>
      </c>
      <c r="H616">
        <v>0</v>
      </c>
      <c r="I616">
        <v>0</v>
      </c>
    </row>
    <row r="617" spans="1:9" x14ac:dyDescent="0.25">
      <c r="A617" t="s">
        <v>3201</v>
      </c>
      <c r="B617" t="s">
        <v>3202</v>
      </c>
      <c r="C617" t="s">
        <v>35</v>
      </c>
      <c r="D617" t="s">
        <v>1388</v>
      </c>
      <c r="E617" t="s">
        <v>1349</v>
      </c>
      <c r="F617" t="s">
        <v>3203</v>
      </c>
      <c r="G617" t="s">
        <v>6063</v>
      </c>
      <c r="H617">
        <v>0</v>
      </c>
      <c r="I617">
        <v>0</v>
      </c>
    </row>
    <row r="618" spans="1:9" x14ac:dyDescent="0.25">
      <c r="A618" t="s">
        <v>3204</v>
      </c>
      <c r="B618" t="s">
        <v>3205</v>
      </c>
      <c r="C618" t="s">
        <v>35</v>
      </c>
      <c r="D618" t="s">
        <v>1388</v>
      </c>
      <c r="E618" t="s">
        <v>1349</v>
      </c>
      <c r="F618" t="s">
        <v>3206</v>
      </c>
      <c r="G618" t="s">
        <v>6064</v>
      </c>
      <c r="H618" t="s">
        <v>112</v>
      </c>
      <c r="I618">
        <v>0</v>
      </c>
    </row>
    <row r="619" spans="1:9" x14ac:dyDescent="0.25">
      <c r="A619" t="s">
        <v>3207</v>
      </c>
      <c r="B619" t="s">
        <v>3208</v>
      </c>
      <c r="C619" t="s">
        <v>35</v>
      </c>
      <c r="D619" t="s">
        <v>1388</v>
      </c>
      <c r="E619" t="s">
        <v>1349</v>
      </c>
      <c r="F619" t="s">
        <v>3209</v>
      </c>
      <c r="G619" t="s">
        <v>6065</v>
      </c>
      <c r="H619">
        <v>0</v>
      </c>
      <c r="I619">
        <v>0</v>
      </c>
    </row>
    <row r="620" spans="1:9" x14ac:dyDescent="0.25">
      <c r="A620" t="s">
        <v>3210</v>
      </c>
      <c r="B620" t="s">
        <v>3211</v>
      </c>
      <c r="C620" t="s">
        <v>35</v>
      </c>
      <c r="D620" t="s">
        <v>1388</v>
      </c>
      <c r="E620" t="s">
        <v>1349</v>
      </c>
      <c r="F620" t="s">
        <v>3212</v>
      </c>
      <c r="G620" t="s">
        <v>6066</v>
      </c>
      <c r="H620" t="s">
        <v>3191</v>
      </c>
      <c r="I620">
        <v>0</v>
      </c>
    </row>
    <row r="621" spans="1:9" x14ac:dyDescent="0.25">
      <c r="A621" t="s">
        <v>3213</v>
      </c>
      <c r="B621" t="s">
        <v>3214</v>
      </c>
      <c r="C621" t="s">
        <v>35</v>
      </c>
      <c r="D621" t="s">
        <v>1388</v>
      </c>
      <c r="E621" t="s">
        <v>1349</v>
      </c>
      <c r="F621" t="s">
        <v>3215</v>
      </c>
      <c r="G621" t="s">
        <v>6067</v>
      </c>
      <c r="H621" t="s">
        <v>3191</v>
      </c>
      <c r="I621">
        <v>0</v>
      </c>
    </row>
    <row r="622" spans="1:9" x14ac:dyDescent="0.25">
      <c r="A622" t="s">
        <v>3216</v>
      </c>
      <c r="B622" t="s">
        <v>3217</v>
      </c>
      <c r="C622" t="s">
        <v>35</v>
      </c>
      <c r="D622" t="s">
        <v>1388</v>
      </c>
      <c r="E622" t="s">
        <v>1349</v>
      </c>
      <c r="F622" t="s">
        <v>3218</v>
      </c>
      <c r="G622" t="s">
        <v>6068</v>
      </c>
      <c r="H622">
        <v>0</v>
      </c>
      <c r="I622">
        <v>0</v>
      </c>
    </row>
    <row r="623" spans="1:9" x14ac:dyDescent="0.25">
      <c r="A623" t="s">
        <v>3219</v>
      </c>
      <c r="B623" t="s">
        <v>3220</v>
      </c>
      <c r="C623" t="s">
        <v>35</v>
      </c>
      <c r="D623" t="s">
        <v>1388</v>
      </c>
      <c r="E623" t="s">
        <v>1349</v>
      </c>
      <c r="F623" t="s">
        <v>3221</v>
      </c>
      <c r="G623" t="s">
        <v>6069</v>
      </c>
      <c r="H623">
        <v>0</v>
      </c>
      <c r="I623">
        <v>0</v>
      </c>
    </row>
    <row r="624" spans="1:9" x14ac:dyDescent="0.25">
      <c r="A624" t="s">
        <v>3222</v>
      </c>
      <c r="B624" t="s">
        <v>3223</v>
      </c>
      <c r="C624" t="s">
        <v>35</v>
      </c>
      <c r="D624" t="s">
        <v>1388</v>
      </c>
      <c r="E624" t="s">
        <v>1349</v>
      </c>
      <c r="F624" t="s">
        <v>3224</v>
      </c>
      <c r="G624" t="s">
        <v>6070</v>
      </c>
      <c r="H624">
        <v>0</v>
      </c>
      <c r="I624">
        <v>0</v>
      </c>
    </row>
    <row r="625" spans="1:9" x14ac:dyDescent="0.25">
      <c r="A625" t="s">
        <v>3225</v>
      </c>
      <c r="B625" t="s">
        <v>3226</v>
      </c>
      <c r="C625" t="s">
        <v>35</v>
      </c>
      <c r="D625" t="s">
        <v>1388</v>
      </c>
      <c r="E625" t="s">
        <v>1349</v>
      </c>
      <c r="F625" t="s">
        <v>3227</v>
      </c>
      <c r="G625" t="s">
        <v>6071</v>
      </c>
      <c r="H625">
        <v>0</v>
      </c>
      <c r="I625">
        <v>0</v>
      </c>
    </row>
    <row r="626" spans="1:9" x14ac:dyDescent="0.25">
      <c r="A626" t="s">
        <v>3228</v>
      </c>
      <c r="B626" t="s">
        <v>3229</v>
      </c>
      <c r="C626" t="s">
        <v>35</v>
      </c>
      <c r="D626" t="s">
        <v>1388</v>
      </c>
      <c r="E626" t="s">
        <v>1349</v>
      </c>
      <c r="F626" t="s">
        <v>3230</v>
      </c>
      <c r="G626" t="s">
        <v>6072</v>
      </c>
      <c r="H626" t="s">
        <v>3191</v>
      </c>
      <c r="I626">
        <v>0</v>
      </c>
    </row>
    <row r="627" spans="1:9" x14ac:dyDescent="0.25">
      <c r="A627" t="s">
        <v>3231</v>
      </c>
      <c r="B627" t="s">
        <v>3232</v>
      </c>
      <c r="C627" t="s">
        <v>35</v>
      </c>
      <c r="D627" t="s">
        <v>1388</v>
      </c>
      <c r="E627" t="s">
        <v>1349</v>
      </c>
      <c r="F627" t="s">
        <v>3233</v>
      </c>
      <c r="G627" t="s">
        <v>6073</v>
      </c>
      <c r="H627">
        <v>0</v>
      </c>
      <c r="I627">
        <v>0</v>
      </c>
    </row>
    <row r="628" spans="1:9" x14ac:dyDescent="0.25">
      <c r="A628" t="s">
        <v>3234</v>
      </c>
      <c r="B628" t="s">
        <v>3235</v>
      </c>
      <c r="C628" t="s">
        <v>35</v>
      </c>
      <c r="D628" t="s">
        <v>1388</v>
      </c>
      <c r="E628" t="s">
        <v>1349</v>
      </c>
      <c r="F628" t="s">
        <v>3236</v>
      </c>
      <c r="G628" t="s">
        <v>6074</v>
      </c>
      <c r="H628" t="s">
        <v>622</v>
      </c>
      <c r="I628" t="s">
        <v>3237</v>
      </c>
    </row>
    <row r="629" spans="1:9" x14ac:dyDescent="0.25">
      <c r="A629" t="s">
        <v>3238</v>
      </c>
      <c r="B629" t="s">
        <v>3239</v>
      </c>
      <c r="C629" t="s">
        <v>35</v>
      </c>
      <c r="D629" t="s">
        <v>1388</v>
      </c>
      <c r="E629" t="s">
        <v>1349</v>
      </c>
      <c r="F629" t="s">
        <v>3240</v>
      </c>
      <c r="G629" t="s">
        <v>6075</v>
      </c>
      <c r="H629">
        <v>0</v>
      </c>
      <c r="I629">
        <v>0</v>
      </c>
    </row>
    <row r="630" spans="1:9" x14ac:dyDescent="0.25">
      <c r="A630" t="s">
        <v>3241</v>
      </c>
      <c r="B630" t="s">
        <v>3242</v>
      </c>
      <c r="C630" t="s">
        <v>35</v>
      </c>
      <c r="D630" t="s">
        <v>1388</v>
      </c>
      <c r="E630" t="s">
        <v>1349</v>
      </c>
      <c r="F630" t="s">
        <v>3243</v>
      </c>
      <c r="G630" t="s">
        <v>6076</v>
      </c>
      <c r="H630">
        <v>0</v>
      </c>
      <c r="I630">
        <v>0</v>
      </c>
    </row>
    <row r="631" spans="1:9" x14ac:dyDescent="0.25">
      <c r="A631" t="s">
        <v>3244</v>
      </c>
      <c r="B631" t="s">
        <v>3245</v>
      </c>
      <c r="C631" t="s">
        <v>35</v>
      </c>
      <c r="D631" t="s">
        <v>1388</v>
      </c>
      <c r="E631" t="s">
        <v>1349</v>
      </c>
      <c r="F631" t="s">
        <v>3246</v>
      </c>
      <c r="G631" t="s">
        <v>6077</v>
      </c>
      <c r="H631" t="s">
        <v>3191</v>
      </c>
      <c r="I631">
        <v>0</v>
      </c>
    </row>
    <row r="632" spans="1:9" x14ac:dyDescent="0.25">
      <c r="A632" t="s">
        <v>3247</v>
      </c>
      <c r="B632" t="s">
        <v>3248</v>
      </c>
      <c r="C632" t="s">
        <v>35</v>
      </c>
      <c r="D632" t="s">
        <v>1388</v>
      </c>
      <c r="E632" t="s">
        <v>1349</v>
      </c>
      <c r="F632" t="s">
        <v>3249</v>
      </c>
      <c r="G632" t="s">
        <v>6078</v>
      </c>
      <c r="H632">
        <v>0</v>
      </c>
      <c r="I632">
        <v>0</v>
      </c>
    </row>
    <row r="633" spans="1:9" x14ac:dyDescent="0.25">
      <c r="A633" t="s">
        <v>3250</v>
      </c>
      <c r="B633" t="s">
        <v>3251</v>
      </c>
      <c r="C633" t="s">
        <v>35</v>
      </c>
      <c r="D633" t="s">
        <v>1388</v>
      </c>
      <c r="E633" t="s">
        <v>1349</v>
      </c>
      <c r="F633" t="s">
        <v>3252</v>
      </c>
      <c r="G633" t="s">
        <v>6079</v>
      </c>
      <c r="H633">
        <v>0</v>
      </c>
      <c r="I633">
        <v>0</v>
      </c>
    </row>
    <row r="634" spans="1:9" x14ac:dyDescent="0.25">
      <c r="A634" t="s">
        <v>3253</v>
      </c>
      <c r="B634" t="s">
        <v>3254</v>
      </c>
      <c r="C634" t="s">
        <v>35</v>
      </c>
      <c r="D634" t="s">
        <v>1388</v>
      </c>
      <c r="E634" t="s">
        <v>1349</v>
      </c>
      <c r="F634" t="s">
        <v>3255</v>
      </c>
      <c r="G634" t="s">
        <v>6080</v>
      </c>
      <c r="H634" t="s">
        <v>605</v>
      </c>
      <c r="I634">
        <v>0</v>
      </c>
    </row>
    <row r="635" spans="1:9" x14ac:dyDescent="0.25">
      <c r="A635" t="s">
        <v>3256</v>
      </c>
      <c r="B635" t="s">
        <v>3257</v>
      </c>
      <c r="C635" t="s">
        <v>35</v>
      </c>
      <c r="D635" t="s">
        <v>1388</v>
      </c>
      <c r="E635" t="s">
        <v>1349</v>
      </c>
      <c r="F635" t="s">
        <v>3258</v>
      </c>
      <c r="G635" t="s">
        <v>6081</v>
      </c>
      <c r="H635" t="s">
        <v>605</v>
      </c>
      <c r="I635">
        <v>0</v>
      </c>
    </row>
    <row r="636" spans="1:9" x14ac:dyDescent="0.25">
      <c r="A636" t="s">
        <v>3259</v>
      </c>
      <c r="B636" t="s">
        <v>3260</v>
      </c>
      <c r="C636" t="s">
        <v>35</v>
      </c>
      <c r="D636" t="s">
        <v>1388</v>
      </c>
      <c r="E636" t="s">
        <v>1349</v>
      </c>
      <c r="F636" t="s">
        <v>3236</v>
      </c>
      <c r="G636" t="s">
        <v>6074</v>
      </c>
      <c r="H636" t="s">
        <v>622</v>
      </c>
      <c r="I636" t="s">
        <v>3237</v>
      </c>
    </row>
    <row r="637" spans="1:9" x14ac:dyDescent="0.25">
      <c r="A637" t="s">
        <v>3261</v>
      </c>
      <c r="B637" t="s">
        <v>3262</v>
      </c>
      <c r="C637" t="s">
        <v>35</v>
      </c>
      <c r="D637" t="s">
        <v>1388</v>
      </c>
      <c r="E637" t="s">
        <v>1349</v>
      </c>
      <c r="F637" t="s">
        <v>3236</v>
      </c>
      <c r="G637" t="s">
        <v>6074</v>
      </c>
      <c r="H637" t="s">
        <v>622</v>
      </c>
      <c r="I637" t="s">
        <v>3237</v>
      </c>
    </row>
    <row r="638" spans="1:9" x14ac:dyDescent="0.25">
      <c r="A638" t="s">
        <v>3263</v>
      </c>
      <c r="B638" t="s">
        <v>3264</v>
      </c>
      <c r="C638" t="s">
        <v>35</v>
      </c>
      <c r="D638" t="s">
        <v>1388</v>
      </c>
      <c r="E638" t="s">
        <v>1349</v>
      </c>
      <c r="F638" t="s">
        <v>3265</v>
      </c>
      <c r="G638" t="s">
        <v>6082</v>
      </c>
      <c r="H638" t="s">
        <v>622</v>
      </c>
      <c r="I638">
        <v>0</v>
      </c>
    </row>
    <row r="639" spans="1:9" x14ac:dyDescent="0.25">
      <c r="A639" t="s">
        <v>3266</v>
      </c>
      <c r="B639" t="s">
        <v>3267</v>
      </c>
      <c r="C639" t="s">
        <v>35</v>
      </c>
      <c r="D639" t="s">
        <v>1388</v>
      </c>
      <c r="E639" t="s">
        <v>1349</v>
      </c>
      <c r="F639" t="s">
        <v>3268</v>
      </c>
      <c r="G639" t="s">
        <v>6083</v>
      </c>
      <c r="H639">
        <v>0</v>
      </c>
      <c r="I639">
        <v>0</v>
      </c>
    </row>
    <row r="640" spans="1:9" x14ac:dyDescent="0.25">
      <c r="A640" t="s">
        <v>3269</v>
      </c>
      <c r="B640" t="s">
        <v>3270</v>
      </c>
      <c r="C640" t="s">
        <v>35</v>
      </c>
      <c r="D640" t="s">
        <v>1388</v>
      </c>
      <c r="E640" t="s">
        <v>1349</v>
      </c>
      <c r="F640" t="s">
        <v>3271</v>
      </c>
      <c r="G640" t="s">
        <v>6084</v>
      </c>
      <c r="H640">
        <v>0</v>
      </c>
      <c r="I640">
        <v>0</v>
      </c>
    </row>
    <row r="641" spans="1:9" x14ac:dyDescent="0.25">
      <c r="A641" t="s">
        <v>3272</v>
      </c>
      <c r="B641" t="s">
        <v>3273</v>
      </c>
      <c r="C641" t="s">
        <v>35</v>
      </c>
      <c r="D641" t="s">
        <v>1388</v>
      </c>
      <c r="E641" t="s">
        <v>1349</v>
      </c>
      <c r="F641" t="s">
        <v>3274</v>
      </c>
      <c r="G641" t="s">
        <v>6085</v>
      </c>
      <c r="H641" t="s">
        <v>622</v>
      </c>
      <c r="I641">
        <v>0</v>
      </c>
    </row>
    <row r="642" spans="1:9" x14ac:dyDescent="0.25">
      <c r="A642" t="s">
        <v>3275</v>
      </c>
      <c r="B642" t="s">
        <v>3276</v>
      </c>
      <c r="C642" t="s">
        <v>35</v>
      </c>
      <c r="D642" t="s">
        <v>1388</v>
      </c>
      <c r="E642" t="s">
        <v>1349</v>
      </c>
      <c r="F642" t="s">
        <v>3277</v>
      </c>
      <c r="G642" t="s">
        <v>6086</v>
      </c>
      <c r="H642" t="s">
        <v>578</v>
      </c>
      <c r="I642">
        <v>0</v>
      </c>
    </row>
    <row r="643" spans="1:9" x14ac:dyDescent="0.25">
      <c r="A643" t="s">
        <v>3278</v>
      </c>
      <c r="B643" t="s">
        <v>3279</v>
      </c>
      <c r="C643" t="s">
        <v>35</v>
      </c>
      <c r="D643" t="s">
        <v>1388</v>
      </c>
      <c r="E643" t="s">
        <v>1349</v>
      </c>
      <c r="F643" t="s">
        <v>3280</v>
      </c>
      <c r="G643" t="s">
        <v>6087</v>
      </c>
      <c r="H643" t="s">
        <v>597</v>
      </c>
      <c r="I643">
        <v>0</v>
      </c>
    </row>
    <row r="644" spans="1:9" x14ac:dyDescent="0.25">
      <c r="A644" t="s">
        <v>3281</v>
      </c>
      <c r="B644" t="s">
        <v>3282</v>
      </c>
      <c r="C644" t="s">
        <v>35</v>
      </c>
      <c r="D644" t="s">
        <v>1388</v>
      </c>
      <c r="E644" t="s">
        <v>1349</v>
      </c>
      <c r="F644" t="s">
        <v>3283</v>
      </c>
      <c r="G644" t="s">
        <v>6088</v>
      </c>
      <c r="H644" t="s">
        <v>597</v>
      </c>
      <c r="I644">
        <v>0</v>
      </c>
    </row>
    <row r="645" spans="1:9" x14ac:dyDescent="0.25">
      <c r="A645" t="s">
        <v>3284</v>
      </c>
      <c r="B645" t="s">
        <v>3285</v>
      </c>
      <c r="C645" t="s">
        <v>35</v>
      </c>
      <c r="D645" t="s">
        <v>1388</v>
      </c>
      <c r="E645" t="s">
        <v>1349</v>
      </c>
      <c r="F645" t="s">
        <v>3286</v>
      </c>
      <c r="G645" t="s">
        <v>6089</v>
      </c>
      <c r="H645">
        <v>0</v>
      </c>
      <c r="I645">
        <v>0</v>
      </c>
    </row>
    <row r="646" spans="1:9" x14ac:dyDescent="0.25">
      <c r="A646" t="s">
        <v>3287</v>
      </c>
      <c r="B646" t="s">
        <v>3288</v>
      </c>
      <c r="C646" t="s">
        <v>35</v>
      </c>
      <c r="D646" t="s">
        <v>1388</v>
      </c>
      <c r="E646" t="s">
        <v>1349</v>
      </c>
      <c r="F646" t="s">
        <v>3289</v>
      </c>
      <c r="G646" t="s">
        <v>6090</v>
      </c>
      <c r="H646">
        <v>0</v>
      </c>
      <c r="I646">
        <v>0</v>
      </c>
    </row>
    <row r="647" spans="1:9" x14ac:dyDescent="0.25">
      <c r="A647" t="s">
        <v>3290</v>
      </c>
      <c r="B647" t="s">
        <v>3291</v>
      </c>
      <c r="C647" t="s">
        <v>35</v>
      </c>
      <c r="D647" t="s">
        <v>1388</v>
      </c>
      <c r="E647" t="s">
        <v>1349</v>
      </c>
      <c r="F647" t="s">
        <v>3292</v>
      </c>
      <c r="G647" t="s">
        <v>6091</v>
      </c>
      <c r="H647" t="s">
        <v>597</v>
      </c>
      <c r="I647">
        <v>0</v>
      </c>
    </row>
    <row r="648" spans="1:9" x14ac:dyDescent="0.25">
      <c r="A648" t="s">
        <v>3293</v>
      </c>
      <c r="B648" t="s">
        <v>3294</v>
      </c>
      <c r="C648" t="s">
        <v>35</v>
      </c>
      <c r="D648" t="s">
        <v>1388</v>
      </c>
      <c r="E648" t="s">
        <v>1349</v>
      </c>
      <c r="F648" t="s">
        <v>3295</v>
      </c>
      <c r="G648" t="s">
        <v>6092</v>
      </c>
      <c r="H648" t="s">
        <v>112</v>
      </c>
      <c r="I648">
        <v>0</v>
      </c>
    </row>
    <row r="649" spans="1:9" x14ac:dyDescent="0.25">
      <c r="A649" t="s">
        <v>3296</v>
      </c>
      <c r="B649" t="s">
        <v>3297</v>
      </c>
      <c r="C649" t="s">
        <v>3298</v>
      </c>
      <c r="D649" t="s">
        <v>1567</v>
      </c>
      <c r="E649" t="s">
        <v>1298</v>
      </c>
      <c r="F649" t="s">
        <v>3299</v>
      </c>
      <c r="G649" t="s">
        <v>6093</v>
      </c>
      <c r="H649">
        <v>0</v>
      </c>
      <c r="I649">
        <v>0</v>
      </c>
    </row>
    <row r="650" spans="1:9" x14ac:dyDescent="0.25">
      <c r="A650" t="s">
        <v>3300</v>
      </c>
      <c r="B650" t="s">
        <v>3301</v>
      </c>
      <c r="C650" t="s">
        <v>3298</v>
      </c>
      <c r="D650" t="s">
        <v>1567</v>
      </c>
      <c r="E650" t="s">
        <v>1298</v>
      </c>
      <c r="F650" t="s">
        <v>3302</v>
      </c>
      <c r="G650" t="s">
        <v>6094</v>
      </c>
      <c r="H650">
        <v>0</v>
      </c>
      <c r="I650">
        <v>0</v>
      </c>
    </row>
    <row r="651" spans="1:9" x14ac:dyDescent="0.25">
      <c r="A651" t="s">
        <v>3303</v>
      </c>
      <c r="B651" t="s">
        <v>3304</v>
      </c>
      <c r="C651" t="s">
        <v>3298</v>
      </c>
      <c r="D651" t="s">
        <v>1567</v>
      </c>
      <c r="E651" t="s">
        <v>1298</v>
      </c>
      <c r="F651" t="s">
        <v>3305</v>
      </c>
      <c r="G651" t="s">
        <v>6095</v>
      </c>
      <c r="H651">
        <v>0</v>
      </c>
      <c r="I651">
        <v>0</v>
      </c>
    </row>
    <row r="652" spans="1:9" x14ac:dyDescent="0.25">
      <c r="A652" t="s">
        <v>3306</v>
      </c>
      <c r="B652" t="s">
        <v>3307</v>
      </c>
      <c r="C652" t="s">
        <v>3298</v>
      </c>
      <c r="D652" t="s">
        <v>1567</v>
      </c>
      <c r="E652" t="s">
        <v>1298</v>
      </c>
      <c r="F652" t="s">
        <v>3308</v>
      </c>
      <c r="G652" t="s">
        <v>6096</v>
      </c>
      <c r="H652">
        <v>0</v>
      </c>
      <c r="I652">
        <v>0</v>
      </c>
    </row>
    <row r="653" spans="1:9" x14ac:dyDescent="0.25">
      <c r="A653" t="s">
        <v>3309</v>
      </c>
      <c r="B653" t="s">
        <v>3310</v>
      </c>
      <c r="C653" t="s">
        <v>3298</v>
      </c>
      <c r="D653" t="s">
        <v>1567</v>
      </c>
      <c r="E653" t="s">
        <v>1298</v>
      </c>
      <c r="F653" t="s">
        <v>3311</v>
      </c>
      <c r="G653" t="s">
        <v>6097</v>
      </c>
      <c r="H653">
        <v>0</v>
      </c>
      <c r="I653">
        <v>0</v>
      </c>
    </row>
    <row r="654" spans="1:9" x14ac:dyDescent="0.25">
      <c r="A654" t="s">
        <v>3312</v>
      </c>
      <c r="B654" t="s">
        <v>3313</v>
      </c>
      <c r="C654" t="s">
        <v>3298</v>
      </c>
      <c r="D654" t="s">
        <v>1567</v>
      </c>
      <c r="E654" t="s">
        <v>1298</v>
      </c>
      <c r="F654" t="s">
        <v>3314</v>
      </c>
      <c r="G654" t="s">
        <v>6098</v>
      </c>
      <c r="H654">
        <v>0</v>
      </c>
      <c r="I654">
        <v>0</v>
      </c>
    </row>
    <row r="655" spans="1:9" x14ac:dyDescent="0.25">
      <c r="A655" t="s">
        <v>3315</v>
      </c>
      <c r="B655" t="s">
        <v>3316</v>
      </c>
      <c r="C655" t="s">
        <v>3298</v>
      </c>
      <c r="D655" t="s">
        <v>1567</v>
      </c>
      <c r="E655" t="s">
        <v>1298</v>
      </c>
      <c r="F655" t="s">
        <v>3317</v>
      </c>
      <c r="G655" t="s">
        <v>6099</v>
      </c>
      <c r="H655">
        <v>0</v>
      </c>
      <c r="I655">
        <v>0</v>
      </c>
    </row>
    <row r="656" spans="1:9" x14ac:dyDescent="0.25">
      <c r="A656" t="s">
        <v>3318</v>
      </c>
      <c r="B656" t="s">
        <v>3319</v>
      </c>
      <c r="C656" t="s">
        <v>3298</v>
      </c>
      <c r="D656" t="s">
        <v>1567</v>
      </c>
      <c r="E656" t="s">
        <v>1298</v>
      </c>
      <c r="F656" t="s">
        <v>3320</v>
      </c>
      <c r="G656" t="s">
        <v>6100</v>
      </c>
      <c r="H656" t="s">
        <v>102</v>
      </c>
      <c r="I656">
        <v>0</v>
      </c>
    </row>
    <row r="657" spans="1:9" x14ac:dyDescent="0.25">
      <c r="A657" t="s">
        <v>3321</v>
      </c>
      <c r="B657" t="s">
        <v>3322</v>
      </c>
      <c r="C657" t="s">
        <v>3298</v>
      </c>
      <c r="D657" t="s">
        <v>1567</v>
      </c>
      <c r="E657" t="s">
        <v>1298</v>
      </c>
      <c r="F657" t="s">
        <v>3323</v>
      </c>
      <c r="G657" t="s">
        <v>6101</v>
      </c>
      <c r="H657">
        <v>0</v>
      </c>
      <c r="I657">
        <v>0</v>
      </c>
    </row>
    <row r="658" spans="1:9" x14ac:dyDescent="0.25">
      <c r="A658" t="s">
        <v>3324</v>
      </c>
      <c r="B658" t="s">
        <v>3325</v>
      </c>
      <c r="C658" t="s">
        <v>3298</v>
      </c>
      <c r="D658" t="s">
        <v>1567</v>
      </c>
      <c r="E658" t="s">
        <v>1298</v>
      </c>
      <c r="F658" t="s">
        <v>3326</v>
      </c>
      <c r="G658" t="s">
        <v>6102</v>
      </c>
      <c r="H658">
        <v>0</v>
      </c>
      <c r="I658">
        <v>0</v>
      </c>
    </row>
    <row r="659" spans="1:9" x14ac:dyDescent="0.25">
      <c r="A659" t="s">
        <v>3327</v>
      </c>
      <c r="B659" t="s">
        <v>3328</v>
      </c>
      <c r="C659" t="s">
        <v>3298</v>
      </c>
      <c r="D659" t="s">
        <v>1567</v>
      </c>
      <c r="E659" t="s">
        <v>1298</v>
      </c>
      <c r="F659" t="s">
        <v>3329</v>
      </c>
      <c r="G659" t="s">
        <v>6103</v>
      </c>
      <c r="H659">
        <v>0</v>
      </c>
      <c r="I659">
        <v>0</v>
      </c>
    </row>
    <row r="660" spans="1:9" x14ac:dyDescent="0.25">
      <c r="A660" t="s">
        <v>3330</v>
      </c>
      <c r="B660" t="s">
        <v>3331</v>
      </c>
      <c r="C660" t="s">
        <v>3298</v>
      </c>
      <c r="D660" t="s">
        <v>1567</v>
      </c>
      <c r="E660" t="s">
        <v>1298</v>
      </c>
      <c r="F660" t="s">
        <v>3332</v>
      </c>
      <c r="G660" t="s">
        <v>6104</v>
      </c>
      <c r="H660">
        <v>0</v>
      </c>
      <c r="I660">
        <v>0</v>
      </c>
    </row>
    <row r="661" spans="1:9" x14ac:dyDescent="0.25">
      <c r="A661" t="s">
        <v>3333</v>
      </c>
      <c r="B661" t="s">
        <v>3334</v>
      </c>
      <c r="C661" t="s">
        <v>3298</v>
      </c>
      <c r="D661" t="s">
        <v>1567</v>
      </c>
      <c r="E661" t="s">
        <v>1298</v>
      </c>
      <c r="F661" t="s">
        <v>3335</v>
      </c>
      <c r="G661" t="s">
        <v>6105</v>
      </c>
      <c r="H661" t="s">
        <v>36</v>
      </c>
      <c r="I661">
        <v>0</v>
      </c>
    </row>
    <row r="662" spans="1:9" x14ac:dyDescent="0.25">
      <c r="A662" t="s">
        <v>3336</v>
      </c>
      <c r="B662" t="s">
        <v>3337</v>
      </c>
      <c r="C662" t="s">
        <v>3298</v>
      </c>
      <c r="D662" t="s">
        <v>1567</v>
      </c>
      <c r="E662" t="s">
        <v>1298</v>
      </c>
      <c r="F662" t="s">
        <v>3338</v>
      </c>
      <c r="G662" t="s">
        <v>6106</v>
      </c>
      <c r="H662">
        <v>0</v>
      </c>
      <c r="I662">
        <v>0</v>
      </c>
    </row>
    <row r="663" spans="1:9" x14ac:dyDescent="0.25">
      <c r="A663" t="s">
        <v>3339</v>
      </c>
      <c r="B663" t="s">
        <v>3340</v>
      </c>
      <c r="C663" t="s">
        <v>3298</v>
      </c>
      <c r="D663" t="s">
        <v>1567</v>
      </c>
      <c r="E663" t="s">
        <v>1298</v>
      </c>
      <c r="F663" t="s">
        <v>3341</v>
      </c>
      <c r="G663" t="s">
        <v>6107</v>
      </c>
      <c r="H663">
        <v>0</v>
      </c>
      <c r="I663">
        <v>0</v>
      </c>
    </row>
    <row r="664" spans="1:9" x14ac:dyDescent="0.25">
      <c r="A664" t="s">
        <v>3342</v>
      </c>
      <c r="B664" t="s">
        <v>3343</v>
      </c>
      <c r="C664" t="s">
        <v>3298</v>
      </c>
      <c r="D664" t="s">
        <v>1567</v>
      </c>
      <c r="E664" t="s">
        <v>1298</v>
      </c>
      <c r="F664" t="s">
        <v>3344</v>
      </c>
      <c r="G664" t="s">
        <v>6108</v>
      </c>
      <c r="H664">
        <v>0</v>
      </c>
      <c r="I664">
        <v>0</v>
      </c>
    </row>
    <row r="665" spans="1:9" x14ac:dyDescent="0.25">
      <c r="A665" t="s">
        <v>3345</v>
      </c>
      <c r="B665" t="s">
        <v>3346</v>
      </c>
      <c r="C665" t="s">
        <v>3298</v>
      </c>
      <c r="D665" t="s">
        <v>1567</v>
      </c>
      <c r="E665" t="s">
        <v>1298</v>
      </c>
      <c r="F665" t="s">
        <v>3347</v>
      </c>
      <c r="G665" t="s">
        <v>6109</v>
      </c>
      <c r="H665">
        <v>0</v>
      </c>
      <c r="I665">
        <v>0</v>
      </c>
    </row>
    <row r="666" spans="1:9" x14ac:dyDescent="0.25">
      <c r="A666" t="s">
        <v>3348</v>
      </c>
      <c r="B666" t="s">
        <v>3349</v>
      </c>
      <c r="C666" t="s">
        <v>3298</v>
      </c>
      <c r="D666" t="s">
        <v>1567</v>
      </c>
      <c r="E666" t="s">
        <v>1298</v>
      </c>
      <c r="F666" t="s">
        <v>3350</v>
      </c>
      <c r="G666" t="s">
        <v>6110</v>
      </c>
      <c r="H666">
        <v>0</v>
      </c>
      <c r="I666">
        <v>0</v>
      </c>
    </row>
    <row r="667" spans="1:9" x14ac:dyDescent="0.25">
      <c r="A667" t="s">
        <v>3351</v>
      </c>
      <c r="B667" t="s">
        <v>3352</v>
      </c>
      <c r="C667" t="s">
        <v>3298</v>
      </c>
      <c r="D667" t="s">
        <v>1567</v>
      </c>
      <c r="E667" t="s">
        <v>1298</v>
      </c>
      <c r="F667" t="s">
        <v>3353</v>
      </c>
      <c r="G667" t="s">
        <v>6111</v>
      </c>
      <c r="H667">
        <v>0</v>
      </c>
      <c r="I667">
        <v>0</v>
      </c>
    </row>
    <row r="668" spans="1:9" x14ac:dyDescent="0.25">
      <c r="A668" t="s">
        <v>3354</v>
      </c>
      <c r="B668" t="s">
        <v>3355</v>
      </c>
      <c r="C668" t="s">
        <v>3298</v>
      </c>
      <c r="D668" t="s">
        <v>1567</v>
      </c>
      <c r="E668" t="s">
        <v>1298</v>
      </c>
      <c r="F668" t="s">
        <v>3356</v>
      </c>
      <c r="G668" t="s">
        <v>6112</v>
      </c>
      <c r="H668">
        <v>0</v>
      </c>
      <c r="I668">
        <v>0</v>
      </c>
    </row>
    <row r="669" spans="1:9" x14ac:dyDescent="0.25">
      <c r="A669" t="s">
        <v>3357</v>
      </c>
      <c r="B669" t="s">
        <v>3358</v>
      </c>
      <c r="C669" t="s">
        <v>3298</v>
      </c>
      <c r="D669" t="s">
        <v>1567</v>
      </c>
      <c r="E669" t="s">
        <v>1298</v>
      </c>
      <c r="F669" t="s">
        <v>3359</v>
      </c>
      <c r="G669" t="s">
        <v>6113</v>
      </c>
      <c r="H669">
        <v>0</v>
      </c>
      <c r="I669">
        <v>0</v>
      </c>
    </row>
    <row r="670" spans="1:9" x14ac:dyDescent="0.25">
      <c r="A670" t="s">
        <v>3360</v>
      </c>
      <c r="B670" t="s">
        <v>3361</v>
      </c>
      <c r="C670" t="s">
        <v>3298</v>
      </c>
      <c r="D670" t="s">
        <v>1567</v>
      </c>
      <c r="E670" t="s">
        <v>1298</v>
      </c>
      <c r="F670" t="s">
        <v>3362</v>
      </c>
      <c r="G670" t="s">
        <v>6114</v>
      </c>
      <c r="H670">
        <v>0</v>
      </c>
      <c r="I670">
        <v>0</v>
      </c>
    </row>
    <row r="671" spans="1:9" x14ac:dyDescent="0.25">
      <c r="A671" t="s">
        <v>3363</v>
      </c>
      <c r="B671" t="s">
        <v>3364</v>
      </c>
      <c r="C671" t="s">
        <v>3298</v>
      </c>
      <c r="D671" t="s">
        <v>1567</v>
      </c>
      <c r="E671" t="s">
        <v>1298</v>
      </c>
      <c r="F671" t="s">
        <v>3365</v>
      </c>
      <c r="G671" t="s">
        <v>6115</v>
      </c>
      <c r="H671" t="s">
        <v>3366</v>
      </c>
      <c r="I671">
        <v>0</v>
      </c>
    </row>
    <row r="672" spans="1:9" x14ac:dyDescent="0.25">
      <c r="A672" t="s">
        <v>3367</v>
      </c>
      <c r="B672" t="s">
        <v>3368</v>
      </c>
      <c r="C672" t="s">
        <v>3298</v>
      </c>
      <c r="D672" t="s">
        <v>1567</v>
      </c>
      <c r="E672" t="s">
        <v>1298</v>
      </c>
      <c r="F672" t="s">
        <v>3369</v>
      </c>
      <c r="G672" t="s">
        <v>6116</v>
      </c>
      <c r="H672">
        <v>0</v>
      </c>
      <c r="I672">
        <v>0</v>
      </c>
    </row>
    <row r="673" spans="1:9" x14ac:dyDescent="0.25">
      <c r="A673" t="s">
        <v>3370</v>
      </c>
      <c r="B673" t="s">
        <v>3371</v>
      </c>
      <c r="C673" t="s">
        <v>3298</v>
      </c>
      <c r="D673" t="s">
        <v>1567</v>
      </c>
      <c r="E673" t="s">
        <v>1298</v>
      </c>
      <c r="F673" t="s">
        <v>3372</v>
      </c>
      <c r="G673" t="s">
        <v>6117</v>
      </c>
      <c r="H673" t="s">
        <v>721</v>
      </c>
      <c r="I673">
        <v>0</v>
      </c>
    </row>
    <row r="674" spans="1:9" x14ac:dyDescent="0.25">
      <c r="A674" t="s">
        <v>3373</v>
      </c>
      <c r="B674" t="s">
        <v>3374</v>
      </c>
      <c r="C674" t="s">
        <v>3298</v>
      </c>
      <c r="D674" t="s">
        <v>1567</v>
      </c>
      <c r="E674" t="s">
        <v>1298</v>
      </c>
      <c r="F674" t="s">
        <v>3375</v>
      </c>
      <c r="G674" t="s">
        <v>6118</v>
      </c>
      <c r="H674" t="s">
        <v>3366</v>
      </c>
      <c r="I674">
        <v>0</v>
      </c>
    </row>
    <row r="675" spans="1:9" x14ac:dyDescent="0.25">
      <c r="A675" t="s">
        <v>3376</v>
      </c>
      <c r="B675" t="s">
        <v>3377</v>
      </c>
      <c r="C675" t="s">
        <v>3298</v>
      </c>
      <c r="D675" t="s">
        <v>1567</v>
      </c>
      <c r="E675" t="s">
        <v>1298</v>
      </c>
      <c r="F675" t="s">
        <v>3378</v>
      </c>
      <c r="G675" t="s">
        <v>6119</v>
      </c>
      <c r="H675">
        <v>0</v>
      </c>
      <c r="I675">
        <v>0</v>
      </c>
    </row>
    <row r="676" spans="1:9" x14ac:dyDescent="0.25">
      <c r="A676" t="s">
        <v>3379</v>
      </c>
      <c r="B676" t="s">
        <v>3380</v>
      </c>
      <c r="C676" t="s">
        <v>3298</v>
      </c>
      <c r="D676" t="s">
        <v>1567</v>
      </c>
      <c r="E676" t="s">
        <v>1298</v>
      </c>
      <c r="F676" t="s">
        <v>3381</v>
      </c>
      <c r="G676" t="s">
        <v>6120</v>
      </c>
      <c r="H676">
        <v>0</v>
      </c>
      <c r="I676">
        <v>0</v>
      </c>
    </row>
    <row r="677" spans="1:9" x14ac:dyDescent="0.25">
      <c r="A677" t="s">
        <v>3382</v>
      </c>
      <c r="B677" t="s">
        <v>3383</v>
      </c>
      <c r="C677" t="s">
        <v>3298</v>
      </c>
      <c r="D677" t="s">
        <v>1567</v>
      </c>
      <c r="E677" t="s">
        <v>1298</v>
      </c>
      <c r="F677" t="s">
        <v>3384</v>
      </c>
      <c r="G677" t="s">
        <v>6121</v>
      </c>
      <c r="H677" t="s">
        <v>721</v>
      </c>
      <c r="I677">
        <v>0</v>
      </c>
    </row>
    <row r="678" spans="1:9" x14ac:dyDescent="0.25">
      <c r="A678" t="s">
        <v>3385</v>
      </c>
      <c r="B678" t="s">
        <v>3386</v>
      </c>
      <c r="C678" t="s">
        <v>3298</v>
      </c>
      <c r="D678" t="s">
        <v>1567</v>
      </c>
      <c r="E678" t="s">
        <v>1298</v>
      </c>
      <c r="F678" t="s">
        <v>3387</v>
      </c>
      <c r="G678" t="s">
        <v>6122</v>
      </c>
      <c r="H678" t="s">
        <v>36</v>
      </c>
      <c r="I678">
        <v>0</v>
      </c>
    </row>
    <row r="679" spans="1:9" x14ac:dyDescent="0.25">
      <c r="A679" t="s">
        <v>3388</v>
      </c>
      <c r="B679" t="s">
        <v>3389</v>
      </c>
      <c r="C679" t="s">
        <v>3298</v>
      </c>
      <c r="D679" t="s">
        <v>1567</v>
      </c>
      <c r="E679" t="s">
        <v>1298</v>
      </c>
      <c r="F679" t="s">
        <v>3390</v>
      </c>
      <c r="G679" t="s">
        <v>6123</v>
      </c>
      <c r="H679" t="s">
        <v>36</v>
      </c>
      <c r="I679">
        <v>0</v>
      </c>
    </row>
    <row r="680" spans="1:9" x14ac:dyDescent="0.25">
      <c r="A680" t="s">
        <v>3391</v>
      </c>
      <c r="B680" t="s">
        <v>3392</v>
      </c>
      <c r="C680" t="s">
        <v>3298</v>
      </c>
      <c r="D680" t="s">
        <v>1567</v>
      </c>
      <c r="E680" t="s">
        <v>1298</v>
      </c>
      <c r="F680" t="s">
        <v>3393</v>
      </c>
      <c r="G680" t="s">
        <v>6124</v>
      </c>
      <c r="H680">
        <v>0</v>
      </c>
      <c r="I680">
        <v>0</v>
      </c>
    </row>
    <row r="681" spans="1:9" x14ac:dyDescent="0.25">
      <c r="A681" t="s">
        <v>3394</v>
      </c>
      <c r="B681" t="s">
        <v>3395</v>
      </c>
      <c r="C681" t="s">
        <v>3298</v>
      </c>
      <c r="D681" t="s">
        <v>1567</v>
      </c>
      <c r="E681" t="s">
        <v>1298</v>
      </c>
      <c r="F681" t="s">
        <v>3396</v>
      </c>
      <c r="G681" t="s">
        <v>6125</v>
      </c>
      <c r="H681">
        <v>0</v>
      </c>
      <c r="I681">
        <v>0</v>
      </c>
    </row>
    <row r="682" spans="1:9" x14ac:dyDescent="0.25">
      <c r="A682" t="s">
        <v>3397</v>
      </c>
      <c r="B682" t="s">
        <v>3398</v>
      </c>
      <c r="C682" t="s">
        <v>3298</v>
      </c>
      <c r="D682" t="s">
        <v>1567</v>
      </c>
      <c r="E682" t="s">
        <v>1298</v>
      </c>
      <c r="F682" t="s">
        <v>3399</v>
      </c>
      <c r="G682" t="s">
        <v>6126</v>
      </c>
      <c r="H682" t="s">
        <v>36</v>
      </c>
      <c r="I682">
        <v>0</v>
      </c>
    </row>
    <row r="683" spans="1:9" x14ac:dyDescent="0.25">
      <c r="A683" t="s">
        <v>3400</v>
      </c>
      <c r="B683" t="s">
        <v>3401</v>
      </c>
      <c r="C683" t="s">
        <v>3298</v>
      </c>
      <c r="D683" t="s">
        <v>1567</v>
      </c>
      <c r="E683" t="s">
        <v>1298</v>
      </c>
      <c r="F683" t="s">
        <v>3402</v>
      </c>
      <c r="G683" t="s">
        <v>6127</v>
      </c>
      <c r="H683" t="s">
        <v>721</v>
      </c>
      <c r="I683">
        <v>0</v>
      </c>
    </row>
    <row r="684" spans="1:9" x14ac:dyDescent="0.25">
      <c r="A684" t="s">
        <v>3403</v>
      </c>
      <c r="B684" t="s">
        <v>3404</v>
      </c>
      <c r="C684" t="s">
        <v>3298</v>
      </c>
      <c r="D684" t="s">
        <v>1567</v>
      </c>
      <c r="E684" t="s">
        <v>1298</v>
      </c>
      <c r="F684" t="s">
        <v>3405</v>
      </c>
      <c r="G684" t="s">
        <v>6128</v>
      </c>
      <c r="H684" t="s">
        <v>36</v>
      </c>
      <c r="I684">
        <v>0</v>
      </c>
    </row>
    <row r="685" spans="1:9" x14ac:dyDescent="0.25">
      <c r="A685" t="s">
        <v>3406</v>
      </c>
      <c r="B685" t="s">
        <v>3407</v>
      </c>
      <c r="C685" t="s">
        <v>3298</v>
      </c>
      <c r="D685" t="s">
        <v>1567</v>
      </c>
      <c r="E685" t="s">
        <v>1298</v>
      </c>
      <c r="F685" t="s">
        <v>3408</v>
      </c>
      <c r="G685" t="s">
        <v>6129</v>
      </c>
      <c r="H685">
        <v>0</v>
      </c>
      <c r="I685">
        <v>0</v>
      </c>
    </row>
    <row r="686" spans="1:9" x14ac:dyDescent="0.25">
      <c r="A686" t="s">
        <v>3409</v>
      </c>
      <c r="B686" t="s">
        <v>3410</v>
      </c>
      <c r="C686" t="s">
        <v>3298</v>
      </c>
      <c r="D686" t="s">
        <v>1567</v>
      </c>
      <c r="E686" t="s">
        <v>1298</v>
      </c>
      <c r="F686" t="s">
        <v>3411</v>
      </c>
      <c r="G686" t="s">
        <v>6130</v>
      </c>
      <c r="H686">
        <v>0</v>
      </c>
      <c r="I686" t="s">
        <v>3412</v>
      </c>
    </row>
    <row r="687" spans="1:9" x14ac:dyDescent="0.25">
      <c r="A687" t="s">
        <v>3413</v>
      </c>
      <c r="B687" t="s">
        <v>3414</v>
      </c>
      <c r="C687" t="s">
        <v>3298</v>
      </c>
      <c r="D687" t="s">
        <v>1567</v>
      </c>
      <c r="E687" t="s">
        <v>1298</v>
      </c>
      <c r="F687" t="s">
        <v>3415</v>
      </c>
      <c r="G687" t="s">
        <v>6131</v>
      </c>
      <c r="H687">
        <v>0</v>
      </c>
      <c r="I687">
        <v>0</v>
      </c>
    </row>
    <row r="688" spans="1:9" x14ac:dyDescent="0.25">
      <c r="A688" t="s">
        <v>3416</v>
      </c>
      <c r="B688" t="s">
        <v>3417</v>
      </c>
      <c r="C688" t="s">
        <v>3298</v>
      </c>
      <c r="D688" t="s">
        <v>1567</v>
      </c>
      <c r="E688" t="s">
        <v>1298</v>
      </c>
      <c r="F688" t="s">
        <v>3418</v>
      </c>
      <c r="G688" t="s">
        <v>6132</v>
      </c>
      <c r="H688">
        <v>0</v>
      </c>
      <c r="I688">
        <v>0</v>
      </c>
    </row>
    <row r="689" spans="1:9" x14ac:dyDescent="0.25">
      <c r="A689" t="s">
        <v>3419</v>
      </c>
      <c r="B689" t="s">
        <v>3420</v>
      </c>
      <c r="C689" t="s">
        <v>3298</v>
      </c>
      <c r="D689" t="s">
        <v>1567</v>
      </c>
      <c r="E689" t="s">
        <v>1298</v>
      </c>
      <c r="F689" t="s">
        <v>3421</v>
      </c>
      <c r="G689" t="s">
        <v>6133</v>
      </c>
      <c r="H689" t="s">
        <v>3366</v>
      </c>
      <c r="I689">
        <v>0</v>
      </c>
    </row>
    <row r="690" spans="1:9" x14ac:dyDescent="0.25">
      <c r="A690" t="s">
        <v>3422</v>
      </c>
      <c r="B690" t="s">
        <v>3423</v>
      </c>
      <c r="C690" t="s">
        <v>3298</v>
      </c>
      <c r="D690" t="s">
        <v>1567</v>
      </c>
      <c r="E690" t="s">
        <v>1298</v>
      </c>
      <c r="F690" t="s">
        <v>3424</v>
      </c>
      <c r="G690" t="s">
        <v>6134</v>
      </c>
      <c r="H690" t="s">
        <v>3366</v>
      </c>
      <c r="I690">
        <v>0</v>
      </c>
    </row>
    <row r="691" spans="1:9" x14ac:dyDescent="0.25">
      <c r="A691" t="s">
        <v>3425</v>
      </c>
      <c r="B691" t="s">
        <v>3426</v>
      </c>
      <c r="C691" t="s">
        <v>3298</v>
      </c>
      <c r="D691" t="s">
        <v>1567</v>
      </c>
      <c r="E691" t="s">
        <v>1298</v>
      </c>
      <c r="F691" t="s">
        <v>3427</v>
      </c>
      <c r="G691" t="s">
        <v>6135</v>
      </c>
      <c r="H691">
        <v>0</v>
      </c>
      <c r="I691">
        <v>0</v>
      </c>
    </row>
    <row r="692" spans="1:9" x14ac:dyDescent="0.25">
      <c r="A692" t="s">
        <v>3428</v>
      </c>
      <c r="B692" t="s">
        <v>3429</v>
      </c>
      <c r="C692" t="s">
        <v>3298</v>
      </c>
      <c r="D692" t="s">
        <v>1567</v>
      </c>
      <c r="E692" t="s">
        <v>1298</v>
      </c>
      <c r="F692" t="s">
        <v>3430</v>
      </c>
      <c r="G692" t="s">
        <v>6136</v>
      </c>
      <c r="H692">
        <v>0</v>
      </c>
      <c r="I692">
        <v>0</v>
      </c>
    </row>
    <row r="693" spans="1:9" x14ac:dyDescent="0.25">
      <c r="A693" t="s">
        <v>3431</v>
      </c>
      <c r="B693" t="s">
        <v>3432</v>
      </c>
      <c r="C693" t="s">
        <v>3298</v>
      </c>
      <c r="D693" t="s">
        <v>1567</v>
      </c>
      <c r="E693" t="s">
        <v>1298</v>
      </c>
      <c r="F693" t="s">
        <v>3433</v>
      </c>
      <c r="G693" t="s">
        <v>6137</v>
      </c>
      <c r="H693">
        <v>0</v>
      </c>
      <c r="I693">
        <v>0</v>
      </c>
    </row>
    <row r="694" spans="1:9" x14ac:dyDescent="0.25">
      <c r="A694" t="s">
        <v>3434</v>
      </c>
      <c r="B694" t="s">
        <v>3435</v>
      </c>
      <c r="C694" t="s">
        <v>3298</v>
      </c>
      <c r="D694" t="s">
        <v>1567</v>
      </c>
      <c r="E694" t="s">
        <v>1298</v>
      </c>
      <c r="F694" t="s">
        <v>3436</v>
      </c>
      <c r="G694" t="s">
        <v>6138</v>
      </c>
      <c r="H694">
        <v>0</v>
      </c>
      <c r="I694">
        <v>0</v>
      </c>
    </row>
    <row r="695" spans="1:9" x14ac:dyDescent="0.25">
      <c r="A695" t="s">
        <v>3437</v>
      </c>
      <c r="B695" t="s">
        <v>3438</v>
      </c>
      <c r="C695" t="s">
        <v>3298</v>
      </c>
      <c r="D695" t="s">
        <v>1567</v>
      </c>
      <c r="E695" t="s">
        <v>1298</v>
      </c>
      <c r="F695" t="s">
        <v>3439</v>
      </c>
      <c r="G695" t="s">
        <v>6139</v>
      </c>
      <c r="H695">
        <v>0</v>
      </c>
      <c r="I695" t="s">
        <v>3440</v>
      </c>
    </row>
    <row r="696" spans="1:9" x14ac:dyDescent="0.25">
      <c r="A696" t="s">
        <v>3441</v>
      </c>
      <c r="B696" t="s">
        <v>3442</v>
      </c>
      <c r="C696" t="s">
        <v>3298</v>
      </c>
      <c r="D696" t="s">
        <v>1567</v>
      </c>
      <c r="E696" t="s">
        <v>1298</v>
      </c>
      <c r="F696" t="s">
        <v>3443</v>
      </c>
      <c r="G696" t="s">
        <v>6140</v>
      </c>
      <c r="H696" t="s">
        <v>3366</v>
      </c>
      <c r="I696">
        <v>0</v>
      </c>
    </row>
    <row r="697" spans="1:9" x14ac:dyDescent="0.25">
      <c r="A697" t="s">
        <v>3444</v>
      </c>
      <c r="B697" t="s">
        <v>3445</v>
      </c>
      <c r="C697" t="s">
        <v>3298</v>
      </c>
      <c r="D697" t="s">
        <v>1567</v>
      </c>
      <c r="E697" t="s">
        <v>1298</v>
      </c>
      <c r="F697" t="s">
        <v>3446</v>
      </c>
      <c r="G697" t="s">
        <v>6141</v>
      </c>
      <c r="H697">
        <v>0</v>
      </c>
      <c r="I697">
        <v>0</v>
      </c>
    </row>
    <row r="698" spans="1:9" x14ac:dyDescent="0.25">
      <c r="A698" t="s">
        <v>3447</v>
      </c>
      <c r="B698" t="s">
        <v>3448</v>
      </c>
      <c r="C698" t="s">
        <v>3298</v>
      </c>
      <c r="D698" t="s">
        <v>1567</v>
      </c>
      <c r="E698" t="s">
        <v>1298</v>
      </c>
      <c r="F698" t="s">
        <v>3439</v>
      </c>
      <c r="G698" t="s">
        <v>6139</v>
      </c>
      <c r="H698">
        <v>0</v>
      </c>
      <c r="I698" t="s">
        <v>3449</v>
      </c>
    </row>
    <row r="699" spans="1:9" x14ac:dyDescent="0.25">
      <c r="A699" t="s">
        <v>3450</v>
      </c>
      <c r="B699" t="s">
        <v>3451</v>
      </c>
      <c r="C699" t="s">
        <v>3298</v>
      </c>
      <c r="D699" t="s">
        <v>1567</v>
      </c>
      <c r="E699" t="s">
        <v>1298</v>
      </c>
      <c r="F699" t="s">
        <v>3452</v>
      </c>
      <c r="G699" t="s">
        <v>6142</v>
      </c>
      <c r="H699">
        <v>0</v>
      </c>
      <c r="I699">
        <v>0</v>
      </c>
    </row>
    <row r="700" spans="1:9" x14ac:dyDescent="0.25">
      <c r="A700" t="s">
        <v>3453</v>
      </c>
      <c r="B700" t="s">
        <v>3454</v>
      </c>
      <c r="C700" t="s">
        <v>3298</v>
      </c>
      <c r="D700" t="s">
        <v>1567</v>
      </c>
      <c r="E700" t="s">
        <v>1298</v>
      </c>
      <c r="F700" t="s">
        <v>3455</v>
      </c>
      <c r="G700" t="s">
        <v>6143</v>
      </c>
      <c r="H700">
        <v>0</v>
      </c>
      <c r="I700">
        <v>0</v>
      </c>
    </row>
    <row r="701" spans="1:9" x14ac:dyDescent="0.25">
      <c r="A701" t="s">
        <v>3456</v>
      </c>
      <c r="B701" t="s">
        <v>3457</v>
      </c>
      <c r="C701" t="s">
        <v>3298</v>
      </c>
      <c r="D701" t="s">
        <v>1567</v>
      </c>
      <c r="E701" t="s">
        <v>1298</v>
      </c>
      <c r="F701" t="s">
        <v>3458</v>
      </c>
      <c r="G701" t="s">
        <v>6144</v>
      </c>
      <c r="H701">
        <v>0</v>
      </c>
      <c r="I701">
        <v>0</v>
      </c>
    </row>
    <row r="702" spans="1:9" x14ac:dyDescent="0.25">
      <c r="A702" t="s">
        <v>3459</v>
      </c>
      <c r="B702" t="s">
        <v>3460</v>
      </c>
      <c r="C702" t="s">
        <v>3298</v>
      </c>
      <c r="D702" t="s">
        <v>1567</v>
      </c>
      <c r="E702" t="s">
        <v>1298</v>
      </c>
      <c r="F702" t="s">
        <v>3461</v>
      </c>
      <c r="G702" t="s">
        <v>6145</v>
      </c>
      <c r="H702">
        <v>0</v>
      </c>
      <c r="I702" t="s">
        <v>3412</v>
      </c>
    </row>
    <row r="703" spans="1:9" x14ac:dyDescent="0.25">
      <c r="A703" t="s">
        <v>3462</v>
      </c>
      <c r="B703" t="s">
        <v>3463</v>
      </c>
      <c r="C703" t="s">
        <v>3298</v>
      </c>
      <c r="D703" t="s">
        <v>1567</v>
      </c>
      <c r="E703" t="s">
        <v>1298</v>
      </c>
      <c r="F703" t="s">
        <v>3464</v>
      </c>
      <c r="G703" t="s">
        <v>6146</v>
      </c>
      <c r="H703">
        <v>0</v>
      </c>
      <c r="I703">
        <v>0</v>
      </c>
    </row>
    <row r="704" spans="1:9" x14ac:dyDescent="0.25">
      <c r="A704" t="s">
        <v>3465</v>
      </c>
      <c r="B704" t="s">
        <v>3466</v>
      </c>
      <c r="C704" t="s">
        <v>3467</v>
      </c>
      <c r="D704" t="s">
        <v>1883</v>
      </c>
      <c r="E704" t="s">
        <v>1298</v>
      </c>
      <c r="F704" t="s">
        <v>3468</v>
      </c>
      <c r="G704" t="s">
        <v>6147</v>
      </c>
      <c r="H704">
        <v>0</v>
      </c>
      <c r="I704">
        <v>0</v>
      </c>
    </row>
    <row r="705" spans="1:9" x14ac:dyDescent="0.25">
      <c r="A705" t="s">
        <v>3469</v>
      </c>
      <c r="B705" t="s">
        <v>3470</v>
      </c>
      <c r="C705" t="s">
        <v>3467</v>
      </c>
      <c r="D705" t="s">
        <v>1883</v>
      </c>
      <c r="E705" t="s">
        <v>1298</v>
      </c>
      <c r="F705" t="s">
        <v>3471</v>
      </c>
      <c r="G705" t="s">
        <v>6148</v>
      </c>
      <c r="H705">
        <v>0</v>
      </c>
      <c r="I705">
        <v>0</v>
      </c>
    </row>
    <row r="706" spans="1:9" x14ac:dyDescent="0.25">
      <c r="A706" t="s">
        <v>3472</v>
      </c>
      <c r="B706" t="s">
        <v>3473</v>
      </c>
      <c r="C706" t="s">
        <v>3467</v>
      </c>
      <c r="D706" t="s">
        <v>1883</v>
      </c>
      <c r="E706" t="s">
        <v>1298</v>
      </c>
      <c r="F706" t="s">
        <v>3474</v>
      </c>
      <c r="G706" t="s">
        <v>6149</v>
      </c>
      <c r="H706">
        <v>0</v>
      </c>
      <c r="I706">
        <v>0</v>
      </c>
    </row>
    <row r="707" spans="1:9" x14ac:dyDescent="0.25">
      <c r="A707" t="s">
        <v>3475</v>
      </c>
      <c r="B707" t="s">
        <v>3476</v>
      </c>
      <c r="C707" t="s">
        <v>3467</v>
      </c>
      <c r="D707" t="s">
        <v>1883</v>
      </c>
      <c r="E707" t="s">
        <v>1298</v>
      </c>
      <c r="F707" t="s">
        <v>3477</v>
      </c>
      <c r="G707" t="s">
        <v>6150</v>
      </c>
      <c r="H707">
        <v>0</v>
      </c>
      <c r="I707">
        <v>0</v>
      </c>
    </row>
    <row r="708" spans="1:9" x14ac:dyDescent="0.25">
      <c r="A708" t="s">
        <v>3478</v>
      </c>
      <c r="B708" t="s">
        <v>3479</v>
      </c>
      <c r="C708" t="s">
        <v>3467</v>
      </c>
      <c r="D708" t="s">
        <v>1883</v>
      </c>
      <c r="E708" t="s">
        <v>1298</v>
      </c>
      <c r="F708" t="s">
        <v>3499</v>
      </c>
      <c r="G708" t="s">
        <v>6151</v>
      </c>
      <c r="H708" t="s">
        <v>3480</v>
      </c>
      <c r="I708">
        <v>0</v>
      </c>
    </row>
    <row r="709" spans="1:9" x14ac:dyDescent="0.25">
      <c r="A709" t="s">
        <v>3481</v>
      </c>
      <c r="B709" t="s">
        <v>3482</v>
      </c>
      <c r="C709" t="s">
        <v>3467</v>
      </c>
      <c r="D709" t="s">
        <v>1883</v>
      </c>
      <c r="E709" t="s">
        <v>1298</v>
      </c>
      <c r="F709" t="s">
        <v>3483</v>
      </c>
      <c r="G709" t="s">
        <v>6152</v>
      </c>
      <c r="H709" t="s">
        <v>741</v>
      </c>
      <c r="I709">
        <v>0</v>
      </c>
    </row>
    <row r="710" spans="1:9" x14ac:dyDescent="0.25">
      <c r="A710" t="s">
        <v>3484</v>
      </c>
      <c r="B710" t="s">
        <v>3485</v>
      </c>
      <c r="C710" t="s">
        <v>3467</v>
      </c>
      <c r="D710" t="s">
        <v>1883</v>
      </c>
      <c r="E710" t="s">
        <v>1298</v>
      </c>
      <c r="F710" t="s">
        <v>3486</v>
      </c>
      <c r="G710" t="s">
        <v>6153</v>
      </c>
      <c r="H710">
        <v>0</v>
      </c>
      <c r="I710">
        <v>0</v>
      </c>
    </row>
    <row r="711" spans="1:9" x14ac:dyDescent="0.25">
      <c r="A711" t="s">
        <v>3487</v>
      </c>
      <c r="B711" t="s">
        <v>3488</v>
      </c>
      <c r="C711" t="s">
        <v>3467</v>
      </c>
      <c r="D711" t="s">
        <v>1883</v>
      </c>
      <c r="E711" t="s">
        <v>1298</v>
      </c>
      <c r="F711" t="s">
        <v>3489</v>
      </c>
      <c r="G711" t="s">
        <v>6154</v>
      </c>
      <c r="H711">
        <v>0</v>
      </c>
      <c r="I711">
        <v>0</v>
      </c>
    </row>
    <row r="712" spans="1:9" x14ac:dyDescent="0.25">
      <c r="A712" t="s">
        <v>3490</v>
      </c>
      <c r="B712" t="s">
        <v>3491</v>
      </c>
      <c r="C712" t="s">
        <v>3467</v>
      </c>
      <c r="D712" t="s">
        <v>1883</v>
      </c>
      <c r="E712" t="s">
        <v>1298</v>
      </c>
      <c r="F712" t="s">
        <v>3492</v>
      </c>
      <c r="G712" t="s">
        <v>6155</v>
      </c>
      <c r="H712">
        <v>0</v>
      </c>
      <c r="I712">
        <v>0</v>
      </c>
    </row>
    <row r="713" spans="1:9" x14ac:dyDescent="0.25">
      <c r="A713" t="s">
        <v>3493</v>
      </c>
      <c r="B713" t="s">
        <v>3494</v>
      </c>
      <c r="C713" t="s">
        <v>3467</v>
      </c>
      <c r="D713" t="s">
        <v>1883</v>
      </c>
      <c r="E713" t="s">
        <v>1298</v>
      </c>
      <c r="F713" t="s">
        <v>3495</v>
      </c>
      <c r="G713" t="s">
        <v>6156</v>
      </c>
      <c r="H713" t="s">
        <v>3496</v>
      </c>
      <c r="I713">
        <v>0</v>
      </c>
    </row>
    <row r="714" spans="1:9" x14ac:dyDescent="0.25">
      <c r="A714" t="s">
        <v>3497</v>
      </c>
      <c r="B714" t="s">
        <v>3498</v>
      </c>
      <c r="C714" t="s">
        <v>3467</v>
      </c>
      <c r="D714" t="s">
        <v>1883</v>
      </c>
      <c r="E714" t="s">
        <v>1298</v>
      </c>
      <c r="F714" t="s">
        <v>3499</v>
      </c>
      <c r="G714" t="s">
        <v>6151</v>
      </c>
      <c r="H714">
        <v>0</v>
      </c>
      <c r="I714">
        <v>0</v>
      </c>
    </row>
    <row r="715" spans="1:9" x14ac:dyDescent="0.25">
      <c r="A715" t="s">
        <v>3500</v>
      </c>
      <c r="B715" t="s">
        <v>3501</v>
      </c>
      <c r="C715" t="s">
        <v>3467</v>
      </c>
      <c r="D715" t="s">
        <v>1883</v>
      </c>
      <c r="E715" t="s">
        <v>1298</v>
      </c>
      <c r="F715" t="s">
        <v>3502</v>
      </c>
      <c r="G715" t="s">
        <v>6157</v>
      </c>
      <c r="H715">
        <v>0</v>
      </c>
      <c r="I715">
        <v>0</v>
      </c>
    </row>
    <row r="716" spans="1:9" x14ac:dyDescent="0.25">
      <c r="A716" t="s">
        <v>3503</v>
      </c>
      <c r="B716" t="s">
        <v>3504</v>
      </c>
      <c r="C716" t="s">
        <v>3467</v>
      </c>
      <c r="D716" t="s">
        <v>1883</v>
      </c>
      <c r="E716" t="s">
        <v>1298</v>
      </c>
      <c r="F716" t="s">
        <v>3505</v>
      </c>
      <c r="G716" t="s">
        <v>6158</v>
      </c>
      <c r="H716">
        <v>0</v>
      </c>
      <c r="I716">
        <v>0</v>
      </c>
    </row>
    <row r="717" spans="1:9" x14ac:dyDescent="0.25">
      <c r="A717" t="s">
        <v>3506</v>
      </c>
      <c r="B717" t="s">
        <v>3507</v>
      </c>
      <c r="C717" t="s">
        <v>3467</v>
      </c>
      <c r="D717" t="s">
        <v>1883</v>
      </c>
      <c r="E717" t="s">
        <v>1298</v>
      </c>
      <c r="F717" t="s">
        <v>3508</v>
      </c>
      <c r="G717" t="s">
        <v>6159</v>
      </c>
      <c r="H717">
        <v>0</v>
      </c>
      <c r="I717">
        <v>0</v>
      </c>
    </row>
    <row r="718" spans="1:9" x14ac:dyDescent="0.25">
      <c r="A718" t="s">
        <v>3509</v>
      </c>
      <c r="B718" t="s">
        <v>3510</v>
      </c>
      <c r="C718" t="s">
        <v>3467</v>
      </c>
      <c r="D718" t="s">
        <v>1883</v>
      </c>
      <c r="E718" t="s">
        <v>1298</v>
      </c>
      <c r="F718" t="s">
        <v>3511</v>
      </c>
      <c r="G718" t="s">
        <v>6160</v>
      </c>
      <c r="H718" t="s">
        <v>3480</v>
      </c>
      <c r="I718">
        <v>0</v>
      </c>
    </row>
    <row r="719" spans="1:9" x14ac:dyDescent="0.25">
      <c r="A719" t="s">
        <v>3512</v>
      </c>
      <c r="B719" t="s">
        <v>3513</v>
      </c>
      <c r="C719" t="s">
        <v>3467</v>
      </c>
      <c r="D719" t="s">
        <v>1883</v>
      </c>
      <c r="E719" t="s">
        <v>1298</v>
      </c>
      <c r="F719" t="s">
        <v>3514</v>
      </c>
      <c r="G719" t="s">
        <v>6161</v>
      </c>
      <c r="H719" t="s">
        <v>3480</v>
      </c>
      <c r="I719">
        <v>0</v>
      </c>
    </row>
    <row r="720" spans="1:9" x14ac:dyDescent="0.25">
      <c r="A720" t="s">
        <v>3515</v>
      </c>
      <c r="B720" t="s">
        <v>3516</v>
      </c>
      <c r="C720" t="s">
        <v>3467</v>
      </c>
      <c r="D720" t="s">
        <v>1883</v>
      </c>
      <c r="E720" t="s">
        <v>1298</v>
      </c>
      <c r="F720" t="s">
        <v>3517</v>
      </c>
      <c r="G720" t="s">
        <v>6162</v>
      </c>
      <c r="H720" t="s">
        <v>3518</v>
      </c>
      <c r="I720">
        <v>0</v>
      </c>
    </row>
    <row r="721" spans="1:9" x14ac:dyDescent="0.25">
      <c r="A721" t="s">
        <v>3519</v>
      </c>
      <c r="B721" t="s">
        <v>3520</v>
      </c>
      <c r="C721" t="s">
        <v>3467</v>
      </c>
      <c r="D721" t="s">
        <v>1883</v>
      </c>
      <c r="E721" t="s">
        <v>1298</v>
      </c>
      <c r="F721" t="s">
        <v>3521</v>
      </c>
      <c r="G721" t="s">
        <v>6163</v>
      </c>
      <c r="H721" t="s">
        <v>3518</v>
      </c>
      <c r="I721">
        <v>0</v>
      </c>
    </row>
    <row r="722" spans="1:9" x14ac:dyDescent="0.25">
      <c r="A722" t="s">
        <v>3522</v>
      </c>
      <c r="B722" t="s">
        <v>3523</v>
      </c>
      <c r="C722" t="s">
        <v>3467</v>
      </c>
      <c r="D722" t="s">
        <v>1883</v>
      </c>
      <c r="E722" t="s">
        <v>1298</v>
      </c>
      <c r="F722" t="s">
        <v>3524</v>
      </c>
      <c r="G722" t="s">
        <v>6164</v>
      </c>
      <c r="H722" t="s">
        <v>3525</v>
      </c>
      <c r="I722">
        <v>0</v>
      </c>
    </row>
    <row r="723" spans="1:9" x14ac:dyDescent="0.25">
      <c r="A723" t="s">
        <v>3526</v>
      </c>
      <c r="B723" t="s">
        <v>3527</v>
      </c>
      <c r="C723" t="s">
        <v>3467</v>
      </c>
      <c r="D723" t="s">
        <v>1883</v>
      </c>
      <c r="E723" t="s">
        <v>1298</v>
      </c>
      <c r="F723" t="s">
        <v>3528</v>
      </c>
      <c r="G723" t="s">
        <v>6165</v>
      </c>
      <c r="H723" t="s">
        <v>3496</v>
      </c>
      <c r="I723">
        <v>0</v>
      </c>
    </row>
    <row r="724" spans="1:9" x14ac:dyDescent="0.25">
      <c r="A724" t="s">
        <v>3529</v>
      </c>
      <c r="B724" t="s">
        <v>3530</v>
      </c>
      <c r="C724" t="s">
        <v>3467</v>
      </c>
      <c r="D724" t="s">
        <v>1883</v>
      </c>
      <c r="E724" t="s">
        <v>1298</v>
      </c>
      <c r="F724" t="s">
        <v>3531</v>
      </c>
      <c r="G724" t="s">
        <v>6166</v>
      </c>
      <c r="H724" t="s">
        <v>3496</v>
      </c>
      <c r="I724">
        <v>0</v>
      </c>
    </row>
    <row r="725" spans="1:9" x14ac:dyDescent="0.25">
      <c r="A725" t="s">
        <v>3532</v>
      </c>
      <c r="B725" t="s">
        <v>3533</v>
      </c>
      <c r="C725" t="s">
        <v>3467</v>
      </c>
      <c r="D725" t="s">
        <v>1883</v>
      </c>
      <c r="E725" t="s">
        <v>1298</v>
      </c>
      <c r="F725" t="s">
        <v>3534</v>
      </c>
      <c r="G725" t="s">
        <v>6167</v>
      </c>
      <c r="H725">
        <v>0</v>
      </c>
      <c r="I725">
        <v>0</v>
      </c>
    </row>
    <row r="726" spans="1:9" x14ac:dyDescent="0.25">
      <c r="A726" t="s">
        <v>3535</v>
      </c>
      <c r="B726" t="s">
        <v>3536</v>
      </c>
      <c r="C726" t="s">
        <v>3467</v>
      </c>
      <c r="D726" t="s">
        <v>1883</v>
      </c>
      <c r="E726" t="s">
        <v>1298</v>
      </c>
      <c r="F726" t="s">
        <v>3537</v>
      </c>
      <c r="G726" t="s">
        <v>6168</v>
      </c>
      <c r="H726" t="s">
        <v>3496</v>
      </c>
      <c r="I726">
        <v>0</v>
      </c>
    </row>
    <row r="727" spans="1:9" x14ac:dyDescent="0.25">
      <c r="A727" t="s">
        <v>3538</v>
      </c>
      <c r="B727" t="s">
        <v>3539</v>
      </c>
      <c r="C727" t="s">
        <v>3467</v>
      </c>
      <c r="D727" t="s">
        <v>1883</v>
      </c>
      <c r="E727" t="s">
        <v>1298</v>
      </c>
      <c r="F727" t="s">
        <v>3540</v>
      </c>
      <c r="G727" t="s">
        <v>6169</v>
      </c>
      <c r="H727" t="s">
        <v>3525</v>
      </c>
      <c r="I727">
        <v>0</v>
      </c>
    </row>
    <row r="728" spans="1:9" x14ac:dyDescent="0.25">
      <c r="A728" t="s">
        <v>3541</v>
      </c>
      <c r="B728" t="s">
        <v>3542</v>
      </c>
      <c r="C728" t="s">
        <v>3543</v>
      </c>
      <c r="D728" t="s">
        <v>1883</v>
      </c>
      <c r="E728" t="s">
        <v>1298</v>
      </c>
      <c r="F728" t="s">
        <v>3544</v>
      </c>
      <c r="G728" t="s">
        <v>6170</v>
      </c>
      <c r="H728" t="s">
        <v>3545</v>
      </c>
      <c r="I728">
        <v>0</v>
      </c>
    </row>
    <row r="729" spans="1:9" x14ac:dyDescent="0.25">
      <c r="A729" t="s">
        <v>3546</v>
      </c>
      <c r="B729" t="s">
        <v>3547</v>
      </c>
      <c r="C729" t="s">
        <v>3543</v>
      </c>
      <c r="D729" t="s">
        <v>1883</v>
      </c>
      <c r="E729" t="s">
        <v>1298</v>
      </c>
      <c r="F729" t="s">
        <v>3548</v>
      </c>
      <c r="G729" t="s">
        <v>6171</v>
      </c>
      <c r="H729" t="s">
        <v>747</v>
      </c>
      <c r="I729">
        <v>0</v>
      </c>
    </row>
    <row r="730" spans="1:9" x14ac:dyDescent="0.25">
      <c r="A730" t="s">
        <v>3549</v>
      </c>
      <c r="B730" t="s">
        <v>3550</v>
      </c>
      <c r="C730" t="s">
        <v>3543</v>
      </c>
      <c r="D730" t="s">
        <v>1883</v>
      </c>
      <c r="E730" t="s">
        <v>1298</v>
      </c>
      <c r="F730" t="s">
        <v>3551</v>
      </c>
      <c r="G730" t="s">
        <v>6172</v>
      </c>
      <c r="H730" t="s">
        <v>747</v>
      </c>
      <c r="I730">
        <v>0</v>
      </c>
    </row>
    <row r="731" spans="1:9" x14ac:dyDescent="0.25">
      <c r="A731" t="s">
        <v>3552</v>
      </c>
      <c r="B731" t="s">
        <v>3553</v>
      </c>
      <c r="C731" t="s">
        <v>3543</v>
      </c>
      <c r="D731" t="s">
        <v>1883</v>
      </c>
      <c r="E731" t="s">
        <v>1298</v>
      </c>
      <c r="F731" t="s">
        <v>3554</v>
      </c>
      <c r="G731" t="s">
        <v>6173</v>
      </c>
      <c r="H731" t="s">
        <v>759</v>
      </c>
      <c r="I731">
        <v>0</v>
      </c>
    </row>
    <row r="732" spans="1:9" x14ac:dyDescent="0.25">
      <c r="A732" t="s">
        <v>3555</v>
      </c>
      <c r="B732" t="s">
        <v>3556</v>
      </c>
      <c r="C732" t="s">
        <v>3543</v>
      </c>
      <c r="D732" t="s">
        <v>1883</v>
      </c>
      <c r="E732" t="s">
        <v>1298</v>
      </c>
      <c r="F732" t="s">
        <v>3557</v>
      </c>
      <c r="G732" t="s">
        <v>6174</v>
      </c>
      <c r="H732" t="s">
        <v>3558</v>
      </c>
      <c r="I732">
        <v>0</v>
      </c>
    </row>
    <row r="733" spans="1:9" x14ac:dyDescent="0.25">
      <c r="A733" t="s">
        <v>3559</v>
      </c>
      <c r="B733" t="s">
        <v>3560</v>
      </c>
      <c r="C733" t="s">
        <v>3543</v>
      </c>
      <c r="D733" t="s">
        <v>1883</v>
      </c>
      <c r="E733" t="s">
        <v>1298</v>
      </c>
      <c r="F733" t="s">
        <v>3561</v>
      </c>
      <c r="G733" t="s">
        <v>6175</v>
      </c>
      <c r="H733" t="s">
        <v>3562</v>
      </c>
      <c r="I733">
        <v>0</v>
      </c>
    </row>
    <row r="734" spans="1:9" x14ac:dyDescent="0.25">
      <c r="A734" t="s">
        <v>3563</v>
      </c>
      <c r="B734" t="s">
        <v>3564</v>
      </c>
      <c r="C734" t="s">
        <v>3543</v>
      </c>
      <c r="D734" t="s">
        <v>1883</v>
      </c>
      <c r="E734" t="s">
        <v>1298</v>
      </c>
      <c r="F734" t="s">
        <v>3565</v>
      </c>
      <c r="G734" t="s">
        <v>6176</v>
      </c>
      <c r="H734" t="s">
        <v>758</v>
      </c>
      <c r="I734">
        <v>0</v>
      </c>
    </row>
    <row r="735" spans="1:9" x14ac:dyDescent="0.25">
      <c r="A735" t="s">
        <v>3566</v>
      </c>
      <c r="B735" t="s">
        <v>3567</v>
      </c>
      <c r="C735" t="s">
        <v>3543</v>
      </c>
      <c r="D735" t="s">
        <v>1883</v>
      </c>
      <c r="E735" t="s">
        <v>1298</v>
      </c>
      <c r="F735" t="s">
        <v>3568</v>
      </c>
      <c r="G735" t="s">
        <v>6177</v>
      </c>
      <c r="H735" t="s">
        <v>3558</v>
      </c>
      <c r="I735">
        <v>0</v>
      </c>
    </row>
    <row r="736" spans="1:9" x14ac:dyDescent="0.25">
      <c r="A736" t="s">
        <v>3569</v>
      </c>
      <c r="B736" t="s">
        <v>3570</v>
      </c>
      <c r="C736" t="s">
        <v>3543</v>
      </c>
      <c r="D736" t="s">
        <v>1883</v>
      </c>
      <c r="E736" t="s">
        <v>1298</v>
      </c>
      <c r="F736" t="s">
        <v>3571</v>
      </c>
      <c r="G736" t="s">
        <v>6178</v>
      </c>
      <c r="H736" t="s">
        <v>3558</v>
      </c>
      <c r="I736">
        <v>0</v>
      </c>
    </row>
    <row r="737" spans="1:9" x14ac:dyDescent="0.25">
      <c r="A737" t="s">
        <v>3572</v>
      </c>
      <c r="B737" t="s">
        <v>3573</v>
      </c>
      <c r="C737" t="s">
        <v>3543</v>
      </c>
      <c r="D737" t="s">
        <v>1883</v>
      </c>
      <c r="E737" t="s">
        <v>1298</v>
      </c>
      <c r="F737" t="s">
        <v>3574</v>
      </c>
      <c r="G737" t="s">
        <v>6179</v>
      </c>
      <c r="H737" t="s">
        <v>759</v>
      </c>
      <c r="I737">
        <v>0</v>
      </c>
    </row>
    <row r="738" spans="1:9" x14ac:dyDescent="0.25">
      <c r="A738" t="s">
        <v>3575</v>
      </c>
      <c r="B738" t="s">
        <v>3576</v>
      </c>
      <c r="C738" t="s">
        <v>3543</v>
      </c>
      <c r="D738" t="s">
        <v>1883</v>
      </c>
      <c r="E738" t="s">
        <v>1298</v>
      </c>
      <c r="F738" t="s">
        <v>3577</v>
      </c>
      <c r="G738" t="s">
        <v>6180</v>
      </c>
      <c r="H738" t="s">
        <v>3545</v>
      </c>
      <c r="I738">
        <v>0</v>
      </c>
    </row>
    <row r="739" spans="1:9" x14ac:dyDescent="0.25">
      <c r="A739" t="s">
        <v>3578</v>
      </c>
      <c r="B739" t="s">
        <v>3579</v>
      </c>
      <c r="C739" t="s">
        <v>3543</v>
      </c>
      <c r="D739" t="s">
        <v>1883</v>
      </c>
      <c r="E739" t="s">
        <v>1298</v>
      </c>
      <c r="F739" t="s">
        <v>3580</v>
      </c>
      <c r="G739" t="s">
        <v>6181</v>
      </c>
      <c r="H739" t="s">
        <v>3545</v>
      </c>
      <c r="I739">
        <v>0</v>
      </c>
    </row>
    <row r="740" spans="1:9" x14ac:dyDescent="0.25">
      <c r="A740" t="s">
        <v>3581</v>
      </c>
      <c r="B740" t="s">
        <v>3582</v>
      </c>
      <c r="C740" t="s">
        <v>3543</v>
      </c>
      <c r="D740" t="s">
        <v>1883</v>
      </c>
      <c r="E740" t="s">
        <v>1298</v>
      </c>
      <c r="F740" t="s">
        <v>3583</v>
      </c>
      <c r="G740" t="s">
        <v>6182</v>
      </c>
      <c r="H740" t="s">
        <v>135</v>
      </c>
      <c r="I740">
        <v>0</v>
      </c>
    </row>
    <row r="741" spans="1:9" x14ac:dyDescent="0.25">
      <c r="A741" t="s">
        <v>3584</v>
      </c>
      <c r="B741" t="s">
        <v>3585</v>
      </c>
      <c r="C741" t="s">
        <v>3543</v>
      </c>
      <c r="D741" t="s">
        <v>1883</v>
      </c>
      <c r="E741" t="s">
        <v>1298</v>
      </c>
      <c r="F741" t="s">
        <v>3586</v>
      </c>
      <c r="G741" t="s">
        <v>6183</v>
      </c>
      <c r="H741" t="s">
        <v>3545</v>
      </c>
      <c r="I741">
        <v>0</v>
      </c>
    </row>
    <row r="742" spans="1:9" x14ac:dyDescent="0.25">
      <c r="A742" t="s">
        <v>3587</v>
      </c>
      <c r="B742" t="s">
        <v>3588</v>
      </c>
      <c r="C742" t="s">
        <v>3543</v>
      </c>
      <c r="D742" t="s">
        <v>1883</v>
      </c>
      <c r="E742" t="s">
        <v>1298</v>
      </c>
      <c r="F742" t="s">
        <v>3589</v>
      </c>
      <c r="G742" t="s">
        <v>6184</v>
      </c>
      <c r="H742" t="s">
        <v>3545</v>
      </c>
      <c r="I742">
        <v>0</v>
      </c>
    </row>
    <row r="743" spans="1:9" x14ac:dyDescent="0.25">
      <c r="A743" t="s">
        <v>3590</v>
      </c>
      <c r="B743" t="s">
        <v>3591</v>
      </c>
      <c r="C743" t="s">
        <v>3543</v>
      </c>
      <c r="D743" t="s">
        <v>1883</v>
      </c>
      <c r="E743" t="s">
        <v>1298</v>
      </c>
      <c r="F743" t="s">
        <v>3592</v>
      </c>
      <c r="G743" t="s">
        <v>6185</v>
      </c>
      <c r="H743" t="s">
        <v>3545</v>
      </c>
      <c r="I743">
        <v>0</v>
      </c>
    </row>
    <row r="744" spans="1:9" x14ac:dyDescent="0.25">
      <c r="A744" t="s">
        <v>3593</v>
      </c>
      <c r="B744" t="s">
        <v>3594</v>
      </c>
      <c r="C744" t="s">
        <v>3543</v>
      </c>
      <c r="D744" t="s">
        <v>1883</v>
      </c>
      <c r="E744" t="s">
        <v>1298</v>
      </c>
      <c r="F744" t="s">
        <v>3595</v>
      </c>
      <c r="G744" t="s">
        <v>6186</v>
      </c>
      <c r="H744" t="s">
        <v>3558</v>
      </c>
      <c r="I744">
        <v>0</v>
      </c>
    </row>
    <row r="745" spans="1:9" x14ac:dyDescent="0.25">
      <c r="A745" t="s">
        <v>3596</v>
      </c>
      <c r="B745" t="s">
        <v>3597</v>
      </c>
      <c r="C745" t="s">
        <v>3543</v>
      </c>
      <c r="D745" t="s">
        <v>1883</v>
      </c>
      <c r="E745" t="s">
        <v>1298</v>
      </c>
      <c r="F745" t="s">
        <v>3598</v>
      </c>
      <c r="G745" t="s">
        <v>6187</v>
      </c>
      <c r="H745" t="s">
        <v>758</v>
      </c>
      <c r="I745">
        <v>0</v>
      </c>
    </row>
    <row r="746" spans="1:9" x14ac:dyDescent="0.25">
      <c r="A746" t="s">
        <v>3599</v>
      </c>
      <c r="B746" t="s">
        <v>3600</v>
      </c>
      <c r="C746" t="s">
        <v>3543</v>
      </c>
      <c r="D746" t="s">
        <v>1883</v>
      </c>
      <c r="E746" t="s">
        <v>1298</v>
      </c>
      <c r="F746" t="s">
        <v>3601</v>
      </c>
      <c r="G746" t="s">
        <v>6188</v>
      </c>
      <c r="H746" t="s">
        <v>3545</v>
      </c>
      <c r="I746">
        <v>0</v>
      </c>
    </row>
    <row r="747" spans="1:9" x14ac:dyDescent="0.25">
      <c r="A747" t="s">
        <v>3602</v>
      </c>
      <c r="B747" t="s">
        <v>3603</v>
      </c>
      <c r="C747" t="s">
        <v>3543</v>
      </c>
      <c r="D747" t="s">
        <v>1883</v>
      </c>
      <c r="E747" t="s">
        <v>1298</v>
      </c>
      <c r="F747" t="s">
        <v>3604</v>
      </c>
      <c r="G747" t="s">
        <v>6189</v>
      </c>
      <c r="H747" t="s">
        <v>758</v>
      </c>
      <c r="I747">
        <v>0</v>
      </c>
    </row>
    <row r="748" spans="1:9" x14ac:dyDescent="0.25">
      <c r="A748" t="s">
        <v>3605</v>
      </c>
      <c r="B748" t="s">
        <v>3606</v>
      </c>
      <c r="C748" t="s">
        <v>3543</v>
      </c>
      <c r="D748" t="s">
        <v>1883</v>
      </c>
      <c r="E748" t="s">
        <v>1298</v>
      </c>
      <c r="F748" t="s">
        <v>3607</v>
      </c>
      <c r="G748" t="s">
        <v>6190</v>
      </c>
      <c r="H748" t="s">
        <v>759</v>
      </c>
      <c r="I748">
        <v>0</v>
      </c>
    </row>
    <row r="749" spans="1:9" x14ac:dyDescent="0.25">
      <c r="A749" t="s">
        <v>3608</v>
      </c>
      <c r="B749" t="s">
        <v>3609</v>
      </c>
      <c r="C749" t="s">
        <v>3543</v>
      </c>
      <c r="D749" t="s">
        <v>1883</v>
      </c>
      <c r="E749" t="s">
        <v>1298</v>
      </c>
      <c r="F749" t="s">
        <v>3610</v>
      </c>
      <c r="G749" t="s">
        <v>6191</v>
      </c>
      <c r="H749" t="s">
        <v>3562</v>
      </c>
      <c r="I749">
        <v>0</v>
      </c>
    </row>
    <row r="750" spans="1:9" x14ac:dyDescent="0.25">
      <c r="A750" t="s">
        <v>3611</v>
      </c>
      <c r="B750" t="s">
        <v>3612</v>
      </c>
      <c r="C750" t="s">
        <v>3543</v>
      </c>
      <c r="D750" t="s">
        <v>1883</v>
      </c>
      <c r="E750" t="s">
        <v>1298</v>
      </c>
      <c r="F750" t="s">
        <v>3613</v>
      </c>
      <c r="G750" t="s">
        <v>6192</v>
      </c>
      <c r="H750" t="s">
        <v>3562</v>
      </c>
      <c r="I750">
        <v>0</v>
      </c>
    </row>
    <row r="751" spans="1:9" x14ac:dyDescent="0.25">
      <c r="A751" t="s">
        <v>3614</v>
      </c>
      <c r="B751" t="s">
        <v>3615</v>
      </c>
      <c r="C751" t="s">
        <v>3543</v>
      </c>
      <c r="D751" t="s">
        <v>1883</v>
      </c>
      <c r="E751" t="s">
        <v>1298</v>
      </c>
      <c r="F751" t="s">
        <v>3616</v>
      </c>
      <c r="G751" t="s">
        <v>6193</v>
      </c>
      <c r="H751" t="s">
        <v>3545</v>
      </c>
      <c r="I751">
        <v>0</v>
      </c>
    </row>
    <row r="752" spans="1:9" x14ac:dyDescent="0.25">
      <c r="A752" t="s">
        <v>3617</v>
      </c>
      <c r="B752" t="s">
        <v>3618</v>
      </c>
      <c r="C752" t="s">
        <v>3543</v>
      </c>
      <c r="D752" t="s">
        <v>1883</v>
      </c>
      <c r="E752" t="s">
        <v>1298</v>
      </c>
      <c r="F752" t="s">
        <v>3619</v>
      </c>
      <c r="G752" t="s">
        <v>6194</v>
      </c>
      <c r="H752" t="s">
        <v>759</v>
      </c>
      <c r="I752">
        <v>0</v>
      </c>
    </row>
    <row r="753" spans="1:9" x14ac:dyDescent="0.25">
      <c r="A753" t="s">
        <v>3620</v>
      </c>
      <c r="B753" t="s">
        <v>3621</v>
      </c>
      <c r="C753" t="s">
        <v>3543</v>
      </c>
      <c r="D753" t="s">
        <v>1883</v>
      </c>
      <c r="E753" t="s">
        <v>1298</v>
      </c>
      <c r="F753" t="s">
        <v>3622</v>
      </c>
      <c r="G753" t="s">
        <v>6195</v>
      </c>
      <c r="H753" t="s">
        <v>3558</v>
      </c>
      <c r="I753">
        <v>0</v>
      </c>
    </row>
    <row r="754" spans="1:9" x14ac:dyDescent="0.25">
      <c r="A754" t="s">
        <v>3623</v>
      </c>
      <c r="B754" t="s">
        <v>3624</v>
      </c>
      <c r="C754" t="s">
        <v>3543</v>
      </c>
      <c r="D754" t="s">
        <v>1883</v>
      </c>
      <c r="E754" t="s">
        <v>1298</v>
      </c>
      <c r="F754" t="s">
        <v>3625</v>
      </c>
      <c r="G754" t="s">
        <v>6196</v>
      </c>
      <c r="H754" t="s">
        <v>759</v>
      </c>
      <c r="I754">
        <v>0</v>
      </c>
    </row>
    <row r="755" spans="1:9" x14ac:dyDescent="0.25">
      <c r="A755" t="s">
        <v>3626</v>
      </c>
      <c r="B755" t="s">
        <v>3627</v>
      </c>
      <c r="C755" t="s">
        <v>3543</v>
      </c>
      <c r="D755" t="s">
        <v>1883</v>
      </c>
      <c r="E755" t="s">
        <v>1298</v>
      </c>
      <c r="F755" t="s">
        <v>3628</v>
      </c>
      <c r="G755" t="s">
        <v>6197</v>
      </c>
      <c r="H755" t="s">
        <v>3545</v>
      </c>
      <c r="I755">
        <v>0</v>
      </c>
    </row>
    <row r="756" spans="1:9" x14ac:dyDescent="0.25">
      <c r="A756" t="s">
        <v>3629</v>
      </c>
      <c r="B756" t="s">
        <v>3630</v>
      </c>
      <c r="C756" t="s">
        <v>3631</v>
      </c>
      <c r="D756" t="s">
        <v>1567</v>
      </c>
      <c r="E756" t="s">
        <v>1298</v>
      </c>
      <c r="F756" t="s">
        <v>3632</v>
      </c>
      <c r="G756" t="s">
        <v>6198</v>
      </c>
      <c r="H756" t="s">
        <v>255</v>
      </c>
      <c r="I756">
        <v>0</v>
      </c>
    </row>
    <row r="757" spans="1:9" x14ac:dyDescent="0.25">
      <c r="A757" t="s">
        <v>3633</v>
      </c>
      <c r="B757" t="s">
        <v>3634</v>
      </c>
      <c r="C757" t="s">
        <v>3631</v>
      </c>
      <c r="D757" t="s">
        <v>1567</v>
      </c>
      <c r="E757" t="s">
        <v>1298</v>
      </c>
      <c r="F757" t="s">
        <v>3635</v>
      </c>
      <c r="G757" t="s">
        <v>6199</v>
      </c>
      <c r="H757" t="s">
        <v>255</v>
      </c>
      <c r="I757">
        <v>0</v>
      </c>
    </row>
    <row r="758" spans="1:9" x14ac:dyDescent="0.25">
      <c r="A758" t="s">
        <v>3636</v>
      </c>
      <c r="B758" t="s">
        <v>3637</v>
      </c>
      <c r="C758" t="s">
        <v>3631</v>
      </c>
      <c r="D758" t="s">
        <v>1567</v>
      </c>
      <c r="E758" t="s">
        <v>1298</v>
      </c>
      <c r="F758" t="s">
        <v>3638</v>
      </c>
      <c r="G758" t="s">
        <v>6200</v>
      </c>
      <c r="H758">
        <v>0</v>
      </c>
      <c r="I758">
        <v>0</v>
      </c>
    </row>
    <row r="759" spans="1:9" x14ac:dyDescent="0.25">
      <c r="A759" t="s">
        <v>3639</v>
      </c>
      <c r="B759" t="s">
        <v>3640</v>
      </c>
      <c r="C759" t="s">
        <v>3631</v>
      </c>
      <c r="D759" t="s">
        <v>1567</v>
      </c>
      <c r="E759" t="s">
        <v>1298</v>
      </c>
      <c r="F759" t="s">
        <v>3641</v>
      </c>
      <c r="G759" t="s">
        <v>6201</v>
      </c>
      <c r="H759">
        <v>0</v>
      </c>
      <c r="I759">
        <v>0</v>
      </c>
    </row>
    <row r="760" spans="1:9" x14ac:dyDescent="0.25">
      <c r="A760" t="s">
        <v>3642</v>
      </c>
      <c r="B760" t="s">
        <v>3643</v>
      </c>
      <c r="C760" t="s">
        <v>3631</v>
      </c>
      <c r="D760" t="s">
        <v>1567</v>
      </c>
      <c r="E760" t="s">
        <v>1298</v>
      </c>
      <c r="F760" t="s">
        <v>3644</v>
      </c>
      <c r="G760" t="s">
        <v>6202</v>
      </c>
      <c r="H760">
        <v>0</v>
      </c>
      <c r="I760">
        <v>0</v>
      </c>
    </row>
    <row r="761" spans="1:9" x14ac:dyDescent="0.25">
      <c r="A761" t="s">
        <v>3645</v>
      </c>
      <c r="B761" t="s">
        <v>3646</v>
      </c>
      <c r="C761" t="s">
        <v>3631</v>
      </c>
      <c r="D761" t="s">
        <v>1567</v>
      </c>
      <c r="E761" t="s">
        <v>1298</v>
      </c>
      <c r="F761" t="s">
        <v>3647</v>
      </c>
      <c r="G761" t="s">
        <v>6203</v>
      </c>
      <c r="H761">
        <v>0</v>
      </c>
      <c r="I761">
        <v>0</v>
      </c>
    </row>
    <row r="762" spans="1:9" x14ac:dyDescent="0.25">
      <c r="A762" t="s">
        <v>3648</v>
      </c>
      <c r="B762" t="s">
        <v>3649</v>
      </c>
      <c r="C762" t="s">
        <v>3631</v>
      </c>
      <c r="D762" t="s">
        <v>1567</v>
      </c>
      <c r="E762" t="s">
        <v>1298</v>
      </c>
      <c r="F762" t="s">
        <v>3650</v>
      </c>
      <c r="G762" t="s">
        <v>6204</v>
      </c>
      <c r="H762" t="s">
        <v>255</v>
      </c>
      <c r="I762">
        <v>0</v>
      </c>
    </row>
    <row r="763" spans="1:9" x14ac:dyDescent="0.25">
      <c r="A763" t="s">
        <v>3651</v>
      </c>
      <c r="B763" t="s">
        <v>3652</v>
      </c>
      <c r="C763" t="s">
        <v>3631</v>
      </c>
      <c r="D763" t="s">
        <v>1567</v>
      </c>
      <c r="E763" t="s">
        <v>1298</v>
      </c>
      <c r="F763" t="s">
        <v>3653</v>
      </c>
      <c r="G763" t="s">
        <v>6205</v>
      </c>
      <c r="H763">
        <v>0</v>
      </c>
      <c r="I763">
        <v>0</v>
      </c>
    </row>
    <row r="764" spans="1:9" x14ac:dyDescent="0.25">
      <c r="A764" t="s">
        <v>3654</v>
      </c>
      <c r="B764" t="s">
        <v>3655</v>
      </c>
      <c r="C764" t="s">
        <v>3631</v>
      </c>
      <c r="D764" t="s">
        <v>1567</v>
      </c>
      <c r="E764" t="s">
        <v>1298</v>
      </c>
      <c r="F764" t="s">
        <v>3656</v>
      </c>
      <c r="G764" t="s">
        <v>6206</v>
      </c>
      <c r="H764">
        <v>0</v>
      </c>
      <c r="I764" t="s">
        <v>3657</v>
      </c>
    </row>
    <row r="765" spans="1:9" x14ac:dyDescent="0.25">
      <c r="A765" t="s">
        <v>3658</v>
      </c>
      <c r="B765" t="s">
        <v>3659</v>
      </c>
      <c r="C765" t="s">
        <v>3631</v>
      </c>
      <c r="D765" t="s">
        <v>1567</v>
      </c>
      <c r="E765" t="s">
        <v>1298</v>
      </c>
      <c r="F765" t="s">
        <v>3660</v>
      </c>
      <c r="G765" t="s">
        <v>6207</v>
      </c>
      <c r="H765">
        <v>0</v>
      </c>
      <c r="I765">
        <v>0</v>
      </c>
    </row>
    <row r="766" spans="1:9" x14ac:dyDescent="0.25">
      <c r="A766" t="s">
        <v>3661</v>
      </c>
      <c r="B766" t="s">
        <v>3662</v>
      </c>
      <c r="C766" t="s">
        <v>3631</v>
      </c>
      <c r="D766" t="s">
        <v>1567</v>
      </c>
      <c r="E766" t="s">
        <v>1298</v>
      </c>
      <c r="F766" t="s">
        <v>3663</v>
      </c>
      <c r="G766" t="s">
        <v>6208</v>
      </c>
      <c r="H766" t="s">
        <v>136</v>
      </c>
      <c r="I766">
        <v>0</v>
      </c>
    </row>
    <row r="767" spans="1:9" x14ac:dyDescent="0.25">
      <c r="A767" t="s">
        <v>3664</v>
      </c>
      <c r="B767" t="s">
        <v>3665</v>
      </c>
      <c r="C767" t="s">
        <v>3631</v>
      </c>
      <c r="D767" t="s">
        <v>1567</v>
      </c>
      <c r="E767" t="s">
        <v>1298</v>
      </c>
      <c r="F767" t="s">
        <v>3666</v>
      </c>
      <c r="G767" t="s">
        <v>6209</v>
      </c>
      <c r="H767">
        <v>0</v>
      </c>
      <c r="I767">
        <v>0</v>
      </c>
    </row>
    <row r="768" spans="1:9" x14ac:dyDescent="0.25">
      <c r="A768" t="s">
        <v>3667</v>
      </c>
      <c r="B768" t="s">
        <v>3668</v>
      </c>
      <c r="C768" t="s">
        <v>3631</v>
      </c>
      <c r="D768" t="s">
        <v>1567</v>
      </c>
      <c r="E768" t="s">
        <v>1298</v>
      </c>
      <c r="F768" t="s">
        <v>3669</v>
      </c>
      <c r="G768" t="s">
        <v>6210</v>
      </c>
      <c r="H768">
        <v>0</v>
      </c>
      <c r="I768">
        <v>0</v>
      </c>
    </row>
    <row r="769" spans="1:9" x14ac:dyDescent="0.25">
      <c r="A769" t="s">
        <v>3670</v>
      </c>
      <c r="B769" t="s">
        <v>3671</v>
      </c>
      <c r="C769" t="s">
        <v>3631</v>
      </c>
      <c r="D769" t="s">
        <v>1567</v>
      </c>
      <c r="E769" t="s">
        <v>1298</v>
      </c>
      <c r="F769" t="s">
        <v>3672</v>
      </c>
      <c r="G769" t="s">
        <v>6211</v>
      </c>
      <c r="H769">
        <v>0</v>
      </c>
      <c r="I769">
        <v>0</v>
      </c>
    </row>
    <row r="770" spans="1:9" x14ac:dyDescent="0.25">
      <c r="A770" t="s">
        <v>3673</v>
      </c>
      <c r="B770" t="s">
        <v>3674</v>
      </c>
      <c r="C770" t="s">
        <v>3631</v>
      </c>
      <c r="D770" t="s">
        <v>1567</v>
      </c>
      <c r="E770" t="s">
        <v>1298</v>
      </c>
      <c r="F770" t="s">
        <v>3675</v>
      </c>
      <c r="G770" t="s">
        <v>6212</v>
      </c>
      <c r="H770">
        <v>0</v>
      </c>
      <c r="I770">
        <v>0</v>
      </c>
    </row>
    <row r="771" spans="1:9" x14ac:dyDescent="0.25">
      <c r="A771" t="s">
        <v>3676</v>
      </c>
      <c r="B771" t="s">
        <v>3677</v>
      </c>
      <c r="C771" t="s">
        <v>3631</v>
      </c>
      <c r="D771" t="s">
        <v>1567</v>
      </c>
      <c r="E771" t="s">
        <v>1298</v>
      </c>
      <c r="F771" t="s">
        <v>3678</v>
      </c>
      <c r="G771" t="s">
        <v>6213</v>
      </c>
      <c r="H771">
        <v>0</v>
      </c>
      <c r="I771">
        <v>0</v>
      </c>
    </row>
    <row r="772" spans="1:9" x14ac:dyDescent="0.25">
      <c r="A772" t="s">
        <v>3679</v>
      </c>
      <c r="B772" t="s">
        <v>3680</v>
      </c>
      <c r="C772" t="s">
        <v>3631</v>
      </c>
      <c r="D772" t="s">
        <v>1567</v>
      </c>
      <c r="E772" t="s">
        <v>1298</v>
      </c>
      <c r="F772" t="s">
        <v>3681</v>
      </c>
      <c r="G772" t="s">
        <v>6214</v>
      </c>
      <c r="H772" t="s">
        <v>255</v>
      </c>
      <c r="I772">
        <v>0</v>
      </c>
    </row>
    <row r="773" spans="1:9" x14ac:dyDescent="0.25">
      <c r="A773" t="s">
        <v>3682</v>
      </c>
      <c r="B773" t="s">
        <v>3683</v>
      </c>
      <c r="C773" t="s">
        <v>3631</v>
      </c>
      <c r="D773" t="s">
        <v>1567</v>
      </c>
      <c r="E773" t="s">
        <v>1298</v>
      </c>
      <c r="F773" t="s">
        <v>3656</v>
      </c>
      <c r="G773" t="s">
        <v>6206</v>
      </c>
      <c r="H773">
        <v>0</v>
      </c>
      <c r="I773">
        <v>0</v>
      </c>
    </row>
    <row r="774" spans="1:9" x14ac:dyDescent="0.25">
      <c r="A774" t="s">
        <v>3684</v>
      </c>
      <c r="B774" t="s">
        <v>3685</v>
      </c>
      <c r="C774" t="s">
        <v>3631</v>
      </c>
      <c r="D774" t="s">
        <v>1567</v>
      </c>
      <c r="E774" t="s">
        <v>1298</v>
      </c>
      <c r="F774" t="s">
        <v>3686</v>
      </c>
      <c r="G774" t="s">
        <v>6215</v>
      </c>
      <c r="H774" t="s">
        <v>255</v>
      </c>
      <c r="I774">
        <v>0</v>
      </c>
    </row>
    <row r="775" spans="1:9" x14ac:dyDescent="0.25">
      <c r="A775" t="s">
        <v>3687</v>
      </c>
      <c r="B775" t="s">
        <v>3688</v>
      </c>
      <c r="C775" t="s">
        <v>43</v>
      </c>
      <c r="D775" t="s">
        <v>1348</v>
      </c>
      <c r="E775" t="s">
        <v>1349</v>
      </c>
      <c r="F775" t="s">
        <v>3689</v>
      </c>
      <c r="G775" t="s">
        <v>6216</v>
      </c>
      <c r="H775">
        <v>0</v>
      </c>
      <c r="I775">
        <v>0</v>
      </c>
    </row>
    <row r="776" spans="1:9" x14ac:dyDescent="0.25">
      <c r="A776" t="s">
        <v>3690</v>
      </c>
      <c r="B776" t="s">
        <v>3691</v>
      </c>
      <c r="C776" t="s">
        <v>43</v>
      </c>
      <c r="D776" t="s">
        <v>1348</v>
      </c>
      <c r="E776" t="s">
        <v>1349</v>
      </c>
      <c r="F776" t="s">
        <v>3692</v>
      </c>
      <c r="G776" t="s">
        <v>6217</v>
      </c>
      <c r="H776" t="s">
        <v>3693</v>
      </c>
      <c r="I776">
        <v>0</v>
      </c>
    </row>
    <row r="777" spans="1:9" x14ac:dyDescent="0.25">
      <c r="A777" t="s">
        <v>3694</v>
      </c>
      <c r="B777" t="s">
        <v>3695</v>
      </c>
      <c r="C777" t="s">
        <v>43</v>
      </c>
      <c r="D777" t="s">
        <v>1348</v>
      </c>
      <c r="E777" t="s">
        <v>1349</v>
      </c>
      <c r="F777" t="s">
        <v>3696</v>
      </c>
      <c r="G777" t="s">
        <v>6218</v>
      </c>
      <c r="H777" t="s">
        <v>3697</v>
      </c>
      <c r="I777">
        <v>0</v>
      </c>
    </row>
    <row r="778" spans="1:9" x14ac:dyDescent="0.25">
      <c r="A778" t="s">
        <v>3698</v>
      </c>
      <c r="B778" t="s">
        <v>3699</v>
      </c>
      <c r="C778" t="s">
        <v>43</v>
      </c>
      <c r="D778" t="s">
        <v>1348</v>
      </c>
      <c r="E778" t="s">
        <v>1349</v>
      </c>
      <c r="F778" t="s">
        <v>3700</v>
      </c>
      <c r="G778" t="s">
        <v>6219</v>
      </c>
      <c r="H778" t="s">
        <v>3697</v>
      </c>
      <c r="I778">
        <v>0</v>
      </c>
    </row>
    <row r="779" spans="1:9" x14ac:dyDescent="0.25">
      <c r="A779" t="s">
        <v>3701</v>
      </c>
      <c r="B779" t="s">
        <v>3702</v>
      </c>
      <c r="C779" t="s">
        <v>43</v>
      </c>
      <c r="D779" t="s">
        <v>1348</v>
      </c>
      <c r="E779" t="s">
        <v>1349</v>
      </c>
      <c r="F779" t="s">
        <v>3703</v>
      </c>
      <c r="G779" t="s">
        <v>6220</v>
      </c>
      <c r="H779" t="s">
        <v>3704</v>
      </c>
      <c r="I779">
        <v>0</v>
      </c>
    </row>
    <row r="780" spans="1:9" x14ac:dyDescent="0.25">
      <c r="A780" t="s">
        <v>3705</v>
      </c>
      <c r="B780" t="s">
        <v>3706</v>
      </c>
      <c r="C780" t="s">
        <v>43</v>
      </c>
      <c r="D780" t="s">
        <v>1348</v>
      </c>
      <c r="E780" t="s">
        <v>1349</v>
      </c>
      <c r="F780" t="s">
        <v>3707</v>
      </c>
      <c r="G780" t="s">
        <v>6221</v>
      </c>
      <c r="H780" t="s">
        <v>3704</v>
      </c>
      <c r="I780">
        <v>0</v>
      </c>
    </row>
    <row r="781" spans="1:9" x14ac:dyDescent="0.25">
      <c r="A781" t="s">
        <v>3708</v>
      </c>
      <c r="B781" t="s">
        <v>3709</v>
      </c>
      <c r="C781" t="s">
        <v>43</v>
      </c>
      <c r="D781" t="s">
        <v>1348</v>
      </c>
      <c r="E781" t="s">
        <v>1349</v>
      </c>
      <c r="F781" t="s">
        <v>3710</v>
      </c>
      <c r="G781" t="s">
        <v>6222</v>
      </c>
      <c r="H781" t="s">
        <v>3704</v>
      </c>
      <c r="I781">
        <v>0</v>
      </c>
    </row>
    <row r="782" spans="1:9" x14ac:dyDescent="0.25">
      <c r="A782" t="s">
        <v>3711</v>
      </c>
      <c r="B782" t="s">
        <v>3712</v>
      </c>
      <c r="C782" t="s">
        <v>43</v>
      </c>
      <c r="D782" t="s">
        <v>1348</v>
      </c>
      <c r="E782" t="s">
        <v>1349</v>
      </c>
      <c r="F782" t="s">
        <v>3713</v>
      </c>
      <c r="G782" t="s">
        <v>6223</v>
      </c>
      <c r="H782" t="s">
        <v>3714</v>
      </c>
      <c r="I782">
        <v>0</v>
      </c>
    </row>
    <row r="783" spans="1:9" x14ac:dyDescent="0.25">
      <c r="A783" t="s">
        <v>3715</v>
      </c>
      <c r="B783" t="s">
        <v>3716</v>
      </c>
      <c r="C783" t="s">
        <v>43</v>
      </c>
      <c r="D783" t="s">
        <v>1348</v>
      </c>
      <c r="E783" t="s">
        <v>1349</v>
      </c>
      <c r="F783" t="s">
        <v>3717</v>
      </c>
      <c r="G783" t="s">
        <v>6224</v>
      </c>
      <c r="H783" t="s">
        <v>3693</v>
      </c>
      <c r="I783">
        <v>0</v>
      </c>
    </row>
    <row r="784" spans="1:9" x14ac:dyDescent="0.25">
      <c r="A784" t="s">
        <v>3718</v>
      </c>
      <c r="B784" t="s">
        <v>3719</v>
      </c>
      <c r="C784" t="s">
        <v>43</v>
      </c>
      <c r="D784" t="s">
        <v>1348</v>
      </c>
      <c r="E784" t="s">
        <v>1349</v>
      </c>
      <c r="F784" t="s">
        <v>3720</v>
      </c>
      <c r="G784" t="s">
        <v>6225</v>
      </c>
      <c r="H784" t="s">
        <v>3697</v>
      </c>
      <c r="I784">
        <v>0</v>
      </c>
    </row>
    <row r="785" spans="1:9" x14ac:dyDescent="0.25">
      <c r="A785" t="s">
        <v>3721</v>
      </c>
      <c r="B785" t="s">
        <v>3722</v>
      </c>
      <c r="C785" t="s">
        <v>43</v>
      </c>
      <c r="D785" t="s">
        <v>1348</v>
      </c>
      <c r="E785" t="s">
        <v>1349</v>
      </c>
      <c r="F785" t="s">
        <v>3723</v>
      </c>
      <c r="G785" t="s">
        <v>6226</v>
      </c>
      <c r="H785" t="s">
        <v>3704</v>
      </c>
      <c r="I785">
        <v>0</v>
      </c>
    </row>
    <row r="786" spans="1:9" x14ac:dyDescent="0.25">
      <c r="A786" t="s">
        <v>3724</v>
      </c>
      <c r="B786" t="s">
        <v>3725</v>
      </c>
      <c r="C786" t="s">
        <v>43</v>
      </c>
      <c r="D786" t="s">
        <v>1348</v>
      </c>
      <c r="E786" t="s">
        <v>1349</v>
      </c>
      <c r="F786" t="s">
        <v>3726</v>
      </c>
      <c r="G786" t="s">
        <v>6227</v>
      </c>
      <c r="H786">
        <v>0</v>
      </c>
      <c r="I786">
        <v>0</v>
      </c>
    </row>
    <row r="787" spans="1:9" x14ac:dyDescent="0.25">
      <c r="A787" t="s">
        <v>3727</v>
      </c>
      <c r="B787" t="s">
        <v>3728</v>
      </c>
      <c r="C787" t="s">
        <v>43</v>
      </c>
      <c r="D787" t="s">
        <v>1348</v>
      </c>
      <c r="E787" t="s">
        <v>1349</v>
      </c>
      <c r="F787" t="s">
        <v>3729</v>
      </c>
      <c r="G787" t="s">
        <v>6228</v>
      </c>
      <c r="H787" t="s">
        <v>3704</v>
      </c>
      <c r="I787">
        <v>0</v>
      </c>
    </row>
    <row r="788" spans="1:9" x14ac:dyDescent="0.25">
      <c r="A788" t="s">
        <v>3730</v>
      </c>
      <c r="B788" t="s">
        <v>3731</v>
      </c>
      <c r="C788" t="s">
        <v>43</v>
      </c>
      <c r="D788" t="s">
        <v>1348</v>
      </c>
      <c r="E788" t="s">
        <v>1349</v>
      </c>
      <c r="F788" t="s">
        <v>3732</v>
      </c>
      <c r="G788" t="s">
        <v>6229</v>
      </c>
      <c r="H788" t="s">
        <v>3704</v>
      </c>
      <c r="I788">
        <v>0</v>
      </c>
    </row>
    <row r="789" spans="1:9" x14ac:dyDescent="0.25">
      <c r="A789" t="s">
        <v>3733</v>
      </c>
      <c r="B789" t="s">
        <v>3734</v>
      </c>
      <c r="C789" t="s">
        <v>43</v>
      </c>
      <c r="D789" t="s">
        <v>1348</v>
      </c>
      <c r="E789" t="s">
        <v>1349</v>
      </c>
      <c r="F789" t="s">
        <v>3735</v>
      </c>
      <c r="G789" t="s">
        <v>6230</v>
      </c>
      <c r="H789" t="s">
        <v>3697</v>
      </c>
      <c r="I789">
        <v>0</v>
      </c>
    </row>
    <row r="790" spans="1:9" x14ac:dyDescent="0.25">
      <c r="A790" t="s">
        <v>3736</v>
      </c>
      <c r="B790" t="s">
        <v>3737</v>
      </c>
      <c r="C790" t="s">
        <v>43</v>
      </c>
      <c r="D790" t="s">
        <v>1348</v>
      </c>
      <c r="E790" t="s">
        <v>1349</v>
      </c>
      <c r="F790" t="s">
        <v>3738</v>
      </c>
      <c r="G790" t="s">
        <v>6231</v>
      </c>
      <c r="H790" t="s">
        <v>3704</v>
      </c>
      <c r="I790">
        <v>0</v>
      </c>
    </row>
    <row r="791" spans="1:9" x14ac:dyDescent="0.25">
      <c r="A791" t="s">
        <v>3739</v>
      </c>
      <c r="B791" t="s">
        <v>3740</v>
      </c>
      <c r="C791" t="s">
        <v>43</v>
      </c>
      <c r="D791" t="s">
        <v>1348</v>
      </c>
      <c r="E791" t="s">
        <v>1349</v>
      </c>
      <c r="F791" t="s">
        <v>3741</v>
      </c>
      <c r="G791" t="s">
        <v>6232</v>
      </c>
      <c r="H791" t="s">
        <v>3714</v>
      </c>
      <c r="I791">
        <v>0</v>
      </c>
    </row>
    <row r="792" spans="1:9" x14ac:dyDescent="0.25">
      <c r="A792" t="s">
        <v>3742</v>
      </c>
      <c r="B792" t="s">
        <v>3743</v>
      </c>
      <c r="C792" t="s">
        <v>43</v>
      </c>
      <c r="D792" t="s">
        <v>1348</v>
      </c>
      <c r="E792" t="s">
        <v>1349</v>
      </c>
      <c r="F792" t="s">
        <v>3744</v>
      </c>
      <c r="G792" t="s">
        <v>6233</v>
      </c>
      <c r="H792" t="s">
        <v>3693</v>
      </c>
      <c r="I792">
        <v>0</v>
      </c>
    </row>
    <row r="793" spans="1:9" x14ac:dyDescent="0.25">
      <c r="A793" t="s">
        <v>3745</v>
      </c>
      <c r="B793" t="s">
        <v>3746</v>
      </c>
      <c r="C793" t="s">
        <v>43</v>
      </c>
      <c r="D793" t="s">
        <v>1348</v>
      </c>
      <c r="E793" t="s">
        <v>1349</v>
      </c>
      <c r="F793" t="s">
        <v>3747</v>
      </c>
      <c r="G793" t="s">
        <v>6234</v>
      </c>
      <c r="H793">
        <v>0</v>
      </c>
      <c r="I793">
        <v>0</v>
      </c>
    </row>
    <row r="794" spans="1:9" x14ac:dyDescent="0.25">
      <c r="A794" t="s">
        <v>3748</v>
      </c>
      <c r="B794" t="s">
        <v>3749</v>
      </c>
      <c r="C794" t="s">
        <v>43</v>
      </c>
      <c r="D794" t="s">
        <v>1348</v>
      </c>
      <c r="E794" t="s">
        <v>1349</v>
      </c>
      <c r="F794" t="s">
        <v>3750</v>
      </c>
      <c r="G794" t="s">
        <v>6235</v>
      </c>
      <c r="H794" t="s">
        <v>3693</v>
      </c>
      <c r="I794">
        <v>0</v>
      </c>
    </row>
    <row r="795" spans="1:9" x14ac:dyDescent="0.25">
      <c r="A795" t="s">
        <v>3751</v>
      </c>
      <c r="B795" t="s">
        <v>3752</v>
      </c>
      <c r="C795" t="s">
        <v>43</v>
      </c>
      <c r="D795" t="s">
        <v>1348</v>
      </c>
      <c r="E795" t="s">
        <v>1349</v>
      </c>
      <c r="F795" t="s">
        <v>3753</v>
      </c>
      <c r="G795" t="s">
        <v>6236</v>
      </c>
      <c r="H795" t="s">
        <v>3693</v>
      </c>
      <c r="I795">
        <v>0</v>
      </c>
    </row>
    <row r="796" spans="1:9" x14ac:dyDescent="0.25">
      <c r="A796" t="s">
        <v>3754</v>
      </c>
      <c r="B796" t="s">
        <v>3755</v>
      </c>
      <c r="C796" t="s">
        <v>43</v>
      </c>
      <c r="D796" t="s">
        <v>1348</v>
      </c>
      <c r="E796" t="s">
        <v>1349</v>
      </c>
      <c r="F796" t="s">
        <v>3756</v>
      </c>
      <c r="G796" t="s">
        <v>6237</v>
      </c>
      <c r="H796">
        <v>0</v>
      </c>
      <c r="I796">
        <v>0</v>
      </c>
    </row>
    <row r="797" spans="1:9" x14ac:dyDescent="0.25">
      <c r="A797" t="s">
        <v>3757</v>
      </c>
      <c r="B797" t="s">
        <v>3758</v>
      </c>
      <c r="C797" t="s">
        <v>43</v>
      </c>
      <c r="D797" t="s">
        <v>1348</v>
      </c>
      <c r="E797" t="s">
        <v>1349</v>
      </c>
      <c r="F797" t="s">
        <v>3759</v>
      </c>
      <c r="G797" t="s">
        <v>6238</v>
      </c>
      <c r="H797" t="s">
        <v>3714</v>
      </c>
      <c r="I797">
        <v>0</v>
      </c>
    </row>
    <row r="798" spans="1:9" x14ac:dyDescent="0.25">
      <c r="A798" t="s">
        <v>3760</v>
      </c>
      <c r="B798" t="s">
        <v>3761</v>
      </c>
      <c r="C798" t="s">
        <v>43</v>
      </c>
      <c r="D798" t="s">
        <v>1348</v>
      </c>
      <c r="E798" t="s">
        <v>1349</v>
      </c>
      <c r="F798" t="s">
        <v>3762</v>
      </c>
      <c r="G798" t="s">
        <v>6239</v>
      </c>
      <c r="H798" t="s">
        <v>3714</v>
      </c>
      <c r="I798">
        <v>0</v>
      </c>
    </row>
    <row r="799" spans="1:9" x14ac:dyDescent="0.25">
      <c r="A799" t="s">
        <v>3763</v>
      </c>
      <c r="B799" t="s">
        <v>3764</v>
      </c>
      <c r="C799" t="s">
        <v>43</v>
      </c>
      <c r="D799" t="s">
        <v>1348</v>
      </c>
      <c r="E799" t="s">
        <v>1349</v>
      </c>
      <c r="F799" t="s">
        <v>3765</v>
      </c>
      <c r="G799" t="s">
        <v>6240</v>
      </c>
      <c r="H799" t="s">
        <v>3714</v>
      </c>
      <c r="I799">
        <v>0</v>
      </c>
    </row>
    <row r="800" spans="1:9" x14ac:dyDescent="0.25">
      <c r="A800" t="s">
        <v>3766</v>
      </c>
      <c r="B800" t="s">
        <v>3767</v>
      </c>
      <c r="C800" t="s">
        <v>43</v>
      </c>
      <c r="D800" t="s">
        <v>1348</v>
      </c>
      <c r="E800" t="s">
        <v>1349</v>
      </c>
      <c r="F800" t="s">
        <v>3768</v>
      </c>
      <c r="G800" t="s">
        <v>6241</v>
      </c>
      <c r="H800" t="s">
        <v>3693</v>
      </c>
      <c r="I800">
        <v>0</v>
      </c>
    </row>
    <row r="801" spans="1:9" x14ac:dyDescent="0.25">
      <c r="A801" t="s">
        <v>3769</v>
      </c>
      <c r="B801" t="s">
        <v>3770</v>
      </c>
      <c r="C801" t="s">
        <v>43</v>
      </c>
      <c r="D801" t="s">
        <v>1348</v>
      </c>
      <c r="E801" t="s">
        <v>1349</v>
      </c>
      <c r="F801" t="s">
        <v>3771</v>
      </c>
      <c r="G801" t="s">
        <v>6242</v>
      </c>
      <c r="H801" t="s">
        <v>3714</v>
      </c>
      <c r="I801">
        <v>0</v>
      </c>
    </row>
    <row r="802" spans="1:9" x14ac:dyDescent="0.25">
      <c r="A802" t="s">
        <v>3772</v>
      </c>
      <c r="B802" t="s">
        <v>3773</v>
      </c>
      <c r="C802" t="s">
        <v>43</v>
      </c>
      <c r="D802" t="s">
        <v>1348</v>
      </c>
      <c r="E802" t="s">
        <v>1349</v>
      </c>
      <c r="F802" t="s">
        <v>3774</v>
      </c>
      <c r="G802" t="s">
        <v>6243</v>
      </c>
      <c r="H802" t="s">
        <v>3693</v>
      </c>
      <c r="I802">
        <v>0</v>
      </c>
    </row>
    <row r="803" spans="1:9" x14ac:dyDescent="0.25">
      <c r="A803" t="s">
        <v>3775</v>
      </c>
      <c r="B803" t="s">
        <v>3776</v>
      </c>
      <c r="C803" t="s">
        <v>43</v>
      </c>
      <c r="D803" t="s">
        <v>1348</v>
      </c>
      <c r="E803" t="s">
        <v>1349</v>
      </c>
      <c r="F803" t="s">
        <v>3777</v>
      </c>
      <c r="G803" t="s">
        <v>6244</v>
      </c>
      <c r="H803" t="s">
        <v>3697</v>
      </c>
      <c r="I803">
        <v>0</v>
      </c>
    </row>
    <row r="804" spans="1:9" x14ac:dyDescent="0.25">
      <c r="A804" t="s">
        <v>3778</v>
      </c>
      <c r="B804" t="s">
        <v>3779</v>
      </c>
      <c r="C804" t="s">
        <v>1695</v>
      </c>
      <c r="D804" t="s">
        <v>2967</v>
      </c>
      <c r="E804" t="s">
        <v>1298</v>
      </c>
      <c r="F804" t="s">
        <v>3780</v>
      </c>
      <c r="G804" t="s">
        <v>6245</v>
      </c>
      <c r="H804" t="s">
        <v>3781</v>
      </c>
      <c r="I804">
        <v>0</v>
      </c>
    </row>
    <row r="805" spans="1:9" x14ac:dyDescent="0.25">
      <c r="A805" t="s">
        <v>3782</v>
      </c>
      <c r="B805" t="s">
        <v>3783</v>
      </c>
      <c r="C805" t="s">
        <v>1695</v>
      </c>
      <c r="D805" t="s">
        <v>2967</v>
      </c>
      <c r="E805" t="s">
        <v>1298</v>
      </c>
      <c r="F805" t="s">
        <v>3784</v>
      </c>
      <c r="G805" t="s">
        <v>6246</v>
      </c>
      <c r="H805">
        <v>0</v>
      </c>
      <c r="I805">
        <v>0</v>
      </c>
    </row>
    <row r="806" spans="1:9" x14ac:dyDescent="0.25">
      <c r="A806" t="s">
        <v>3785</v>
      </c>
      <c r="B806" t="s">
        <v>3786</v>
      </c>
      <c r="C806" t="s">
        <v>1695</v>
      </c>
      <c r="D806" t="s">
        <v>2967</v>
      </c>
      <c r="E806" t="s">
        <v>1298</v>
      </c>
      <c r="F806" t="s">
        <v>3787</v>
      </c>
      <c r="G806" t="s">
        <v>6247</v>
      </c>
      <c r="H806" t="s">
        <v>3781</v>
      </c>
      <c r="I806">
        <v>0</v>
      </c>
    </row>
    <row r="807" spans="1:9" x14ac:dyDescent="0.25">
      <c r="A807" t="s">
        <v>3788</v>
      </c>
      <c r="B807" t="s">
        <v>3789</v>
      </c>
      <c r="C807" t="s">
        <v>1695</v>
      </c>
      <c r="D807" t="s">
        <v>2967</v>
      </c>
      <c r="E807" t="s">
        <v>1298</v>
      </c>
      <c r="F807" t="s">
        <v>3790</v>
      </c>
      <c r="G807" t="s">
        <v>6248</v>
      </c>
      <c r="H807">
        <v>0</v>
      </c>
      <c r="I807">
        <v>0</v>
      </c>
    </row>
    <row r="808" spans="1:9" x14ac:dyDescent="0.25">
      <c r="A808" t="s">
        <v>3791</v>
      </c>
      <c r="B808" t="s">
        <v>3792</v>
      </c>
      <c r="C808" t="s">
        <v>1695</v>
      </c>
      <c r="D808" t="s">
        <v>2967</v>
      </c>
      <c r="E808" t="s">
        <v>1298</v>
      </c>
      <c r="F808" t="s">
        <v>3793</v>
      </c>
      <c r="G808" t="s">
        <v>6249</v>
      </c>
      <c r="H808">
        <v>0</v>
      </c>
      <c r="I808">
        <v>0</v>
      </c>
    </row>
    <row r="809" spans="1:9" x14ac:dyDescent="0.25">
      <c r="A809" t="s">
        <v>3794</v>
      </c>
      <c r="B809" t="s">
        <v>3795</v>
      </c>
      <c r="C809" t="s">
        <v>1695</v>
      </c>
      <c r="D809" t="s">
        <v>2967</v>
      </c>
      <c r="E809" t="s">
        <v>1298</v>
      </c>
      <c r="F809" t="s">
        <v>3796</v>
      </c>
      <c r="G809" t="s">
        <v>6250</v>
      </c>
      <c r="H809">
        <v>0</v>
      </c>
      <c r="I809">
        <v>0</v>
      </c>
    </row>
    <row r="810" spans="1:9" x14ac:dyDescent="0.25">
      <c r="A810" t="s">
        <v>3797</v>
      </c>
      <c r="B810" t="s">
        <v>3798</v>
      </c>
      <c r="C810" t="s">
        <v>1695</v>
      </c>
      <c r="D810" t="s">
        <v>2967</v>
      </c>
      <c r="E810" t="s">
        <v>1298</v>
      </c>
      <c r="F810" t="s">
        <v>3799</v>
      </c>
      <c r="G810" t="s">
        <v>6251</v>
      </c>
      <c r="H810">
        <v>0</v>
      </c>
      <c r="I810">
        <v>0</v>
      </c>
    </row>
    <row r="811" spans="1:9" x14ac:dyDescent="0.25">
      <c r="A811" t="s">
        <v>3800</v>
      </c>
      <c r="B811" t="s">
        <v>3801</v>
      </c>
      <c r="C811" t="s">
        <v>1695</v>
      </c>
      <c r="D811" t="s">
        <v>2967</v>
      </c>
      <c r="E811" t="s">
        <v>1298</v>
      </c>
      <c r="F811" t="s">
        <v>3802</v>
      </c>
      <c r="G811" t="s">
        <v>6252</v>
      </c>
      <c r="H811">
        <v>0</v>
      </c>
      <c r="I811">
        <v>0</v>
      </c>
    </row>
    <row r="812" spans="1:9" x14ac:dyDescent="0.25">
      <c r="A812" t="s">
        <v>3803</v>
      </c>
      <c r="B812" t="s">
        <v>3804</v>
      </c>
      <c r="C812" t="s">
        <v>1695</v>
      </c>
      <c r="D812" t="s">
        <v>2967</v>
      </c>
      <c r="E812" t="s">
        <v>1298</v>
      </c>
      <c r="F812" t="s">
        <v>3805</v>
      </c>
      <c r="G812" t="s">
        <v>6253</v>
      </c>
      <c r="H812">
        <v>0</v>
      </c>
      <c r="I812">
        <v>0</v>
      </c>
    </row>
    <row r="813" spans="1:9" x14ac:dyDescent="0.25">
      <c r="A813" t="s">
        <v>3806</v>
      </c>
      <c r="B813" t="s">
        <v>3807</v>
      </c>
      <c r="C813" t="s">
        <v>1695</v>
      </c>
      <c r="D813" t="s">
        <v>2967</v>
      </c>
      <c r="E813" t="s">
        <v>1298</v>
      </c>
      <c r="F813" t="s">
        <v>3808</v>
      </c>
      <c r="G813" t="s">
        <v>6254</v>
      </c>
      <c r="H813">
        <v>0</v>
      </c>
      <c r="I813">
        <v>0</v>
      </c>
    </row>
    <row r="814" spans="1:9" x14ac:dyDescent="0.25">
      <c r="A814" t="s">
        <v>3809</v>
      </c>
      <c r="B814" t="s">
        <v>3810</v>
      </c>
      <c r="C814" t="s">
        <v>1695</v>
      </c>
      <c r="D814" t="s">
        <v>2967</v>
      </c>
      <c r="E814" t="s">
        <v>1298</v>
      </c>
      <c r="F814" t="s">
        <v>3811</v>
      </c>
      <c r="G814" t="s">
        <v>6255</v>
      </c>
      <c r="H814">
        <v>0</v>
      </c>
      <c r="I814">
        <v>0</v>
      </c>
    </row>
    <row r="815" spans="1:9" x14ac:dyDescent="0.25">
      <c r="A815" t="s">
        <v>3812</v>
      </c>
      <c r="B815" t="s">
        <v>3813</v>
      </c>
      <c r="C815" t="s">
        <v>1695</v>
      </c>
      <c r="D815" t="s">
        <v>2967</v>
      </c>
      <c r="E815" t="s">
        <v>1298</v>
      </c>
      <c r="F815" t="s">
        <v>3814</v>
      </c>
      <c r="G815" t="s">
        <v>6256</v>
      </c>
      <c r="H815" t="s">
        <v>3781</v>
      </c>
      <c r="I815">
        <v>0</v>
      </c>
    </row>
    <row r="816" spans="1:9" x14ac:dyDescent="0.25">
      <c r="A816" t="s">
        <v>3815</v>
      </c>
      <c r="B816" t="s">
        <v>3816</v>
      </c>
      <c r="C816" t="s">
        <v>1695</v>
      </c>
      <c r="D816" t="s">
        <v>2967</v>
      </c>
      <c r="E816" t="s">
        <v>1298</v>
      </c>
      <c r="F816" t="s">
        <v>3817</v>
      </c>
      <c r="G816" t="s">
        <v>6257</v>
      </c>
      <c r="H816">
        <v>0</v>
      </c>
      <c r="I816">
        <v>0</v>
      </c>
    </row>
    <row r="817" spans="1:9" x14ac:dyDescent="0.25">
      <c r="A817" t="s">
        <v>3818</v>
      </c>
      <c r="B817" t="s">
        <v>3819</v>
      </c>
      <c r="C817" t="s">
        <v>1695</v>
      </c>
      <c r="D817" t="s">
        <v>2967</v>
      </c>
      <c r="E817" t="s">
        <v>1298</v>
      </c>
      <c r="F817" t="s">
        <v>3820</v>
      </c>
      <c r="G817" t="s">
        <v>6258</v>
      </c>
      <c r="H817">
        <v>0</v>
      </c>
      <c r="I817">
        <v>0</v>
      </c>
    </row>
    <row r="818" spans="1:9" x14ac:dyDescent="0.25">
      <c r="A818" t="s">
        <v>3821</v>
      </c>
      <c r="B818" t="s">
        <v>3822</v>
      </c>
      <c r="C818" t="s">
        <v>1695</v>
      </c>
      <c r="D818" t="s">
        <v>2967</v>
      </c>
      <c r="E818" t="s">
        <v>1298</v>
      </c>
      <c r="F818" t="s">
        <v>3823</v>
      </c>
      <c r="G818" t="s">
        <v>6259</v>
      </c>
      <c r="H818">
        <v>0</v>
      </c>
      <c r="I818">
        <v>0</v>
      </c>
    </row>
    <row r="819" spans="1:9" x14ac:dyDescent="0.25">
      <c r="A819" t="s">
        <v>3824</v>
      </c>
      <c r="B819" t="s">
        <v>3825</v>
      </c>
      <c r="C819" t="s">
        <v>1695</v>
      </c>
      <c r="D819" t="s">
        <v>2967</v>
      </c>
      <c r="E819" t="s">
        <v>1298</v>
      </c>
      <c r="F819" t="s">
        <v>3826</v>
      </c>
      <c r="G819" t="s">
        <v>6260</v>
      </c>
      <c r="H819">
        <v>0</v>
      </c>
      <c r="I819">
        <v>0</v>
      </c>
    </row>
    <row r="820" spans="1:9" x14ac:dyDescent="0.25">
      <c r="A820" t="s">
        <v>3827</v>
      </c>
      <c r="B820" t="s">
        <v>3828</v>
      </c>
      <c r="C820" t="s">
        <v>1695</v>
      </c>
      <c r="D820" t="s">
        <v>2967</v>
      </c>
      <c r="E820" t="s">
        <v>1298</v>
      </c>
      <c r="F820" t="s">
        <v>3829</v>
      </c>
      <c r="G820" t="s">
        <v>6261</v>
      </c>
      <c r="H820">
        <v>0</v>
      </c>
      <c r="I820">
        <v>0</v>
      </c>
    </row>
    <row r="821" spans="1:9" x14ac:dyDescent="0.25">
      <c r="A821" t="s">
        <v>3830</v>
      </c>
      <c r="B821" t="s">
        <v>3831</v>
      </c>
      <c r="C821" t="s">
        <v>1695</v>
      </c>
      <c r="D821" t="s">
        <v>2967</v>
      </c>
      <c r="E821" t="s">
        <v>1298</v>
      </c>
      <c r="F821" t="s">
        <v>3832</v>
      </c>
      <c r="G821" t="s">
        <v>6262</v>
      </c>
      <c r="H821">
        <v>0</v>
      </c>
      <c r="I821">
        <v>0</v>
      </c>
    </row>
    <row r="822" spans="1:9" x14ac:dyDescent="0.25">
      <c r="A822" t="s">
        <v>3833</v>
      </c>
      <c r="B822" t="s">
        <v>3834</v>
      </c>
      <c r="C822" t="s">
        <v>1695</v>
      </c>
      <c r="D822" t="s">
        <v>2967</v>
      </c>
      <c r="E822" t="s">
        <v>1298</v>
      </c>
      <c r="F822" t="s">
        <v>3835</v>
      </c>
      <c r="G822" t="s">
        <v>6263</v>
      </c>
      <c r="H822">
        <v>0</v>
      </c>
      <c r="I822">
        <v>0</v>
      </c>
    </row>
    <row r="823" spans="1:9" x14ac:dyDescent="0.25">
      <c r="A823" t="s">
        <v>3836</v>
      </c>
      <c r="B823" t="s">
        <v>3837</v>
      </c>
      <c r="C823" t="s">
        <v>1695</v>
      </c>
      <c r="D823" t="s">
        <v>2967</v>
      </c>
      <c r="E823" t="s">
        <v>1298</v>
      </c>
      <c r="F823" t="s">
        <v>3838</v>
      </c>
      <c r="G823" t="s">
        <v>6264</v>
      </c>
      <c r="H823">
        <v>0</v>
      </c>
      <c r="I823">
        <v>0</v>
      </c>
    </row>
    <row r="824" spans="1:9" x14ac:dyDescent="0.25">
      <c r="A824" t="s">
        <v>3839</v>
      </c>
      <c r="B824" t="s">
        <v>3840</v>
      </c>
      <c r="C824" t="s">
        <v>1695</v>
      </c>
      <c r="D824" t="s">
        <v>2967</v>
      </c>
      <c r="E824" t="s">
        <v>1298</v>
      </c>
      <c r="F824" t="s">
        <v>3841</v>
      </c>
      <c r="G824" t="s">
        <v>6265</v>
      </c>
      <c r="H824">
        <v>0</v>
      </c>
      <c r="I824">
        <v>0</v>
      </c>
    </row>
    <row r="825" spans="1:9" x14ac:dyDescent="0.25">
      <c r="A825" t="s">
        <v>3842</v>
      </c>
      <c r="B825" t="s">
        <v>3843</v>
      </c>
      <c r="C825" t="s">
        <v>1695</v>
      </c>
      <c r="D825" t="s">
        <v>2967</v>
      </c>
      <c r="E825" t="s">
        <v>1298</v>
      </c>
      <c r="F825" t="s">
        <v>3844</v>
      </c>
      <c r="G825" t="s">
        <v>6266</v>
      </c>
      <c r="H825">
        <v>0</v>
      </c>
      <c r="I825">
        <v>0</v>
      </c>
    </row>
    <row r="826" spans="1:9" x14ac:dyDescent="0.25">
      <c r="A826" t="s">
        <v>3845</v>
      </c>
      <c r="B826" t="s">
        <v>3846</v>
      </c>
      <c r="C826" t="s">
        <v>1695</v>
      </c>
      <c r="D826" t="s">
        <v>2967</v>
      </c>
      <c r="E826" t="s">
        <v>1298</v>
      </c>
      <c r="F826" t="s">
        <v>3847</v>
      </c>
      <c r="G826" t="s">
        <v>6267</v>
      </c>
      <c r="H826">
        <v>0</v>
      </c>
      <c r="I826">
        <v>0</v>
      </c>
    </row>
    <row r="827" spans="1:9" x14ac:dyDescent="0.25">
      <c r="A827" t="s">
        <v>3848</v>
      </c>
      <c r="B827" t="s">
        <v>3849</v>
      </c>
      <c r="C827" t="s">
        <v>1695</v>
      </c>
      <c r="D827" t="s">
        <v>2967</v>
      </c>
      <c r="E827" t="s">
        <v>1298</v>
      </c>
      <c r="F827" t="s">
        <v>3850</v>
      </c>
      <c r="G827" t="s">
        <v>6268</v>
      </c>
      <c r="H827" t="s">
        <v>3781</v>
      </c>
      <c r="I827">
        <v>0</v>
      </c>
    </row>
    <row r="828" spans="1:9" x14ac:dyDescent="0.25">
      <c r="A828" t="s">
        <v>3851</v>
      </c>
      <c r="B828" t="s">
        <v>3852</v>
      </c>
      <c r="C828" t="s">
        <v>1695</v>
      </c>
      <c r="D828" t="s">
        <v>2967</v>
      </c>
      <c r="E828" t="s">
        <v>1298</v>
      </c>
      <c r="F828" t="s">
        <v>3853</v>
      </c>
      <c r="G828" t="s">
        <v>6269</v>
      </c>
      <c r="H828" t="s">
        <v>3781</v>
      </c>
      <c r="I828">
        <v>0</v>
      </c>
    </row>
    <row r="829" spans="1:9" x14ac:dyDescent="0.25">
      <c r="A829" t="s">
        <v>3854</v>
      </c>
      <c r="B829" t="s">
        <v>3855</v>
      </c>
      <c r="C829" t="s">
        <v>1695</v>
      </c>
      <c r="D829" t="s">
        <v>2967</v>
      </c>
      <c r="E829" t="s">
        <v>1298</v>
      </c>
      <c r="F829" t="s">
        <v>3856</v>
      </c>
      <c r="G829" t="s">
        <v>6270</v>
      </c>
      <c r="H829" t="s">
        <v>3781</v>
      </c>
      <c r="I829">
        <v>0</v>
      </c>
    </row>
    <row r="830" spans="1:9" x14ac:dyDescent="0.25">
      <c r="A830" t="s">
        <v>3857</v>
      </c>
      <c r="B830" t="s">
        <v>3858</v>
      </c>
      <c r="C830" t="s">
        <v>1695</v>
      </c>
      <c r="D830" t="s">
        <v>2967</v>
      </c>
      <c r="E830" t="s">
        <v>1298</v>
      </c>
      <c r="F830" t="s">
        <v>3859</v>
      </c>
      <c r="G830" t="s">
        <v>6271</v>
      </c>
      <c r="H830">
        <v>0</v>
      </c>
      <c r="I830">
        <v>0</v>
      </c>
    </row>
    <row r="831" spans="1:9" x14ac:dyDescent="0.25">
      <c r="A831" t="s">
        <v>3860</v>
      </c>
      <c r="B831" t="s">
        <v>3861</v>
      </c>
      <c r="C831" t="s">
        <v>1695</v>
      </c>
      <c r="D831" t="s">
        <v>2967</v>
      </c>
      <c r="E831" t="s">
        <v>1298</v>
      </c>
      <c r="F831" t="s">
        <v>3862</v>
      </c>
      <c r="G831" t="s">
        <v>6272</v>
      </c>
      <c r="H831">
        <v>0</v>
      </c>
      <c r="I831">
        <v>0</v>
      </c>
    </row>
    <row r="832" spans="1:9" x14ac:dyDescent="0.25">
      <c r="A832" t="s">
        <v>3863</v>
      </c>
      <c r="B832" t="s">
        <v>3864</v>
      </c>
      <c r="C832" t="s">
        <v>1695</v>
      </c>
      <c r="D832" t="s">
        <v>2967</v>
      </c>
      <c r="E832" t="s">
        <v>1298</v>
      </c>
      <c r="F832" t="s">
        <v>3865</v>
      </c>
      <c r="G832" t="s">
        <v>6273</v>
      </c>
      <c r="H832">
        <v>0</v>
      </c>
      <c r="I832">
        <v>0</v>
      </c>
    </row>
    <row r="833" spans="1:9" x14ac:dyDescent="0.25">
      <c r="A833" t="s">
        <v>3866</v>
      </c>
      <c r="B833" t="s">
        <v>3867</v>
      </c>
      <c r="C833" t="s">
        <v>1695</v>
      </c>
      <c r="D833" t="s">
        <v>2967</v>
      </c>
      <c r="E833" t="s">
        <v>1298</v>
      </c>
      <c r="F833" t="s">
        <v>3868</v>
      </c>
      <c r="G833" t="s">
        <v>6274</v>
      </c>
      <c r="H833">
        <v>0</v>
      </c>
      <c r="I833">
        <v>0</v>
      </c>
    </row>
    <row r="834" spans="1:9" x14ac:dyDescent="0.25">
      <c r="A834" t="s">
        <v>3869</v>
      </c>
      <c r="B834" t="s">
        <v>3870</v>
      </c>
      <c r="C834" t="s">
        <v>1695</v>
      </c>
      <c r="D834" t="s">
        <v>2967</v>
      </c>
      <c r="E834" t="s">
        <v>1298</v>
      </c>
      <c r="F834" t="s">
        <v>3871</v>
      </c>
      <c r="G834" t="s">
        <v>6275</v>
      </c>
      <c r="H834">
        <v>0</v>
      </c>
      <c r="I834">
        <v>0</v>
      </c>
    </row>
    <row r="835" spans="1:9" x14ac:dyDescent="0.25">
      <c r="A835" t="s">
        <v>3872</v>
      </c>
      <c r="B835" t="s">
        <v>3873</v>
      </c>
      <c r="C835" t="s">
        <v>1695</v>
      </c>
      <c r="D835" t="s">
        <v>2967</v>
      </c>
      <c r="E835" t="s">
        <v>1298</v>
      </c>
      <c r="F835" t="s">
        <v>3874</v>
      </c>
      <c r="G835" t="s">
        <v>6276</v>
      </c>
      <c r="H835">
        <v>0</v>
      </c>
      <c r="I835">
        <v>0</v>
      </c>
    </row>
    <row r="836" spans="1:9" x14ac:dyDescent="0.25">
      <c r="A836" t="s">
        <v>3875</v>
      </c>
      <c r="B836" t="s">
        <v>3876</v>
      </c>
      <c r="C836" t="s">
        <v>1695</v>
      </c>
      <c r="D836" t="s">
        <v>2967</v>
      </c>
      <c r="E836" t="s">
        <v>1298</v>
      </c>
      <c r="F836" t="s">
        <v>3877</v>
      </c>
      <c r="G836" t="s">
        <v>6277</v>
      </c>
      <c r="H836">
        <v>0</v>
      </c>
      <c r="I836">
        <v>0</v>
      </c>
    </row>
    <row r="837" spans="1:9" x14ac:dyDescent="0.25">
      <c r="A837" t="s">
        <v>3878</v>
      </c>
      <c r="B837" t="s">
        <v>3879</v>
      </c>
      <c r="C837" t="s">
        <v>1695</v>
      </c>
      <c r="D837" t="s">
        <v>2967</v>
      </c>
      <c r="E837" t="s">
        <v>1298</v>
      </c>
      <c r="F837" t="s">
        <v>3880</v>
      </c>
      <c r="G837" t="s">
        <v>6278</v>
      </c>
      <c r="H837">
        <v>0</v>
      </c>
      <c r="I837">
        <v>0</v>
      </c>
    </row>
    <row r="838" spans="1:9" x14ac:dyDescent="0.25">
      <c r="A838" t="s">
        <v>3881</v>
      </c>
      <c r="B838" t="s">
        <v>3882</v>
      </c>
      <c r="C838" t="s">
        <v>1695</v>
      </c>
      <c r="D838" t="s">
        <v>2967</v>
      </c>
      <c r="E838" t="s">
        <v>1298</v>
      </c>
      <c r="F838" t="s">
        <v>3883</v>
      </c>
      <c r="G838" t="s">
        <v>6279</v>
      </c>
      <c r="H838">
        <v>0</v>
      </c>
      <c r="I838">
        <v>0</v>
      </c>
    </row>
    <row r="839" spans="1:9" x14ac:dyDescent="0.25">
      <c r="A839" t="s">
        <v>3884</v>
      </c>
      <c r="B839" t="s">
        <v>3885</v>
      </c>
      <c r="C839" t="s">
        <v>1695</v>
      </c>
      <c r="D839" t="s">
        <v>2967</v>
      </c>
      <c r="E839" t="s">
        <v>1298</v>
      </c>
      <c r="F839" t="s">
        <v>3886</v>
      </c>
      <c r="G839" t="s">
        <v>6280</v>
      </c>
      <c r="H839">
        <v>0</v>
      </c>
      <c r="I839">
        <v>0</v>
      </c>
    </row>
    <row r="840" spans="1:9" x14ac:dyDescent="0.25">
      <c r="A840" t="s">
        <v>3887</v>
      </c>
      <c r="B840" t="s">
        <v>3888</v>
      </c>
      <c r="C840" t="s">
        <v>1695</v>
      </c>
      <c r="D840" t="s">
        <v>2967</v>
      </c>
      <c r="E840" t="s">
        <v>1298</v>
      </c>
      <c r="F840" t="s">
        <v>3889</v>
      </c>
      <c r="G840" t="s">
        <v>6281</v>
      </c>
      <c r="H840">
        <v>0</v>
      </c>
      <c r="I840">
        <v>0</v>
      </c>
    </row>
    <row r="841" spans="1:9" x14ac:dyDescent="0.25">
      <c r="A841" t="s">
        <v>3890</v>
      </c>
      <c r="B841" t="s">
        <v>3891</v>
      </c>
      <c r="C841" t="s">
        <v>1695</v>
      </c>
      <c r="D841" t="s">
        <v>2967</v>
      </c>
      <c r="E841" t="s">
        <v>1298</v>
      </c>
      <c r="F841" t="s">
        <v>3892</v>
      </c>
      <c r="G841" t="s">
        <v>6282</v>
      </c>
      <c r="H841">
        <v>0</v>
      </c>
      <c r="I841">
        <v>0</v>
      </c>
    </row>
    <row r="842" spans="1:9" x14ac:dyDescent="0.25">
      <c r="A842" t="s">
        <v>3893</v>
      </c>
      <c r="B842" t="s">
        <v>3894</v>
      </c>
      <c r="C842" t="s">
        <v>1695</v>
      </c>
      <c r="D842" t="s">
        <v>2967</v>
      </c>
      <c r="E842" t="s">
        <v>1298</v>
      </c>
      <c r="F842" t="s">
        <v>3895</v>
      </c>
      <c r="G842" t="s">
        <v>6283</v>
      </c>
      <c r="H842">
        <v>0</v>
      </c>
      <c r="I842">
        <v>0</v>
      </c>
    </row>
    <row r="843" spans="1:9" x14ac:dyDescent="0.25">
      <c r="A843" t="s">
        <v>3896</v>
      </c>
      <c r="B843" t="s">
        <v>3897</v>
      </c>
      <c r="C843" t="s">
        <v>1695</v>
      </c>
      <c r="D843" t="s">
        <v>2967</v>
      </c>
      <c r="E843" t="s">
        <v>1298</v>
      </c>
      <c r="F843" t="s">
        <v>3898</v>
      </c>
      <c r="G843" t="s">
        <v>6284</v>
      </c>
      <c r="H843">
        <v>0</v>
      </c>
      <c r="I843">
        <v>0</v>
      </c>
    </row>
    <row r="844" spans="1:9" x14ac:dyDescent="0.25">
      <c r="A844" t="s">
        <v>3899</v>
      </c>
      <c r="B844" t="s">
        <v>3900</v>
      </c>
      <c r="C844" t="s">
        <v>1695</v>
      </c>
      <c r="D844" t="s">
        <v>2967</v>
      </c>
      <c r="E844" t="s">
        <v>1298</v>
      </c>
      <c r="F844" t="s">
        <v>3901</v>
      </c>
      <c r="G844" t="s">
        <v>6285</v>
      </c>
      <c r="H844">
        <v>0</v>
      </c>
      <c r="I844">
        <v>0</v>
      </c>
    </row>
    <row r="845" spans="1:9" x14ac:dyDescent="0.25">
      <c r="A845" t="s">
        <v>3902</v>
      </c>
      <c r="B845" t="s">
        <v>3903</v>
      </c>
      <c r="C845" t="s">
        <v>1695</v>
      </c>
      <c r="D845" t="s">
        <v>2967</v>
      </c>
      <c r="E845" t="s">
        <v>1298</v>
      </c>
      <c r="F845" t="s">
        <v>3904</v>
      </c>
      <c r="G845" t="s">
        <v>6286</v>
      </c>
      <c r="H845">
        <v>0</v>
      </c>
      <c r="I845">
        <v>0</v>
      </c>
    </row>
    <row r="846" spans="1:9" x14ac:dyDescent="0.25">
      <c r="A846" t="s">
        <v>3905</v>
      </c>
      <c r="B846" t="s">
        <v>3906</v>
      </c>
      <c r="C846" t="s">
        <v>1695</v>
      </c>
      <c r="D846" t="s">
        <v>2967</v>
      </c>
      <c r="E846" t="s">
        <v>1298</v>
      </c>
      <c r="F846" t="s">
        <v>3907</v>
      </c>
      <c r="G846" t="s">
        <v>6287</v>
      </c>
      <c r="H846">
        <v>0</v>
      </c>
      <c r="I846">
        <v>0</v>
      </c>
    </row>
    <row r="847" spans="1:9" x14ac:dyDescent="0.25">
      <c r="A847" t="s">
        <v>3908</v>
      </c>
      <c r="B847" t="s">
        <v>3909</v>
      </c>
      <c r="C847" t="s">
        <v>44</v>
      </c>
      <c r="D847" t="s">
        <v>1883</v>
      </c>
      <c r="E847" t="s">
        <v>1298</v>
      </c>
      <c r="F847" t="s">
        <v>3910</v>
      </c>
      <c r="G847" t="s">
        <v>6288</v>
      </c>
      <c r="H847">
        <v>0</v>
      </c>
      <c r="I847">
        <v>0</v>
      </c>
    </row>
    <row r="848" spans="1:9" x14ac:dyDescent="0.25">
      <c r="A848" t="s">
        <v>3911</v>
      </c>
      <c r="B848" t="s">
        <v>3912</v>
      </c>
      <c r="C848" t="s">
        <v>44</v>
      </c>
      <c r="D848" t="s">
        <v>1883</v>
      </c>
      <c r="E848" t="s">
        <v>1298</v>
      </c>
      <c r="F848" t="s">
        <v>3913</v>
      </c>
      <c r="G848" t="s">
        <v>6289</v>
      </c>
      <c r="H848">
        <v>0</v>
      </c>
      <c r="I848">
        <v>0</v>
      </c>
    </row>
    <row r="849" spans="1:9" x14ac:dyDescent="0.25">
      <c r="A849" t="s">
        <v>3914</v>
      </c>
      <c r="B849" t="s">
        <v>3915</v>
      </c>
      <c r="C849" t="s">
        <v>44</v>
      </c>
      <c r="D849" t="s">
        <v>1883</v>
      </c>
      <c r="E849" t="s">
        <v>1298</v>
      </c>
      <c r="F849" t="s">
        <v>3916</v>
      </c>
      <c r="G849" t="s">
        <v>6290</v>
      </c>
      <c r="H849">
        <v>0</v>
      </c>
      <c r="I849">
        <v>0</v>
      </c>
    </row>
    <row r="850" spans="1:9" x14ac:dyDescent="0.25">
      <c r="A850" t="s">
        <v>3917</v>
      </c>
      <c r="B850" t="s">
        <v>3918</v>
      </c>
      <c r="C850" t="s">
        <v>44</v>
      </c>
      <c r="D850" t="s">
        <v>1883</v>
      </c>
      <c r="E850" t="s">
        <v>1298</v>
      </c>
      <c r="F850" t="s">
        <v>3919</v>
      </c>
      <c r="G850" t="s">
        <v>6291</v>
      </c>
      <c r="H850">
        <v>0</v>
      </c>
      <c r="I850">
        <v>0</v>
      </c>
    </row>
    <row r="851" spans="1:9" x14ac:dyDescent="0.25">
      <c r="A851" t="s">
        <v>3920</v>
      </c>
      <c r="B851" t="s">
        <v>3921</v>
      </c>
      <c r="C851" t="s">
        <v>44</v>
      </c>
      <c r="D851" t="s">
        <v>1883</v>
      </c>
      <c r="E851" t="s">
        <v>1298</v>
      </c>
      <c r="F851" t="s">
        <v>3922</v>
      </c>
      <c r="G851" t="s">
        <v>6292</v>
      </c>
      <c r="H851">
        <v>0</v>
      </c>
      <c r="I851">
        <v>0</v>
      </c>
    </row>
    <row r="852" spans="1:9" x14ac:dyDescent="0.25">
      <c r="A852" t="s">
        <v>3923</v>
      </c>
      <c r="B852" t="s">
        <v>3924</v>
      </c>
      <c r="C852" t="s">
        <v>44</v>
      </c>
      <c r="D852" t="s">
        <v>1883</v>
      </c>
      <c r="E852" t="s">
        <v>1298</v>
      </c>
      <c r="F852" t="s">
        <v>3925</v>
      </c>
      <c r="G852" t="s">
        <v>6293</v>
      </c>
      <c r="H852">
        <v>0</v>
      </c>
      <c r="I852">
        <v>0</v>
      </c>
    </row>
    <row r="853" spans="1:9" x14ac:dyDescent="0.25">
      <c r="A853" t="s">
        <v>3926</v>
      </c>
      <c r="B853" t="s">
        <v>3927</v>
      </c>
      <c r="C853" t="s">
        <v>44</v>
      </c>
      <c r="D853" t="s">
        <v>1883</v>
      </c>
      <c r="E853" t="s">
        <v>1298</v>
      </c>
      <c r="F853" t="s">
        <v>3928</v>
      </c>
      <c r="G853" t="s">
        <v>6294</v>
      </c>
      <c r="H853">
        <v>0</v>
      </c>
      <c r="I853">
        <v>0</v>
      </c>
    </row>
    <row r="854" spans="1:9" x14ac:dyDescent="0.25">
      <c r="A854" t="s">
        <v>3929</v>
      </c>
      <c r="B854" t="s">
        <v>3930</v>
      </c>
      <c r="C854" t="s">
        <v>44</v>
      </c>
      <c r="D854" t="s">
        <v>1883</v>
      </c>
      <c r="E854" t="s">
        <v>1298</v>
      </c>
      <c r="F854" t="s">
        <v>3931</v>
      </c>
      <c r="G854" t="s">
        <v>6295</v>
      </c>
      <c r="H854">
        <v>0</v>
      </c>
      <c r="I854">
        <v>0</v>
      </c>
    </row>
    <row r="855" spans="1:9" x14ac:dyDescent="0.25">
      <c r="A855" t="s">
        <v>3932</v>
      </c>
      <c r="B855" t="s">
        <v>3933</v>
      </c>
      <c r="C855" t="s">
        <v>44</v>
      </c>
      <c r="D855" t="s">
        <v>1883</v>
      </c>
      <c r="E855" t="s">
        <v>1298</v>
      </c>
      <c r="F855" t="s">
        <v>3934</v>
      </c>
      <c r="G855" t="s">
        <v>6296</v>
      </c>
      <c r="H855" t="s">
        <v>3935</v>
      </c>
      <c r="I855">
        <v>0</v>
      </c>
    </row>
    <row r="856" spans="1:9" x14ac:dyDescent="0.25">
      <c r="A856" t="s">
        <v>3936</v>
      </c>
      <c r="B856" t="s">
        <v>3937</v>
      </c>
      <c r="C856" t="s">
        <v>44</v>
      </c>
      <c r="D856" t="s">
        <v>1883</v>
      </c>
      <c r="E856" t="s">
        <v>1298</v>
      </c>
      <c r="F856" t="s">
        <v>3938</v>
      </c>
      <c r="G856" t="s">
        <v>6297</v>
      </c>
      <c r="H856" t="s">
        <v>3935</v>
      </c>
      <c r="I856">
        <v>0</v>
      </c>
    </row>
    <row r="857" spans="1:9" x14ac:dyDescent="0.25">
      <c r="A857" t="s">
        <v>3939</v>
      </c>
      <c r="B857" t="s">
        <v>3940</v>
      </c>
      <c r="C857" t="s">
        <v>44</v>
      </c>
      <c r="D857" t="s">
        <v>1883</v>
      </c>
      <c r="E857" t="s">
        <v>1298</v>
      </c>
      <c r="F857" t="s">
        <v>3941</v>
      </c>
      <c r="G857" t="s">
        <v>6298</v>
      </c>
      <c r="H857">
        <v>0</v>
      </c>
      <c r="I857">
        <v>0</v>
      </c>
    </row>
    <row r="858" spans="1:9" x14ac:dyDescent="0.25">
      <c r="A858" t="s">
        <v>3942</v>
      </c>
      <c r="B858" t="s">
        <v>3943</v>
      </c>
      <c r="C858" t="s">
        <v>44</v>
      </c>
      <c r="D858" t="s">
        <v>1883</v>
      </c>
      <c r="E858" t="s">
        <v>1298</v>
      </c>
      <c r="F858" t="s">
        <v>3944</v>
      </c>
      <c r="G858" t="s">
        <v>6299</v>
      </c>
      <c r="H858">
        <v>0</v>
      </c>
      <c r="I858">
        <v>0</v>
      </c>
    </row>
    <row r="859" spans="1:9" x14ac:dyDescent="0.25">
      <c r="A859" t="s">
        <v>3945</v>
      </c>
      <c r="B859" t="s">
        <v>3946</v>
      </c>
      <c r="C859" t="s">
        <v>44</v>
      </c>
      <c r="D859" t="s">
        <v>1883</v>
      </c>
      <c r="E859" t="s">
        <v>1298</v>
      </c>
      <c r="F859" t="s">
        <v>3947</v>
      </c>
      <c r="G859" t="s">
        <v>6300</v>
      </c>
      <c r="H859">
        <v>0</v>
      </c>
      <c r="I859">
        <v>0</v>
      </c>
    </row>
    <row r="860" spans="1:9" x14ac:dyDescent="0.25">
      <c r="A860" t="s">
        <v>3948</v>
      </c>
      <c r="B860" t="s">
        <v>3949</v>
      </c>
      <c r="C860" t="s">
        <v>44</v>
      </c>
      <c r="D860" t="s">
        <v>1883</v>
      </c>
      <c r="E860" t="s">
        <v>1298</v>
      </c>
      <c r="F860" t="s">
        <v>3947</v>
      </c>
      <c r="G860" t="s">
        <v>6300</v>
      </c>
      <c r="H860">
        <v>0</v>
      </c>
      <c r="I860">
        <v>0</v>
      </c>
    </row>
    <row r="861" spans="1:9" x14ac:dyDescent="0.25">
      <c r="A861" t="s">
        <v>3950</v>
      </c>
      <c r="B861" t="s">
        <v>3951</v>
      </c>
      <c r="C861" t="s">
        <v>44</v>
      </c>
      <c r="D861" t="s">
        <v>1883</v>
      </c>
      <c r="E861" t="s">
        <v>1298</v>
      </c>
      <c r="F861" t="s">
        <v>3952</v>
      </c>
      <c r="G861" t="s">
        <v>6301</v>
      </c>
      <c r="H861" t="s">
        <v>3935</v>
      </c>
      <c r="I861">
        <v>0</v>
      </c>
    </row>
    <row r="862" spans="1:9" x14ac:dyDescent="0.25">
      <c r="A862" t="s">
        <v>3953</v>
      </c>
      <c r="B862" t="s">
        <v>3954</v>
      </c>
      <c r="C862" t="s">
        <v>44</v>
      </c>
      <c r="D862" t="s">
        <v>1883</v>
      </c>
      <c r="E862" t="s">
        <v>1298</v>
      </c>
      <c r="F862" t="s">
        <v>3955</v>
      </c>
      <c r="G862" t="s">
        <v>6302</v>
      </c>
      <c r="H862" t="s">
        <v>3935</v>
      </c>
      <c r="I862">
        <v>0</v>
      </c>
    </row>
    <row r="863" spans="1:9" x14ac:dyDescent="0.25">
      <c r="A863" t="s">
        <v>3956</v>
      </c>
      <c r="B863" t="s">
        <v>3957</v>
      </c>
      <c r="C863" t="s">
        <v>44</v>
      </c>
      <c r="D863" t="s">
        <v>1883</v>
      </c>
      <c r="E863" t="s">
        <v>1298</v>
      </c>
      <c r="F863" t="s">
        <v>3958</v>
      </c>
      <c r="G863" t="s">
        <v>6303</v>
      </c>
      <c r="H863" t="s">
        <v>3935</v>
      </c>
      <c r="I863">
        <v>0</v>
      </c>
    </row>
    <row r="864" spans="1:9" x14ac:dyDescent="0.25">
      <c r="A864" t="s">
        <v>3959</v>
      </c>
      <c r="B864" t="s">
        <v>3960</v>
      </c>
      <c r="C864" t="s">
        <v>44</v>
      </c>
      <c r="D864" t="s">
        <v>1883</v>
      </c>
      <c r="E864" t="s">
        <v>1298</v>
      </c>
      <c r="F864" t="s">
        <v>3961</v>
      </c>
      <c r="G864" t="s">
        <v>6304</v>
      </c>
      <c r="H864">
        <v>0</v>
      </c>
      <c r="I864">
        <v>0</v>
      </c>
    </row>
    <row r="865" spans="1:9" x14ac:dyDescent="0.25">
      <c r="A865" t="s">
        <v>3962</v>
      </c>
      <c r="B865" t="s">
        <v>3963</v>
      </c>
      <c r="C865" t="s">
        <v>44</v>
      </c>
      <c r="D865" t="s">
        <v>1883</v>
      </c>
      <c r="E865" t="s">
        <v>1298</v>
      </c>
      <c r="F865" t="s">
        <v>3964</v>
      </c>
      <c r="G865" t="s">
        <v>6305</v>
      </c>
      <c r="H865" t="s">
        <v>3935</v>
      </c>
      <c r="I865">
        <v>0</v>
      </c>
    </row>
    <row r="866" spans="1:9" x14ac:dyDescent="0.25">
      <c r="A866" t="s">
        <v>3965</v>
      </c>
      <c r="B866" t="s">
        <v>3966</v>
      </c>
      <c r="C866" t="s">
        <v>44</v>
      </c>
      <c r="D866" t="s">
        <v>1883</v>
      </c>
      <c r="E866" t="s">
        <v>1298</v>
      </c>
      <c r="F866" t="s">
        <v>3967</v>
      </c>
      <c r="G866" t="s">
        <v>6306</v>
      </c>
      <c r="H866">
        <v>0</v>
      </c>
      <c r="I866">
        <v>0</v>
      </c>
    </row>
    <row r="867" spans="1:9" x14ac:dyDescent="0.25">
      <c r="A867" t="s">
        <v>3968</v>
      </c>
      <c r="B867" t="s">
        <v>3969</v>
      </c>
      <c r="C867" t="s">
        <v>44</v>
      </c>
      <c r="D867" t="s">
        <v>1883</v>
      </c>
      <c r="E867" t="s">
        <v>1298</v>
      </c>
      <c r="F867" t="s">
        <v>3970</v>
      </c>
      <c r="G867" t="s">
        <v>6307</v>
      </c>
      <c r="H867">
        <v>0</v>
      </c>
      <c r="I867">
        <v>0</v>
      </c>
    </row>
    <row r="868" spans="1:9" x14ac:dyDescent="0.25">
      <c r="A868" t="s">
        <v>3971</v>
      </c>
      <c r="B868" t="s">
        <v>3972</v>
      </c>
      <c r="C868" t="s">
        <v>44</v>
      </c>
      <c r="D868" t="s">
        <v>1883</v>
      </c>
      <c r="E868" t="s">
        <v>1298</v>
      </c>
      <c r="F868" t="s">
        <v>3973</v>
      </c>
      <c r="G868" t="s">
        <v>6308</v>
      </c>
      <c r="H868">
        <v>0</v>
      </c>
      <c r="I868">
        <v>0</v>
      </c>
    </row>
    <row r="869" spans="1:9" x14ac:dyDescent="0.25">
      <c r="A869" t="s">
        <v>3974</v>
      </c>
      <c r="B869" t="s">
        <v>3975</v>
      </c>
      <c r="C869" t="s">
        <v>45</v>
      </c>
      <c r="D869" t="s">
        <v>1661</v>
      </c>
      <c r="E869" t="s">
        <v>1298</v>
      </c>
      <c r="F869" t="s">
        <v>3976</v>
      </c>
      <c r="G869" t="s">
        <v>6309</v>
      </c>
      <c r="H869" t="s">
        <v>859</v>
      </c>
      <c r="I869">
        <v>0</v>
      </c>
    </row>
    <row r="870" spans="1:9" x14ac:dyDescent="0.25">
      <c r="A870" t="s">
        <v>3977</v>
      </c>
      <c r="B870" t="s">
        <v>3978</v>
      </c>
      <c r="C870" t="s">
        <v>45</v>
      </c>
      <c r="D870" t="s">
        <v>1661</v>
      </c>
      <c r="E870" t="s">
        <v>1298</v>
      </c>
      <c r="F870" t="s">
        <v>3979</v>
      </c>
      <c r="G870" t="s">
        <v>6310</v>
      </c>
      <c r="H870" t="s">
        <v>859</v>
      </c>
      <c r="I870">
        <v>0</v>
      </c>
    </row>
    <row r="871" spans="1:9" x14ac:dyDescent="0.25">
      <c r="A871" t="s">
        <v>3980</v>
      </c>
      <c r="B871" t="s">
        <v>3981</v>
      </c>
      <c r="C871" t="s">
        <v>45</v>
      </c>
      <c r="D871" t="s">
        <v>1661</v>
      </c>
      <c r="E871" t="s">
        <v>1298</v>
      </c>
      <c r="F871" t="s">
        <v>3982</v>
      </c>
      <c r="G871" t="s">
        <v>6311</v>
      </c>
      <c r="H871">
        <v>0</v>
      </c>
      <c r="I871">
        <v>0</v>
      </c>
    </row>
    <row r="872" spans="1:9" x14ac:dyDescent="0.25">
      <c r="A872" t="s">
        <v>3983</v>
      </c>
      <c r="B872" t="s">
        <v>3984</v>
      </c>
      <c r="C872" t="s">
        <v>45</v>
      </c>
      <c r="D872" t="s">
        <v>1661</v>
      </c>
      <c r="E872" t="s">
        <v>1298</v>
      </c>
      <c r="F872" t="s">
        <v>3985</v>
      </c>
      <c r="G872" t="s">
        <v>6312</v>
      </c>
      <c r="H872" t="s">
        <v>3986</v>
      </c>
      <c r="I872">
        <v>0</v>
      </c>
    </row>
    <row r="873" spans="1:9" x14ac:dyDescent="0.25">
      <c r="A873" t="s">
        <v>3987</v>
      </c>
      <c r="B873" t="s">
        <v>3988</v>
      </c>
      <c r="C873" t="s">
        <v>45</v>
      </c>
      <c r="D873" t="s">
        <v>1661</v>
      </c>
      <c r="E873" t="s">
        <v>1298</v>
      </c>
      <c r="F873" t="s">
        <v>3989</v>
      </c>
      <c r="G873" t="s">
        <v>6313</v>
      </c>
      <c r="H873" t="s">
        <v>3986</v>
      </c>
      <c r="I873">
        <v>0</v>
      </c>
    </row>
    <row r="874" spans="1:9" x14ac:dyDescent="0.25">
      <c r="A874" t="s">
        <v>3990</v>
      </c>
      <c r="B874" t="s">
        <v>3991</v>
      </c>
      <c r="C874" t="s">
        <v>45</v>
      </c>
      <c r="D874" t="s">
        <v>1661</v>
      </c>
      <c r="E874" t="s">
        <v>1298</v>
      </c>
      <c r="F874" t="s">
        <v>3992</v>
      </c>
      <c r="G874" t="s">
        <v>6314</v>
      </c>
      <c r="H874" t="s">
        <v>3993</v>
      </c>
      <c r="I874">
        <v>0</v>
      </c>
    </row>
    <row r="875" spans="1:9" x14ac:dyDescent="0.25">
      <c r="A875" t="s">
        <v>3994</v>
      </c>
      <c r="B875" t="s">
        <v>3995</v>
      </c>
      <c r="C875" t="s">
        <v>45</v>
      </c>
      <c r="D875" t="s">
        <v>1661</v>
      </c>
      <c r="E875" t="s">
        <v>1298</v>
      </c>
      <c r="F875" t="s">
        <v>3996</v>
      </c>
      <c r="G875" t="s">
        <v>6315</v>
      </c>
      <c r="H875" t="s">
        <v>3997</v>
      </c>
      <c r="I875">
        <v>0</v>
      </c>
    </row>
    <row r="876" spans="1:9" x14ac:dyDescent="0.25">
      <c r="A876" t="s">
        <v>3998</v>
      </c>
      <c r="B876" t="s">
        <v>3999</v>
      </c>
      <c r="C876" t="s">
        <v>45</v>
      </c>
      <c r="D876" t="s">
        <v>1661</v>
      </c>
      <c r="E876" t="s">
        <v>1298</v>
      </c>
      <c r="F876" t="s">
        <v>4000</v>
      </c>
      <c r="G876" t="s">
        <v>6316</v>
      </c>
      <c r="H876" t="s">
        <v>3993</v>
      </c>
      <c r="I876">
        <v>0</v>
      </c>
    </row>
    <row r="877" spans="1:9" x14ac:dyDescent="0.25">
      <c r="A877" t="s">
        <v>4001</v>
      </c>
      <c r="B877" t="s">
        <v>4002</v>
      </c>
      <c r="C877" t="s">
        <v>45</v>
      </c>
      <c r="D877" t="s">
        <v>1661</v>
      </c>
      <c r="E877" t="s">
        <v>1298</v>
      </c>
      <c r="F877" t="s">
        <v>4003</v>
      </c>
      <c r="G877" t="s">
        <v>6317</v>
      </c>
      <c r="H877">
        <v>0</v>
      </c>
      <c r="I877">
        <v>0</v>
      </c>
    </row>
    <row r="878" spans="1:9" x14ac:dyDescent="0.25">
      <c r="A878" t="s">
        <v>4004</v>
      </c>
      <c r="B878" t="s">
        <v>4005</v>
      </c>
      <c r="C878" t="s">
        <v>45</v>
      </c>
      <c r="D878" t="s">
        <v>1661</v>
      </c>
      <c r="E878" t="s">
        <v>1298</v>
      </c>
      <c r="F878" t="s">
        <v>4006</v>
      </c>
      <c r="G878" t="s">
        <v>6318</v>
      </c>
      <c r="H878">
        <v>0</v>
      </c>
      <c r="I878">
        <v>0</v>
      </c>
    </row>
    <row r="879" spans="1:9" x14ac:dyDescent="0.25">
      <c r="A879" t="s">
        <v>4007</v>
      </c>
      <c r="B879" t="s">
        <v>4008</v>
      </c>
      <c r="C879" t="s">
        <v>45</v>
      </c>
      <c r="D879" t="s">
        <v>1661</v>
      </c>
      <c r="E879" t="s">
        <v>1298</v>
      </c>
      <c r="F879" t="s">
        <v>4009</v>
      </c>
      <c r="G879" t="s">
        <v>6319</v>
      </c>
      <c r="H879" t="s">
        <v>3993</v>
      </c>
      <c r="I879">
        <v>0</v>
      </c>
    </row>
    <row r="880" spans="1:9" x14ac:dyDescent="0.25">
      <c r="A880" t="s">
        <v>4010</v>
      </c>
      <c r="B880" t="s">
        <v>4011</v>
      </c>
      <c r="C880" t="s">
        <v>45</v>
      </c>
      <c r="D880" t="s">
        <v>1661</v>
      </c>
      <c r="E880" t="s">
        <v>1298</v>
      </c>
      <c r="F880" t="s">
        <v>4012</v>
      </c>
      <c r="G880" t="s">
        <v>6320</v>
      </c>
      <c r="H880" t="s">
        <v>3997</v>
      </c>
      <c r="I880">
        <v>0</v>
      </c>
    </row>
    <row r="881" spans="1:9" x14ac:dyDescent="0.25">
      <c r="A881" t="s">
        <v>4013</v>
      </c>
      <c r="B881" t="s">
        <v>4014</v>
      </c>
      <c r="C881" t="s">
        <v>45</v>
      </c>
      <c r="D881" t="s">
        <v>1661</v>
      </c>
      <c r="E881" t="s">
        <v>1298</v>
      </c>
      <c r="F881" t="s">
        <v>4015</v>
      </c>
      <c r="G881" t="s">
        <v>6321</v>
      </c>
      <c r="H881" t="s">
        <v>3997</v>
      </c>
      <c r="I881">
        <v>0</v>
      </c>
    </row>
    <row r="882" spans="1:9" x14ac:dyDescent="0.25">
      <c r="A882" t="s">
        <v>4016</v>
      </c>
      <c r="B882" t="s">
        <v>4017</v>
      </c>
      <c r="C882" t="s">
        <v>45</v>
      </c>
      <c r="D882" t="s">
        <v>1661</v>
      </c>
      <c r="E882" t="s">
        <v>1298</v>
      </c>
      <c r="F882" t="s">
        <v>4018</v>
      </c>
      <c r="G882" t="s">
        <v>6322</v>
      </c>
      <c r="H882" t="s">
        <v>3997</v>
      </c>
      <c r="I882">
        <v>0</v>
      </c>
    </row>
    <row r="883" spans="1:9" x14ac:dyDescent="0.25">
      <c r="A883" t="s">
        <v>4019</v>
      </c>
      <c r="B883" t="s">
        <v>4020</v>
      </c>
      <c r="C883" t="s">
        <v>45</v>
      </c>
      <c r="D883" t="s">
        <v>1661</v>
      </c>
      <c r="E883" t="s">
        <v>1298</v>
      </c>
      <c r="F883" t="s">
        <v>4021</v>
      </c>
      <c r="G883" t="s">
        <v>6323</v>
      </c>
      <c r="H883">
        <v>0</v>
      </c>
      <c r="I883">
        <v>0</v>
      </c>
    </row>
    <row r="884" spans="1:9" x14ac:dyDescent="0.25">
      <c r="A884" t="s">
        <v>4022</v>
      </c>
      <c r="B884" t="s">
        <v>4023</v>
      </c>
      <c r="C884" t="s">
        <v>45</v>
      </c>
      <c r="D884" t="s">
        <v>1661</v>
      </c>
      <c r="E884" t="s">
        <v>1298</v>
      </c>
      <c r="F884" t="s">
        <v>4024</v>
      </c>
      <c r="G884" t="s">
        <v>6324</v>
      </c>
      <c r="H884">
        <v>0</v>
      </c>
      <c r="I884">
        <v>0</v>
      </c>
    </row>
    <row r="885" spans="1:9" x14ac:dyDescent="0.25">
      <c r="A885" t="s">
        <v>4025</v>
      </c>
      <c r="B885" t="s">
        <v>4026</v>
      </c>
      <c r="C885" t="s">
        <v>45</v>
      </c>
      <c r="D885" t="s">
        <v>1661</v>
      </c>
      <c r="E885" t="s">
        <v>1298</v>
      </c>
      <c r="F885" t="s">
        <v>4027</v>
      </c>
      <c r="G885" t="s">
        <v>6325</v>
      </c>
      <c r="H885" t="s">
        <v>3986</v>
      </c>
      <c r="I885">
        <v>0</v>
      </c>
    </row>
    <row r="886" spans="1:9" x14ac:dyDescent="0.25">
      <c r="A886" t="s">
        <v>4028</v>
      </c>
      <c r="B886" t="s">
        <v>4029</v>
      </c>
      <c r="C886" t="s">
        <v>45</v>
      </c>
      <c r="D886" t="s">
        <v>1661</v>
      </c>
      <c r="E886" t="s">
        <v>1298</v>
      </c>
      <c r="F886" t="s">
        <v>4030</v>
      </c>
      <c r="G886" t="s">
        <v>6326</v>
      </c>
      <c r="H886" t="s">
        <v>3993</v>
      </c>
      <c r="I886">
        <v>0</v>
      </c>
    </row>
    <row r="887" spans="1:9" x14ac:dyDescent="0.25">
      <c r="A887" t="s">
        <v>4031</v>
      </c>
      <c r="B887" t="s">
        <v>4032</v>
      </c>
      <c r="C887" t="s">
        <v>45</v>
      </c>
      <c r="D887" t="s">
        <v>1661</v>
      </c>
      <c r="E887" t="s">
        <v>1298</v>
      </c>
      <c r="F887" t="s">
        <v>4033</v>
      </c>
      <c r="G887" t="s">
        <v>6327</v>
      </c>
      <c r="H887" t="s">
        <v>3997</v>
      </c>
      <c r="I887">
        <v>0</v>
      </c>
    </row>
    <row r="888" spans="1:9" x14ac:dyDescent="0.25">
      <c r="A888" t="s">
        <v>4034</v>
      </c>
      <c r="B888" t="s">
        <v>4035</v>
      </c>
      <c r="C888" t="s">
        <v>45</v>
      </c>
      <c r="D888" t="s">
        <v>1661</v>
      </c>
      <c r="E888" t="s">
        <v>1298</v>
      </c>
      <c r="F888" t="s">
        <v>4036</v>
      </c>
      <c r="G888" t="s">
        <v>6328</v>
      </c>
      <c r="H888" t="s">
        <v>859</v>
      </c>
      <c r="I888">
        <v>0</v>
      </c>
    </row>
    <row r="889" spans="1:9" x14ac:dyDescent="0.25">
      <c r="A889" t="s">
        <v>4037</v>
      </c>
      <c r="B889" t="s">
        <v>4038</v>
      </c>
      <c r="C889" t="s">
        <v>45</v>
      </c>
      <c r="D889" t="s">
        <v>1661</v>
      </c>
      <c r="E889" t="s">
        <v>1298</v>
      </c>
      <c r="F889" t="s">
        <v>4039</v>
      </c>
      <c r="G889" t="s">
        <v>6329</v>
      </c>
      <c r="H889">
        <v>0</v>
      </c>
      <c r="I889">
        <v>0</v>
      </c>
    </row>
    <row r="890" spans="1:9" x14ac:dyDescent="0.25">
      <c r="A890" t="s">
        <v>4040</v>
      </c>
      <c r="B890" t="s">
        <v>4041</v>
      </c>
      <c r="C890" t="s">
        <v>46</v>
      </c>
      <c r="D890" t="s">
        <v>1883</v>
      </c>
      <c r="E890" t="s">
        <v>1298</v>
      </c>
      <c r="F890" t="s">
        <v>4042</v>
      </c>
      <c r="G890" t="s">
        <v>6330</v>
      </c>
      <c r="H890">
        <v>0</v>
      </c>
      <c r="I890">
        <v>0</v>
      </c>
    </row>
    <row r="891" spans="1:9" x14ac:dyDescent="0.25">
      <c r="A891" t="s">
        <v>4043</v>
      </c>
      <c r="B891" t="s">
        <v>4044</v>
      </c>
      <c r="C891" t="s">
        <v>46</v>
      </c>
      <c r="D891" t="s">
        <v>1883</v>
      </c>
      <c r="E891" t="s">
        <v>1298</v>
      </c>
      <c r="F891" t="s">
        <v>4045</v>
      </c>
      <c r="G891" t="s">
        <v>6331</v>
      </c>
      <c r="H891">
        <v>0</v>
      </c>
      <c r="I891">
        <v>0</v>
      </c>
    </row>
    <row r="892" spans="1:9" x14ac:dyDescent="0.25">
      <c r="A892" t="s">
        <v>4046</v>
      </c>
      <c r="B892" t="s">
        <v>4047</v>
      </c>
      <c r="C892" t="s">
        <v>46</v>
      </c>
      <c r="D892" t="s">
        <v>1883</v>
      </c>
      <c r="E892" t="s">
        <v>1298</v>
      </c>
      <c r="F892" t="s">
        <v>4048</v>
      </c>
      <c r="G892" t="s">
        <v>6332</v>
      </c>
      <c r="H892">
        <v>0</v>
      </c>
      <c r="I892">
        <v>0</v>
      </c>
    </row>
    <row r="893" spans="1:9" x14ac:dyDescent="0.25">
      <c r="A893" t="s">
        <v>4049</v>
      </c>
      <c r="B893" t="s">
        <v>4050</v>
      </c>
      <c r="C893" t="s">
        <v>46</v>
      </c>
      <c r="D893" t="s">
        <v>1883</v>
      </c>
      <c r="E893" t="s">
        <v>1298</v>
      </c>
      <c r="F893" t="s">
        <v>4051</v>
      </c>
      <c r="G893" t="s">
        <v>6333</v>
      </c>
      <c r="H893">
        <v>0</v>
      </c>
      <c r="I893">
        <v>0</v>
      </c>
    </row>
    <row r="894" spans="1:9" x14ac:dyDescent="0.25">
      <c r="A894" t="s">
        <v>4052</v>
      </c>
      <c r="B894" t="s">
        <v>4053</v>
      </c>
      <c r="C894" t="s">
        <v>46</v>
      </c>
      <c r="D894" t="s">
        <v>1883</v>
      </c>
      <c r="E894" t="s">
        <v>1298</v>
      </c>
      <c r="F894" t="s">
        <v>4054</v>
      </c>
      <c r="G894" t="s">
        <v>6334</v>
      </c>
      <c r="H894">
        <v>0</v>
      </c>
      <c r="I894">
        <v>0</v>
      </c>
    </row>
    <row r="895" spans="1:9" x14ac:dyDescent="0.25">
      <c r="A895" t="s">
        <v>4055</v>
      </c>
      <c r="B895" t="s">
        <v>4056</v>
      </c>
      <c r="C895" t="s">
        <v>46</v>
      </c>
      <c r="D895" t="s">
        <v>1883</v>
      </c>
      <c r="E895" t="s">
        <v>1298</v>
      </c>
      <c r="F895" t="s">
        <v>4057</v>
      </c>
      <c r="G895" t="s">
        <v>6335</v>
      </c>
      <c r="H895" t="s">
        <v>4058</v>
      </c>
      <c r="I895">
        <v>0</v>
      </c>
    </row>
    <row r="896" spans="1:9" x14ac:dyDescent="0.25">
      <c r="A896" t="s">
        <v>4059</v>
      </c>
      <c r="B896" t="s">
        <v>4060</v>
      </c>
      <c r="C896" t="s">
        <v>46</v>
      </c>
      <c r="D896" t="s">
        <v>1883</v>
      </c>
      <c r="E896" t="s">
        <v>1298</v>
      </c>
      <c r="F896" t="s">
        <v>4061</v>
      </c>
      <c r="G896" t="s">
        <v>6336</v>
      </c>
      <c r="H896" t="s">
        <v>4058</v>
      </c>
      <c r="I896">
        <v>0</v>
      </c>
    </row>
    <row r="897" spans="1:9" x14ac:dyDescent="0.25">
      <c r="A897" t="s">
        <v>4062</v>
      </c>
      <c r="B897" t="s">
        <v>4063</v>
      </c>
      <c r="C897" t="s">
        <v>46</v>
      </c>
      <c r="D897" t="s">
        <v>1883</v>
      </c>
      <c r="E897" t="s">
        <v>1298</v>
      </c>
      <c r="F897" t="s">
        <v>4064</v>
      </c>
      <c r="G897" t="s">
        <v>6337</v>
      </c>
      <c r="H897">
        <v>0</v>
      </c>
      <c r="I897">
        <v>0</v>
      </c>
    </row>
    <row r="898" spans="1:9" x14ac:dyDescent="0.25">
      <c r="A898" t="s">
        <v>4065</v>
      </c>
      <c r="B898" t="s">
        <v>4066</v>
      </c>
      <c r="C898" t="s">
        <v>46</v>
      </c>
      <c r="D898" t="s">
        <v>1883</v>
      </c>
      <c r="E898" t="s">
        <v>1298</v>
      </c>
      <c r="F898" t="s">
        <v>4067</v>
      </c>
      <c r="G898" t="s">
        <v>6338</v>
      </c>
      <c r="H898">
        <v>0</v>
      </c>
      <c r="I898">
        <v>0</v>
      </c>
    </row>
    <row r="899" spans="1:9" x14ac:dyDescent="0.25">
      <c r="A899" t="s">
        <v>4068</v>
      </c>
      <c r="B899" t="s">
        <v>4069</v>
      </c>
      <c r="C899" t="s">
        <v>46</v>
      </c>
      <c r="D899" t="s">
        <v>1883</v>
      </c>
      <c r="E899" t="s">
        <v>1298</v>
      </c>
      <c r="F899" t="s">
        <v>4070</v>
      </c>
      <c r="G899" t="s">
        <v>6339</v>
      </c>
      <c r="H899">
        <v>0</v>
      </c>
      <c r="I899">
        <v>0</v>
      </c>
    </row>
    <row r="900" spans="1:9" x14ac:dyDescent="0.25">
      <c r="A900" t="s">
        <v>4071</v>
      </c>
      <c r="B900" t="s">
        <v>4072</v>
      </c>
      <c r="C900" t="s">
        <v>46</v>
      </c>
      <c r="D900" t="s">
        <v>1883</v>
      </c>
      <c r="E900" t="s">
        <v>1298</v>
      </c>
      <c r="F900" t="s">
        <v>4073</v>
      </c>
      <c r="G900" t="s">
        <v>6340</v>
      </c>
      <c r="H900" t="s">
        <v>879</v>
      </c>
      <c r="I900">
        <v>0</v>
      </c>
    </row>
    <row r="901" spans="1:9" x14ac:dyDescent="0.25">
      <c r="A901" t="s">
        <v>4074</v>
      </c>
      <c r="B901" t="s">
        <v>4075</v>
      </c>
      <c r="C901" t="s">
        <v>46</v>
      </c>
      <c r="D901" t="s">
        <v>1883</v>
      </c>
      <c r="E901" t="s">
        <v>1298</v>
      </c>
      <c r="F901" t="s">
        <v>4076</v>
      </c>
      <c r="G901" t="s">
        <v>6341</v>
      </c>
      <c r="H901" t="s">
        <v>879</v>
      </c>
      <c r="I901">
        <v>0</v>
      </c>
    </row>
    <row r="902" spans="1:9" x14ac:dyDescent="0.25">
      <c r="A902" t="s">
        <v>4077</v>
      </c>
      <c r="B902" t="s">
        <v>4078</v>
      </c>
      <c r="C902" t="s">
        <v>46</v>
      </c>
      <c r="D902" t="s">
        <v>1883</v>
      </c>
      <c r="E902" t="s">
        <v>1298</v>
      </c>
      <c r="F902" t="s">
        <v>4079</v>
      </c>
      <c r="G902" t="s">
        <v>6342</v>
      </c>
      <c r="H902">
        <v>0</v>
      </c>
      <c r="I902">
        <v>0</v>
      </c>
    </row>
    <row r="903" spans="1:9" x14ac:dyDescent="0.25">
      <c r="A903" t="s">
        <v>4080</v>
      </c>
      <c r="B903" t="s">
        <v>4081</v>
      </c>
      <c r="C903" t="s">
        <v>46</v>
      </c>
      <c r="D903" t="s">
        <v>1883</v>
      </c>
      <c r="E903" t="s">
        <v>1298</v>
      </c>
      <c r="F903" t="s">
        <v>4082</v>
      </c>
      <c r="G903" t="s">
        <v>6343</v>
      </c>
      <c r="H903">
        <v>0</v>
      </c>
      <c r="I903">
        <v>0</v>
      </c>
    </row>
    <row r="904" spans="1:9" x14ac:dyDescent="0.25">
      <c r="A904" t="s">
        <v>4083</v>
      </c>
      <c r="B904" t="s">
        <v>4084</v>
      </c>
      <c r="C904" t="s">
        <v>46</v>
      </c>
      <c r="D904" t="s">
        <v>1883</v>
      </c>
      <c r="E904" t="s">
        <v>1298</v>
      </c>
      <c r="F904" t="s">
        <v>4085</v>
      </c>
      <c r="G904" t="s">
        <v>6344</v>
      </c>
      <c r="H904" t="s">
        <v>4086</v>
      </c>
      <c r="I904">
        <v>0</v>
      </c>
    </row>
    <row r="905" spans="1:9" x14ac:dyDescent="0.25">
      <c r="A905" t="s">
        <v>4087</v>
      </c>
      <c r="B905" t="s">
        <v>4088</v>
      </c>
      <c r="C905" t="s">
        <v>46</v>
      </c>
      <c r="D905" t="s">
        <v>1883</v>
      </c>
      <c r="E905" t="s">
        <v>1298</v>
      </c>
      <c r="F905" t="s">
        <v>4089</v>
      </c>
      <c r="G905" t="s">
        <v>6345</v>
      </c>
      <c r="H905">
        <v>0</v>
      </c>
      <c r="I905">
        <v>0</v>
      </c>
    </row>
    <row r="906" spans="1:9" x14ac:dyDescent="0.25">
      <c r="A906" t="s">
        <v>4090</v>
      </c>
      <c r="B906" t="s">
        <v>4091</v>
      </c>
      <c r="C906" t="s">
        <v>46</v>
      </c>
      <c r="D906" t="s">
        <v>1883</v>
      </c>
      <c r="E906" t="s">
        <v>1298</v>
      </c>
      <c r="F906" t="s">
        <v>4092</v>
      </c>
      <c r="G906" t="s">
        <v>6346</v>
      </c>
      <c r="H906">
        <v>0</v>
      </c>
      <c r="I906">
        <v>0</v>
      </c>
    </row>
    <row r="907" spans="1:9" x14ac:dyDescent="0.25">
      <c r="A907" t="s">
        <v>4093</v>
      </c>
      <c r="B907" t="s">
        <v>4094</v>
      </c>
      <c r="C907" t="s">
        <v>46</v>
      </c>
      <c r="D907" t="s">
        <v>1883</v>
      </c>
      <c r="E907" t="s">
        <v>1298</v>
      </c>
      <c r="F907" t="s">
        <v>4095</v>
      </c>
      <c r="G907" t="s">
        <v>6347</v>
      </c>
      <c r="H907" t="s">
        <v>879</v>
      </c>
      <c r="I907">
        <v>0</v>
      </c>
    </row>
    <row r="908" spans="1:9" x14ac:dyDescent="0.25">
      <c r="A908" t="s">
        <v>4096</v>
      </c>
      <c r="B908" t="s">
        <v>4097</v>
      </c>
      <c r="C908" t="s">
        <v>46</v>
      </c>
      <c r="D908" t="s">
        <v>1883</v>
      </c>
      <c r="E908" t="s">
        <v>1298</v>
      </c>
      <c r="F908" t="s">
        <v>4098</v>
      </c>
      <c r="G908" t="s">
        <v>6348</v>
      </c>
      <c r="H908">
        <v>0</v>
      </c>
      <c r="I908">
        <v>0</v>
      </c>
    </row>
    <row r="909" spans="1:9" x14ac:dyDescent="0.25">
      <c r="A909" t="s">
        <v>4099</v>
      </c>
      <c r="B909" t="s">
        <v>4100</v>
      </c>
      <c r="C909" t="s">
        <v>46</v>
      </c>
      <c r="D909" t="s">
        <v>1883</v>
      </c>
      <c r="E909" t="s">
        <v>1298</v>
      </c>
      <c r="F909" t="s">
        <v>4101</v>
      </c>
      <c r="G909" t="s">
        <v>6349</v>
      </c>
      <c r="H909" t="s">
        <v>4058</v>
      </c>
      <c r="I909">
        <v>0</v>
      </c>
    </row>
    <row r="910" spans="1:9" x14ac:dyDescent="0.25">
      <c r="A910" t="s">
        <v>4102</v>
      </c>
      <c r="B910" t="s">
        <v>4103</v>
      </c>
      <c r="C910" t="s">
        <v>46</v>
      </c>
      <c r="D910" t="s">
        <v>1883</v>
      </c>
      <c r="E910" t="s">
        <v>1298</v>
      </c>
      <c r="F910" t="s">
        <v>4104</v>
      </c>
      <c r="G910" t="s">
        <v>6350</v>
      </c>
      <c r="H910" t="s">
        <v>4058</v>
      </c>
      <c r="I910">
        <v>0</v>
      </c>
    </row>
    <row r="911" spans="1:9" x14ac:dyDescent="0.25">
      <c r="A911" t="s">
        <v>4105</v>
      </c>
      <c r="B911" t="s">
        <v>4106</v>
      </c>
      <c r="C911" t="s">
        <v>3067</v>
      </c>
      <c r="D911" t="s">
        <v>41</v>
      </c>
      <c r="E911" t="s">
        <v>1349</v>
      </c>
      <c r="F911" t="s">
        <v>4107</v>
      </c>
      <c r="G911" t="s">
        <v>6351</v>
      </c>
      <c r="H911" t="s">
        <v>784</v>
      </c>
      <c r="I911">
        <v>0</v>
      </c>
    </row>
    <row r="912" spans="1:9" x14ac:dyDescent="0.25">
      <c r="A912" t="s">
        <v>4108</v>
      </c>
      <c r="B912" t="s">
        <v>4109</v>
      </c>
      <c r="C912" t="s">
        <v>3067</v>
      </c>
      <c r="D912" t="s">
        <v>41</v>
      </c>
      <c r="E912" t="s">
        <v>1349</v>
      </c>
      <c r="F912" t="s">
        <v>4110</v>
      </c>
      <c r="G912" t="s">
        <v>6352</v>
      </c>
      <c r="H912">
        <v>0</v>
      </c>
      <c r="I912" t="s">
        <v>4111</v>
      </c>
    </row>
    <row r="913" spans="1:9" x14ac:dyDescent="0.25">
      <c r="A913" t="s">
        <v>4112</v>
      </c>
      <c r="B913" t="s">
        <v>4113</v>
      </c>
      <c r="C913" t="s">
        <v>3067</v>
      </c>
      <c r="D913" t="s">
        <v>41</v>
      </c>
      <c r="E913" t="s">
        <v>1349</v>
      </c>
      <c r="F913" t="s">
        <v>4114</v>
      </c>
      <c r="G913" t="s">
        <v>6353</v>
      </c>
      <c r="H913" t="s">
        <v>4115</v>
      </c>
      <c r="I913">
        <v>0</v>
      </c>
    </row>
    <row r="914" spans="1:9" x14ac:dyDescent="0.25">
      <c r="A914" t="s">
        <v>4116</v>
      </c>
      <c r="B914" t="s">
        <v>4117</v>
      </c>
      <c r="C914" t="s">
        <v>3067</v>
      </c>
      <c r="D914" t="s">
        <v>41</v>
      </c>
      <c r="E914" t="s">
        <v>1349</v>
      </c>
      <c r="F914" t="s">
        <v>4118</v>
      </c>
      <c r="G914" t="s">
        <v>6354</v>
      </c>
      <c r="H914" t="s">
        <v>525</v>
      </c>
      <c r="I914">
        <v>0</v>
      </c>
    </row>
    <row r="915" spans="1:9" x14ac:dyDescent="0.25">
      <c r="A915" t="s">
        <v>4119</v>
      </c>
      <c r="B915" t="s">
        <v>4120</v>
      </c>
      <c r="C915" t="s">
        <v>3067</v>
      </c>
      <c r="D915" t="s">
        <v>41</v>
      </c>
      <c r="E915" t="s">
        <v>1349</v>
      </c>
      <c r="F915" t="s">
        <v>4121</v>
      </c>
      <c r="G915" t="s">
        <v>6355</v>
      </c>
      <c r="H915">
        <v>0</v>
      </c>
      <c r="I915" t="s">
        <v>4122</v>
      </c>
    </row>
    <row r="916" spans="1:9" x14ac:dyDescent="0.25">
      <c r="A916" t="s">
        <v>4123</v>
      </c>
      <c r="B916" t="s">
        <v>4124</v>
      </c>
      <c r="C916" t="s">
        <v>3067</v>
      </c>
      <c r="D916" t="s">
        <v>41</v>
      </c>
      <c r="E916" t="s">
        <v>1349</v>
      </c>
      <c r="F916" t="s">
        <v>4125</v>
      </c>
      <c r="G916" t="s">
        <v>6356</v>
      </c>
      <c r="H916" t="s">
        <v>4126</v>
      </c>
      <c r="I916">
        <v>0</v>
      </c>
    </row>
    <row r="917" spans="1:9" x14ac:dyDescent="0.25">
      <c r="A917" t="s">
        <v>4127</v>
      </c>
      <c r="B917" t="s">
        <v>4128</v>
      </c>
      <c r="C917" t="s">
        <v>3067</v>
      </c>
      <c r="D917" t="s">
        <v>41</v>
      </c>
      <c r="E917" t="s">
        <v>1349</v>
      </c>
      <c r="F917" t="s">
        <v>4129</v>
      </c>
      <c r="G917" t="s">
        <v>6357</v>
      </c>
      <c r="H917">
        <v>0</v>
      </c>
      <c r="I917" t="s">
        <v>4130</v>
      </c>
    </row>
    <row r="918" spans="1:9" x14ac:dyDescent="0.25">
      <c r="A918" t="s">
        <v>4131</v>
      </c>
      <c r="B918" t="s">
        <v>4132</v>
      </c>
      <c r="C918" t="s">
        <v>3067</v>
      </c>
      <c r="D918" t="s">
        <v>41</v>
      </c>
      <c r="E918" t="s">
        <v>1349</v>
      </c>
      <c r="F918" t="s">
        <v>4133</v>
      </c>
      <c r="G918" t="s">
        <v>6358</v>
      </c>
      <c r="H918" t="s">
        <v>4134</v>
      </c>
      <c r="I918">
        <v>0</v>
      </c>
    </row>
    <row r="919" spans="1:9" x14ac:dyDescent="0.25">
      <c r="A919" t="s">
        <v>4135</v>
      </c>
      <c r="B919" t="s">
        <v>4136</v>
      </c>
      <c r="C919" t="s">
        <v>3067</v>
      </c>
      <c r="D919" t="s">
        <v>41</v>
      </c>
      <c r="E919" t="s">
        <v>1349</v>
      </c>
      <c r="F919" t="s">
        <v>4121</v>
      </c>
      <c r="G919" t="s">
        <v>6355</v>
      </c>
      <c r="H919">
        <v>0</v>
      </c>
      <c r="I919" t="s">
        <v>4122</v>
      </c>
    </row>
    <row r="920" spans="1:9" x14ac:dyDescent="0.25">
      <c r="A920" t="s">
        <v>4137</v>
      </c>
      <c r="B920" t="s">
        <v>4138</v>
      </c>
      <c r="C920" t="s">
        <v>3067</v>
      </c>
      <c r="D920" t="s">
        <v>41</v>
      </c>
      <c r="E920" t="s">
        <v>1349</v>
      </c>
      <c r="F920" t="s">
        <v>4125</v>
      </c>
      <c r="G920" t="s">
        <v>6356</v>
      </c>
      <c r="H920" t="s">
        <v>4126</v>
      </c>
      <c r="I920">
        <v>0</v>
      </c>
    </row>
    <row r="921" spans="1:9" x14ac:dyDescent="0.25">
      <c r="A921" t="s">
        <v>4139</v>
      </c>
      <c r="B921" t="s">
        <v>4140</v>
      </c>
      <c r="C921" t="s">
        <v>3067</v>
      </c>
      <c r="D921" t="s">
        <v>41</v>
      </c>
      <c r="E921" t="s">
        <v>1349</v>
      </c>
      <c r="F921" t="s">
        <v>4141</v>
      </c>
      <c r="G921" t="s">
        <v>6359</v>
      </c>
      <c r="H921" t="s">
        <v>4142</v>
      </c>
      <c r="I921">
        <v>0</v>
      </c>
    </row>
    <row r="922" spans="1:9" x14ac:dyDescent="0.25">
      <c r="A922" t="s">
        <v>4143</v>
      </c>
      <c r="B922" t="s">
        <v>4144</v>
      </c>
      <c r="C922" t="s">
        <v>3067</v>
      </c>
      <c r="D922" t="s">
        <v>41</v>
      </c>
      <c r="E922" t="s">
        <v>1349</v>
      </c>
      <c r="F922" t="s">
        <v>4121</v>
      </c>
      <c r="G922" t="s">
        <v>6355</v>
      </c>
      <c r="H922">
        <v>0</v>
      </c>
      <c r="I922" t="s">
        <v>4145</v>
      </c>
    </row>
    <row r="923" spans="1:9" x14ac:dyDescent="0.25">
      <c r="A923" t="s">
        <v>4146</v>
      </c>
      <c r="B923" t="s">
        <v>4147</v>
      </c>
      <c r="C923" t="s">
        <v>3067</v>
      </c>
      <c r="D923" t="s">
        <v>41</v>
      </c>
      <c r="E923" t="s">
        <v>1349</v>
      </c>
      <c r="F923" t="s">
        <v>4148</v>
      </c>
      <c r="G923" t="s">
        <v>6360</v>
      </c>
      <c r="H923" t="s">
        <v>115</v>
      </c>
      <c r="I923">
        <v>0</v>
      </c>
    </row>
    <row r="924" spans="1:9" x14ac:dyDescent="0.25">
      <c r="A924" t="s">
        <v>4149</v>
      </c>
      <c r="B924" t="s">
        <v>4150</v>
      </c>
      <c r="C924" t="s">
        <v>3067</v>
      </c>
      <c r="D924" t="s">
        <v>41</v>
      </c>
      <c r="E924" t="s">
        <v>1349</v>
      </c>
      <c r="F924" t="s">
        <v>4129</v>
      </c>
      <c r="G924" t="s">
        <v>6357</v>
      </c>
      <c r="H924">
        <v>0</v>
      </c>
      <c r="I924" t="s">
        <v>4130</v>
      </c>
    </row>
    <row r="925" spans="1:9" x14ac:dyDescent="0.25">
      <c r="A925" t="s">
        <v>4151</v>
      </c>
      <c r="B925" t="s">
        <v>4152</v>
      </c>
      <c r="C925" t="s">
        <v>3067</v>
      </c>
      <c r="D925" t="s">
        <v>41</v>
      </c>
      <c r="E925" t="s">
        <v>1349</v>
      </c>
      <c r="F925" t="s">
        <v>4148</v>
      </c>
      <c r="G925" t="s">
        <v>6360</v>
      </c>
      <c r="H925" t="s">
        <v>115</v>
      </c>
      <c r="I925">
        <v>0</v>
      </c>
    </row>
    <row r="926" spans="1:9" x14ac:dyDescent="0.25">
      <c r="A926" t="s">
        <v>4153</v>
      </c>
      <c r="B926" t="s">
        <v>4154</v>
      </c>
      <c r="C926" t="s">
        <v>3067</v>
      </c>
      <c r="D926" t="s">
        <v>41</v>
      </c>
      <c r="E926" t="s">
        <v>1349</v>
      </c>
      <c r="F926" t="s">
        <v>4110</v>
      </c>
      <c r="G926" t="s">
        <v>6352</v>
      </c>
      <c r="H926">
        <v>0</v>
      </c>
      <c r="I926">
        <v>0</v>
      </c>
    </row>
    <row r="927" spans="1:9" x14ac:dyDescent="0.25">
      <c r="A927" t="s">
        <v>4155</v>
      </c>
      <c r="B927" t="s">
        <v>4156</v>
      </c>
      <c r="C927" t="s">
        <v>3067</v>
      </c>
      <c r="D927" t="s">
        <v>41</v>
      </c>
      <c r="E927" t="s">
        <v>1349</v>
      </c>
      <c r="F927" t="s">
        <v>4107</v>
      </c>
      <c r="G927" t="s">
        <v>6351</v>
      </c>
      <c r="H927" t="s">
        <v>784</v>
      </c>
      <c r="I927">
        <v>0</v>
      </c>
    </row>
    <row r="928" spans="1:9" x14ac:dyDescent="0.25">
      <c r="A928" t="s">
        <v>4157</v>
      </c>
      <c r="B928" t="s">
        <v>4158</v>
      </c>
      <c r="C928" t="s">
        <v>3067</v>
      </c>
      <c r="D928" t="s">
        <v>41</v>
      </c>
      <c r="E928" t="s">
        <v>1349</v>
      </c>
      <c r="F928" t="s">
        <v>4118</v>
      </c>
      <c r="G928" t="s">
        <v>6354</v>
      </c>
      <c r="H928" t="s">
        <v>525</v>
      </c>
      <c r="I928">
        <v>0</v>
      </c>
    </row>
    <row r="929" spans="1:9" x14ac:dyDescent="0.25">
      <c r="A929" t="s">
        <v>4159</v>
      </c>
      <c r="B929" t="s">
        <v>4160</v>
      </c>
      <c r="C929" t="s">
        <v>3067</v>
      </c>
      <c r="D929" t="s">
        <v>41</v>
      </c>
      <c r="E929" t="s">
        <v>1349</v>
      </c>
      <c r="F929" t="s">
        <v>4161</v>
      </c>
      <c r="G929" t="s">
        <v>6361</v>
      </c>
      <c r="H929" t="s">
        <v>786</v>
      </c>
      <c r="I929">
        <v>0</v>
      </c>
    </row>
    <row r="930" spans="1:9" x14ac:dyDescent="0.25">
      <c r="A930" t="s">
        <v>4162</v>
      </c>
      <c r="B930" t="s">
        <v>4163</v>
      </c>
      <c r="C930" t="s">
        <v>3067</v>
      </c>
      <c r="D930" t="s">
        <v>41</v>
      </c>
      <c r="E930" t="s">
        <v>1349</v>
      </c>
      <c r="F930" t="s">
        <v>4161</v>
      </c>
      <c r="G930" t="s">
        <v>6361</v>
      </c>
      <c r="H930" t="s">
        <v>786</v>
      </c>
      <c r="I930">
        <v>0</v>
      </c>
    </row>
    <row r="931" spans="1:9" x14ac:dyDescent="0.25">
      <c r="A931" t="s">
        <v>4164</v>
      </c>
      <c r="B931" t="s">
        <v>4165</v>
      </c>
      <c r="C931" t="s">
        <v>3067</v>
      </c>
      <c r="D931" t="s">
        <v>41</v>
      </c>
      <c r="E931" t="s">
        <v>1349</v>
      </c>
      <c r="F931" t="s">
        <v>4129</v>
      </c>
      <c r="G931" t="s">
        <v>6357</v>
      </c>
      <c r="H931">
        <v>0</v>
      </c>
      <c r="I931" t="s">
        <v>4130</v>
      </c>
    </row>
    <row r="932" spans="1:9" x14ac:dyDescent="0.25">
      <c r="A932" t="s">
        <v>4166</v>
      </c>
      <c r="B932" t="s">
        <v>4167</v>
      </c>
      <c r="C932" t="s">
        <v>3067</v>
      </c>
      <c r="D932" t="s">
        <v>41</v>
      </c>
      <c r="E932" t="s">
        <v>1349</v>
      </c>
      <c r="F932" t="s">
        <v>4133</v>
      </c>
      <c r="G932" t="s">
        <v>6358</v>
      </c>
      <c r="H932" t="s">
        <v>4134</v>
      </c>
      <c r="I932">
        <v>0</v>
      </c>
    </row>
    <row r="933" spans="1:9" x14ac:dyDescent="0.25">
      <c r="A933" t="s">
        <v>4168</v>
      </c>
      <c r="B933" t="s">
        <v>4169</v>
      </c>
      <c r="C933" t="s">
        <v>3067</v>
      </c>
      <c r="D933" t="s">
        <v>41</v>
      </c>
      <c r="E933" t="s">
        <v>1349</v>
      </c>
      <c r="F933" t="s">
        <v>4118</v>
      </c>
      <c r="G933" t="s">
        <v>6354</v>
      </c>
      <c r="H933" t="s">
        <v>525</v>
      </c>
      <c r="I933">
        <v>0</v>
      </c>
    </row>
    <row r="934" spans="1:9" x14ac:dyDescent="0.25">
      <c r="A934" t="s">
        <v>4170</v>
      </c>
      <c r="B934" t="s">
        <v>4171</v>
      </c>
      <c r="C934" t="s">
        <v>3067</v>
      </c>
      <c r="D934" t="s">
        <v>41</v>
      </c>
      <c r="E934" t="s">
        <v>1349</v>
      </c>
      <c r="F934" t="s">
        <v>4118</v>
      </c>
      <c r="G934" t="s">
        <v>6354</v>
      </c>
      <c r="H934" t="s">
        <v>525</v>
      </c>
      <c r="I934">
        <v>0</v>
      </c>
    </row>
    <row r="935" spans="1:9" x14ac:dyDescent="0.25">
      <c r="A935" t="s">
        <v>4172</v>
      </c>
      <c r="B935" t="s">
        <v>4173</v>
      </c>
      <c r="C935" t="s">
        <v>3042</v>
      </c>
      <c r="D935" t="s">
        <v>41</v>
      </c>
      <c r="E935" t="s">
        <v>1349</v>
      </c>
      <c r="F935" t="s">
        <v>4174</v>
      </c>
      <c r="G935" t="s">
        <v>6362</v>
      </c>
      <c r="H935" t="s">
        <v>74</v>
      </c>
      <c r="I935">
        <v>0</v>
      </c>
    </row>
    <row r="936" spans="1:9" x14ac:dyDescent="0.25">
      <c r="A936" t="s">
        <v>4175</v>
      </c>
      <c r="B936" t="s">
        <v>4176</v>
      </c>
      <c r="C936" t="s">
        <v>3067</v>
      </c>
      <c r="D936" t="s">
        <v>41</v>
      </c>
      <c r="E936" t="s">
        <v>1349</v>
      </c>
      <c r="F936" t="s">
        <v>4177</v>
      </c>
      <c r="G936" t="s">
        <v>6363</v>
      </c>
      <c r="H936" t="s">
        <v>788</v>
      </c>
      <c r="I936">
        <v>0</v>
      </c>
    </row>
    <row r="937" spans="1:9" x14ac:dyDescent="0.25">
      <c r="A937" t="s">
        <v>4178</v>
      </c>
      <c r="B937" t="s">
        <v>4179</v>
      </c>
      <c r="C937" t="s">
        <v>3067</v>
      </c>
      <c r="D937" t="s">
        <v>41</v>
      </c>
      <c r="E937" t="s">
        <v>1349</v>
      </c>
      <c r="F937" t="s">
        <v>4180</v>
      </c>
      <c r="G937" t="s">
        <v>6364</v>
      </c>
      <c r="H937" t="s">
        <v>4181</v>
      </c>
      <c r="I937">
        <v>0</v>
      </c>
    </row>
    <row r="938" spans="1:9" x14ac:dyDescent="0.25">
      <c r="A938" t="s">
        <v>4182</v>
      </c>
      <c r="B938" t="s">
        <v>4183</v>
      </c>
      <c r="C938" t="s">
        <v>3067</v>
      </c>
      <c r="D938" t="s">
        <v>41</v>
      </c>
      <c r="E938" t="s">
        <v>1349</v>
      </c>
      <c r="F938" t="s">
        <v>4118</v>
      </c>
      <c r="G938" t="s">
        <v>6354</v>
      </c>
      <c r="H938" t="s">
        <v>525</v>
      </c>
      <c r="I938">
        <v>0</v>
      </c>
    </row>
    <row r="939" spans="1:9" x14ac:dyDescent="0.25">
      <c r="A939" t="s">
        <v>4184</v>
      </c>
      <c r="B939" t="s">
        <v>4185</v>
      </c>
      <c r="C939" t="s">
        <v>3067</v>
      </c>
      <c r="D939" t="s">
        <v>41</v>
      </c>
      <c r="E939" t="s">
        <v>1349</v>
      </c>
      <c r="F939" t="s">
        <v>4133</v>
      </c>
      <c r="G939" t="s">
        <v>6358</v>
      </c>
      <c r="H939" t="s">
        <v>4134</v>
      </c>
      <c r="I939">
        <v>0</v>
      </c>
    </row>
    <row r="940" spans="1:9" x14ac:dyDescent="0.25">
      <c r="A940" t="s">
        <v>4186</v>
      </c>
      <c r="B940" t="s">
        <v>4187</v>
      </c>
      <c r="C940" t="s">
        <v>3067</v>
      </c>
      <c r="D940" t="s">
        <v>41</v>
      </c>
      <c r="E940" t="s">
        <v>1349</v>
      </c>
      <c r="F940" t="s">
        <v>4188</v>
      </c>
      <c r="G940" t="s">
        <v>6365</v>
      </c>
      <c r="H940">
        <v>0</v>
      </c>
      <c r="I940">
        <v>0</v>
      </c>
    </row>
    <row r="941" spans="1:9" x14ac:dyDescent="0.25">
      <c r="A941" t="s">
        <v>4189</v>
      </c>
      <c r="B941" t="s">
        <v>4190</v>
      </c>
      <c r="C941" t="s">
        <v>3067</v>
      </c>
      <c r="D941" t="s">
        <v>41</v>
      </c>
      <c r="E941" t="s">
        <v>1349</v>
      </c>
      <c r="F941" t="s">
        <v>4191</v>
      </c>
      <c r="G941" t="s">
        <v>6366</v>
      </c>
      <c r="H941">
        <v>0</v>
      </c>
      <c r="I941">
        <v>0</v>
      </c>
    </row>
    <row r="942" spans="1:9" x14ac:dyDescent="0.25">
      <c r="A942" t="s">
        <v>4192</v>
      </c>
      <c r="B942" t="s">
        <v>4193</v>
      </c>
      <c r="C942" t="s">
        <v>3067</v>
      </c>
      <c r="D942" t="s">
        <v>41</v>
      </c>
      <c r="E942" t="s">
        <v>1349</v>
      </c>
      <c r="F942" t="s">
        <v>4194</v>
      </c>
      <c r="G942" t="s">
        <v>6367</v>
      </c>
      <c r="H942" t="s">
        <v>4195</v>
      </c>
      <c r="I942">
        <v>0</v>
      </c>
    </row>
    <row r="943" spans="1:9" x14ac:dyDescent="0.25">
      <c r="A943" t="s">
        <v>4196</v>
      </c>
      <c r="B943" t="s">
        <v>4197</v>
      </c>
      <c r="C943" t="s">
        <v>3067</v>
      </c>
      <c r="D943" t="s">
        <v>41</v>
      </c>
      <c r="E943" t="s">
        <v>1349</v>
      </c>
      <c r="F943" t="s">
        <v>4141</v>
      </c>
      <c r="G943" t="s">
        <v>6359</v>
      </c>
      <c r="H943" t="s">
        <v>4142</v>
      </c>
      <c r="I943">
        <v>0</v>
      </c>
    </row>
    <row r="944" spans="1:9" x14ac:dyDescent="0.25">
      <c r="A944" t="s">
        <v>4198</v>
      </c>
      <c r="B944" t="s">
        <v>4199</v>
      </c>
      <c r="C944" t="s">
        <v>3067</v>
      </c>
      <c r="D944" t="s">
        <v>41</v>
      </c>
      <c r="E944" t="s">
        <v>1349</v>
      </c>
      <c r="F944" t="s">
        <v>4194</v>
      </c>
      <c r="G944" t="s">
        <v>6367</v>
      </c>
      <c r="H944" t="s">
        <v>4195</v>
      </c>
      <c r="I944">
        <v>0</v>
      </c>
    </row>
    <row r="945" spans="1:9" x14ac:dyDescent="0.25">
      <c r="A945" t="s">
        <v>4200</v>
      </c>
      <c r="B945" t="s">
        <v>4201</v>
      </c>
      <c r="C945" t="s">
        <v>3067</v>
      </c>
      <c r="D945" t="s">
        <v>41</v>
      </c>
      <c r="E945" t="s">
        <v>1349</v>
      </c>
      <c r="F945" t="s">
        <v>4202</v>
      </c>
      <c r="G945" t="s">
        <v>6368</v>
      </c>
      <c r="H945" t="s">
        <v>4203</v>
      </c>
      <c r="I945">
        <v>0</v>
      </c>
    </row>
    <row r="946" spans="1:9" x14ac:dyDescent="0.25">
      <c r="A946" t="s">
        <v>4204</v>
      </c>
      <c r="B946" t="s">
        <v>4205</v>
      </c>
      <c r="C946" t="s">
        <v>3067</v>
      </c>
      <c r="D946" t="s">
        <v>41</v>
      </c>
      <c r="E946" t="s">
        <v>1349</v>
      </c>
      <c r="F946" t="s">
        <v>4202</v>
      </c>
      <c r="G946" t="s">
        <v>6368</v>
      </c>
      <c r="H946" t="s">
        <v>4203</v>
      </c>
      <c r="I946">
        <v>0</v>
      </c>
    </row>
    <row r="947" spans="1:9" x14ac:dyDescent="0.25">
      <c r="A947" t="s">
        <v>4206</v>
      </c>
      <c r="B947" t="s">
        <v>4207</v>
      </c>
      <c r="C947" t="s">
        <v>3067</v>
      </c>
      <c r="D947" t="s">
        <v>41</v>
      </c>
      <c r="E947" t="s">
        <v>1349</v>
      </c>
      <c r="F947" t="s">
        <v>4121</v>
      </c>
      <c r="G947" t="s">
        <v>6355</v>
      </c>
      <c r="H947">
        <v>0</v>
      </c>
      <c r="I947" t="s">
        <v>4122</v>
      </c>
    </row>
    <row r="948" spans="1:9" x14ac:dyDescent="0.25">
      <c r="A948" t="s">
        <v>4208</v>
      </c>
      <c r="B948" t="s">
        <v>4209</v>
      </c>
      <c r="C948" t="s">
        <v>3067</v>
      </c>
      <c r="D948" t="s">
        <v>41</v>
      </c>
      <c r="E948" t="s">
        <v>1349</v>
      </c>
      <c r="F948" t="s">
        <v>4121</v>
      </c>
      <c r="G948" t="s">
        <v>6355</v>
      </c>
      <c r="H948">
        <v>0</v>
      </c>
      <c r="I948" t="s">
        <v>4122</v>
      </c>
    </row>
    <row r="949" spans="1:9" x14ac:dyDescent="0.25">
      <c r="A949" t="s">
        <v>4210</v>
      </c>
      <c r="B949" t="s">
        <v>3852</v>
      </c>
      <c r="C949" t="s">
        <v>3067</v>
      </c>
      <c r="D949" t="s">
        <v>41</v>
      </c>
      <c r="E949" t="s">
        <v>1349</v>
      </c>
      <c r="F949" t="s">
        <v>4114</v>
      </c>
      <c r="G949" t="s">
        <v>6353</v>
      </c>
      <c r="H949" t="s">
        <v>4115</v>
      </c>
      <c r="I949">
        <v>0</v>
      </c>
    </row>
    <row r="950" spans="1:9" x14ac:dyDescent="0.25">
      <c r="A950" t="s">
        <v>4211</v>
      </c>
      <c r="B950" t="s">
        <v>4212</v>
      </c>
      <c r="C950" t="s">
        <v>3067</v>
      </c>
      <c r="D950" t="s">
        <v>41</v>
      </c>
      <c r="E950" t="s">
        <v>1349</v>
      </c>
      <c r="F950" t="s">
        <v>4188</v>
      </c>
      <c r="G950" t="s">
        <v>6365</v>
      </c>
      <c r="H950">
        <v>0</v>
      </c>
      <c r="I950">
        <v>0</v>
      </c>
    </row>
    <row r="951" spans="1:9" x14ac:dyDescent="0.25">
      <c r="A951" t="s">
        <v>4213</v>
      </c>
      <c r="B951" t="s">
        <v>4214</v>
      </c>
      <c r="C951" t="s">
        <v>3067</v>
      </c>
      <c r="D951" t="s">
        <v>41</v>
      </c>
      <c r="E951" t="s">
        <v>1349</v>
      </c>
      <c r="F951" t="s">
        <v>4180</v>
      </c>
      <c r="G951" t="s">
        <v>6364</v>
      </c>
      <c r="H951" t="s">
        <v>4181</v>
      </c>
      <c r="I951">
        <v>0</v>
      </c>
    </row>
    <row r="952" spans="1:9" x14ac:dyDescent="0.25">
      <c r="A952" t="s">
        <v>4215</v>
      </c>
      <c r="B952" t="s">
        <v>4216</v>
      </c>
      <c r="C952" t="s">
        <v>3067</v>
      </c>
      <c r="D952" t="s">
        <v>41</v>
      </c>
      <c r="E952" t="s">
        <v>1349</v>
      </c>
      <c r="F952" t="s">
        <v>4107</v>
      </c>
      <c r="G952" t="s">
        <v>6351</v>
      </c>
      <c r="H952" t="s">
        <v>784</v>
      </c>
      <c r="I952">
        <v>0</v>
      </c>
    </row>
    <row r="953" spans="1:9" x14ac:dyDescent="0.25">
      <c r="A953" t="s">
        <v>4217</v>
      </c>
      <c r="B953" t="s">
        <v>4218</v>
      </c>
      <c r="C953" t="s">
        <v>3067</v>
      </c>
      <c r="D953" t="s">
        <v>41</v>
      </c>
      <c r="E953" t="s">
        <v>1349</v>
      </c>
      <c r="F953" t="s">
        <v>4161</v>
      </c>
      <c r="G953" t="s">
        <v>6361</v>
      </c>
      <c r="H953" t="s">
        <v>786</v>
      </c>
      <c r="I953">
        <v>0</v>
      </c>
    </row>
    <row r="954" spans="1:9" x14ac:dyDescent="0.25">
      <c r="A954" t="s">
        <v>4219</v>
      </c>
      <c r="B954" t="s">
        <v>4220</v>
      </c>
      <c r="C954" t="s">
        <v>3067</v>
      </c>
      <c r="D954" t="s">
        <v>41</v>
      </c>
      <c r="E954" t="s">
        <v>1349</v>
      </c>
      <c r="F954" t="s">
        <v>4194</v>
      </c>
      <c r="G954" t="s">
        <v>6367</v>
      </c>
      <c r="H954" t="s">
        <v>4195</v>
      </c>
      <c r="I954">
        <v>0</v>
      </c>
    </row>
    <row r="955" spans="1:9" x14ac:dyDescent="0.25">
      <c r="A955" t="s">
        <v>4221</v>
      </c>
      <c r="B955" t="s">
        <v>4222</v>
      </c>
      <c r="C955" t="s">
        <v>3067</v>
      </c>
      <c r="D955" t="s">
        <v>41</v>
      </c>
      <c r="E955" t="s">
        <v>1349</v>
      </c>
      <c r="F955" t="s">
        <v>4125</v>
      </c>
      <c r="G955" t="s">
        <v>6356</v>
      </c>
      <c r="H955" t="s">
        <v>4126</v>
      </c>
      <c r="I955">
        <v>0</v>
      </c>
    </row>
    <row r="956" spans="1:9" x14ac:dyDescent="0.25">
      <c r="A956" t="s">
        <v>4223</v>
      </c>
      <c r="B956" t="s">
        <v>4224</v>
      </c>
      <c r="C956" t="s">
        <v>3067</v>
      </c>
      <c r="D956" t="s">
        <v>41</v>
      </c>
      <c r="E956" t="s">
        <v>1349</v>
      </c>
      <c r="F956" t="s">
        <v>4114</v>
      </c>
      <c r="G956" t="s">
        <v>6353</v>
      </c>
      <c r="H956" t="s">
        <v>4115</v>
      </c>
      <c r="I956">
        <v>0</v>
      </c>
    </row>
    <row r="957" spans="1:9" x14ac:dyDescent="0.25">
      <c r="A957" t="s">
        <v>4225</v>
      </c>
      <c r="B957" t="s">
        <v>4226</v>
      </c>
      <c r="C957" t="s">
        <v>3067</v>
      </c>
      <c r="D957" t="s">
        <v>41</v>
      </c>
      <c r="E957" t="s">
        <v>1349</v>
      </c>
      <c r="F957" t="s">
        <v>4180</v>
      </c>
      <c r="G957" t="s">
        <v>6364</v>
      </c>
      <c r="H957" t="s">
        <v>4181</v>
      </c>
      <c r="I957">
        <v>0</v>
      </c>
    </row>
    <row r="958" spans="1:9" x14ac:dyDescent="0.25">
      <c r="A958" t="s">
        <v>4227</v>
      </c>
      <c r="B958" t="s">
        <v>4228</v>
      </c>
      <c r="C958" t="s">
        <v>3067</v>
      </c>
      <c r="D958" t="s">
        <v>41</v>
      </c>
      <c r="E958" t="s">
        <v>1349</v>
      </c>
      <c r="F958" t="s">
        <v>4141</v>
      </c>
      <c r="G958" t="s">
        <v>6359</v>
      </c>
      <c r="H958" t="s">
        <v>4142</v>
      </c>
      <c r="I958">
        <v>0</v>
      </c>
    </row>
    <row r="959" spans="1:9" x14ac:dyDescent="0.25">
      <c r="A959" t="s">
        <v>4229</v>
      </c>
      <c r="B959" t="s">
        <v>4230</v>
      </c>
      <c r="C959" t="s">
        <v>3067</v>
      </c>
      <c r="D959" t="s">
        <v>41</v>
      </c>
      <c r="E959" t="s">
        <v>1349</v>
      </c>
      <c r="F959" t="s">
        <v>4191</v>
      </c>
      <c r="G959" t="s">
        <v>6366</v>
      </c>
      <c r="H959">
        <v>0</v>
      </c>
      <c r="I959">
        <v>0</v>
      </c>
    </row>
    <row r="960" spans="1:9" x14ac:dyDescent="0.25">
      <c r="A960" t="s">
        <v>4231</v>
      </c>
      <c r="B960" t="s">
        <v>4232</v>
      </c>
      <c r="C960" t="s">
        <v>3067</v>
      </c>
      <c r="D960" t="s">
        <v>41</v>
      </c>
      <c r="E960" t="s">
        <v>1349</v>
      </c>
      <c r="F960" t="s">
        <v>4233</v>
      </c>
      <c r="G960" t="s">
        <v>6369</v>
      </c>
      <c r="H960" t="s">
        <v>4234</v>
      </c>
      <c r="I960">
        <v>0</v>
      </c>
    </row>
    <row r="961" spans="1:9" x14ac:dyDescent="0.25">
      <c r="A961" t="s">
        <v>4235</v>
      </c>
      <c r="B961" t="s">
        <v>4236</v>
      </c>
      <c r="C961" t="s">
        <v>3067</v>
      </c>
      <c r="D961" t="s">
        <v>41</v>
      </c>
      <c r="E961" t="s">
        <v>1349</v>
      </c>
      <c r="F961" t="s">
        <v>4233</v>
      </c>
      <c r="G961" t="s">
        <v>6369</v>
      </c>
      <c r="H961" t="s">
        <v>4234</v>
      </c>
      <c r="I961">
        <v>0</v>
      </c>
    </row>
    <row r="962" spans="1:9" x14ac:dyDescent="0.25">
      <c r="A962" t="s">
        <v>4237</v>
      </c>
      <c r="B962" t="s">
        <v>4238</v>
      </c>
      <c r="C962" t="s">
        <v>3067</v>
      </c>
      <c r="D962" t="s">
        <v>41</v>
      </c>
      <c r="E962" t="s">
        <v>1349</v>
      </c>
      <c r="F962" t="s">
        <v>4202</v>
      </c>
      <c r="G962" t="s">
        <v>6368</v>
      </c>
      <c r="H962" t="s">
        <v>4203</v>
      </c>
      <c r="I962">
        <v>0</v>
      </c>
    </row>
    <row r="963" spans="1:9" x14ac:dyDescent="0.25">
      <c r="A963" t="s">
        <v>4239</v>
      </c>
      <c r="B963" t="s">
        <v>4240</v>
      </c>
      <c r="C963" t="s">
        <v>3042</v>
      </c>
      <c r="D963" t="s">
        <v>41</v>
      </c>
      <c r="E963" t="s">
        <v>1349</v>
      </c>
      <c r="F963" t="s">
        <v>4174</v>
      </c>
      <c r="G963" t="s">
        <v>6362</v>
      </c>
      <c r="H963" t="s">
        <v>74</v>
      </c>
      <c r="I963">
        <v>0</v>
      </c>
    </row>
    <row r="964" spans="1:9" x14ac:dyDescent="0.25">
      <c r="A964" t="s">
        <v>4241</v>
      </c>
      <c r="B964" t="s">
        <v>4242</v>
      </c>
      <c r="C964" t="s">
        <v>3067</v>
      </c>
      <c r="D964" t="s">
        <v>41</v>
      </c>
      <c r="E964" t="s">
        <v>1349</v>
      </c>
      <c r="F964" t="s">
        <v>4180</v>
      </c>
      <c r="G964" t="s">
        <v>6364</v>
      </c>
      <c r="H964" t="s">
        <v>4181</v>
      </c>
      <c r="I964">
        <v>0</v>
      </c>
    </row>
    <row r="965" spans="1:9" x14ac:dyDescent="0.25">
      <c r="A965" t="s">
        <v>4243</v>
      </c>
      <c r="B965" t="s">
        <v>4244</v>
      </c>
      <c r="C965" t="s">
        <v>4245</v>
      </c>
      <c r="D965" t="s">
        <v>1388</v>
      </c>
      <c r="E965" t="s">
        <v>1349</v>
      </c>
      <c r="F965" t="s">
        <v>4246</v>
      </c>
      <c r="G965" t="s">
        <v>6370</v>
      </c>
      <c r="H965">
        <v>0</v>
      </c>
      <c r="I965">
        <v>0</v>
      </c>
    </row>
    <row r="966" spans="1:9" x14ac:dyDescent="0.25">
      <c r="A966" t="s">
        <v>4247</v>
      </c>
      <c r="B966" t="s">
        <v>4248</v>
      </c>
      <c r="C966" t="s">
        <v>4245</v>
      </c>
      <c r="D966" t="s">
        <v>1388</v>
      </c>
      <c r="E966" t="s">
        <v>1349</v>
      </c>
      <c r="F966" t="s">
        <v>4249</v>
      </c>
      <c r="G966" t="s">
        <v>6371</v>
      </c>
      <c r="H966">
        <v>0</v>
      </c>
      <c r="I966">
        <v>0</v>
      </c>
    </row>
    <row r="967" spans="1:9" x14ac:dyDescent="0.25">
      <c r="A967" t="s">
        <v>4250</v>
      </c>
      <c r="B967" t="s">
        <v>4251</v>
      </c>
      <c r="C967" t="s">
        <v>4245</v>
      </c>
      <c r="D967" t="s">
        <v>1388</v>
      </c>
      <c r="E967" t="s">
        <v>1349</v>
      </c>
      <c r="F967" t="s">
        <v>4252</v>
      </c>
      <c r="G967" t="s">
        <v>6372</v>
      </c>
      <c r="H967" t="s">
        <v>4253</v>
      </c>
      <c r="I967">
        <v>0</v>
      </c>
    </row>
    <row r="968" spans="1:9" x14ac:dyDescent="0.25">
      <c r="A968" t="s">
        <v>4254</v>
      </c>
      <c r="B968" t="s">
        <v>4255</v>
      </c>
      <c r="C968" t="s">
        <v>4245</v>
      </c>
      <c r="D968" t="s">
        <v>1388</v>
      </c>
      <c r="E968" t="s">
        <v>1349</v>
      </c>
      <c r="F968" t="s">
        <v>4256</v>
      </c>
      <c r="G968" t="s">
        <v>6373</v>
      </c>
      <c r="H968" t="s">
        <v>4253</v>
      </c>
      <c r="I968">
        <v>0</v>
      </c>
    </row>
    <row r="969" spans="1:9" x14ac:dyDescent="0.25">
      <c r="A969" t="s">
        <v>4257</v>
      </c>
      <c r="B969" t="s">
        <v>4258</v>
      </c>
      <c r="C969" t="s">
        <v>4245</v>
      </c>
      <c r="D969" t="s">
        <v>1388</v>
      </c>
      <c r="E969" t="s">
        <v>1349</v>
      </c>
      <c r="F969" t="s">
        <v>4259</v>
      </c>
      <c r="G969" t="s">
        <v>6374</v>
      </c>
      <c r="H969" t="s">
        <v>4253</v>
      </c>
      <c r="I969">
        <v>0</v>
      </c>
    </row>
    <row r="970" spans="1:9" x14ac:dyDescent="0.25">
      <c r="A970" t="s">
        <v>4260</v>
      </c>
      <c r="B970" t="s">
        <v>4261</v>
      </c>
      <c r="C970" t="s">
        <v>4245</v>
      </c>
      <c r="D970" t="s">
        <v>1388</v>
      </c>
      <c r="E970" t="s">
        <v>1349</v>
      </c>
      <c r="F970" t="s">
        <v>4262</v>
      </c>
      <c r="G970" t="s">
        <v>6375</v>
      </c>
      <c r="H970">
        <v>0</v>
      </c>
      <c r="I970">
        <v>0</v>
      </c>
    </row>
    <row r="971" spans="1:9" x14ac:dyDescent="0.25">
      <c r="A971" t="s">
        <v>4263</v>
      </c>
      <c r="B971" t="s">
        <v>4264</v>
      </c>
      <c r="C971" t="s">
        <v>4245</v>
      </c>
      <c r="D971" t="s">
        <v>1388</v>
      </c>
      <c r="E971" t="s">
        <v>1349</v>
      </c>
      <c r="F971" t="s">
        <v>4265</v>
      </c>
      <c r="G971" t="s">
        <v>6376</v>
      </c>
      <c r="H971" t="s">
        <v>4266</v>
      </c>
      <c r="I971">
        <v>0</v>
      </c>
    </row>
    <row r="972" spans="1:9" x14ac:dyDescent="0.25">
      <c r="A972" t="s">
        <v>4267</v>
      </c>
      <c r="B972" t="s">
        <v>4268</v>
      </c>
      <c r="C972" t="s">
        <v>4245</v>
      </c>
      <c r="D972" t="s">
        <v>1388</v>
      </c>
      <c r="E972" t="s">
        <v>1349</v>
      </c>
      <c r="F972" t="s">
        <v>4269</v>
      </c>
      <c r="G972" t="s">
        <v>6377</v>
      </c>
      <c r="H972" t="s">
        <v>4266</v>
      </c>
      <c r="I972">
        <v>0</v>
      </c>
    </row>
    <row r="973" spans="1:9" x14ac:dyDescent="0.25">
      <c r="A973" t="s">
        <v>4270</v>
      </c>
      <c r="B973" t="s">
        <v>4271</v>
      </c>
      <c r="C973" t="s">
        <v>4245</v>
      </c>
      <c r="D973" t="s">
        <v>1388</v>
      </c>
      <c r="E973" t="s">
        <v>1349</v>
      </c>
      <c r="F973" t="s">
        <v>4272</v>
      </c>
      <c r="G973" t="s">
        <v>6378</v>
      </c>
      <c r="H973">
        <v>0</v>
      </c>
      <c r="I973">
        <v>0</v>
      </c>
    </row>
    <row r="974" spans="1:9" x14ac:dyDescent="0.25">
      <c r="A974" t="s">
        <v>4273</v>
      </c>
      <c r="B974" t="s">
        <v>4274</v>
      </c>
      <c r="C974" t="s">
        <v>4245</v>
      </c>
      <c r="D974" t="s">
        <v>1388</v>
      </c>
      <c r="E974" t="s">
        <v>1349</v>
      </c>
      <c r="F974" t="s">
        <v>4275</v>
      </c>
      <c r="G974" t="s">
        <v>6379</v>
      </c>
      <c r="H974">
        <v>0</v>
      </c>
      <c r="I974">
        <v>0</v>
      </c>
    </row>
    <row r="975" spans="1:9" x14ac:dyDescent="0.25">
      <c r="A975" t="s">
        <v>4276</v>
      </c>
      <c r="B975" t="s">
        <v>4277</v>
      </c>
      <c r="C975" t="s">
        <v>4245</v>
      </c>
      <c r="D975" t="s">
        <v>1388</v>
      </c>
      <c r="E975" t="s">
        <v>1349</v>
      </c>
      <c r="F975" t="s">
        <v>4278</v>
      </c>
      <c r="G975" t="s">
        <v>6380</v>
      </c>
      <c r="H975">
        <v>0</v>
      </c>
      <c r="I975">
        <v>0</v>
      </c>
    </row>
    <row r="976" spans="1:9" x14ac:dyDescent="0.25">
      <c r="A976" t="s">
        <v>4279</v>
      </c>
      <c r="B976" t="s">
        <v>4280</v>
      </c>
      <c r="C976" t="s">
        <v>4245</v>
      </c>
      <c r="D976" t="s">
        <v>1388</v>
      </c>
      <c r="E976" t="s">
        <v>1349</v>
      </c>
      <c r="F976" t="s">
        <v>4281</v>
      </c>
      <c r="G976" t="s">
        <v>6381</v>
      </c>
      <c r="H976">
        <v>0</v>
      </c>
      <c r="I976">
        <v>0</v>
      </c>
    </row>
    <row r="977" spans="1:9" x14ac:dyDescent="0.25">
      <c r="A977" t="s">
        <v>4282</v>
      </c>
      <c r="B977" t="s">
        <v>4283</v>
      </c>
      <c r="C977" t="s">
        <v>4245</v>
      </c>
      <c r="D977" t="s">
        <v>1388</v>
      </c>
      <c r="E977" t="s">
        <v>1349</v>
      </c>
      <c r="F977" t="s">
        <v>4284</v>
      </c>
      <c r="G977" t="s">
        <v>6382</v>
      </c>
      <c r="H977" t="s">
        <v>4253</v>
      </c>
      <c r="I977">
        <v>0</v>
      </c>
    </row>
    <row r="978" spans="1:9" x14ac:dyDescent="0.25">
      <c r="A978" t="s">
        <v>4285</v>
      </c>
      <c r="B978" t="s">
        <v>4286</v>
      </c>
      <c r="C978" t="s">
        <v>4245</v>
      </c>
      <c r="D978" t="s">
        <v>1388</v>
      </c>
      <c r="E978" t="s">
        <v>1349</v>
      </c>
      <c r="F978" t="s">
        <v>4287</v>
      </c>
      <c r="G978" t="s">
        <v>6383</v>
      </c>
      <c r="H978">
        <v>0</v>
      </c>
      <c r="I978">
        <v>0</v>
      </c>
    </row>
    <row r="979" spans="1:9" x14ac:dyDescent="0.25">
      <c r="A979" t="s">
        <v>4288</v>
      </c>
      <c r="B979" t="s">
        <v>4289</v>
      </c>
      <c r="C979" t="s">
        <v>4245</v>
      </c>
      <c r="D979" t="s">
        <v>1388</v>
      </c>
      <c r="E979" t="s">
        <v>1349</v>
      </c>
      <c r="F979" t="s">
        <v>4290</v>
      </c>
      <c r="G979" t="s">
        <v>6384</v>
      </c>
      <c r="H979">
        <v>0</v>
      </c>
      <c r="I979">
        <v>0</v>
      </c>
    </row>
    <row r="980" spans="1:9" x14ac:dyDescent="0.25">
      <c r="A980" t="s">
        <v>4291</v>
      </c>
      <c r="B980" t="s">
        <v>4292</v>
      </c>
      <c r="C980" t="s">
        <v>4245</v>
      </c>
      <c r="D980" t="s">
        <v>1388</v>
      </c>
      <c r="E980" t="s">
        <v>1349</v>
      </c>
      <c r="F980" t="s">
        <v>4293</v>
      </c>
      <c r="G980" t="s">
        <v>6385</v>
      </c>
      <c r="H980">
        <v>0</v>
      </c>
      <c r="I980">
        <v>0</v>
      </c>
    </row>
    <row r="981" spans="1:9" x14ac:dyDescent="0.25">
      <c r="A981" t="s">
        <v>4294</v>
      </c>
      <c r="B981" t="s">
        <v>4295</v>
      </c>
      <c r="C981" t="s">
        <v>4245</v>
      </c>
      <c r="D981" t="s">
        <v>1388</v>
      </c>
      <c r="E981" t="s">
        <v>1349</v>
      </c>
      <c r="F981" t="s">
        <v>4296</v>
      </c>
      <c r="G981" t="s">
        <v>6386</v>
      </c>
      <c r="H981">
        <v>0</v>
      </c>
      <c r="I981">
        <v>0</v>
      </c>
    </row>
    <row r="982" spans="1:9" x14ac:dyDescent="0.25">
      <c r="A982" t="s">
        <v>4297</v>
      </c>
      <c r="B982" t="s">
        <v>4298</v>
      </c>
      <c r="C982" t="s">
        <v>4245</v>
      </c>
      <c r="D982" t="s">
        <v>1388</v>
      </c>
      <c r="E982" t="s">
        <v>1349</v>
      </c>
      <c r="F982" t="s">
        <v>4299</v>
      </c>
      <c r="G982" t="s">
        <v>6387</v>
      </c>
      <c r="H982">
        <v>0</v>
      </c>
      <c r="I982">
        <v>0</v>
      </c>
    </row>
    <row r="983" spans="1:9" x14ac:dyDescent="0.25">
      <c r="A983" t="s">
        <v>4300</v>
      </c>
      <c r="B983" t="s">
        <v>4301</v>
      </c>
      <c r="C983" t="s">
        <v>4245</v>
      </c>
      <c r="D983" t="s">
        <v>1388</v>
      </c>
      <c r="E983" t="s">
        <v>1349</v>
      </c>
      <c r="F983" t="s">
        <v>4302</v>
      </c>
      <c r="G983" t="s">
        <v>6388</v>
      </c>
      <c r="H983" t="s">
        <v>4266</v>
      </c>
      <c r="I983">
        <v>0</v>
      </c>
    </row>
    <row r="984" spans="1:9" x14ac:dyDescent="0.25">
      <c r="A984" t="s">
        <v>4303</v>
      </c>
      <c r="B984" t="s">
        <v>4304</v>
      </c>
      <c r="C984" t="s">
        <v>4245</v>
      </c>
      <c r="D984" t="s">
        <v>1388</v>
      </c>
      <c r="E984" t="s">
        <v>1349</v>
      </c>
      <c r="F984" t="s">
        <v>4305</v>
      </c>
      <c r="G984" t="s">
        <v>6389</v>
      </c>
      <c r="H984" t="s">
        <v>4266</v>
      </c>
      <c r="I984">
        <v>0</v>
      </c>
    </row>
    <row r="985" spans="1:9" x14ac:dyDescent="0.25">
      <c r="A985" t="s">
        <v>4306</v>
      </c>
      <c r="B985" t="s">
        <v>4307</v>
      </c>
      <c r="C985" t="s">
        <v>4245</v>
      </c>
      <c r="D985" t="s">
        <v>1388</v>
      </c>
      <c r="E985" t="s">
        <v>1349</v>
      </c>
      <c r="F985" t="s">
        <v>4308</v>
      </c>
      <c r="G985" t="s">
        <v>6390</v>
      </c>
      <c r="H985" t="s">
        <v>4266</v>
      </c>
      <c r="I985">
        <v>0</v>
      </c>
    </row>
    <row r="986" spans="1:9" x14ac:dyDescent="0.25">
      <c r="A986" t="s">
        <v>4309</v>
      </c>
      <c r="B986" t="s">
        <v>4310</v>
      </c>
      <c r="C986" t="s">
        <v>4311</v>
      </c>
      <c r="D986" t="s">
        <v>2766</v>
      </c>
      <c r="E986" t="s">
        <v>1298</v>
      </c>
      <c r="F986" t="s">
        <v>4312</v>
      </c>
      <c r="G986" t="s">
        <v>6391</v>
      </c>
      <c r="H986" t="s">
        <v>4313</v>
      </c>
      <c r="I986">
        <v>0</v>
      </c>
    </row>
    <row r="987" spans="1:9" x14ac:dyDescent="0.25">
      <c r="A987" t="s">
        <v>4314</v>
      </c>
      <c r="B987" t="s">
        <v>4315</v>
      </c>
      <c r="C987" t="s">
        <v>4311</v>
      </c>
      <c r="D987" t="s">
        <v>2766</v>
      </c>
      <c r="E987" t="s">
        <v>1298</v>
      </c>
      <c r="F987" t="s">
        <v>4316</v>
      </c>
      <c r="G987" t="s">
        <v>6392</v>
      </c>
      <c r="H987" t="s">
        <v>4317</v>
      </c>
      <c r="I987" t="s">
        <v>4318</v>
      </c>
    </row>
    <row r="988" spans="1:9" x14ac:dyDescent="0.25">
      <c r="A988" t="s">
        <v>4319</v>
      </c>
      <c r="B988" t="s">
        <v>4320</v>
      </c>
      <c r="C988" t="s">
        <v>4311</v>
      </c>
      <c r="D988" t="s">
        <v>2766</v>
      </c>
      <c r="E988" t="s">
        <v>1298</v>
      </c>
      <c r="F988" t="s">
        <v>4321</v>
      </c>
      <c r="G988" t="s">
        <v>6393</v>
      </c>
      <c r="H988">
        <v>0</v>
      </c>
      <c r="I988" t="s">
        <v>4322</v>
      </c>
    </row>
    <row r="989" spans="1:9" x14ac:dyDescent="0.25">
      <c r="A989" t="s">
        <v>4323</v>
      </c>
      <c r="B989" t="s">
        <v>4324</v>
      </c>
      <c r="C989" t="s">
        <v>4311</v>
      </c>
      <c r="D989" t="s">
        <v>2766</v>
      </c>
      <c r="E989" t="s">
        <v>1298</v>
      </c>
      <c r="F989" t="s">
        <v>4321</v>
      </c>
      <c r="G989" t="s">
        <v>6393</v>
      </c>
      <c r="H989">
        <v>0</v>
      </c>
      <c r="I989" t="s">
        <v>4322</v>
      </c>
    </row>
    <row r="990" spans="1:9" x14ac:dyDescent="0.25">
      <c r="A990" t="s">
        <v>4325</v>
      </c>
      <c r="B990" t="s">
        <v>4326</v>
      </c>
      <c r="C990" t="s">
        <v>4311</v>
      </c>
      <c r="D990" t="s">
        <v>2766</v>
      </c>
      <c r="E990" t="s">
        <v>1298</v>
      </c>
      <c r="F990" t="s">
        <v>4327</v>
      </c>
      <c r="G990" t="s">
        <v>6394</v>
      </c>
      <c r="H990" t="s">
        <v>4317</v>
      </c>
      <c r="I990" t="s">
        <v>4328</v>
      </c>
    </row>
    <row r="991" spans="1:9" x14ac:dyDescent="0.25">
      <c r="A991" t="s">
        <v>4329</v>
      </c>
      <c r="B991" t="s">
        <v>4330</v>
      </c>
      <c r="C991" t="s">
        <v>4311</v>
      </c>
      <c r="D991" t="s">
        <v>2766</v>
      </c>
      <c r="E991" t="s">
        <v>1298</v>
      </c>
      <c r="F991" t="s">
        <v>4316</v>
      </c>
      <c r="G991" t="s">
        <v>6392</v>
      </c>
      <c r="H991" t="s">
        <v>4317</v>
      </c>
      <c r="I991" t="s">
        <v>4318</v>
      </c>
    </row>
    <row r="992" spans="1:9" x14ac:dyDescent="0.25">
      <c r="A992" t="s">
        <v>4331</v>
      </c>
      <c r="B992" t="s">
        <v>4332</v>
      </c>
      <c r="C992" t="s">
        <v>4311</v>
      </c>
      <c r="D992" t="s">
        <v>2766</v>
      </c>
      <c r="E992" t="s">
        <v>1298</v>
      </c>
      <c r="F992" t="s">
        <v>4333</v>
      </c>
      <c r="G992" t="s">
        <v>6395</v>
      </c>
      <c r="H992">
        <v>0</v>
      </c>
      <c r="I992">
        <v>0</v>
      </c>
    </row>
    <row r="993" spans="1:9" x14ac:dyDescent="0.25">
      <c r="A993" t="s">
        <v>4334</v>
      </c>
      <c r="B993" t="s">
        <v>4335</v>
      </c>
      <c r="C993" t="s">
        <v>4311</v>
      </c>
      <c r="D993" t="s">
        <v>2766</v>
      </c>
      <c r="E993" t="s">
        <v>1298</v>
      </c>
      <c r="F993" t="s">
        <v>4336</v>
      </c>
      <c r="G993" t="s">
        <v>6396</v>
      </c>
      <c r="H993" t="s">
        <v>4337</v>
      </c>
      <c r="I993" t="s">
        <v>4338</v>
      </c>
    </row>
    <row r="994" spans="1:9" x14ac:dyDescent="0.25">
      <c r="A994" t="s">
        <v>4339</v>
      </c>
      <c r="B994" t="s">
        <v>4340</v>
      </c>
      <c r="C994" t="s">
        <v>4311</v>
      </c>
      <c r="D994" t="s">
        <v>2766</v>
      </c>
      <c r="E994" t="s">
        <v>1298</v>
      </c>
      <c r="F994" t="s">
        <v>4341</v>
      </c>
      <c r="G994" t="s">
        <v>6397</v>
      </c>
      <c r="H994" t="s">
        <v>4337</v>
      </c>
      <c r="I994" t="s">
        <v>4342</v>
      </c>
    </row>
    <row r="995" spans="1:9" x14ac:dyDescent="0.25">
      <c r="A995" t="s">
        <v>4343</v>
      </c>
      <c r="B995" t="s">
        <v>4344</v>
      </c>
      <c r="C995" t="s">
        <v>4311</v>
      </c>
      <c r="D995" t="s">
        <v>2766</v>
      </c>
      <c r="E995" t="s">
        <v>1298</v>
      </c>
      <c r="F995" t="s">
        <v>4341</v>
      </c>
      <c r="G995" t="s">
        <v>6397</v>
      </c>
      <c r="H995" t="s">
        <v>4337</v>
      </c>
      <c r="I995" t="s">
        <v>4342</v>
      </c>
    </row>
    <row r="996" spans="1:9" x14ac:dyDescent="0.25">
      <c r="A996" t="s">
        <v>4345</v>
      </c>
      <c r="B996" t="s">
        <v>4346</v>
      </c>
      <c r="C996" t="s">
        <v>4311</v>
      </c>
      <c r="D996" t="s">
        <v>2766</v>
      </c>
      <c r="E996" t="s">
        <v>1298</v>
      </c>
      <c r="F996" t="s">
        <v>4327</v>
      </c>
      <c r="G996" t="s">
        <v>6394</v>
      </c>
      <c r="H996" t="s">
        <v>4317</v>
      </c>
      <c r="I996" t="s">
        <v>4328</v>
      </c>
    </row>
    <row r="997" spans="1:9" x14ac:dyDescent="0.25">
      <c r="A997" t="s">
        <v>4347</v>
      </c>
      <c r="B997" t="s">
        <v>4348</v>
      </c>
      <c r="C997" t="s">
        <v>4311</v>
      </c>
      <c r="D997" t="s">
        <v>2766</v>
      </c>
      <c r="E997" t="s">
        <v>1298</v>
      </c>
      <c r="F997" t="s">
        <v>4327</v>
      </c>
      <c r="G997" t="s">
        <v>6394</v>
      </c>
      <c r="H997" t="s">
        <v>4317</v>
      </c>
      <c r="I997" t="s">
        <v>4328</v>
      </c>
    </row>
    <row r="998" spans="1:9" x14ac:dyDescent="0.25">
      <c r="A998" t="s">
        <v>4349</v>
      </c>
      <c r="B998" t="s">
        <v>4350</v>
      </c>
      <c r="C998" t="s">
        <v>4311</v>
      </c>
      <c r="D998" t="s">
        <v>2766</v>
      </c>
      <c r="E998" t="s">
        <v>1298</v>
      </c>
      <c r="F998" t="s">
        <v>4336</v>
      </c>
      <c r="G998" t="s">
        <v>6396</v>
      </c>
      <c r="H998" t="s">
        <v>4337</v>
      </c>
      <c r="I998" t="s">
        <v>4338</v>
      </c>
    </row>
    <row r="999" spans="1:9" x14ac:dyDescent="0.25">
      <c r="A999" t="s">
        <v>4351</v>
      </c>
      <c r="B999" t="s">
        <v>4352</v>
      </c>
      <c r="C999" t="s">
        <v>4311</v>
      </c>
      <c r="D999" t="s">
        <v>2766</v>
      </c>
      <c r="E999" t="s">
        <v>1298</v>
      </c>
      <c r="F999" t="s">
        <v>4353</v>
      </c>
      <c r="G999" t="s">
        <v>6398</v>
      </c>
      <c r="H999">
        <v>0</v>
      </c>
      <c r="I999">
        <v>0</v>
      </c>
    </row>
    <row r="1000" spans="1:9" x14ac:dyDescent="0.25">
      <c r="A1000" t="s">
        <v>4354</v>
      </c>
      <c r="B1000" t="s">
        <v>4355</v>
      </c>
      <c r="C1000" t="s">
        <v>4311</v>
      </c>
      <c r="D1000" t="s">
        <v>2766</v>
      </c>
      <c r="E1000" t="s">
        <v>1298</v>
      </c>
      <c r="F1000" t="s">
        <v>4356</v>
      </c>
      <c r="G1000" t="s">
        <v>6399</v>
      </c>
      <c r="H1000">
        <v>0</v>
      </c>
      <c r="I1000">
        <v>0</v>
      </c>
    </row>
    <row r="1001" spans="1:9" x14ac:dyDescent="0.25">
      <c r="A1001" t="s">
        <v>4357</v>
      </c>
      <c r="B1001" t="s">
        <v>4358</v>
      </c>
      <c r="C1001" t="s">
        <v>4311</v>
      </c>
      <c r="D1001" t="s">
        <v>2766</v>
      </c>
      <c r="E1001" t="s">
        <v>1298</v>
      </c>
      <c r="F1001" t="s">
        <v>4359</v>
      </c>
      <c r="G1001" t="s">
        <v>6400</v>
      </c>
      <c r="H1001" t="s">
        <v>919</v>
      </c>
      <c r="I1001" t="s">
        <v>4360</v>
      </c>
    </row>
    <row r="1002" spans="1:9" x14ac:dyDescent="0.25">
      <c r="A1002" t="s">
        <v>4361</v>
      </c>
      <c r="B1002" t="s">
        <v>4362</v>
      </c>
      <c r="C1002" t="s">
        <v>4311</v>
      </c>
      <c r="D1002" t="s">
        <v>2766</v>
      </c>
      <c r="E1002" t="s">
        <v>1298</v>
      </c>
      <c r="F1002" t="s">
        <v>4359</v>
      </c>
      <c r="G1002" t="s">
        <v>6400</v>
      </c>
      <c r="H1002" t="s">
        <v>919</v>
      </c>
      <c r="I1002" t="s">
        <v>4360</v>
      </c>
    </row>
    <row r="1003" spans="1:9" x14ac:dyDescent="0.25">
      <c r="A1003" t="s">
        <v>4363</v>
      </c>
      <c r="B1003" t="s">
        <v>4364</v>
      </c>
      <c r="C1003" t="s">
        <v>4311</v>
      </c>
      <c r="D1003" t="s">
        <v>2766</v>
      </c>
      <c r="E1003" t="s">
        <v>1298</v>
      </c>
      <c r="F1003" t="s">
        <v>4365</v>
      </c>
      <c r="G1003" t="s">
        <v>6401</v>
      </c>
      <c r="H1003">
        <v>0</v>
      </c>
      <c r="I1003">
        <v>0</v>
      </c>
    </row>
    <row r="1004" spans="1:9" x14ac:dyDescent="0.25">
      <c r="A1004" t="s">
        <v>4366</v>
      </c>
      <c r="B1004" t="s">
        <v>4367</v>
      </c>
      <c r="C1004" t="s">
        <v>4311</v>
      </c>
      <c r="D1004" t="s">
        <v>2766</v>
      </c>
      <c r="E1004" t="s">
        <v>1298</v>
      </c>
      <c r="F1004" t="s">
        <v>4368</v>
      </c>
      <c r="G1004" t="s">
        <v>6402</v>
      </c>
      <c r="H1004" t="s">
        <v>4313</v>
      </c>
      <c r="I1004">
        <v>0</v>
      </c>
    </row>
    <row r="1005" spans="1:9" x14ac:dyDescent="0.25">
      <c r="A1005" t="s">
        <v>4369</v>
      </c>
      <c r="B1005" t="s">
        <v>4370</v>
      </c>
      <c r="C1005" t="s">
        <v>4311</v>
      </c>
      <c r="D1005" t="s">
        <v>2766</v>
      </c>
      <c r="E1005" t="s">
        <v>1298</v>
      </c>
      <c r="F1005" t="s">
        <v>4371</v>
      </c>
      <c r="G1005" t="s">
        <v>6403</v>
      </c>
      <c r="H1005">
        <v>0</v>
      </c>
      <c r="I1005">
        <v>0</v>
      </c>
    </row>
    <row r="1006" spans="1:9" x14ac:dyDescent="0.25">
      <c r="A1006" t="s">
        <v>4372</v>
      </c>
      <c r="B1006" t="s">
        <v>4373</v>
      </c>
      <c r="C1006" t="s">
        <v>4311</v>
      </c>
      <c r="D1006" t="s">
        <v>2766</v>
      </c>
      <c r="E1006" t="s">
        <v>1298</v>
      </c>
      <c r="F1006" t="s">
        <v>4374</v>
      </c>
      <c r="G1006" t="s">
        <v>6404</v>
      </c>
      <c r="H1006">
        <v>0</v>
      </c>
      <c r="I1006">
        <v>0</v>
      </c>
    </row>
    <row r="1007" spans="1:9" x14ac:dyDescent="0.25">
      <c r="A1007" t="s">
        <v>4375</v>
      </c>
      <c r="B1007" t="s">
        <v>4376</v>
      </c>
      <c r="C1007" t="s">
        <v>4311</v>
      </c>
      <c r="D1007" t="s">
        <v>2766</v>
      </c>
      <c r="E1007" t="s">
        <v>1298</v>
      </c>
      <c r="F1007" t="s">
        <v>4341</v>
      </c>
      <c r="G1007" t="s">
        <v>6397</v>
      </c>
      <c r="H1007" t="s">
        <v>4337</v>
      </c>
      <c r="I1007">
        <v>0</v>
      </c>
    </row>
    <row r="1008" spans="1:9" x14ac:dyDescent="0.25">
      <c r="A1008" t="s">
        <v>4377</v>
      </c>
      <c r="B1008" t="s">
        <v>4378</v>
      </c>
      <c r="C1008" t="s">
        <v>4311</v>
      </c>
      <c r="D1008" t="s">
        <v>2766</v>
      </c>
      <c r="E1008" t="s">
        <v>1298</v>
      </c>
      <c r="F1008" t="s">
        <v>4341</v>
      </c>
      <c r="G1008" t="s">
        <v>6397</v>
      </c>
      <c r="H1008" t="s">
        <v>4337</v>
      </c>
      <c r="I1008">
        <v>0</v>
      </c>
    </row>
    <row r="1009" spans="1:9" x14ac:dyDescent="0.25">
      <c r="A1009" t="s">
        <v>4379</v>
      </c>
      <c r="B1009" t="s">
        <v>4380</v>
      </c>
      <c r="C1009" t="s">
        <v>4311</v>
      </c>
      <c r="D1009" t="s">
        <v>2766</v>
      </c>
      <c r="E1009" t="s">
        <v>1298</v>
      </c>
      <c r="F1009" t="s">
        <v>4333</v>
      </c>
      <c r="G1009" t="s">
        <v>6395</v>
      </c>
      <c r="H1009">
        <v>0</v>
      </c>
      <c r="I1009">
        <v>0</v>
      </c>
    </row>
    <row r="1010" spans="1:9" x14ac:dyDescent="0.25">
      <c r="A1010" t="s">
        <v>4381</v>
      </c>
      <c r="B1010" t="s">
        <v>4382</v>
      </c>
      <c r="C1010" t="s">
        <v>4311</v>
      </c>
      <c r="D1010" t="s">
        <v>2766</v>
      </c>
      <c r="E1010" t="s">
        <v>1298</v>
      </c>
      <c r="F1010" t="s">
        <v>4341</v>
      </c>
      <c r="G1010" t="s">
        <v>6397</v>
      </c>
      <c r="H1010" t="s">
        <v>4337</v>
      </c>
      <c r="I1010">
        <v>0</v>
      </c>
    </row>
    <row r="1011" spans="1:9" x14ac:dyDescent="0.25">
      <c r="A1011" t="s">
        <v>4383</v>
      </c>
      <c r="B1011" t="s">
        <v>4384</v>
      </c>
      <c r="C1011" t="s">
        <v>51</v>
      </c>
      <c r="D1011" t="s">
        <v>1297</v>
      </c>
      <c r="E1011" t="s">
        <v>1298</v>
      </c>
      <c r="F1011" t="s">
        <v>4385</v>
      </c>
      <c r="G1011" t="s">
        <v>6405</v>
      </c>
      <c r="H1011">
        <v>0</v>
      </c>
      <c r="I1011">
        <v>0</v>
      </c>
    </row>
    <row r="1012" spans="1:9" x14ac:dyDescent="0.25">
      <c r="A1012" t="s">
        <v>4386</v>
      </c>
      <c r="B1012" t="s">
        <v>4387</v>
      </c>
      <c r="C1012" t="s">
        <v>51</v>
      </c>
      <c r="D1012" t="s">
        <v>1297</v>
      </c>
      <c r="E1012" t="s">
        <v>1298</v>
      </c>
      <c r="F1012" t="s">
        <v>4388</v>
      </c>
      <c r="G1012" t="s">
        <v>6406</v>
      </c>
      <c r="H1012">
        <v>0</v>
      </c>
      <c r="I1012">
        <v>0</v>
      </c>
    </row>
    <row r="1013" spans="1:9" x14ac:dyDescent="0.25">
      <c r="A1013" t="s">
        <v>4389</v>
      </c>
      <c r="B1013" t="s">
        <v>4390</v>
      </c>
      <c r="C1013" t="s">
        <v>51</v>
      </c>
      <c r="D1013" t="s">
        <v>1297</v>
      </c>
      <c r="E1013" t="s">
        <v>1298</v>
      </c>
      <c r="F1013" t="s">
        <v>4391</v>
      </c>
      <c r="G1013" t="s">
        <v>6407</v>
      </c>
      <c r="H1013">
        <v>0</v>
      </c>
      <c r="I1013">
        <v>0</v>
      </c>
    </row>
    <row r="1014" spans="1:9" x14ac:dyDescent="0.25">
      <c r="A1014" t="s">
        <v>4392</v>
      </c>
      <c r="B1014" t="s">
        <v>4393</v>
      </c>
      <c r="C1014" t="s">
        <v>51</v>
      </c>
      <c r="D1014" t="s">
        <v>1297</v>
      </c>
      <c r="E1014" t="s">
        <v>1298</v>
      </c>
      <c r="F1014" t="s">
        <v>4394</v>
      </c>
      <c r="G1014" t="s">
        <v>6408</v>
      </c>
      <c r="H1014" t="s">
        <v>4395</v>
      </c>
      <c r="I1014">
        <v>0</v>
      </c>
    </row>
    <row r="1015" spans="1:9" x14ac:dyDescent="0.25">
      <c r="A1015" t="s">
        <v>4396</v>
      </c>
      <c r="B1015" t="s">
        <v>4397</v>
      </c>
      <c r="C1015" t="s">
        <v>51</v>
      </c>
      <c r="D1015" t="s">
        <v>1297</v>
      </c>
      <c r="E1015" t="s">
        <v>1298</v>
      </c>
      <c r="F1015" t="s">
        <v>4398</v>
      </c>
      <c r="G1015" t="s">
        <v>6409</v>
      </c>
      <c r="H1015" t="s">
        <v>4395</v>
      </c>
      <c r="I1015">
        <v>0</v>
      </c>
    </row>
    <row r="1016" spans="1:9" x14ac:dyDescent="0.25">
      <c r="A1016" t="s">
        <v>4399</v>
      </c>
      <c r="B1016" t="s">
        <v>4400</v>
      </c>
      <c r="C1016" t="s">
        <v>51</v>
      </c>
      <c r="D1016" t="s">
        <v>1297</v>
      </c>
      <c r="E1016" t="s">
        <v>1298</v>
      </c>
      <c r="F1016" t="s">
        <v>4401</v>
      </c>
      <c r="G1016" t="s">
        <v>6410</v>
      </c>
      <c r="H1016" t="s">
        <v>4395</v>
      </c>
      <c r="I1016">
        <v>0</v>
      </c>
    </row>
    <row r="1017" spans="1:9" x14ac:dyDescent="0.25">
      <c r="A1017" t="s">
        <v>4402</v>
      </c>
      <c r="B1017" t="s">
        <v>4403</v>
      </c>
      <c r="C1017" t="s">
        <v>51</v>
      </c>
      <c r="D1017" t="s">
        <v>1297</v>
      </c>
      <c r="E1017" t="s">
        <v>1298</v>
      </c>
      <c r="F1017" t="s">
        <v>4404</v>
      </c>
      <c r="G1017" t="s">
        <v>6411</v>
      </c>
      <c r="H1017" t="s">
        <v>4405</v>
      </c>
      <c r="I1017">
        <v>0</v>
      </c>
    </row>
    <row r="1018" spans="1:9" x14ac:dyDescent="0.25">
      <c r="A1018" t="s">
        <v>4406</v>
      </c>
      <c r="B1018" t="s">
        <v>4407</v>
      </c>
      <c r="C1018" t="s">
        <v>51</v>
      </c>
      <c r="D1018" t="s">
        <v>1297</v>
      </c>
      <c r="E1018" t="s">
        <v>1298</v>
      </c>
      <c r="F1018" t="s">
        <v>4408</v>
      </c>
      <c r="G1018" t="s">
        <v>6412</v>
      </c>
      <c r="H1018" t="s">
        <v>4409</v>
      </c>
      <c r="I1018">
        <v>0</v>
      </c>
    </row>
    <row r="1019" spans="1:9" x14ac:dyDescent="0.25">
      <c r="A1019" t="s">
        <v>4410</v>
      </c>
      <c r="B1019" t="s">
        <v>4411</v>
      </c>
      <c r="C1019" t="s">
        <v>51</v>
      </c>
      <c r="D1019" t="s">
        <v>1297</v>
      </c>
      <c r="E1019" t="s">
        <v>1298</v>
      </c>
      <c r="F1019" t="s">
        <v>4412</v>
      </c>
      <c r="G1019" t="s">
        <v>6413</v>
      </c>
      <c r="H1019" t="s">
        <v>4409</v>
      </c>
      <c r="I1019">
        <v>0</v>
      </c>
    </row>
    <row r="1020" spans="1:9" x14ac:dyDescent="0.25">
      <c r="A1020" t="s">
        <v>4413</v>
      </c>
      <c r="B1020" t="s">
        <v>4414</v>
      </c>
      <c r="C1020" t="s">
        <v>51</v>
      </c>
      <c r="D1020" t="s">
        <v>1297</v>
      </c>
      <c r="E1020" t="s">
        <v>1298</v>
      </c>
      <c r="F1020" t="s">
        <v>4415</v>
      </c>
      <c r="G1020" t="s">
        <v>6414</v>
      </c>
      <c r="H1020" t="s">
        <v>4409</v>
      </c>
      <c r="I1020">
        <v>0</v>
      </c>
    </row>
    <row r="1021" spans="1:9" x14ac:dyDescent="0.25">
      <c r="A1021" t="s">
        <v>4416</v>
      </c>
      <c r="B1021" t="s">
        <v>4417</v>
      </c>
      <c r="C1021" t="s">
        <v>51</v>
      </c>
      <c r="D1021" t="s">
        <v>1297</v>
      </c>
      <c r="E1021" t="s">
        <v>1298</v>
      </c>
      <c r="F1021" t="s">
        <v>4418</v>
      </c>
      <c r="G1021" t="s">
        <v>6415</v>
      </c>
      <c r="H1021" t="s">
        <v>4395</v>
      </c>
      <c r="I1021">
        <v>0</v>
      </c>
    </row>
    <row r="1022" spans="1:9" x14ac:dyDescent="0.25">
      <c r="A1022" t="s">
        <v>4419</v>
      </c>
      <c r="B1022" t="s">
        <v>4420</v>
      </c>
      <c r="C1022" t="s">
        <v>51</v>
      </c>
      <c r="D1022" t="s">
        <v>1297</v>
      </c>
      <c r="E1022" t="s">
        <v>1298</v>
      </c>
      <c r="F1022" t="s">
        <v>4421</v>
      </c>
      <c r="G1022" t="s">
        <v>6416</v>
      </c>
      <c r="H1022" t="s">
        <v>4395</v>
      </c>
      <c r="I1022">
        <v>0</v>
      </c>
    </row>
    <row r="1023" spans="1:9" x14ac:dyDescent="0.25">
      <c r="A1023" t="s">
        <v>4422</v>
      </c>
      <c r="B1023" t="s">
        <v>4423</v>
      </c>
      <c r="C1023" t="s">
        <v>51</v>
      </c>
      <c r="D1023" t="s">
        <v>1297</v>
      </c>
      <c r="E1023" t="s">
        <v>1298</v>
      </c>
      <c r="F1023" t="s">
        <v>4424</v>
      </c>
      <c r="G1023" t="s">
        <v>6417</v>
      </c>
      <c r="H1023" t="s">
        <v>4405</v>
      </c>
      <c r="I1023">
        <v>0</v>
      </c>
    </row>
    <row r="1024" spans="1:9" x14ac:dyDescent="0.25">
      <c r="A1024" t="s">
        <v>4425</v>
      </c>
      <c r="B1024" t="s">
        <v>4426</v>
      </c>
      <c r="C1024" t="s">
        <v>51</v>
      </c>
      <c r="D1024" t="s">
        <v>1297</v>
      </c>
      <c r="E1024" t="s">
        <v>1298</v>
      </c>
      <c r="F1024" t="s">
        <v>4427</v>
      </c>
      <c r="G1024" t="s">
        <v>6418</v>
      </c>
      <c r="H1024" t="s">
        <v>4409</v>
      </c>
      <c r="I1024">
        <v>0</v>
      </c>
    </row>
    <row r="1025" spans="1:9" x14ac:dyDescent="0.25">
      <c r="A1025" t="s">
        <v>4428</v>
      </c>
      <c r="B1025" t="s">
        <v>4429</v>
      </c>
      <c r="C1025" t="s">
        <v>51</v>
      </c>
      <c r="D1025" t="s">
        <v>1297</v>
      </c>
      <c r="E1025" t="s">
        <v>1298</v>
      </c>
      <c r="F1025" t="s">
        <v>4430</v>
      </c>
      <c r="G1025" t="s">
        <v>6419</v>
      </c>
      <c r="H1025" t="s">
        <v>4409</v>
      </c>
      <c r="I1025">
        <v>0</v>
      </c>
    </row>
    <row r="1026" spans="1:9" x14ac:dyDescent="0.25">
      <c r="A1026" t="s">
        <v>4431</v>
      </c>
      <c r="B1026" t="s">
        <v>4432</v>
      </c>
      <c r="C1026" t="s">
        <v>51</v>
      </c>
      <c r="D1026" t="s">
        <v>1297</v>
      </c>
      <c r="E1026" t="s">
        <v>1298</v>
      </c>
      <c r="F1026" t="s">
        <v>4433</v>
      </c>
      <c r="G1026" t="s">
        <v>6420</v>
      </c>
      <c r="H1026" t="s">
        <v>4409</v>
      </c>
      <c r="I1026">
        <v>0</v>
      </c>
    </row>
    <row r="1027" spans="1:9" x14ac:dyDescent="0.25">
      <c r="A1027" t="s">
        <v>4434</v>
      </c>
      <c r="B1027" t="s">
        <v>4435</v>
      </c>
      <c r="C1027" t="s">
        <v>51</v>
      </c>
      <c r="D1027" t="s">
        <v>1297</v>
      </c>
      <c r="E1027" t="s">
        <v>1298</v>
      </c>
      <c r="F1027" t="s">
        <v>4436</v>
      </c>
      <c r="G1027" t="s">
        <v>6421</v>
      </c>
      <c r="H1027" t="s">
        <v>4437</v>
      </c>
      <c r="I1027">
        <v>0</v>
      </c>
    </row>
    <row r="1028" spans="1:9" x14ac:dyDescent="0.25">
      <c r="A1028" t="s">
        <v>4438</v>
      </c>
      <c r="B1028" t="s">
        <v>4439</v>
      </c>
      <c r="C1028" t="s">
        <v>51</v>
      </c>
      <c r="D1028" t="s">
        <v>1297</v>
      </c>
      <c r="E1028" t="s">
        <v>1298</v>
      </c>
      <c r="F1028" t="s">
        <v>4440</v>
      </c>
      <c r="G1028" t="s">
        <v>6422</v>
      </c>
      <c r="H1028" t="s">
        <v>4437</v>
      </c>
      <c r="I1028">
        <v>0</v>
      </c>
    </row>
    <row r="1029" spans="1:9" x14ac:dyDescent="0.25">
      <c r="A1029" t="s">
        <v>4441</v>
      </c>
      <c r="B1029" t="s">
        <v>4442</v>
      </c>
      <c r="C1029" t="s">
        <v>51</v>
      </c>
      <c r="D1029" t="s">
        <v>1297</v>
      </c>
      <c r="E1029" t="s">
        <v>1298</v>
      </c>
      <c r="F1029" t="s">
        <v>4443</v>
      </c>
      <c r="G1029" t="s">
        <v>6423</v>
      </c>
      <c r="H1029" t="s">
        <v>4405</v>
      </c>
      <c r="I1029">
        <v>0</v>
      </c>
    </row>
    <row r="1030" spans="1:9" x14ac:dyDescent="0.25">
      <c r="A1030" t="s">
        <v>4444</v>
      </c>
      <c r="B1030" t="s">
        <v>4370</v>
      </c>
      <c r="C1030" t="s">
        <v>51</v>
      </c>
      <c r="D1030" t="s">
        <v>1297</v>
      </c>
      <c r="E1030" t="s">
        <v>1298</v>
      </c>
      <c r="F1030" t="s">
        <v>4445</v>
      </c>
      <c r="G1030" t="s">
        <v>6403</v>
      </c>
      <c r="H1030" t="s">
        <v>4437</v>
      </c>
      <c r="I1030">
        <v>0</v>
      </c>
    </row>
    <row r="1031" spans="1:9" x14ac:dyDescent="0.25">
      <c r="A1031" t="s">
        <v>4446</v>
      </c>
      <c r="B1031" t="s">
        <v>4373</v>
      </c>
      <c r="C1031" t="s">
        <v>51</v>
      </c>
      <c r="D1031" t="s">
        <v>1297</v>
      </c>
      <c r="E1031" t="s">
        <v>1298</v>
      </c>
      <c r="F1031" t="s">
        <v>4447</v>
      </c>
      <c r="G1031" t="s">
        <v>6404</v>
      </c>
      <c r="H1031" t="s">
        <v>4437</v>
      </c>
      <c r="I1031">
        <v>0</v>
      </c>
    </row>
    <row r="1032" spans="1:9" x14ac:dyDescent="0.25">
      <c r="A1032" t="s">
        <v>4448</v>
      </c>
      <c r="B1032" t="s">
        <v>4449</v>
      </c>
      <c r="C1032" t="s">
        <v>51</v>
      </c>
      <c r="D1032" t="s">
        <v>1297</v>
      </c>
      <c r="E1032" t="s">
        <v>1298</v>
      </c>
      <c r="F1032" t="s">
        <v>4450</v>
      </c>
      <c r="G1032" t="s">
        <v>6424</v>
      </c>
      <c r="H1032" t="s">
        <v>4409</v>
      </c>
      <c r="I1032">
        <v>0</v>
      </c>
    </row>
    <row r="1033" spans="1:9" x14ac:dyDescent="0.25">
      <c r="A1033" t="s">
        <v>4451</v>
      </c>
      <c r="B1033" t="s">
        <v>4452</v>
      </c>
      <c r="C1033" t="s">
        <v>51</v>
      </c>
      <c r="D1033" t="s">
        <v>1297</v>
      </c>
      <c r="E1033" t="s">
        <v>1298</v>
      </c>
      <c r="F1033" t="s">
        <v>4453</v>
      </c>
      <c r="G1033" t="s">
        <v>6425</v>
      </c>
      <c r="H1033" t="s">
        <v>4409</v>
      </c>
      <c r="I1033">
        <v>0</v>
      </c>
    </row>
    <row r="1034" spans="1:9" x14ac:dyDescent="0.25">
      <c r="A1034" t="s">
        <v>4454</v>
      </c>
      <c r="B1034" t="s">
        <v>4455</v>
      </c>
      <c r="C1034" t="s">
        <v>51</v>
      </c>
      <c r="D1034" t="s">
        <v>1297</v>
      </c>
      <c r="E1034" t="s">
        <v>1298</v>
      </c>
      <c r="F1034" t="s">
        <v>4456</v>
      </c>
      <c r="G1034" t="s">
        <v>6426</v>
      </c>
      <c r="H1034" t="s">
        <v>4405</v>
      </c>
      <c r="I1034">
        <v>0</v>
      </c>
    </row>
    <row r="1035" spans="1:9" x14ac:dyDescent="0.25">
      <c r="A1035" t="s">
        <v>4457</v>
      </c>
      <c r="B1035" t="s">
        <v>4458</v>
      </c>
      <c r="C1035" t="s">
        <v>51</v>
      </c>
      <c r="D1035" t="s">
        <v>1297</v>
      </c>
      <c r="E1035" t="s">
        <v>1298</v>
      </c>
      <c r="F1035" t="s">
        <v>4459</v>
      </c>
      <c r="G1035" t="s">
        <v>6427</v>
      </c>
      <c r="H1035" t="s">
        <v>4395</v>
      </c>
      <c r="I1035">
        <v>0</v>
      </c>
    </row>
    <row r="1036" spans="1:9" x14ac:dyDescent="0.25">
      <c r="A1036" t="s">
        <v>4460</v>
      </c>
      <c r="B1036" t="s">
        <v>4461</v>
      </c>
      <c r="C1036" t="s">
        <v>51</v>
      </c>
      <c r="D1036" t="s">
        <v>1297</v>
      </c>
      <c r="E1036" t="s">
        <v>1298</v>
      </c>
      <c r="F1036" t="s">
        <v>4462</v>
      </c>
      <c r="G1036" t="s">
        <v>6428</v>
      </c>
      <c r="H1036" t="s">
        <v>4395</v>
      </c>
      <c r="I1036">
        <v>0</v>
      </c>
    </row>
    <row r="1037" spans="1:9" x14ac:dyDescent="0.25">
      <c r="A1037" t="s">
        <v>4463</v>
      </c>
      <c r="B1037" t="s">
        <v>4464</v>
      </c>
      <c r="C1037" t="s">
        <v>51</v>
      </c>
      <c r="D1037" t="s">
        <v>1297</v>
      </c>
      <c r="E1037" t="s">
        <v>1298</v>
      </c>
      <c r="F1037" t="s">
        <v>4465</v>
      </c>
      <c r="G1037" t="s">
        <v>6429</v>
      </c>
      <c r="H1037" t="s">
        <v>4395</v>
      </c>
      <c r="I1037">
        <v>0</v>
      </c>
    </row>
    <row r="1038" spans="1:9" x14ac:dyDescent="0.25">
      <c r="A1038" t="s">
        <v>4466</v>
      </c>
      <c r="B1038" t="s">
        <v>4467</v>
      </c>
      <c r="C1038" t="s">
        <v>4468</v>
      </c>
      <c r="D1038" t="s">
        <v>2967</v>
      </c>
      <c r="E1038" t="s">
        <v>1298</v>
      </c>
      <c r="F1038" t="s">
        <v>4469</v>
      </c>
      <c r="G1038" t="s">
        <v>6430</v>
      </c>
      <c r="H1038" t="s">
        <v>119</v>
      </c>
      <c r="I1038">
        <v>0</v>
      </c>
    </row>
    <row r="1039" spans="1:9" x14ac:dyDescent="0.25">
      <c r="A1039" t="s">
        <v>4470</v>
      </c>
      <c r="B1039" t="s">
        <v>4471</v>
      </c>
      <c r="C1039" t="s">
        <v>4468</v>
      </c>
      <c r="D1039" t="s">
        <v>2967</v>
      </c>
      <c r="E1039" t="s">
        <v>1298</v>
      </c>
      <c r="F1039" t="s">
        <v>4472</v>
      </c>
      <c r="G1039" t="s">
        <v>6431</v>
      </c>
      <c r="H1039">
        <v>0</v>
      </c>
      <c r="I1039">
        <v>0</v>
      </c>
    </row>
    <row r="1040" spans="1:9" x14ac:dyDescent="0.25">
      <c r="A1040" t="s">
        <v>4473</v>
      </c>
      <c r="B1040" t="s">
        <v>4474</v>
      </c>
      <c r="C1040" t="s">
        <v>4468</v>
      </c>
      <c r="D1040" t="s">
        <v>2967</v>
      </c>
      <c r="E1040" t="s">
        <v>1298</v>
      </c>
      <c r="F1040" t="s">
        <v>4475</v>
      </c>
      <c r="G1040" t="s">
        <v>6432</v>
      </c>
      <c r="H1040" t="s">
        <v>119</v>
      </c>
      <c r="I1040">
        <v>0</v>
      </c>
    </row>
    <row r="1041" spans="1:9" x14ac:dyDescent="0.25">
      <c r="A1041" t="s">
        <v>4476</v>
      </c>
      <c r="B1041" t="s">
        <v>4477</v>
      </c>
      <c r="C1041" t="s">
        <v>4468</v>
      </c>
      <c r="D1041" t="s">
        <v>2967</v>
      </c>
      <c r="E1041" t="s">
        <v>1298</v>
      </c>
      <c r="F1041" t="s">
        <v>4478</v>
      </c>
      <c r="G1041" t="s">
        <v>6433</v>
      </c>
      <c r="H1041" t="s">
        <v>119</v>
      </c>
      <c r="I1041">
        <v>0</v>
      </c>
    </row>
    <row r="1042" spans="1:9" x14ac:dyDescent="0.25">
      <c r="A1042" t="s">
        <v>4479</v>
      </c>
      <c r="B1042" t="s">
        <v>4480</v>
      </c>
      <c r="C1042" t="s">
        <v>4468</v>
      </c>
      <c r="D1042" t="s">
        <v>2967</v>
      </c>
      <c r="E1042" t="s">
        <v>1298</v>
      </c>
      <c r="F1042" t="s">
        <v>4481</v>
      </c>
      <c r="G1042" t="s">
        <v>6434</v>
      </c>
      <c r="H1042">
        <v>0</v>
      </c>
      <c r="I1042">
        <v>0</v>
      </c>
    </row>
    <row r="1043" spans="1:9" x14ac:dyDescent="0.25">
      <c r="A1043" t="s">
        <v>4482</v>
      </c>
      <c r="B1043" t="s">
        <v>4483</v>
      </c>
      <c r="C1043" t="s">
        <v>4468</v>
      </c>
      <c r="D1043" t="s">
        <v>2967</v>
      </c>
      <c r="E1043" t="s">
        <v>1298</v>
      </c>
      <c r="F1043" t="s">
        <v>4484</v>
      </c>
      <c r="G1043" t="s">
        <v>6435</v>
      </c>
      <c r="H1043">
        <v>0</v>
      </c>
      <c r="I1043">
        <v>0</v>
      </c>
    </row>
    <row r="1044" spans="1:9" x14ac:dyDescent="0.25">
      <c r="A1044" t="s">
        <v>4485</v>
      </c>
      <c r="B1044" t="s">
        <v>4486</v>
      </c>
      <c r="C1044" t="s">
        <v>4468</v>
      </c>
      <c r="D1044" t="s">
        <v>2967</v>
      </c>
      <c r="E1044" t="s">
        <v>1298</v>
      </c>
      <c r="F1044" t="s">
        <v>4487</v>
      </c>
      <c r="G1044" t="s">
        <v>6436</v>
      </c>
      <c r="H1044">
        <v>0</v>
      </c>
      <c r="I1044">
        <v>0</v>
      </c>
    </row>
    <row r="1045" spans="1:9" x14ac:dyDescent="0.25">
      <c r="A1045" t="s">
        <v>4488</v>
      </c>
      <c r="B1045" t="s">
        <v>4489</v>
      </c>
      <c r="C1045" t="s">
        <v>4468</v>
      </c>
      <c r="D1045" t="s">
        <v>2967</v>
      </c>
      <c r="E1045" t="s">
        <v>1298</v>
      </c>
      <c r="F1045" t="s">
        <v>4490</v>
      </c>
      <c r="G1045" t="s">
        <v>6437</v>
      </c>
      <c r="H1045">
        <v>0</v>
      </c>
      <c r="I1045">
        <v>0</v>
      </c>
    </row>
    <row r="1046" spans="1:9" x14ac:dyDescent="0.25">
      <c r="A1046" t="s">
        <v>4491</v>
      </c>
      <c r="B1046" t="s">
        <v>4492</v>
      </c>
      <c r="C1046" t="s">
        <v>4468</v>
      </c>
      <c r="D1046" t="s">
        <v>2967</v>
      </c>
      <c r="E1046" t="s">
        <v>1298</v>
      </c>
      <c r="F1046" t="s">
        <v>4493</v>
      </c>
      <c r="G1046" t="s">
        <v>6438</v>
      </c>
      <c r="H1046">
        <v>0</v>
      </c>
      <c r="I1046">
        <v>0</v>
      </c>
    </row>
    <row r="1047" spans="1:9" x14ac:dyDescent="0.25">
      <c r="A1047" t="s">
        <v>4494</v>
      </c>
      <c r="B1047" t="s">
        <v>4495</v>
      </c>
      <c r="C1047" t="s">
        <v>4468</v>
      </c>
      <c r="D1047" t="s">
        <v>2967</v>
      </c>
      <c r="E1047" t="s">
        <v>1298</v>
      </c>
      <c r="F1047" t="s">
        <v>4496</v>
      </c>
      <c r="G1047" t="s">
        <v>6439</v>
      </c>
      <c r="H1047" t="s">
        <v>119</v>
      </c>
      <c r="I1047">
        <v>0</v>
      </c>
    </row>
    <row r="1048" spans="1:9" x14ac:dyDescent="0.25">
      <c r="A1048" t="s">
        <v>4497</v>
      </c>
      <c r="B1048" t="s">
        <v>4498</v>
      </c>
      <c r="C1048" t="s">
        <v>4468</v>
      </c>
      <c r="D1048" t="s">
        <v>2967</v>
      </c>
      <c r="E1048" t="s">
        <v>1298</v>
      </c>
      <c r="F1048" t="s">
        <v>4499</v>
      </c>
      <c r="G1048" t="s">
        <v>6440</v>
      </c>
      <c r="H1048" t="s">
        <v>119</v>
      </c>
      <c r="I1048">
        <v>0</v>
      </c>
    </row>
    <row r="1049" spans="1:9" x14ac:dyDescent="0.25">
      <c r="A1049" t="s">
        <v>4500</v>
      </c>
      <c r="B1049" t="s">
        <v>4501</v>
      </c>
      <c r="C1049" t="s">
        <v>4468</v>
      </c>
      <c r="D1049" t="s">
        <v>2967</v>
      </c>
      <c r="E1049" t="s">
        <v>1298</v>
      </c>
      <c r="F1049" t="s">
        <v>4502</v>
      </c>
      <c r="G1049" t="s">
        <v>6441</v>
      </c>
      <c r="H1049">
        <v>0</v>
      </c>
      <c r="I1049">
        <v>0</v>
      </c>
    </row>
    <row r="1050" spans="1:9" x14ac:dyDescent="0.25">
      <c r="A1050" t="s">
        <v>4503</v>
      </c>
      <c r="B1050" t="s">
        <v>4504</v>
      </c>
      <c r="C1050" t="s">
        <v>4468</v>
      </c>
      <c r="D1050" t="s">
        <v>2967</v>
      </c>
      <c r="E1050" t="s">
        <v>1298</v>
      </c>
      <c r="F1050" t="s">
        <v>4505</v>
      </c>
      <c r="G1050" t="s">
        <v>6442</v>
      </c>
      <c r="H1050" t="s">
        <v>4506</v>
      </c>
      <c r="I1050">
        <v>0</v>
      </c>
    </row>
    <row r="1051" spans="1:9" x14ac:dyDescent="0.25">
      <c r="A1051" t="s">
        <v>4507</v>
      </c>
      <c r="B1051" t="s">
        <v>4508</v>
      </c>
      <c r="C1051" t="s">
        <v>4468</v>
      </c>
      <c r="D1051" t="s">
        <v>2967</v>
      </c>
      <c r="E1051" t="s">
        <v>1298</v>
      </c>
      <c r="F1051" t="s">
        <v>4509</v>
      </c>
      <c r="G1051" t="s">
        <v>6443</v>
      </c>
      <c r="H1051" t="s">
        <v>4506</v>
      </c>
      <c r="I1051">
        <v>0</v>
      </c>
    </row>
    <row r="1052" spans="1:9" x14ac:dyDescent="0.25">
      <c r="A1052" t="s">
        <v>4510</v>
      </c>
      <c r="B1052" t="s">
        <v>4511</v>
      </c>
      <c r="C1052" t="s">
        <v>4468</v>
      </c>
      <c r="D1052" t="s">
        <v>2967</v>
      </c>
      <c r="E1052" t="s">
        <v>1298</v>
      </c>
      <c r="F1052" t="s">
        <v>4512</v>
      </c>
      <c r="G1052" t="s">
        <v>6444</v>
      </c>
      <c r="H1052" t="s">
        <v>119</v>
      </c>
      <c r="I1052">
        <v>0</v>
      </c>
    </row>
    <row r="1053" spans="1:9" x14ac:dyDescent="0.25">
      <c r="A1053" t="s">
        <v>4513</v>
      </c>
      <c r="B1053" t="s">
        <v>4514</v>
      </c>
      <c r="C1053" t="s">
        <v>4468</v>
      </c>
      <c r="D1053" t="s">
        <v>2967</v>
      </c>
      <c r="E1053" t="s">
        <v>1298</v>
      </c>
      <c r="F1053" t="s">
        <v>4515</v>
      </c>
      <c r="G1053" t="s">
        <v>6445</v>
      </c>
      <c r="H1053">
        <v>0</v>
      </c>
      <c r="I1053">
        <v>0</v>
      </c>
    </row>
    <row r="1054" spans="1:9" x14ac:dyDescent="0.25">
      <c r="A1054" t="s">
        <v>4516</v>
      </c>
      <c r="B1054" t="s">
        <v>4517</v>
      </c>
      <c r="C1054" t="s">
        <v>4468</v>
      </c>
      <c r="D1054" t="s">
        <v>2967</v>
      </c>
      <c r="E1054" t="s">
        <v>1298</v>
      </c>
      <c r="F1054" t="s">
        <v>4518</v>
      </c>
      <c r="G1054" t="s">
        <v>6446</v>
      </c>
      <c r="H1054">
        <v>0</v>
      </c>
      <c r="I1054">
        <v>0</v>
      </c>
    </row>
    <row r="1055" spans="1:9" x14ac:dyDescent="0.25">
      <c r="A1055" t="s">
        <v>4519</v>
      </c>
      <c r="B1055" t="s">
        <v>4520</v>
      </c>
      <c r="C1055" t="s">
        <v>4468</v>
      </c>
      <c r="D1055" t="s">
        <v>2967</v>
      </c>
      <c r="E1055" t="s">
        <v>1298</v>
      </c>
      <c r="F1055" t="s">
        <v>4521</v>
      </c>
      <c r="G1055" t="s">
        <v>6447</v>
      </c>
      <c r="H1055" t="s">
        <v>4506</v>
      </c>
      <c r="I1055">
        <v>0</v>
      </c>
    </row>
    <row r="1056" spans="1:9" x14ac:dyDescent="0.25">
      <c r="A1056" t="s">
        <v>4522</v>
      </c>
      <c r="B1056" t="s">
        <v>4523</v>
      </c>
      <c r="C1056" t="s">
        <v>4468</v>
      </c>
      <c r="D1056" t="s">
        <v>2967</v>
      </c>
      <c r="E1056" t="s">
        <v>1298</v>
      </c>
      <c r="F1056" t="s">
        <v>4524</v>
      </c>
      <c r="G1056" t="s">
        <v>6448</v>
      </c>
      <c r="H1056" t="s">
        <v>4506</v>
      </c>
      <c r="I1056">
        <v>0</v>
      </c>
    </row>
    <row r="1057" spans="1:9" x14ac:dyDescent="0.25">
      <c r="A1057" t="s">
        <v>4525</v>
      </c>
      <c r="B1057" t="s">
        <v>4526</v>
      </c>
      <c r="C1057" t="s">
        <v>4468</v>
      </c>
      <c r="D1057" t="s">
        <v>2967</v>
      </c>
      <c r="E1057" t="s">
        <v>1298</v>
      </c>
      <c r="F1057" t="s">
        <v>4527</v>
      </c>
      <c r="G1057" t="s">
        <v>6449</v>
      </c>
      <c r="H1057" t="s">
        <v>4506</v>
      </c>
      <c r="I1057">
        <v>0</v>
      </c>
    </row>
    <row r="1058" spans="1:9" x14ac:dyDescent="0.25">
      <c r="A1058" t="s">
        <v>4528</v>
      </c>
      <c r="B1058" t="s">
        <v>2929</v>
      </c>
      <c r="C1058" t="s">
        <v>4468</v>
      </c>
      <c r="D1058" t="s">
        <v>2967</v>
      </c>
      <c r="E1058" t="s">
        <v>1298</v>
      </c>
      <c r="F1058" t="s">
        <v>4529</v>
      </c>
      <c r="G1058" t="s">
        <v>5990</v>
      </c>
      <c r="H1058">
        <v>0</v>
      </c>
      <c r="I1058">
        <v>0</v>
      </c>
    </row>
    <row r="1059" spans="1:9" x14ac:dyDescent="0.25">
      <c r="A1059" t="s">
        <v>4530</v>
      </c>
      <c r="B1059" t="s">
        <v>4531</v>
      </c>
      <c r="C1059" t="s">
        <v>4468</v>
      </c>
      <c r="D1059" t="s">
        <v>2967</v>
      </c>
      <c r="E1059" t="s">
        <v>1298</v>
      </c>
      <c r="F1059" t="s">
        <v>4532</v>
      </c>
      <c r="G1059" t="s">
        <v>6450</v>
      </c>
      <c r="H1059">
        <v>0</v>
      </c>
      <c r="I1059">
        <v>0</v>
      </c>
    </row>
    <row r="1060" spans="1:9" x14ac:dyDescent="0.25">
      <c r="A1060" t="s">
        <v>4533</v>
      </c>
      <c r="B1060" t="s">
        <v>4534</v>
      </c>
      <c r="C1060" t="s">
        <v>4468</v>
      </c>
      <c r="D1060" t="s">
        <v>2967</v>
      </c>
      <c r="E1060" t="s">
        <v>1298</v>
      </c>
      <c r="F1060" t="s">
        <v>4535</v>
      </c>
      <c r="G1060" t="s">
        <v>6451</v>
      </c>
      <c r="H1060">
        <v>0</v>
      </c>
      <c r="I1060">
        <v>0</v>
      </c>
    </row>
    <row r="1061" spans="1:9" x14ac:dyDescent="0.25">
      <c r="A1061" t="s">
        <v>4536</v>
      </c>
      <c r="B1061" t="s">
        <v>4537</v>
      </c>
      <c r="C1061" t="s">
        <v>4468</v>
      </c>
      <c r="D1061" t="s">
        <v>2967</v>
      </c>
      <c r="E1061" t="s">
        <v>1298</v>
      </c>
      <c r="F1061" t="s">
        <v>4538</v>
      </c>
      <c r="G1061" t="s">
        <v>6452</v>
      </c>
      <c r="H1061" t="s">
        <v>4506</v>
      </c>
      <c r="I1061">
        <v>0</v>
      </c>
    </row>
    <row r="1062" spans="1:9" x14ac:dyDescent="0.25">
      <c r="A1062" t="s">
        <v>4539</v>
      </c>
      <c r="B1062" t="s">
        <v>4540</v>
      </c>
      <c r="C1062" t="s">
        <v>4468</v>
      </c>
      <c r="D1062" t="s">
        <v>2967</v>
      </c>
      <c r="E1062" t="s">
        <v>1298</v>
      </c>
      <c r="F1062" t="s">
        <v>4541</v>
      </c>
      <c r="G1062" t="s">
        <v>6453</v>
      </c>
      <c r="H1062" t="s">
        <v>119</v>
      </c>
      <c r="I1062">
        <v>0</v>
      </c>
    </row>
    <row r="1063" spans="1:9" x14ac:dyDescent="0.25">
      <c r="A1063" t="s">
        <v>4542</v>
      </c>
      <c r="B1063" t="s">
        <v>4543</v>
      </c>
      <c r="C1063" t="s">
        <v>4468</v>
      </c>
      <c r="D1063" t="s">
        <v>2967</v>
      </c>
      <c r="E1063" t="s">
        <v>1298</v>
      </c>
      <c r="F1063" t="s">
        <v>4544</v>
      </c>
      <c r="G1063" t="s">
        <v>6454</v>
      </c>
      <c r="H1063" t="s">
        <v>119</v>
      </c>
      <c r="I1063">
        <v>0</v>
      </c>
    </row>
    <row r="1064" spans="1:9" x14ac:dyDescent="0.25">
      <c r="A1064" t="s">
        <v>4545</v>
      </c>
      <c r="B1064" t="s">
        <v>4546</v>
      </c>
      <c r="C1064" t="s">
        <v>4468</v>
      </c>
      <c r="D1064" t="s">
        <v>2967</v>
      </c>
      <c r="E1064" t="s">
        <v>1298</v>
      </c>
      <c r="F1064" t="s">
        <v>4547</v>
      </c>
      <c r="G1064" t="s">
        <v>6455</v>
      </c>
      <c r="H1064" t="s">
        <v>4506</v>
      </c>
      <c r="I1064">
        <v>0</v>
      </c>
    </row>
    <row r="1065" spans="1:9" x14ac:dyDescent="0.25">
      <c r="A1065" t="s">
        <v>4548</v>
      </c>
      <c r="B1065" t="s">
        <v>4549</v>
      </c>
      <c r="C1065" t="s">
        <v>4468</v>
      </c>
      <c r="D1065" t="s">
        <v>2967</v>
      </c>
      <c r="E1065" t="s">
        <v>1298</v>
      </c>
      <c r="F1065" t="s">
        <v>4550</v>
      </c>
      <c r="G1065" t="s">
        <v>6456</v>
      </c>
      <c r="H1065">
        <v>0</v>
      </c>
      <c r="I1065">
        <v>0</v>
      </c>
    </row>
    <row r="1066" spans="1:9" x14ac:dyDescent="0.25">
      <c r="A1066" t="s">
        <v>4551</v>
      </c>
      <c r="B1066" t="s">
        <v>4552</v>
      </c>
      <c r="C1066" t="s">
        <v>4468</v>
      </c>
      <c r="D1066" t="s">
        <v>2967</v>
      </c>
      <c r="E1066" t="s">
        <v>1298</v>
      </c>
      <c r="F1066" t="s">
        <v>4553</v>
      </c>
      <c r="G1066" t="s">
        <v>6457</v>
      </c>
      <c r="H1066">
        <v>0</v>
      </c>
      <c r="I1066">
        <v>0</v>
      </c>
    </row>
    <row r="1067" spans="1:9" x14ac:dyDescent="0.25">
      <c r="A1067" t="s">
        <v>4554</v>
      </c>
      <c r="B1067" t="s">
        <v>4555</v>
      </c>
      <c r="C1067" t="s">
        <v>4468</v>
      </c>
      <c r="D1067" t="s">
        <v>2967</v>
      </c>
      <c r="E1067" t="s">
        <v>1298</v>
      </c>
      <c r="F1067" t="s">
        <v>4556</v>
      </c>
      <c r="G1067" t="s">
        <v>6458</v>
      </c>
      <c r="H1067">
        <v>0</v>
      </c>
      <c r="I1067">
        <v>0</v>
      </c>
    </row>
    <row r="1068" spans="1:9" x14ac:dyDescent="0.25">
      <c r="A1068" t="s">
        <v>4557</v>
      </c>
      <c r="B1068" t="s">
        <v>4558</v>
      </c>
      <c r="C1068" t="s">
        <v>52</v>
      </c>
      <c r="D1068" t="s">
        <v>2766</v>
      </c>
      <c r="E1068" t="s">
        <v>1298</v>
      </c>
      <c r="F1068" t="s">
        <v>4559</v>
      </c>
      <c r="G1068" t="s">
        <v>6459</v>
      </c>
      <c r="H1068">
        <v>0</v>
      </c>
      <c r="I1068">
        <v>0</v>
      </c>
    </row>
    <row r="1069" spans="1:9" x14ac:dyDescent="0.25">
      <c r="A1069" t="s">
        <v>4560</v>
      </c>
      <c r="B1069" t="s">
        <v>4561</v>
      </c>
      <c r="C1069" t="s">
        <v>52</v>
      </c>
      <c r="D1069" t="s">
        <v>2766</v>
      </c>
      <c r="E1069" t="s">
        <v>1298</v>
      </c>
      <c r="F1069" t="s">
        <v>4562</v>
      </c>
      <c r="G1069" t="s">
        <v>6460</v>
      </c>
      <c r="H1069">
        <v>0</v>
      </c>
      <c r="I1069">
        <v>0</v>
      </c>
    </row>
    <row r="1070" spans="1:9" x14ac:dyDescent="0.25">
      <c r="A1070" t="s">
        <v>4563</v>
      </c>
      <c r="B1070" t="s">
        <v>4564</v>
      </c>
      <c r="C1070" t="s">
        <v>52</v>
      </c>
      <c r="D1070" t="s">
        <v>2766</v>
      </c>
      <c r="E1070" t="s">
        <v>1298</v>
      </c>
      <c r="F1070" t="s">
        <v>4565</v>
      </c>
      <c r="G1070" t="s">
        <v>6461</v>
      </c>
      <c r="H1070">
        <v>0</v>
      </c>
      <c r="I1070">
        <v>0</v>
      </c>
    </row>
    <row r="1071" spans="1:9" x14ac:dyDescent="0.25">
      <c r="A1071" t="s">
        <v>4566</v>
      </c>
      <c r="B1071" t="s">
        <v>4567</v>
      </c>
      <c r="C1071" t="s">
        <v>52</v>
      </c>
      <c r="D1071" t="s">
        <v>2766</v>
      </c>
      <c r="E1071" t="s">
        <v>1298</v>
      </c>
      <c r="F1071" t="s">
        <v>4568</v>
      </c>
      <c r="G1071" t="s">
        <v>6462</v>
      </c>
      <c r="H1071">
        <v>0</v>
      </c>
      <c r="I1071">
        <v>0</v>
      </c>
    </row>
    <row r="1072" spans="1:9" x14ac:dyDescent="0.25">
      <c r="A1072" t="s">
        <v>4569</v>
      </c>
      <c r="B1072" t="s">
        <v>4570</v>
      </c>
      <c r="C1072" t="s">
        <v>52</v>
      </c>
      <c r="D1072" t="s">
        <v>2766</v>
      </c>
      <c r="E1072" t="s">
        <v>1298</v>
      </c>
      <c r="F1072" t="s">
        <v>4571</v>
      </c>
      <c r="G1072" t="s">
        <v>6463</v>
      </c>
      <c r="H1072">
        <v>0</v>
      </c>
      <c r="I1072">
        <v>0</v>
      </c>
    </row>
    <row r="1073" spans="1:9" x14ac:dyDescent="0.25">
      <c r="A1073" t="s">
        <v>4572</v>
      </c>
      <c r="B1073" t="s">
        <v>4573</v>
      </c>
      <c r="C1073" t="s">
        <v>52</v>
      </c>
      <c r="D1073" t="s">
        <v>2766</v>
      </c>
      <c r="E1073" t="s">
        <v>1298</v>
      </c>
      <c r="F1073" t="s">
        <v>4574</v>
      </c>
      <c r="G1073" t="s">
        <v>6464</v>
      </c>
      <c r="H1073" t="s">
        <v>988</v>
      </c>
      <c r="I1073">
        <v>0</v>
      </c>
    </row>
    <row r="1074" spans="1:9" x14ac:dyDescent="0.25">
      <c r="A1074" t="s">
        <v>4575</v>
      </c>
      <c r="B1074" t="s">
        <v>4576</v>
      </c>
      <c r="C1074" t="s">
        <v>52</v>
      </c>
      <c r="D1074" t="s">
        <v>2766</v>
      </c>
      <c r="E1074" t="s">
        <v>1298</v>
      </c>
      <c r="F1074" t="s">
        <v>4577</v>
      </c>
      <c r="G1074" t="s">
        <v>6465</v>
      </c>
      <c r="H1074">
        <v>0</v>
      </c>
      <c r="I1074">
        <v>0</v>
      </c>
    </row>
    <row r="1075" spans="1:9" x14ac:dyDescent="0.25">
      <c r="A1075" t="s">
        <v>4578</v>
      </c>
      <c r="B1075" t="s">
        <v>4579</v>
      </c>
      <c r="C1075" t="s">
        <v>52</v>
      </c>
      <c r="D1075" t="s">
        <v>2766</v>
      </c>
      <c r="E1075" t="s">
        <v>1298</v>
      </c>
      <c r="F1075" t="s">
        <v>4580</v>
      </c>
      <c r="G1075" t="s">
        <v>6466</v>
      </c>
      <c r="H1075">
        <v>0</v>
      </c>
      <c r="I1075">
        <v>0</v>
      </c>
    </row>
    <row r="1076" spans="1:9" x14ac:dyDescent="0.25">
      <c r="A1076" t="s">
        <v>4581</v>
      </c>
      <c r="B1076" t="s">
        <v>4582</v>
      </c>
      <c r="C1076" t="s">
        <v>52</v>
      </c>
      <c r="D1076" t="s">
        <v>2766</v>
      </c>
      <c r="E1076" t="s">
        <v>1298</v>
      </c>
      <c r="F1076" t="s">
        <v>4583</v>
      </c>
      <c r="G1076" t="s">
        <v>6467</v>
      </c>
      <c r="H1076">
        <v>0</v>
      </c>
      <c r="I1076">
        <v>0</v>
      </c>
    </row>
    <row r="1077" spans="1:9" x14ac:dyDescent="0.25">
      <c r="A1077" t="s">
        <v>4584</v>
      </c>
      <c r="B1077" t="s">
        <v>4585</v>
      </c>
      <c r="C1077" t="s">
        <v>52</v>
      </c>
      <c r="D1077" t="s">
        <v>2766</v>
      </c>
      <c r="E1077" t="s">
        <v>1298</v>
      </c>
      <c r="F1077" t="s">
        <v>4586</v>
      </c>
      <c r="G1077" t="s">
        <v>6468</v>
      </c>
      <c r="H1077">
        <v>0</v>
      </c>
      <c r="I1077">
        <v>0</v>
      </c>
    </row>
    <row r="1078" spans="1:9" x14ac:dyDescent="0.25">
      <c r="A1078" t="s">
        <v>4587</v>
      </c>
      <c r="B1078" t="s">
        <v>4588</v>
      </c>
      <c r="C1078" t="s">
        <v>52</v>
      </c>
      <c r="D1078" t="s">
        <v>2766</v>
      </c>
      <c r="E1078" t="s">
        <v>1298</v>
      </c>
      <c r="F1078" t="s">
        <v>4589</v>
      </c>
      <c r="G1078" t="s">
        <v>6469</v>
      </c>
      <c r="H1078" t="s">
        <v>988</v>
      </c>
      <c r="I1078">
        <v>0</v>
      </c>
    </row>
    <row r="1079" spans="1:9" x14ac:dyDescent="0.25">
      <c r="A1079" t="s">
        <v>4590</v>
      </c>
      <c r="B1079" t="s">
        <v>4591</v>
      </c>
      <c r="C1079" t="s">
        <v>52</v>
      </c>
      <c r="D1079" t="s">
        <v>2766</v>
      </c>
      <c r="E1079" t="s">
        <v>1298</v>
      </c>
      <c r="F1079" t="s">
        <v>4592</v>
      </c>
      <c r="G1079" t="s">
        <v>6470</v>
      </c>
      <c r="H1079" t="s">
        <v>988</v>
      </c>
      <c r="I1079">
        <v>0</v>
      </c>
    </row>
    <row r="1080" spans="1:9" x14ac:dyDescent="0.25">
      <c r="A1080" t="s">
        <v>4593</v>
      </c>
      <c r="B1080" t="s">
        <v>4594</v>
      </c>
      <c r="C1080" t="s">
        <v>52</v>
      </c>
      <c r="D1080" t="s">
        <v>2766</v>
      </c>
      <c r="E1080" t="s">
        <v>1298</v>
      </c>
      <c r="F1080" t="s">
        <v>4595</v>
      </c>
      <c r="G1080" t="s">
        <v>6471</v>
      </c>
      <c r="H1080">
        <v>0</v>
      </c>
      <c r="I1080">
        <v>0</v>
      </c>
    </row>
    <row r="1081" spans="1:9" x14ac:dyDescent="0.25">
      <c r="A1081" t="s">
        <v>4596</v>
      </c>
      <c r="B1081" t="s">
        <v>4597</v>
      </c>
      <c r="C1081" t="s">
        <v>52</v>
      </c>
      <c r="D1081" t="s">
        <v>2766</v>
      </c>
      <c r="E1081" t="s">
        <v>1298</v>
      </c>
      <c r="F1081" t="s">
        <v>4598</v>
      </c>
      <c r="G1081" t="s">
        <v>6472</v>
      </c>
      <c r="H1081">
        <v>0</v>
      </c>
      <c r="I1081">
        <v>0</v>
      </c>
    </row>
    <row r="1082" spans="1:9" x14ac:dyDescent="0.25">
      <c r="A1082" t="s">
        <v>4599</v>
      </c>
      <c r="B1082" t="s">
        <v>4600</v>
      </c>
      <c r="C1082" t="s">
        <v>52</v>
      </c>
      <c r="D1082" t="s">
        <v>2766</v>
      </c>
      <c r="E1082" t="s">
        <v>1298</v>
      </c>
      <c r="F1082" t="s">
        <v>4601</v>
      </c>
      <c r="G1082" t="s">
        <v>6473</v>
      </c>
      <c r="H1082">
        <v>0</v>
      </c>
      <c r="I1082">
        <v>0</v>
      </c>
    </row>
    <row r="1083" spans="1:9" x14ac:dyDescent="0.25">
      <c r="A1083" t="s">
        <v>4602</v>
      </c>
      <c r="B1083" t="s">
        <v>4603</v>
      </c>
      <c r="C1083" t="s">
        <v>52</v>
      </c>
      <c r="D1083" t="s">
        <v>2766</v>
      </c>
      <c r="E1083" t="s">
        <v>1298</v>
      </c>
      <c r="F1083" t="s">
        <v>4604</v>
      </c>
      <c r="G1083" t="s">
        <v>6474</v>
      </c>
      <c r="H1083">
        <v>0</v>
      </c>
      <c r="I1083">
        <v>0</v>
      </c>
    </row>
    <row r="1084" spans="1:9" x14ac:dyDescent="0.25">
      <c r="A1084" t="s">
        <v>4605</v>
      </c>
      <c r="B1084" t="s">
        <v>4606</v>
      </c>
      <c r="C1084" t="s">
        <v>52</v>
      </c>
      <c r="D1084" t="s">
        <v>2766</v>
      </c>
      <c r="E1084" t="s">
        <v>1298</v>
      </c>
      <c r="F1084" t="s">
        <v>4607</v>
      </c>
      <c r="G1084" t="s">
        <v>6475</v>
      </c>
      <c r="H1084">
        <v>0</v>
      </c>
      <c r="I1084">
        <v>0</v>
      </c>
    </row>
    <row r="1085" spans="1:9" x14ac:dyDescent="0.25">
      <c r="A1085" t="s">
        <v>4608</v>
      </c>
      <c r="B1085" t="s">
        <v>4609</v>
      </c>
      <c r="C1085" t="s">
        <v>52</v>
      </c>
      <c r="D1085" t="s">
        <v>2766</v>
      </c>
      <c r="E1085" t="s">
        <v>1298</v>
      </c>
      <c r="F1085" t="s">
        <v>4610</v>
      </c>
      <c r="G1085" t="s">
        <v>6476</v>
      </c>
      <c r="H1085">
        <v>0</v>
      </c>
      <c r="I1085">
        <v>0</v>
      </c>
    </row>
    <row r="1086" spans="1:9" x14ac:dyDescent="0.25">
      <c r="A1086" t="s">
        <v>4611</v>
      </c>
      <c r="B1086" t="s">
        <v>4612</v>
      </c>
      <c r="C1086" t="s">
        <v>52</v>
      </c>
      <c r="D1086" t="s">
        <v>2766</v>
      </c>
      <c r="E1086" t="s">
        <v>1298</v>
      </c>
      <c r="F1086" t="s">
        <v>4613</v>
      </c>
      <c r="G1086" t="s">
        <v>6477</v>
      </c>
      <c r="H1086">
        <v>0</v>
      </c>
      <c r="I1086">
        <v>0</v>
      </c>
    </row>
    <row r="1087" spans="1:9" x14ac:dyDescent="0.25">
      <c r="A1087" t="s">
        <v>4614</v>
      </c>
      <c r="B1087" t="s">
        <v>4615</v>
      </c>
      <c r="C1087" t="s">
        <v>52</v>
      </c>
      <c r="D1087" t="s">
        <v>2766</v>
      </c>
      <c r="E1087" t="s">
        <v>1298</v>
      </c>
      <c r="F1087" t="s">
        <v>4616</v>
      </c>
      <c r="G1087" t="s">
        <v>6478</v>
      </c>
      <c r="H1087">
        <v>0</v>
      </c>
      <c r="I1087" t="s">
        <v>4617</v>
      </c>
    </row>
    <row r="1088" spans="1:9" x14ac:dyDescent="0.25">
      <c r="A1088" t="s">
        <v>4618</v>
      </c>
      <c r="B1088" t="s">
        <v>4619</v>
      </c>
      <c r="C1088" t="s">
        <v>52</v>
      </c>
      <c r="D1088" t="s">
        <v>2766</v>
      </c>
      <c r="E1088" t="s">
        <v>1298</v>
      </c>
      <c r="F1088" t="s">
        <v>4616</v>
      </c>
      <c r="G1088" t="s">
        <v>6478</v>
      </c>
      <c r="H1088">
        <v>0</v>
      </c>
      <c r="I1088" t="s">
        <v>4617</v>
      </c>
    </row>
    <row r="1089" spans="1:9" x14ac:dyDescent="0.25">
      <c r="A1089" t="s">
        <v>4620</v>
      </c>
      <c r="B1089" t="s">
        <v>4621</v>
      </c>
      <c r="C1089" t="s">
        <v>52</v>
      </c>
      <c r="D1089" t="s">
        <v>2766</v>
      </c>
      <c r="E1089" t="s">
        <v>1298</v>
      </c>
      <c r="F1089" t="s">
        <v>4622</v>
      </c>
      <c r="G1089" t="s">
        <v>6479</v>
      </c>
      <c r="H1089">
        <v>0</v>
      </c>
      <c r="I1089">
        <v>0</v>
      </c>
    </row>
    <row r="1090" spans="1:9" x14ac:dyDescent="0.25">
      <c r="A1090" t="s">
        <v>4623</v>
      </c>
      <c r="B1090" t="s">
        <v>4624</v>
      </c>
      <c r="C1090" t="s">
        <v>52</v>
      </c>
      <c r="D1090" t="s">
        <v>2766</v>
      </c>
      <c r="E1090" t="s">
        <v>1298</v>
      </c>
      <c r="F1090" t="s">
        <v>4625</v>
      </c>
      <c r="G1090" t="s">
        <v>6480</v>
      </c>
      <c r="H1090">
        <v>0</v>
      </c>
      <c r="I1090">
        <v>0</v>
      </c>
    </row>
    <row r="1091" spans="1:9" x14ac:dyDescent="0.25">
      <c r="A1091" t="s">
        <v>4626</v>
      </c>
      <c r="B1091" t="s">
        <v>4627</v>
      </c>
      <c r="C1091" t="s">
        <v>52</v>
      </c>
      <c r="D1091" t="s">
        <v>2766</v>
      </c>
      <c r="E1091" t="s">
        <v>1298</v>
      </c>
      <c r="F1091" t="s">
        <v>4628</v>
      </c>
      <c r="G1091" t="s">
        <v>6481</v>
      </c>
      <c r="H1091">
        <v>0</v>
      </c>
      <c r="I1091">
        <v>0</v>
      </c>
    </row>
    <row r="1092" spans="1:9" x14ac:dyDescent="0.25">
      <c r="A1092" t="s">
        <v>4629</v>
      </c>
      <c r="B1092" t="s">
        <v>4630</v>
      </c>
      <c r="C1092" t="s">
        <v>4631</v>
      </c>
      <c r="D1092" t="s">
        <v>1348</v>
      </c>
      <c r="E1092" t="s">
        <v>1349</v>
      </c>
      <c r="F1092" t="s">
        <v>4632</v>
      </c>
      <c r="G1092" t="s">
        <v>6482</v>
      </c>
      <c r="H1092">
        <v>0</v>
      </c>
      <c r="I1092">
        <v>0</v>
      </c>
    </row>
    <row r="1093" spans="1:9" x14ac:dyDescent="0.25">
      <c r="A1093" t="s">
        <v>4633</v>
      </c>
      <c r="B1093" t="s">
        <v>4634</v>
      </c>
      <c r="C1093" t="s">
        <v>4631</v>
      </c>
      <c r="D1093" t="s">
        <v>1348</v>
      </c>
      <c r="E1093" t="s">
        <v>1349</v>
      </c>
      <c r="F1093" t="s">
        <v>4635</v>
      </c>
      <c r="G1093" t="s">
        <v>6483</v>
      </c>
      <c r="H1093">
        <v>0</v>
      </c>
      <c r="I1093">
        <v>0</v>
      </c>
    </row>
    <row r="1094" spans="1:9" x14ac:dyDescent="0.25">
      <c r="A1094" t="s">
        <v>4636</v>
      </c>
      <c r="B1094" t="s">
        <v>4637</v>
      </c>
      <c r="C1094" t="s">
        <v>4631</v>
      </c>
      <c r="D1094" t="s">
        <v>1348</v>
      </c>
      <c r="E1094" t="s">
        <v>1349</v>
      </c>
      <c r="F1094" t="s">
        <v>4638</v>
      </c>
      <c r="G1094" t="s">
        <v>6484</v>
      </c>
      <c r="H1094">
        <v>0</v>
      </c>
      <c r="I1094">
        <v>0</v>
      </c>
    </row>
    <row r="1095" spans="1:9" x14ac:dyDescent="0.25">
      <c r="A1095" t="s">
        <v>4639</v>
      </c>
      <c r="B1095" t="s">
        <v>4640</v>
      </c>
      <c r="C1095" t="s">
        <v>4631</v>
      </c>
      <c r="D1095" t="s">
        <v>1348</v>
      </c>
      <c r="E1095" t="s">
        <v>1349</v>
      </c>
      <c r="F1095" t="s">
        <v>4641</v>
      </c>
      <c r="G1095" t="s">
        <v>6485</v>
      </c>
      <c r="H1095">
        <v>0</v>
      </c>
      <c r="I1095">
        <v>0</v>
      </c>
    </row>
    <row r="1096" spans="1:9" x14ac:dyDescent="0.25">
      <c r="A1096" t="s">
        <v>4642</v>
      </c>
      <c r="B1096" t="s">
        <v>4643</v>
      </c>
      <c r="C1096" t="s">
        <v>4631</v>
      </c>
      <c r="D1096" t="s">
        <v>1348</v>
      </c>
      <c r="E1096" t="s">
        <v>1349</v>
      </c>
      <c r="F1096" t="s">
        <v>4644</v>
      </c>
      <c r="G1096" t="s">
        <v>6486</v>
      </c>
      <c r="H1096" t="s">
        <v>4645</v>
      </c>
      <c r="I1096">
        <v>0</v>
      </c>
    </row>
    <row r="1097" spans="1:9" x14ac:dyDescent="0.25">
      <c r="A1097" t="s">
        <v>4646</v>
      </c>
      <c r="B1097" t="s">
        <v>4647</v>
      </c>
      <c r="C1097" t="s">
        <v>4631</v>
      </c>
      <c r="D1097" t="s">
        <v>1348</v>
      </c>
      <c r="E1097" t="s">
        <v>1349</v>
      </c>
      <c r="F1097" t="s">
        <v>4648</v>
      </c>
      <c r="G1097" t="s">
        <v>6487</v>
      </c>
      <c r="H1097" t="s">
        <v>4645</v>
      </c>
      <c r="I1097">
        <v>0</v>
      </c>
    </row>
    <row r="1098" spans="1:9" x14ac:dyDescent="0.25">
      <c r="A1098" t="s">
        <v>4649</v>
      </c>
      <c r="B1098" t="s">
        <v>4650</v>
      </c>
      <c r="C1098" t="s">
        <v>4631</v>
      </c>
      <c r="D1098" t="s">
        <v>1348</v>
      </c>
      <c r="E1098" t="s">
        <v>1349</v>
      </c>
      <c r="F1098" t="s">
        <v>4651</v>
      </c>
      <c r="G1098" t="s">
        <v>6488</v>
      </c>
      <c r="H1098" t="s">
        <v>4652</v>
      </c>
      <c r="I1098">
        <v>0</v>
      </c>
    </row>
    <row r="1099" spans="1:9" x14ac:dyDescent="0.25">
      <c r="A1099" t="s">
        <v>4653</v>
      </c>
      <c r="B1099" t="s">
        <v>4654</v>
      </c>
      <c r="C1099" t="s">
        <v>4631</v>
      </c>
      <c r="D1099" t="s">
        <v>1348</v>
      </c>
      <c r="E1099" t="s">
        <v>1349</v>
      </c>
      <c r="F1099" t="s">
        <v>4655</v>
      </c>
      <c r="G1099" t="s">
        <v>6489</v>
      </c>
      <c r="H1099">
        <v>0</v>
      </c>
      <c r="I1099">
        <v>0</v>
      </c>
    </row>
    <row r="1100" spans="1:9" x14ac:dyDescent="0.25">
      <c r="A1100" t="s">
        <v>4656</v>
      </c>
      <c r="B1100" t="s">
        <v>4657</v>
      </c>
      <c r="C1100" t="s">
        <v>4631</v>
      </c>
      <c r="D1100" t="s">
        <v>1348</v>
      </c>
      <c r="E1100" t="s">
        <v>1349</v>
      </c>
      <c r="F1100" t="s">
        <v>4658</v>
      </c>
      <c r="G1100" t="s">
        <v>6490</v>
      </c>
      <c r="H1100" t="s">
        <v>4659</v>
      </c>
      <c r="I1100">
        <v>0</v>
      </c>
    </row>
    <row r="1101" spans="1:9" x14ac:dyDescent="0.25">
      <c r="A1101" t="s">
        <v>4660</v>
      </c>
      <c r="B1101" t="s">
        <v>4661</v>
      </c>
      <c r="C1101" t="s">
        <v>4631</v>
      </c>
      <c r="D1101" t="s">
        <v>1348</v>
      </c>
      <c r="E1101" t="s">
        <v>1349</v>
      </c>
      <c r="F1101" t="s">
        <v>4662</v>
      </c>
      <c r="G1101" t="s">
        <v>6491</v>
      </c>
      <c r="H1101">
        <v>0</v>
      </c>
      <c r="I1101">
        <v>0</v>
      </c>
    </row>
    <row r="1102" spans="1:9" x14ac:dyDescent="0.25">
      <c r="A1102" t="s">
        <v>4663</v>
      </c>
      <c r="B1102" t="s">
        <v>4664</v>
      </c>
      <c r="C1102" t="s">
        <v>4631</v>
      </c>
      <c r="D1102" t="s">
        <v>1348</v>
      </c>
      <c r="E1102" t="s">
        <v>1349</v>
      </c>
      <c r="F1102" t="s">
        <v>4665</v>
      </c>
      <c r="G1102" t="s">
        <v>6492</v>
      </c>
      <c r="H1102" t="s">
        <v>4659</v>
      </c>
      <c r="I1102">
        <v>0</v>
      </c>
    </row>
    <row r="1103" spans="1:9" x14ac:dyDescent="0.25">
      <c r="A1103" t="s">
        <v>4666</v>
      </c>
      <c r="B1103" t="s">
        <v>4667</v>
      </c>
      <c r="C1103" t="s">
        <v>4631</v>
      </c>
      <c r="D1103" t="s">
        <v>1348</v>
      </c>
      <c r="E1103" t="s">
        <v>1349</v>
      </c>
      <c r="F1103" t="s">
        <v>4668</v>
      </c>
      <c r="G1103" t="s">
        <v>6493</v>
      </c>
      <c r="H1103" t="s">
        <v>4652</v>
      </c>
      <c r="I1103">
        <v>0</v>
      </c>
    </row>
    <row r="1104" spans="1:9" x14ac:dyDescent="0.25">
      <c r="A1104" t="s">
        <v>4669</v>
      </c>
      <c r="B1104" t="s">
        <v>4670</v>
      </c>
      <c r="C1104" t="s">
        <v>4631</v>
      </c>
      <c r="D1104" t="s">
        <v>1348</v>
      </c>
      <c r="E1104" t="s">
        <v>1349</v>
      </c>
      <c r="F1104" t="s">
        <v>4671</v>
      </c>
      <c r="G1104" t="s">
        <v>6494</v>
      </c>
      <c r="H1104">
        <v>0</v>
      </c>
      <c r="I1104">
        <v>0</v>
      </c>
    </row>
    <row r="1105" spans="1:9" x14ac:dyDescent="0.25">
      <c r="A1105" t="s">
        <v>4672</v>
      </c>
      <c r="B1105" t="s">
        <v>4673</v>
      </c>
      <c r="C1105" t="s">
        <v>4631</v>
      </c>
      <c r="D1105" t="s">
        <v>1348</v>
      </c>
      <c r="E1105" t="s">
        <v>1349</v>
      </c>
      <c r="F1105" t="s">
        <v>4674</v>
      </c>
      <c r="G1105" t="s">
        <v>6495</v>
      </c>
      <c r="H1105" t="s">
        <v>4659</v>
      </c>
      <c r="I1105">
        <v>0</v>
      </c>
    </row>
    <row r="1106" spans="1:9" x14ac:dyDescent="0.25">
      <c r="A1106" t="s">
        <v>4675</v>
      </c>
      <c r="B1106" t="s">
        <v>4676</v>
      </c>
      <c r="C1106" t="s">
        <v>4631</v>
      </c>
      <c r="D1106" t="s">
        <v>1348</v>
      </c>
      <c r="E1106" t="s">
        <v>1349</v>
      </c>
      <c r="F1106" t="s">
        <v>4677</v>
      </c>
      <c r="G1106" t="s">
        <v>6496</v>
      </c>
      <c r="H1106" t="s">
        <v>4645</v>
      </c>
      <c r="I1106">
        <v>0</v>
      </c>
    </row>
    <row r="1107" spans="1:9" x14ac:dyDescent="0.25">
      <c r="A1107" t="s">
        <v>4678</v>
      </c>
      <c r="B1107" t="s">
        <v>4679</v>
      </c>
      <c r="C1107" t="s">
        <v>4631</v>
      </c>
      <c r="D1107" t="s">
        <v>1348</v>
      </c>
      <c r="E1107" t="s">
        <v>1349</v>
      </c>
      <c r="F1107" t="s">
        <v>4680</v>
      </c>
      <c r="G1107" t="s">
        <v>6497</v>
      </c>
      <c r="H1107">
        <v>0</v>
      </c>
      <c r="I1107">
        <v>0</v>
      </c>
    </row>
    <row r="1108" spans="1:9" x14ac:dyDescent="0.25">
      <c r="A1108" t="s">
        <v>4681</v>
      </c>
      <c r="B1108" t="s">
        <v>4682</v>
      </c>
      <c r="C1108" t="s">
        <v>4631</v>
      </c>
      <c r="D1108" t="s">
        <v>1348</v>
      </c>
      <c r="E1108" t="s">
        <v>1349</v>
      </c>
      <c r="F1108" t="s">
        <v>4683</v>
      </c>
      <c r="G1108" t="s">
        <v>6498</v>
      </c>
      <c r="H1108">
        <v>0</v>
      </c>
      <c r="I1108">
        <v>0</v>
      </c>
    </row>
    <row r="1109" spans="1:9" x14ac:dyDescent="0.25">
      <c r="A1109" t="s">
        <v>4684</v>
      </c>
      <c r="B1109" t="s">
        <v>4685</v>
      </c>
      <c r="C1109" t="s">
        <v>4631</v>
      </c>
      <c r="D1109" t="s">
        <v>1348</v>
      </c>
      <c r="E1109" t="s">
        <v>1349</v>
      </c>
      <c r="F1109" t="s">
        <v>4686</v>
      </c>
      <c r="G1109" t="s">
        <v>6499</v>
      </c>
      <c r="H1109">
        <v>0</v>
      </c>
      <c r="I1109">
        <v>0</v>
      </c>
    </row>
    <row r="1110" spans="1:9" x14ac:dyDescent="0.25">
      <c r="A1110" t="s">
        <v>4687</v>
      </c>
      <c r="B1110" t="s">
        <v>4688</v>
      </c>
      <c r="C1110" t="s">
        <v>4631</v>
      </c>
      <c r="D1110" t="s">
        <v>1348</v>
      </c>
      <c r="E1110" t="s">
        <v>1349</v>
      </c>
      <c r="F1110" t="s">
        <v>4689</v>
      </c>
      <c r="G1110" t="s">
        <v>6500</v>
      </c>
      <c r="H1110">
        <v>0</v>
      </c>
      <c r="I1110">
        <v>0</v>
      </c>
    </row>
    <row r="1111" spans="1:9" x14ac:dyDescent="0.25">
      <c r="A1111" t="s">
        <v>4690</v>
      </c>
      <c r="B1111" t="s">
        <v>4691</v>
      </c>
      <c r="C1111" t="s">
        <v>4631</v>
      </c>
      <c r="D1111" t="s">
        <v>1348</v>
      </c>
      <c r="E1111" t="s">
        <v>1349</v>
      </c>
      <c r="F1111" t="s">
        <v>4692</v>
      </c>
      <c r="G1111" t="s">
        <v>6501</v>
      </c>
      <c r="H1111" t="s">
        <v>4652</v>
      </c>
      <c r="I1111">
        <v>0</v>
      </c>
    </row>
    <row r="1112" spans="1:9" x14ac:dyDescent="0.25">
      <c r="A1112" t="s">
        <v>4693</v>
      </c>
      <c r="B1112" t="s">
        <v>4694</v>
      </c>
      <c r="C1112" t="s">
        <v>4631</v>
      </c>
      <c r="D1112" t="s">
        <v>1348</v>
      </c>
      <c r="E1112" t="s">
        <v>1349</v>
      </c>
      <c r="F1112" t="s">
        <v>4695</v>
      </c>
      <c r="G1112" t="s">
        <v>6502</v>
      </c>
      <c r="H1112" t="s">
        <v>4696</v>
      </c>
      <c r="I1112">
        <v>0</v>
      </c>
    </row>
    <row r="1113" spans="1:9" x14ac:dyDescent="0.25">
      <c r="A1113" t="s">
        <v>4697</v>
      </c>
      <c r="B1113" t="s">
        <v>4698</v>
      </c>
      <c r="C1113" t="s">
        <v>4631</v>
      </c>
      <c r="D1113" t="s">
        <v>1348</v>
      </c>
      <c r="E1113" t="s">
        <v>1349</v>
      </c>
      <c r="F1113" t="s">
        <v>4699</v>
      </c>
      <c r="G1113" t="s">
        <v>6503</v>
      </c>
      <c r="H1113" t="s">
        <v>4696</v>
      </c>
      <c r="I1113">
        <v>0</v>
      </c>
    </row>
    <row r="1114" spans="1:9" x14ac:dyDescent="0.25">
      <c r="A1114" t="s">
        <v>4700</v>
      </c>
      <c r="B1114" t="s">
        <v>4701</v>
      </c>
      <c r="C1114" t="s">
        <v>4631</v>
      </c>
      <c r="D1114" t="s">
        <v>1348</v>
      </c>
      <c r="E1114" t="s">
        <v>1349</v>
      </c>
      <c r="F1114" t="s">
        <v>4702</v>
      </c>
      <c r="G1114" t="s">
        <v>6504</v>
      </c>
      <c r="H1114" t="s">
        <v>4652</v>
      </c>
      <c r="I1114">
        <v>0</v>
      </c>
    </row>
    <row r="1115" spans="1:9" x14ac:dyDescent="0.25">
      <c r="A1115" t="s">
        <v>4703</v>
      </c>
      <c r="B1115" t="s">
        <v>4704</v>
      </c>
      <c r="C1115" t="s">
        <v>4631</v>
      </c>
      <c r="D1115" t="s">
        <v>1348</v>
      </c>
      <c r="E1115" t="s">
        <v>1349</v>
      </c>
      <c r="F1115" t="s">
        <v>4705</v>
      </c>
      <c r="G1115" t="s">
        <v>6505</v>
      </c>
      <c r="H1115">
        <v>0</v>
      </c>
      <c r="I1115">
        <v>0</v>
      </c>
    </row>
    <row r="1116" spans="1:9" x14ac:dyDescent="0.25">
      <c r="A1116" t="s">
        <v>4706</v>
      </c>
      <c r="B1116" t="s">
        <v>4707</v>
      </c>
      <c r="C1116" t="s">
        <v>4631</v>
      </c>
      <c r="D1116" t="s">
        <v>1348</v>
      </c>
      <c r="E1116" t="s">
        <v>1349</v>
      </c>
      <c r="F1116" t="s">
        <v>4708</v>
      </c>
      <c r="G1116" t="s">
        <v>6506</v>
      </c>
      <c r="H1116">
        <v>0</v>
      </c>
      <c r="I1116">
        <v>0</v>
      </c>
    </row>
    <row r="1117" spans="1:9" x14ac:dyDescent="0.25">
      <c r="A1117" t="s">
        <v>4709</v>
      </c>
      <c r="B1117" t="s">
        <v>4710</v>
      </c>
      <c r="C1117" t="s">
        <v>4631</v>
      </c>
      <c r="D1117" t="s">
        <v>1348</v>
      </c>
      <c r="E1117" t="s">
        <v>1349</v>
      </c>
      <c r="F1117" t="s">
        <v>4711</v>
      </c>
      <c r="G1117" t="s">
        <v>6507</v>
      </c>
      <c r="H1117" t="s">
        <v>4659</v>
      </c>
      <c r="I1117">
        <v>0</v>
      </c>
    </row>
    <row r="1118" spans="1:9" x14ac:dyDescent="0.25">
      <c r="A1118" t="s">
        <v>4712</v>
      </c>
      <c r="B1118" t="s">
        <v>4713</v>
      </c>
      <c r="C1118" t="s">
        <v>4631</v>
      </c>
      <c r="D1118" t="s">
        <v>1348</v>
      </c>
      <c r="E1118" t="s">
        <v>1349</v>
      </c>
      <c r="F1118" t="s">
        <v>4714</v>
      </c>
      <c r="G1118" t="s">
        <v>6508</v>
      </c>
      <c r="H1118" t="s">
        <v>4652</v>
      </c>
      <c r="I1118">
        <v>0</v>
      </c>
    </row>
    <row r="1119" spans="1:9" x14ac:dyDescent="0.25">
      <c r="A1119" t="s">
        <v>4715</v>
      </c>
      <c r="B1119" t="s">
        <v>4716</v>
      </c>
      <c r="C1119" t="s">
        <v>4631</v>
      </c>
      <c r="D1119" t="s">
        <v>1348</v>
      </c>
      <c r="E1119" t="s">
        <v>1349</v>
      </c>
      <c r="F1119" t="s">
        <v>4717</v>
      </c>
      <c r="G1119" t="s">
        <v>6509</v>
      </c>
      <c r="H1119" t="s">
        <v>4659</v>
      </c>
      <c r="I1119">
        <v>0</v>
      </c>
    </row>
    <row r="1120" spans="1:9" x14ac:dyDescent="0.25">
      <c r="A1120" t="s">
        <v>4718</v>
      </c>
      <c r="B1120" t="s">
        <v>4719</v>
      </c>
      <c r="C1120" t="s">
        <v>4631</v>
      </c>
      <c r="D1120" t="s">
        <v>1348</v>
      </c>
      <c r="E1120" t="s">
        <v>1349</v>
      </c>
      <c r="F1120" t="s">
        <v>4720</v>
      </c>
      <c r="G1120" t="s">
        <v>6510</v>
      </c>
      <c r="H1120" t="s">
        <v>4645</v>
      </c>
      <c r="I1120">
        <v>0</v>
      </c>
    </row>
    <row r="1121" spans="1:9" x14ac:dyDescent="0.25">
      <c r="A1121" t="s">
        <v>4721</v>
      </c>
      <c r="B1121" t="s">
        <v>4722</v>
      </c>
      <c r="C1121" t="s">
        <v>4631</v>
      </c>
      <c r="D1121" t="s">
        <v>1348</v>
      </c>
      <c r="E1121" t="s">
        <v>1349</v>
      </c>
      <c r="F1121" t="s">
        <v>4723</v>
      </c>
      <c r="G1121" t="s">
        <v>6511</v>
      </c>
      <c r="H1121">
        <v>0</v>
      </c>
      <c r="I1121">
        <v>0</v>
      </c>
    </row>
    <row r="1122" spans="1:9" x14ac:dyDescent="0.25">
      <c r="A1122" t="s">
        <v>4724</v>
      </c>
      <c r="B1122" t="s">
        <v>4725</v>
      </c>
      <c r="C1122" t="s">
        <v>4631</v>
      </c>
      <c r="D1122" t="s">
        <v>1348</v>
      </c>
      <c r="E1122" t="s">
        <v>1349</v>
      </c>
      <c r="F1122" t="s">
        <v>4726</v>
      </c>
      <c r="G1122" t="s">
        <v>6512</v>
      </c>
      <c r="H1122">
        <v>0</v>
      </c>
      <c r="I1122">
        <v>0</v>
      </c>
    </row>
    <row r="1123" spans="1:9" x14ac:dyDescent="0.25">
      <c r="A1123" t="s">
        <v>4727</v>
      </c>
      <c r="B1123" t="s">
        <v>4728</v>
      </c>
      <c r="C1123" t="s">
        <v>55</v>
      </c>
      <c r="D1123" t="s">
        <v>1388</v>
      </c>
      <c r="E1123" t="s">
        <v>1349</v>
      </c>
      <c r="F1123" t="s">
        <v>4729</v>
      </c>
      <c r="G1123" t="s">
        <v>6513</v>
      </c>
      <c r="H1123">
        <v>0</v>
      </c>
      <c r="I1123">
        <v>0</v>
      </c>
    </row>
    <row r="1124" spans="1:9" x14ac:dyDescent="0.25">
      <c r="A1124" t="s">
        <v>4730</v>
      </c>
      <c r="B1124" t="s">
        <v>4731</v>
      </c>
      <c r="C1124" t="s">
        <v>55</v>
      </c>
      <c r="D1124" t="s">
        <v>1388</v>
      </c>
      <c r="E1124" t="s">
        <v>1349</v>
      </c>
      <c r="F1124" t="s">
        <v>4732</v>
      </c>
      <c r="G1124" t="s">
        <v>6514</v>
      </c>
      <c r="H1124">
        <v>0</v>
      </c>
      <c r="I1124">
        <v>0</v>
      </c>
    </row>
    <row r="1125" spans="1:9" x14ac:dyDescent="0.25">
      <c r="A1125" t="s">
        <v>4733</v>
      </c>
      <c r="B1125" t="s">
        <v>4734</v>
      </c>
      <c r="C1125" t="s">
        <v>55</v>
      </c>
      <c r="D1125" t="s">
        <v>1388</v>
      </c>
      <c r="E1125" t="s">
        <v>1349</v>
      </c>
      <c r="F1125" t="s">
        <v>4735</v>
      </c>
      <c r="G1125" t="s">
        <v>6515</v>
      </c>
      <c r="H1125" t="s">
        <v>4736</v>
      </c>
      <c r="I1125">
        <v>0</v>
      </c>
    </row>
    <row r="1126" spans="1:9" x14ac:dyDescent="0.25">
      <c r="A1126" t="s">
        <v>4737</v>
      </c>
      <c r="B1126" t="s">
        <v>4738</v>
      </c>
      <c r="C1126" t="s">
        <v>55</v>
      </c>
      <c r="D1126" t="s">
        <v>1388</v>
      </c>
      <c r="E1126" t="s">
        <v>1349</v>
      </c>
      <c r="F1126" t="s">
        <v>4739</v>
      </c>
      <c r="G1126" t="s">
        <v>6516</v>
      </c>
      <c r="H1126" t="s">
        <v>4740</v>
      </c>
      <c r="I1126">
        <v>0</v>
      </c>
    </row>
    <row r="1127" spans="1:9" x14ac:dyDescent="0.25">
      <c r="A1127" t="s">
        <v>4741</v>
      </c>
      <c r="B1127" t="s">
        <v>4742</v>
      </c>
      <c r="C1127" t="s">
        <v>55</v>
      </c>
      <c r="D1127" t="s">
        <v>1388</v>
      </c>
      <c r="E1127" t="s">
        <v>1349</v>
      </c>
      <c r="F1127" t="s">
        <v>4743</v>
      </c>
      <c r="G1127" t="s">
        <v>6517</v>
      </c>
      <c r="H1127">
        <v>0</v>
      </c>
      <c r="I1127">
        <v>0</v>
      </c>
    </row>
    <row r="1128" spans="1:9" x14ac:dyDescent="0.25">
      <c r="A1128" t="s">
        <v>4744</v>
      </c>
      <c r="B1128" t="s">
        <v>4745</v>
      </c>
      <c r="C1128" t="s">
        <v>55</v>
      </c>
      <c r="D1128" t="s">
        <v>1388</v>
      </c>
      <c r="E1128" t="s">
        <v>1349</v>
      </c>
      <c r="F1128" t="s">
        <v>4746</v>
      </c>
      <c r="G1128" t="s">
        <v>6518</v>
      </c>
      <c r="H1128">
        <v>0</v>
      </c>
      <c r="I1128">
        <v>0</v>
      </c>
    </row>
    <row r="1129" spans="1:9" x14ac:dyDescent="0.25">
      <c r="A1129" t="s">
        <v>4747</v>
      </c>
      <c r="B1129" t="s">
        <v>4748</v>
      </c>
      <c r="C1129" t="s">
        <v>55</v>
      </c>
      <c r="D1129" t="s">
        <v>1388</v>
      </c>
      <c r="E1129" t="s">
        <v>1349</v>
      </c>
      <c r="F1129" t="s">
        <v>4749</v>
      </c>
      <c r="G1129" t="s">
        <v>6519</v>
      </c>
      <c r="H1129" t="s">
        <v>4750</v>
      </c>
      <c r="I1129">
        <v>0</v>
      </c>
    </row>
    <row r="1130" spans="1:9" x14ac:dyDescent="0.25">
      <c r="A1130" t="s">
        <v>4751</v>
      </c>
      <c r="B1130" t="s">
        <v>4752</v>
      </c>
      <c r="C1130" t="s">
        <v>55</v>
      </c>
      <c r="D1130" t="s">
        <v>1388</v>
      </c>
      <c r="E1130" t="s">
        <v>1349</v>
      </c>
      <c r="F1130" t="s">
        <v>4753</v>
      </c>
      <c r="G1130" t="s">
        <v>6520</v>
      </c>
      <c r="H1130" t="s">
        <v>4754</v>
      </c>
      <c r="I1130">
        <v>0</v>
      </c>
    </row>
    <row r="1131" spans="1:9" x14ac:dyDescent="0.25">
      <c r="A1131" t="s">
        <v>4755</v>
      </c>
      <c r="B1131" t="s">
        <v>4756</v>
      </c>
      <c r="C1131" t="s">
        <v>55</v>
      </c>
      <c r="D1131" t="s">
        <v>1388</v>
      </c>
      <c r="E1131" t="s">
        <v>1349</v>
      </c>
      <c r="F1131" t="s">
        <v>4757</v>
      </c>
      <c r="G1131" t="s">
        <v>6521</v>
      </c>
      <c r="H1131" t="s">
        <v>4758</v>
      </c>
      <c r="I1131">
        <v>0</v>
      </c>
    </row>
    <row r="1132" spans="1:9" x14ac:dyDescent="0.25">
      <c r="A1132" t="s">
        <v>4759</v>
      </c>
      <c r="B1132" t="s">
        <v>4760</v>
      </c>
      <c r="C1132" t="s">
        <v>55</v>
      </c>
      <c r="D1132" t="s">
        <v>1388</v>
      </c>
      <c r="E1132" t="s">
        <v>1349</v>
      </c>
      <c r="F1132" t="s">
        <v>4761</v>
      </c>
      <c r="G1132" t="s">
        <v>6522</v>
      </c>
      <c r="H1132" t="s">
        <v>4762</v>
      </c>
      <c r="I1132">
        <v>0</v>
      </c>
    </row>
    <row r="1133" spans="1:9" x14ac:dyDescent="0.25">
      <c r="A1133" t="s">
        <v>4763</v>
      </c>
      <c r="B1133" t="s">
        <v>4764</v>
      </c>
      <c r="C1133" t="s">
        <v>55</v>
      </c>
      <c r="D1133" t="s">
        <v>1388</v>
      </c>
      <c r="E1133" t="s">
        <v>1349</v>
      </c>
      <c r="F1133" t="s">
        <v>4765</v>
      </c>
      <c r="G1133" t="s">
        <v>6523</v>
      </c>
      <c r="H1133">
        <v>0</v>
      </c>
      <c r="I1133">
        <v>0</v>
      </c>
    </row>
    <row r="1134" spans="1:9" x14ac:dyDescent="0.25">
      <c r="A1134" t="s">
        <v>4766</v>
      </c>
      <c r="B1134" t="s">
        <v>4767</v>
      </c>
      <c r="C1134" t="s">
        <v>55</v>
      </c>
      <c r="D1134" t="s">
        <v>1388</v>
      </c>
      <c r="E1134" t="s">
        <v>1349</v>
      </c>
      <c r="F1134" t="s">
        <v>4768</v>
      </c>
      <c r="G1134" t="s">
        <v>6524</v>
      </c>
      <c r="H1134" t="s">
        <v>4762</v>
      </c>
      <c r="I1134">
        <v>0</v>
      </c>
    </row>
    <row r="1135" spans="1:9" x14ac:dyDescent="0.25">
      <c r="A1135" t="s">
        <v>4769</v>
      </c>
      <c r="B1135" t="s">
        <v>4770</v>
      </c>
      <c r="C1135" t="s">
        <v>55</v>
      </c>
      <c r="D1135" t="s">
        <v>1388</v>
      </c>
      <c r="E1135" t="s">
        <v>1349</v>
      </c>
      <c r="F1135" t="s">
        <v>4771</v>
      </c>
      <c r="G1135" t="s">
        <v>6525</v>
      </c>
      <c r="H1135" t="s">
        <v>4736</v>
      </c>
      <c r="I1135">
        <v>0</v>
      </c>
    </row>
    <row r="1136" spans="1:9" x14ac:dyDescent="0.25">
      <c r="A1136" t="s">
        <v>4772</v>
      </c>
      <c r="B1136" t="s">
        <v>4773</v>
      </c>
      <c r="C1136" t="s">
        <v>55</v>
      </c>
      <c r="D1136" t="s">
        <v>1388</v>
      </c>
      <c r="E1136" t="s">
        <v>1349</v>
      </c>
      <c r="F1136" t="s">
        <v>4774</v>
      </c>
      <c r="G1136" t="s">
        <v>6526</v>
      </c>
      <c r="H1136" t="s">
        <v>1028</v>
      </c>
      <c r="I1136">
        <v>0</v>
      </c>
    </row>
    <row r="1137" spans="1:9" x14ac:dyDescent="0.25">
      <c r="A1137" t="s">
        <v>4775</v>
      </c>
      <c r="B1137" t="s">
        <v>4776</v>
      </c>
      <c r="C1137" t="s">
        <v>55</v>
      </c>
      <c r="D1137" t="s">
        <v>1388</v>
      </c>
      <c r="E1137" t="s">
        <v>1349</v>
      </c>
      <c r="F1137" t="s">
        <v>4777</v>
      </c>
      <c r="G1137" t="s">
        <v>6527</v>
      </c>
      <c r="H1137" t="s">
        <v>1028</v>
      </c>
      <c r="I1137">
        <v>0</v>
      </c>
    </row>
    <row r="1138" spans="1:9" x14ac:dyDescent="0.25">
      <c r="A1138" t="s">
        <v>4778</v>
      </c>
      <c r="B1138" t="s">
        <v>4779</v>
      </c>
      <c r="C1138" t="s">
        <v>55</v>
      </c>
      <c r="D1138" t="s">
        <v>1388</v>
      </c>
      <c r="E1138" t="s">
        <v>1349</v>
      </c>
      <c r="F1138" t="s">
        <v>4780</v>
      </c>
      <c r="G1138" t="s">
        <v>6528</v>
      </c>
      <c r="H1138" t="s">
        <v>4762</v>
      </c>
      <c r="I1138">
        <v>0</v>
      </c>
    </row>
    <row r="1139" spans="1:9" x14ac:dyDescent="0.25">
      <c r="A1139" t="s">
        <v>4781</v>
      </c>
      <c r="B1139" t="s">
        <v>4782</v>
      </c>
      <c r="C1139" t="s">
        <v>55</v>
      </c>
      <c r="D1139" t="s">
        <v>1388</v>
      </c>
      <c r="E1139" t="s">
        <v>1349</v>
      </c>
      <c r="F1139" t="s">
        <v>4783</v>
      </c>
      <c r="G1139" t="s">
        <v>6529</v>
      </c>
      <c r="H1139" t="s">
        <v>4762</v>
      </c>
      <c r="I1139">
        <v>0</v>
      </c>
    </row>
    <row r="1140" spans="1:9" x14ac:dyDescent="0.25">
      <c r="A1140" t="s">
        <v>4784</v>
      </c>
      <c r="B1140" t="s">
        <v>4785</v>
      </c>
      <c r="C1140" t="s">
        <v>55</v>
      </c>
      <c r="D1140" t="s">
        <v>1388</v>
      </c>
      <c r="E1140" t="s">
        <v>1349</v>
      </c>
      <c r="F1140" t="s">
        <v>4786</v>
      </c>
      <c r="G1140" t="s">
        <v>6530</v>
      </c>
      <c r="H1140">
        <v>0</v>
      </c>
      <c r="I1140">
        <v>0</v>
      </c>
    </row>
    <row r="1141" spans="1:9" x14ac:dyDescent="0.25">
      <c r="A1141" t="s">
        <v>4787</v>
      </c>
      <c r="B1141" t="s">
        <v>4788</v>
      </c>
      <c r="C1141" t="s">
        <v>55</v>
      </c>
      <c r="D1141" t="s">
        <v>1388</v>
      </c>
      <c r="E1141" t="s">
        <v>1349</v>
      </c>
      <c r="F1141" t="s">
        <v>4789</v>
      </c>
      <c r="G1141" t="s">
        <v>6531</v>
      </c>
      <c r="H1141">
        <v>0</v>
      </c>
      <c r="I1141">
        <v>0</v>
      </c>
    </row>
    <row r="1142" spans="1:9" x14ac:dyDescent="0.25">
      <c r="A1142" t="s">
        <v>4790</v>
      </c>
      <c r="B1142" t="s">
        <v>4791</v>
      </c>
      <c r="C1142" t="s">
        <v>55</v>
      </c>
      <c r="D1142" t="s">
        <v>1388</v>
      </c>
      <c r="E1142" t="s">
        <v>1349</v>
      </c>
      <c r="F1142" t="s">
        <v>4792</v>
      </c>
      <c r="G1142" t="s">
        <v>6532</v>
      </c>
      <c r="H1142" t="s">
        <v>4793</v>
      </c>
      <c r="I1142">
        <v>0</v>
      </c>
    </row>
    <row r="1143" spans="1:9" x14ac:dyDescent="0.25">
      <c r="A1143" t="s">
        <v>4794</v>
      </c>
      <c r="B1143" t="s">
        <v>4795</v>
      </c>
      <c r="C1143" t="s">
        <v>55</v>
      </c>
      <c r="D1143" t="s">
        <v>1388</v>
      </c>
      <c r="E1143" t="s">
        <v>1349</v>
      </c>
      <c r="F1143" t="s">
        <v>4796</v>
      </c>
      <c r="G1143" t="s">
        <v>6533</v>
      </c>
      <c r="H1143" t="s">
        <v>4793</v>
      </c>
      <c r="I1143">
        <v>0</v>
      </c>
    </row>
    <row r="1144" spans="1:9" x14ac:dyDescent="0.25">
      <c r="A1144" t="s">
        <v>4797</v>
      </c>
      <c r="B1144" t="s">
        <v>4798</v>
      </c>
      <c r="C1144" t="s">
        <v>55</v>
      </c>
      <c r="D1144" t="s">
        <v>1388</v>
      </c>
      <c r="E1144" t="s">
        <v>1349</v>
      </c>
      <c r="F1144" t="s">
        <v>4799</v>
      </c>
      <c r="G1144" t="s">
        <v>6534</v>
      </c>
      <c r="H1144" t="s">
        <v>4758</v>
      </c>
      <c r="I1144">
        <v>0</v>
      </c>
    </row>
    <row r="1145" spans="1:9" x14ac:dyDescent="0.25">
      <c r="A1145" t="s">
        <v>4800</v>
      </c>
      <c r="B1145" t="s">
        <v>4801</v>
      </c>
      <c r="C1145" t="s">
        <v>55</v>
      </c>
      <c r="D1145" t="s">
        <v>1388</v>
      </c>
      <c r="E1145" t="s">
        <v>1349</v>
      </c>
      <c r="F1145" t="s">
        <v>4802</v>
      </c>
      <c r="G1145" t="s">
        <v>6535</v>
      </c>
      <c r="H1145" t="s">
        <v>4803</v>
      </c>
      <c r="I1145">
        <v>0</v>
      </c>
    </row>
    <row r="1146" spans="1:9" x14ac:dyDescent="0.25">
      <c r="A1146" t="s">
        <v>4804</v>
      </c>
      <c r="B1146" t="s">
        <v>4805</v>
      </c>
      <c r="C1146" t="s">
        <v>4806</v>
      </c>
      <c r="D1146" t="s">
        <v>1661</v>
      </c>
      <c r="E1146" t="s">
        <v>1298</v>
      </c>
      <c r="F1146" t="s">
        <v>4807</v>
      </c>
      <c r="G1146" t="s">
        <v>6536</v>
      </c>
      <c r="H1146">
        <v>0</v>
      </c>
      <c r="I1146">
        <v>0</v>
      </c>
    </row>
    <row r="1147" spans="1:9" x14ac:dyDescent="0.25">
      <c r="A1147" t="s">
        <v>4808</v>
      </c>
      <c r="B1147" t="s">
        <v>4809</v>
      </c>
      <c r="C1147" t="s">
        <v>4806</v>
      </c>
      <c r="D1147" t="s">
        <v>1661</v>
      </c>
      <c r="E1147" t="s">
        <v>1298</v>
      </c>
      <c r="F1147" t="s">
        <v>4810</v>
      </c>
      <c r="G1147" t="s">
        <v>6537</v>
      </c>
      <c r="H1147" t="s">
        <v>4811</v>
      </c>
      <c r="I1147">
        <v>0</v>
      </c>
    </row>
    <row r="1148" spans="1:9" x14ac:dyDescent="0.25">
      <c r="A1148" t="s">
        <v>4812</v>
      </c>
      <c r="B1148" t="s">
        <v>4813</v>
      </c>
      <c r="C1148" t="s">
        <v>4806</v>
      </c>
      <c r="D1148" t="s">
        <v>1661</v>
      </c>
      <c r="E1148" t="s">
        <v>1298</v>
      </c>
      <c r="F1148" t="s">
        <v>4814</v>
      </c>
      <c r="G1148" t="s">
        <v>6538</v>
      </c>
      <c r="H1148">
        <v>0</v>
      </c>
      <c r="I1148">
        <v>0</v>
      </c>
    </row>
    <row r="1149" spans="1:9" x14ac:dyDescent="0.25">
      <c r="A1149" t="s">
        <v>4815</v>
      </c>
      <c r="B1149" t="s">
        <v>4816</v>
      </c>
      <c r="C1149" t="s">
        <v>4806</v>
      </c>
      <c r="D1149" t="s">
        <v>1661</v>
      </c>
      <c r="E1149" t="s">
        <v>1298</v>
      </c>
      <c r="F1149" t="s">
        <v>4817</v>
      </c>
      <c r="G1149" t="s">
        <v>6539</v>
      </c>
      <c r="H1149">
        <v>0</v>
      </c>
      <c r="I1149">
        <v>0</v>
      </c>
    </row>
    <row r="1150" spans="1:9" x14ac:dyDescent="0.25">
      <c r="A1150" t="s">
        <v>4818</v>
      </c>
      <c r="B1150" t="s">
        <v>4819</v>
      </c>
      <c r="C1150" t="s">
        <v>4806</v>
      </c>
      <c r="D1150" t="s">
        <v>1661</v>
      </c>
      <c r="E1150" t="s">
        <v>1298</v>
      </c>
      <c r="F1150" t="s">
        <v>4820</v>
      </c>
      <c r="G1150" t="s">
        <v>6540</v>
      </c>
      <c r="H1150">
        <v>0</v>
      </c>
      <c r="I1150">
        <v>0</v>
      </c>
    </row>
    <row r="1151" spans="1:9" x14ac:dyDescent="0.25">
      <c r="A1151" t="s">
        <v>4821</v>
      </c>
      <c r="B1151" t="s">
        <v>4822</v>
      </c>
      <c r="C1151" t="s">
        <v>4806</v>
      </c>
      <c r="D1151" t="s">
        <v>1661</v>
      </c>
      <c r="E1151" t="s">
        <v>1298</v>
      </c>
      <c r="F1151" t="s">
        <v>4823</v>
      </c>
      <c r="G1151" t="s">
        <v>6541</v>
      </c>
      <c r="H1151" t="s">
        <v>4811</v>
      </c>
      <c r="I1151">
        <v>0</v>
      </c>
    </row>
    <row r="1152" spans="1:9" x14ac:dyDescent="0.25">
      <c r="A1152" t="s">
        <v>4824</v>
      </c>
      <c r="B1152" t="s">
        <v>4825</v>
      </c>
      <c r="C1152" t="s">
        <v>4806</v>
      </c>
      <c r="D1152" t="s">
        <v>1661</v>
      </c>
      <c r="E1152" t="s">
        <v>1298</v>
      </c>
      <c r="F1152" t="s">
        <v>4826</v>
      </c>
      <c r="G1152" t="s">
        <v>6542</v>
      </c>
      <c r="H1152">
        <v>0</v>
      </c>
      <c r="I1152">
        <v>0</v>
      </c>
    </row>
    <row r="1153" spans="1:9" x14ac:dyDescent="0.25">
      <c r="A1153" t="s">
        <v>4827</v>
      </c>
      <c r="B1153" t="s">
        <v>4828</v>
      </c>
      <c r="C1153" t="s">
        <v>4806</v>
      </c>
      <c r="D1153" t="s">
        <v>1661</v>
      </c>
      <c r="E1153" t="s">
        <v>1298</v>
      </c>
      <c r="F1153" t="s">
        <v>4829</v>
      </c>
      <c r="G1153" t="s">
        <v>6543</v>
      </c>
      <c r="H1153">
        <v>0</v>
      </c>
      <c r="I1153">
        <v>0</v>
      </c>
    </row>
    <row r="1154" spans="1:9" x14ac:dyDescent="0.25">
      <c r="A1154" t="s">
        <v>4830</v>
      </c>
      <c r="B1154" t="s">
        <v>4831</v>
      </c>
      <c r="C1154" t="s">
        <v>4806</v>
      </c>
      <c r="D1154" t="s">
        <v>1661</v>
      </c>
      <c r="E1154" t="s">
        <v>1298</v>
      </c>
      <c r="F1154" t="s">
        <v>4832</v>
      </c>
      <c r="G1154" t="s">
        <v>6544</v>
      </c>
      <c r="H1154" t="s">
        <v>4811</v>
      </c>
      <c r="I1154">
        <v>0</v>
      </c>
    </row>
    <row r="1155" spans="1:9" x14ac:dyDescent="0.25">
      <c r="A1155" t="s">
        <v>4833</v>
      </c>
      <c r="B1155" t="s">
        <v>4834</v>
      </c>
      <c r="C1155" t="s">
        <v>4806</v>
      </c>
      <c r="D1155" t="s">
        <v>1661</v>
      </c>
      <c r="E1155" t="s">
        <v>1298</v>
      </c>
      <c r="F1155" t="s">
        <v>4835</v>
      </c>
      <c r="G1155" t="s">
        <v>6545</v>
      </c>
      <c r="H1155">
        <v>0</v>
      </c>
      <c r="I1155">
        <v>0</v>
      </c>
    </row>
    <row r="1156" spans="1:9" x14ac:dyDescent="0.25">
      <c r="A1156" t="s">
        <v>4836</v>
      </c>
      <c r="B1156" t="s">
        <v>4837</v>
      </c>
      <c r="C1156" t="s">
        <v>4806</v>
      </c>
      <c r="D1156" t="s">
        <v>1661</v>
      </c>
      <c r="E1156" t="s">
        <v>1298</v>
      </c>
      <c r="F1156" t="s">
        <v>4838</v>
      </c>
      <c r="G1156" t="s">
        <v>6546</v>
      </c>
      <c r="H1156">
        <v>0</v>
      </c>
      <c r="I1156">
        <v>0</v>
      </c>
    </row>
    <row r="1157" spans="1:9" x14ac:dyDescent="0.25">
      <c r="A1157" t="s">
        <v>4839</v>
      </c>
      <c r="B1157" t="s">
        <v>4840</v>
      </c>
      <c r="C1157" t="s">
        <v>4806</v>
      </c>
      <c r="D1157" t="s">
        <v>1661</v>
      </c>
      <c r="E1157" t="s">
        <v>1298</v>
      </c>
      <c r="F1157" t="s">
        <v>4841</v>
      </c>
      <c r="G1157" t="s">
        <v>6547</v>
      </c>
      <c r="H1157">
        <v>0</v>
      </c>
      <c r="I1157">
        <v>0</v>
      </c>
    </row>
    <row r="1158" spans="1:9" x14ac:dyDescent="0.25">
      <c r="A1158" t="s">
        <v>4842</v>
      </c>
      <c r="B1158" t="s">
        <v>4843</v>
      </c>
      <c r="C1158" t="s">
        <v>4806</v>
      </c>
      <c r="D1158" t="s">
        <v>1661</v>
      </c>
      <c r="E1158" t="s">
        <v>1298</v>
      </c>
      <c r="F1158" t="s">
        <v>4844</v>
      </c>
      <c r="G1158" t="s">
        <v>6548</v>
      </c>
      <c r="H1158">
        <v>0</v>
      </c>
      <c r="I1158">
        <v>0</v>
      </c>
    </row>
    <row r="1159" spans="1:9" x14ac:dyDescent="0.25">
      <c r="A1159" t="s">
        <v>4845</v>
      </c>
      <c r="B1159" t="s">
        <v>4846</v>
      </c>
      <c r="C1159" t="s">
        <v>4806</v>
      </c>
      <c r="D1159" t="s">
        <v>1661</v>
      </c>
      <c r="E1159" t="s">
        <v>1298</v>
      </c>
      <c r="F1159" t="s">
        <v>4847</v>
      </c>
      <c r="G1159" t="s">
        <v>6549</v>
      </c>
      <c r="H1159" t="s">
        <v>4811</v>
      </c>
      <c r="I1159">
        <v>0</v>
      </c>
    </row>
    <row r="1160" spans="1:9" x14ac:dyDescent="0.25">
      <c r="A1160" t="s">
        <v>4848</v>
      </c>
      <c r="B1160" t="s">
        <v>4849</v>
      </c>
      <c r="C1160" t="s">
        <v>4806</v>
      </c>
      <c r="D1160" t="s">
        <v>1661</v>
      </c>
      <c r="E1160" t="s">
        <v>1298</v>
      </c>
      <c r="F1160" t="s">
        <v>4850</v>
      </c>
      <c r="G1160" t="s">
        <v>6550</v>
      </c>
      <c r="H1160">
        <v>0</v>
      </c>
      <c r="I1160">
        <v>0</v>
      </c>
    </row>
    <row r="1161" spans="1:9" x14ac:dyDescent="0.25">
      <c r="A1161" t="s">
        <v>4851</v>
      </c>
      <c r="B1161" t="s">
        <v>4852</v>
      </c>
      <c r="C1161" t="s">
        <v>4806</v>
      </c>
      <c r="D1161" t="s">
        <v>1661</v>
      </c>
      <c r="E1161" t="s">
        <v>1298</v>
      </c>
      <c r="F1161" t="s">
        <v>4850</v>
      </c>
      <c r="G1161" t="s">
        <v>6550</v>
      </c>
      <c r="H1161">
        <v>0</v>
      </c>
      <c r="I1161" t="s">
        <v>4853</v>
      </c>
    </row>
    <row r="1162" spans="1:9" x14ac:dyDescent="0.25">
      <c r="A1162" t="s">
        <v>4854</v>
      </c>
      <c r="B1162" t="s">
        <v>4855</v>
      </c>
      <c r="C1162" t="s">
        <v>4806</v>
      </c>
      <c r="D1162" t="s">
        <v>1661</v>
      </c>
      <c r="E1162" t="s">
        <v>1298</v>
      </c>
      <c r="F1162" t="s">
        <v>4856</v>
      </c>
      <c r="G1162" t="s">
        <v>6551</v>
      </c>
      <c r="H1162">
        <v>0</v>
      </c>
      <c r="I1162">
        <v>0</v>
      </c>
    </row>
    <row r="1163" spans="1:9" x14ac:dyDescent="0.25">
      <c r="A1163" t="s">
        <v>4857</v>
      </c>
      <c r="B1163" t="s">
        <v>4858</v>
      </c>
      <c r="C1163" t="s">
        <v>4806</v>
      </c>
      <c r="D1163" t="s">
        <v>1661</v>
      </c>
      <c r="E1163" t="s">
        <v>1298</v>
      </c>
      <c r="F1163" t="s">
        <v>4859</v>
      </c>
      <c r="G1163" t="s">
        <v>6552</v>
      </c>
      <c r="H1163">
        <v>0</v>
      </c>
      <c r="I1163">
        <v>0</v>
      </c>
    </row>
    <row r="1164" spans="1:9" x14ac:dyDescent="0.25">
      <c r="A1164" t="s">
        <v>4860</v>
      </c>
      <c r="B1164" t="s">
        <v>4861</v>
      </c>
      <c r="C1164" t="s">
        <v>4806</v>
      </c>
      <c r="D1164" t="s">
        <v>1661</v>
      </c>
      <c r="E1164" t="s">
        <v>1298</v>
      </c>
      <c r="F1164" t="s">
        <v>4862</v>
      </c>
      <c r="G1164" t="s">
        <v>6553</v>
      </c>
      <c r="H1164">
        <v>0</v>
      </c>
      <c r="I1164">
        <v>0</v>
      </c>
    </row>
    <row r="1165" spans="1:9" x14ac:dyDescent="0.25">
      <c r="A1165" t="s">
        <v>4863</v>
      </c>
      <c r="B1165" t="s">
        <v>4864</v>
      </c>
      <c r="C1165" t="s">
        <v>4806</v>
      </c>
      <c r="D1165" t="s">
        <v>1661</v>
      </c>
      <c r="E1165" t="s">
        <v>1298</v>
      </c>
      <c r="F1165" t="s">
        <v>4865</v>
      </c>
      <c r="G1165" t="s">
        <v>6554</v>
      </c>
      <c r="H1165">
        <v>0</v>
      </c>
      <c r="I1165">
        <v>0</v>
      </c>
    </row>
    <row r="1166" spans="1:9" x14ac:dyDescent="0.25">
      <c r="A1166" t="s">
        <v>4866</v>
      </c>
      <c r="B1166" t="s">
        <v>4867</v>
      </c>
      <c r="C1166" t="s">
        <v>4806</v>
      </c>
      <c r="D1166" t="s">
        <v>1661</v>
      </c>
      <c r="E1166" t="s">
        <v>1298</v>
      </c>
      <c r="F1166" t="s">
        <v>4868</v>
      </c>
      <c r="G1166" t="s">
        <v>6555</v>
      </c>
      <c r="H1166">
        <v>0</v>
      </c>
      <c r="I1166">
        <v>0</v>
      </c>
    </row>
    <row r="1167" spans="1:9" x14ac:dyDescent="0.25">
      <c r="A1167" t="s">
        <v>4869</v>
      </c>
      <c r="B1167" t="s">
        <v>4870</v>
      </c>
      <c r="C1167" t="s">
        <v>58</v>
      </c>
      <c r="D1167" t="s">
        <v>2766</v>
      </c>
      <c r="E1167" t="s">
        <v>1298</v>
      </c>
      <c r="F1167" t="s">
        <v>4871</v>
      </c>
      <c r="G1167" t="s">
        <v>6556</v>
      </c>
      <c r="H1167" t="s">
        <v>4872</v>
      </c>
      <c r="I1167">
        <v>0</v>
      </c>
    </row>
    <row r="1168" spans="1:9" x14ac:dyDescent="0.25">
      <c r="A1168" t="s">
        <v>4873</v>
      </c>
      <c r="B1168" t="s">
        <v>4874</v>
      </c>
      <c r="C1168" t="s">
        <v>58</v>
      </c>
      <c r="D1168" t="s">
        <v>2766</v>
      </c>
      <c r="E1168" t="s">
        <v>1298</v>
      </c>
      <c r="F1168" t="s">
        <v>4875</v>
      </c>
      <c r="G1168" t="s">
        <v>6557</v>
      </c>
      <c r="H1168">
        <v>0</v>
      </c>
      <c r="I1168">
        <v>0</v>
      </c>
    </row>
    <row r="1169" spans="1:9" x14ac:dyDescent="0.25">
      <c r="A1169" t="s">
        <v>4876</v>
      </c>
      <c r="B1169" t="s">
        <v>4877</v>
      </c>
      <c r="C1169" t="s">
        <v>58</v>
      </c>
      <c r="D1169" t="s">
        <v>2766</v>
      </c>
      <c r="E1169" t="s">
        <v>1298</v>
      </c>
      <c r="F1169" t="s">
        <v>4878</v>
      </c>
      <c r="G1169" t="s">
        <v>6558</v>
      </c>
      <c r="H1169" t="s">
        <v>4879</v>
      </c>
      <c r="I1169">
        <v>0</v>
      </c>
    </row>
    <row r="1170" spans="1:9" x14ac:dyDescent="0.25">
      <c r="A1170" t="s">
        <v>4880</v>
      </c>
      <c r="B1170" t="s">
        <v>4881</v>
      </c>
      <c r="C1170" t="s">
        <v>58</v>
      </c>
      <c r="D1170" t="s">
        <v>2766</v>
      </c>
      <c r="E1170" t="s">
        <v>1298</v>
      </c>
      <c r="F1170" t="s">
        <v>4882</v>
      </c>
      <c r="G1170" t="s">
        <v>6559</v>
      </c>
      <c r="H1170" t="s">
        <v>1094</v>
      </c>
      <c r="I1170">
        <v>0</v>
      </c>
    </row>
    <row r="1171" spans="1:9" x14ac:dyDescent="0.25">
      <c r="A1171" t="s">
        <v>4883</v>
      </c>
      <c r="B1171" t="s">
        <v>4884</v>
      </c>
      <c r="C1171" t="s">
        <v>58</v>
      </c>
      <c r="D1171" t="s">
        <v>2766</v>
      </c>
      <c r="E1171" t="s">
        <v>1298</v>
      </c>
      <c r="F1171" t="s">
        <v>4885</v>
      </c>
      <c r="G1171" t="s">
        <v>6560</v>
      </c>
      <c r="H1171" t="s">
        <v>4879</v>
      </c>
      <c r="I1171">
        <v>0</v>
      </c>
    </row>
    <row r="1172" spans="1:9" x14ac:dyDescent="0.25">
      <c r="A1172" t="s">
        <v>4886</v>
      </c>
      <c r="B1172" t="s">
        <v>4887</v>
      </c>
      <c r="C1172" t="s">
        <v>58</v>
      </c>
      <c r="D1172" t="s">
        <v>2766</v>
      </c>
      <c r="E1172" t="s">
        <v>1298</v>
      </c>
      <c r="F1172" t="s">
        <v>4888</v>
      </c>
      <c r="G1172" t="s">
        <v>6561</v>
      </c>
      <c r="H1172" t="s">
        <v>1094</v>
      </c>
      <c r="I1172">
        <v>0</v>
      </c>
    </row>
    <row r="1173" spans="1:9" x14ac:dyDescent="0.25">
      <c r="A1173" t="s">
        <v>4889</v>
      </c>
      <c r="B1173" t="s">
        <v>4890</v>
      </c>
      <c r="C1173" t="s">
        <v>58</v>
      </c>
      <c r="D1173" t="s">
        <v>2766</v>
      </c>
      <c r="E1173" t="s">
        <v>1298</v>
      </c>
      <c r="F1173" t="s">
        <v>4891</v>
      </c>
      <c r="G1173" t="s">
        <v>6562</v>
      </c>
      <c r="H1173" t="s">
        <v>1090</v>
      </c>
      <c r="I1173">
        <v>0</v>
      </c>
    </row>
    <row r="1174" spans="1:9" x14ac:dyDescent="0.25">
      <c r="A1174" t="s">
        <v>4892</v>
      </c>
      <c r="B1174" t="s">
        <v>4893</v>
      </c>
      <c r="C1174" t="s">
        <v>58</v>
      </c>
      <c r="D1174" t="s">
        <v>2766</v>
      </c>
      <c r="E1174" t="s">
        <v>1298</v>
      </c>
      <c r="F1174" t="s">
        <v>4894</v>
      </c>
      <c r="G1174" t="s">
        <v>6563</v>
      </c>
      <c r="H1174" t="s">
        <v>1090</v>
      </c>
      <c r="I1174">
        <v>0</v>
      </c>
    </row>
    <row r="1175" spans="1:9" x14ac:dyDescent="0.25">
      <c r="A1175" t="s">
        <v>4895</v>
      </c>
      <c r="B1175" t="s">
        <v>4896</v>
      </c>
      <c r="C1175" t="s">
        <v>58</v>
      </c>
      <c r="D1175" t="s">
        <v>2766</v>
      </c>
      <c r="E1175" t="s">
        <v>1298</v>
      </c>
      <c r="F1175" t="s">
        <v>4897</v>
      </c>
      <c r="G1175" t="s">
        <v>6564</v>
      </c>
      <c r="H1175" t="s">
        <v>4872</v>
      </c>
      <c r="I1175">
        <v>0</v>
      </c>
    </row>
    <row r="1176" spans="1:9" x14ac:dyDescent="0.25">
      <c r="A1176" t="s">
        <v>4898</v>
      </c>
      <c r="B1176" t="s">
        <v>4899</v>
      </c>
      <c r="C1176" t="s">
        <v>58</v>
      </c>
      <c r="D1176" t="s">
        <v>2766</v>
      </c>
      <c r="E1176" t="s">
        <v>1298</v>
      </c>
      <c r="F1176" t="s">
        <v>4900</v>
      </c>
      <c r="G1176" t="s">
        <v>6565</v>
      </c>
      <c r="H1176" t="s">
        <v>4872</v>
      </c>
      <c r="I1176">
        <v>0</v>
      </c>
    </row>
    <row r="1177" spans="1:9" x14ac:dyDescent="0.25">
      <c r="A1177" t="s">
        <v>4901</v>
      </c>
      <c r="B1177" t="s">
        <v>4902</v>
      </c>
      <c r="C1177" t="s">
        <v>58</v>
      </c>
      <c r="D1177" t="s">
        <v>2766</v>
      </c>
      <c r="E1177" t="s">
        <v>1298</v>
      </c>
      <c r="F1177" t="s">
        <v>4903</v>
      </c>
      <c r="G1177" t="s">
        <v>6566</v>
      </c>
      <c r="H1177" t="s">
        <v>4872</v>
      </c>
      <c r="I1177">
        <v>0</v>
      </c>
    </row>
    <row r="1178" spans="1:9" x14ac:dyDescent="0.25">
      <c r="A1178" t="s">
        <v>4904</v>
      </c>
      <c r="B1178" t="s">
        <v>4905</v>
      </c>
      <c r="C1178" t="s">
        <v>58</v>
      </c>
      <c r="D1178" t="s">
        <v>2766</v>
      </c>
      <c r="E1178" t="s">
        <v>1298</v>
      </c>
      <c r="F1178" t="s">
        <v>4906</v>
      </c>
      <c r="G1178" t="s">
        <v>6567</v>
      </c>
      <c r="H1178" t="s">
        <v>4872</v>
      </c>
      <c r="I1178">
        <v>0</v>
      </c>
    </row>
    <row r="1179" spans="1:9" x14ac:dyDescent="0.25">
      <c r="A1179" t="s">
        <v>4907</v>
      </c>
      <c r="B1179" t="s">
        <v>4908</v>
      </c>
      <c r="C1179" t="s">
        <v>58</v>
      </c>
      <c r="D1179" t="s">
        <v>2766</v>
      </c>
      <c r="E1179" t="s">
        <v>1298</v>
      </c>
      <c r="F1179" t="s">
        <v>4909</v>
      </c>
      <c r="G1179" t="s">
        <v>6568</v>
      </c>
      <c r="H1179" t="s">
        <v>1094</v>
      </c>
      <c r="I1179">
        <v>0</v>
      </c>
    </row>
    <row r="1180" spans="1:9" x14ac:dyDescent="0.25">
      <c r="A1180" t="s">
        <v>4910</v>
      </c>
      <c r="B1180" t="s">
        <v>4911</v>
      </c>
      <c r="C1180" t="s">
        <v>58</v>
      </c>
      <c r="D1180" t="s">
        <v>2766</v>
      </c>
      <c r="E1180" t="s">
        <v>1298</v>
      </c>
      <c r="F1180" t="s">
        <v>4912</v>
      </c>
      <c r="G1180" t="s">
        <v>6569</v>
      </c>
      <c r="H1180" t="s">
        <v>1094</v>
      </c>
      <c r="I1180">
        <v>0</v>
      </c>
    </row>
    <row r="1181" spans="1:9" x14ac:dyDescent="0.25">
      <c r="A1181" t="s">
        <v>4913</v>
      </c>
      <c r="B1181" t="s">
        <v>4914</v>
      </c>
      <c r="C1181" t="s">
        <v>2766</v>
      </c>
      <c r="D1181" t="s">
        <v>2766</v>
      </c>
      <c r="E1181" t="s">
        <v>1298</v>
      </c>
      <c r="F1181" t="s">
        <v>4915</v>
      </c>
      <c r="G1181" t="s">
        <v>6570</v>
      </c>
      <c r="H1181">
        <v>0</v>
      </c>
      <c r="I1181" t="s">
        <v>4916</v>
      </c>
    </row>
    <row r="1182" spans="1:9" x14ac:dyDescent="0.25">
      <c r="A1182" t="s">
        <v>4917</v>
      </c>
      <c r="B1182" t="s">
        <v>4918</v>
      </c>
      <c r="C1182" t="s">
        <v>2766</v>
      </c>
      <c r="D1182" t="s">
        <v>2766</v>
      </c>
      <c r="E1182" t="s">
        <v>1298</v>
      </c>
      <c r="F1182" t="s">
        <v>4919</v>
      </c>
      <c r="G1182" t="s">
        <v>6571</v>
      </c>
      <c r="H1182">
        <v>0</v>
      </c>
      <c r="I1182" t="s">
        <v>4920</v>
      </c>
    </row>
    <row r="1183" spans="1:9" x14ac:dyDescent="0.25">
      <c r="A1183" t="s">
        <v>4921</v>
      </c>
      <c r="B1183" t="s">
        <v>4922</v>
      </c>
      <c r="C1183" t="s">
        <v>2766</v>
      </c>
      <c r="D1183" t="s">
        <v>2766</v>
      </c>
      <c r="E1183" t="s">
        <v>1298</v>
      </c>
      <c r="F1183" t="s">
        <v>4923</v>
      </c>
      <c r="G1183" t="s">
        <v>6572</v>
      </c>
      <c r="H1183">
        <v>0</v>
      </c>
      <c r="I1183" t="s">
        <v>4924</v>
      </c>
    </row>
    <row r="1184" spans="1:9" x14ac:dyDescent="0.25">
      <c r="A1184" t="s">
        <v>4925</v>
      </c>
      <c r="B1184" t="s">
        <v>4926</v>
      </c>
      <c r="C1184" t="s">
        <v>2766</v>
      </c>
      <c r="D1184" t="s">
        <v>2766</v>
      </c>
      <c r="E1184" t="s">
        <v>1298</v>
      </c>
      <c r="F1184" t="s">
        <v>4927</v>
      </c>
      <c r="G1184" t="s">
        <v>6573</v>
      </c>
      <c r="H1184">
        <v>0</v>
      </c>
      <c r="I1184">
        <v>0</v>
      </c>
    </row>
    <row r="1185" spans="1:9" x14ac:dyDescent="0.25">
      <c r="A1185" t="s">
        <v>4928</v>
      </c>
      <c r="B1185" t="s">
        <v>4929</v>
      </c>
      <c r="C1185" t="s">
        <v>2766</v>
      </c>
      <c r="D1185" t="s">
        <v>2766</v>
      </c>
      <c r="E1185" t="s">
        <v>1298</v>
      </c>
      <c r="F1185" t="s">
        <v>4919</v>
      </c>
      <c r="G1185" t="s">
        <v>6571</v>
      </c>
      <c r="H1185">
        <v>0</v>
      </c>
      <c r="I1185" t="s">
        <v>4930</v>
      </c>
    </row>
    <row r="1186" spans="1:9" x14ac:dyDescent="0.25">
      <c r="A1186" t="s">
        <v>4931</v>
      </c>
      <c r="B1186" t="s">
        <v>4932</v>
      </c>
      <c r="C1186" t="s">
        <v>2766</v>
      </c>
      <c r="D1186" t="s">
        <v>2766</v>
      </c>
      <c r="E1186" t="s">
        <v>1298</v>
      </c>
      <c r="F1186" t="s">
        <v>4915</v>
      </c>
      <c r="G1186" t="s">
        <v>6570</v>
      </c>
      <c r="H1186">
        <v>0</v>
      </c>
      <c r="I1186" t="s">
        <v>4916</v>
      </c>
    </row>
    <row r="1187" spans="1:9" x14ac:dyDescent="0.25">
      <c r="A1187" t="s">
        <v>4933</v>
      </c>
      <c r="B1187" t="s">
        <v>4934</v>
      </c>
      <c r="C1187" t="s">
        <v>2766</v>
      </c>
      <c r="D1187" t="s">
        <v>2766</v>
      </c>
      <c r="E1187" t="s">
        <v>1298</v>
      </c>
      <c r="F1187" t="s">
        <v>4923</v>
      </c>
      <c r="G1187" t="s">
        <v>6572</v>
      </c>
      <c r="H1187">
        <v>0</v>
      </c>
      <c r="I1187" t="s">
        <v>4935</v>
      </c>
    </row>
    <row r="1188" spans="1:9" x14ac:dyDescent="0.25">
      <c r="A1188" t="s">
        <v>4936</v>
      </c>
      <c r="B1188" t="s">
        <v>4937</v>
      </c>
      <c r="C1188" t="s">
        <v>2766</v>
      </c>
      <c r="D1188" t="s">
        <v>2766</v>
      </c>
      <c r="E1188" t="s">
        <v>1298</v>
      </c>
      <c r="F1188" t="s">
        <v>4938</v>
      </c>
      <c r="G1188" t="s">
        <v>6574</v>
      </c>
      <c r="H1188">
        <v>0</v>
      </c>
      <c r="I1188">
        <v>0</v>
      </c>
    </row>
    <row r="1189" spans="1:9" x14ac:dyDescent="0.25">
      <c r="A1189" t="s">
        <v>4939</v>
      </c>
      <c r="B1189" t="s">
        <v>4940</v>
      </c>
      <c r="C1189" t="s">
        <v>2766</v>
      </c>
      <c r="D1189" t="s">
        <v>2766</v>
      </c>
      <c r="E1189" t="s">
        <v>1298</v>
      </c>
      <c r="F1189" t="s">
        <v>4941</v>
      </c>
      <c r="G1189" t="s">
        <v>6575</v>
      </c>
      <c r="H1189">
        <v>0</v>
      </c>
      <c r="I1189">
        <v>0</v>
      </c>
    </row>
    <row r="1190" spans="1:9" x14ac:dyDescent="0.25">
      <c r="A1190" t="s">
        <v>4942</v>
      </c>
      <c r="B1190" t="s">
        <v>4943</v>
      </c>
      <c r="C1190" t="s">
        <v>2766</v>
      </c>
      <c r="D1190" t="s">
        <v>2766</v>
      </c>
      <c r="E1190" t="s">
        <v>1298</v>
      </c>
      <c r="F1190" t="s">
        <v>4919</v>
      </c>
      <c r="G1190" t="s">
        <v>6571</v>
      </c>
      <c r="H1190">
        <v>0</v>
      </c>
      <c r="I1190">
        <v>0</v>
      </c>
    </row>
    <row r="1191" spans="1:9" x14ac:dyDescent="0.25">
      <c r="A1191" t="s">
        <v>4944</v>
      </c>
      <c r="B1191" t="s">
        <v>4945</v>
      </c>
      <c r="C1191" t="s">
        <v>2766</v>
      </c>
      <c r="D1191" t="s">
        <v>2766</v>
      </c>
      <c r="E1191" t="s">
        <v>1298</v>
      </c>
      <c r="F1191" t="s">
        <v>4946</v>
      </c>
      <c r="G1191" t="s">
        <v>6576</v>
      </c>
      <c r="H1191">
        <v>0</v>
      </c>
      <c r="I1191">
        <v>0</v>
      </c>
    </row>
    <row r="1192" spans="1:9" x14ac:dyDescent="0.25">
      <c r="A1192" t="s">
        <v>4947</v>
      </c>
      <c r="B1192" t="s">
        <v>4948</v>
      </c>
      <c r="C1192" t="s">
        <v>2766</v>
      </c>
      <c r="D1192" t="s">
        <v>2766</v>
      </c>
      <c r="E1192" t="s">
        <v>1298</v>
      </c>
      <c r="F1192" t="s">
        <v>4949</v>
      </c>
      <c r="G1192" t="s">
        <v>6577</v>
      </c>
      <c r="H1192">
        <v>0</v>
      </c>
      <c r="I1192">
        <v>0</v>
      </c>
    </row>
    <row r="1193" spans="1:9" x14ac:dyDescent="0.25">
      <c r="A1193" t="s">
        <v>4950</v>
      </c>
      <c r="B1193" t="s">
        <v>4951</v>
      </c>
      <c r="C1193" t="s">
        <v>2766</v>
      </c>
      <c r="D1193" t="s">
        <v>2766</v>
      </c>
      <c r="E1193" t="s">
        <v>1298</v>
      </c>
      <c r="F1193" t="s">
        <v>4952</v>
      </c>
      <c r="G1193" t="s">
        <v>6578</v>
      </c>
      <c r="H1193">
        <v>0</v>
      </c>
      <c r="I1193">
        <v>0</v>
      </c>
    </row>
    <row r="1194" spans="1:9" x14ac:dyDescent="0.25">
      <c r="A1194" t="s">
        <v>4953</v>
      </c>
      <c r="B1194" t="s">
        <v>4954</v>
      </c>
      <c r="C1194" t="s">
        <v>2766</v>
      </c>
      <c r="D1194" t="s">
        <v>2766</v>
      </c>
      <c r="E1194" t="s">
        <v>1298</v>
      </c>
      <c r="F1194" t="s">
        <v>4952</v>
      </c>
      <c r="G1194" t="s">
        <v>6578</v>
      </c>
      <c r="H1194">
        <v>0</v>
      </c>
      <c r="I1194">
        <v>0</v>
      </c>
    </row>
    <row r="1195" spans="1:9" x14ac:dyDescent="0.25">
      <c r="A1195" t="s">
        <v>4955</v>
      </c>
      <c r="B1195" t="s">
        <v>4956</v>
      </c>
      <c r="C1195" t="s">
        <v>2766</v>
      </c>
      <c r="D1195" t="s">
        <v>2766</v>
      </c>
      <c r="E1195" t="s">
        <v>1298</v>
      </c>
      <c r="F1195" t="s">
        <v>4919</v>
      </c>
      <c r="G1195" t="s">
        <v>6571</v>
      </c>
      <c r="H1195">
        <v>0</v>
      </c>
      <c r="I1195" t="s">
        <v>4935</v>
      </c>
    </row>
    <row r="1196" spans="1:9" x14ac:dyDescent="0.25">
      <c r="A1196" t="s">
        <v>4957</v>
      </c>
      <c r="B1196" t="s">
        <v>4958</v>
      </c>
      <c r="C1196" t="s">
        <v>2766</v>
      </c>
      <c r="D1196" t="s">
        <v>2766</v>
      </c>
      <c r="E1196" t="s">
        <v>1298</v>
      </c>
      <c r="F1196" t="s">
        <v>4952</v>
      </c>
      <c r="G1196" t="s">
        <v>6578</v>
      </c>
      <c r="H1196">
        <v>0</v>
      </c>
      <c r="I1196">
        <v>0</v>
      </c>
    </row>
    <row r="1197" spans="1:9" x14ac:dyDescent="0.25">
      <c r="A1197" t="s">
        <v>4959</v>
      </c>
      <c r="B1197" t="s">
        <v>4960</v>
      </c>
      <c r="C1197" t="s">
        <v>2766</v>
      </c>
      <c r="D1197" t="s">
        <v>2766</v>
      </c>
      <c r="E1197" t="s">
        <v>1298</v>
      </c>
      <c r="F1197" t="s">
        <v>4961</v>
      </c>
      <c r="G1197" t="s">
        <v>6579</v>
      </c>
      <c r="H1197">
        <v>0</v>
      </c>
      <c r="I1197" t="s">
        <v>4962</v>
      </c>
    </row>
    <row r="1198" spans="1:9" x14ac:dyDescent="0.25">
      <c r="A1198" t="s">
        <v>4963</v>
      </c>
      <c r="B1198" t="s">
        <v>4964</v>
      </c>
      <c r="C1198" t="s">
        <v>2766</v>
      </c>
      <c r="D1198" t="s">
        <v>2766</v>
      </c>
      <c r="E1198" t="s">
        <v>1298</v>
      </c>
      <c r="F1198" t="s">
        <v>4965</v>
      </c>
      <c r="G1198" t="s">
        <v>6580</v>
      </c>
      <c r="H1198">
        <v>0</v>
      </c>
      <c r="I1198">
        <v>0</v>
      </c>
    </row>
    <row r="1199" spans="1:9" x14ac:dyDescent="0.25">
      <c r="A1199" t="s">
        <v>4966</v>
      </c>
      <c r="B1199" t="s">
        <v>4967</v>
      </c>
      <c r="C1199" t="s">
        <v>2766</v>
      </c>
      <c r="D1199" t="s">
        <v>2766</v>
      </c>
      <c r="E1199" t="s">
        <v>1298</v>
      </c>
      <c r="F1199" t="s">
        <v>4968</v>
      </c>
      <c r="G1199" t="s">
        <v>6581</v>
      </c>
      <c r="H1199">
        <v>0</v>
      </c>
      <c r="I1199">
        <v>0</v>
      </c>
    </row>
    <row r="1200" spans="1:9" x14ac:dyDescent="0.25">
      <c r="A1200" t="s">
        <v>4969</v>
      </c>
      <c r="B1200" t="s">
        <v>4970</v>
      </c>
      <c r="C1200" t="s">
        <v>2766</v>
      </c>
      <c r="D1200" t="s">
        <v>2766</v>
      </c>
      <c r="E1200" t="s">
        <v>1298</v>
      </c>
      <c r="F1200" t="s">
        <v>4923</v>
      </c>
      <c r="G1200" t="s">
        <v>6572</v>
      </c>
      <c r="H1200">
        <v>0</v>
      </c>
      <c r="I1200">
        <v>0</v>
      </c>
    </row>
    <row r="1201" spans="1:9" x14ac:dyDescent="0.25">
      <c r="A1201" t="s">
        <v>4971</v>
      </c>
      <c r="B1201" t="s">
        <v>4972</v>
      </c>
      <c r="C1201" t="s">
        <v>2766</v>
      </c>
      <c r="D1201" t="s">
        <v>2766</v>
      </c>
      <c r="E1201" t="s">
        <v>1298</v>
      </c>
      <c r="F1201" t="s">
        <v>4973</v>
      </c>
      <c r="G1201" t="s">
        <v>6582</v>
      </c>
      <c r="H1201">
        <v>0</v>
      </c>
      <c r="I1201">
        <v>0</v>
      </c>
    </row>
    <row r="1202" spans="1:9" x14ac:dyDescent="0.25">
      <c r="A1202" t="s">
        <v>4974</v>
      </c>
      <c r="B1202" t="s">
        <v>4975</v>
      </c>
      <c r="C1202" t="s">
        <v>2766</v>
      </c>
      <c r="D1202" t="s">
        <v>2766</v>
      </c>
      <c r="E1202" t="s">
        <v>1298</v>
      </c>
      <c r="F1202" t="s">
        <v>4941</v>
      </c>
      <c r="G1202" t="s">
        <v>6575</v>
      </c>
      <c r="H1202">
        <v>0</v>
      </c>
      <c r="I1202">
        <v>0</v>
      </c>
    </row>
    <row r="1203" spans="1:9" x14ac:dyDescent="0.25">
      <c r="A1203" t="s">
        <v>4976</v>
      </c>
      <c r="B1203" t="s">
        <v>4977</v>
      </c>
      <c r="C1203" t="s">
        <v>2766</v>
      </c>
      <c r="D1203" t="s">
        <v>2766</v>
      </c>
      <c r="E1203" t="s">
        <v>1298</v>
      </c>
      <c r="F1203" t="s">
        <v>4973</v>
      </c>
      <c r="G1203" t="s">
        <v>6582</v>
      </c>
      <c r="H1203">
        <v>0</v>
      </c>
      <c r="I1203" t="s">
        <v>4978</v>
      </c>
    </row>
    <row r="1204" spans="1:9" x14ac:dyDescent="0.25">
      <c r="A1204" t="s">
        <v>4979</v>
      </c>
      <c r="B1204" t="s">
        <v>4980</v>
      </c>
      <c r="C1204" t="s">
        <v>2766</v>
      </c>
      <c r="D1204" t="s">
        <v>2766</v>
      </c>
      <c r="E1204" t="s">
        <v>1298</v>
      </c>
      <c r="F1204" t="s">
        <v>4923</v>
      </c>
      <c r="G1204" t="s">
        <v>6572</v>
      </c>
      <c r="H1204">
        <v>0</v>
      </c>
      <c r="I1204">
        <v>0</v>
      </c>
    </row>
    <row r="1205" spans="1:9" x14ac:dyDescent="0.25">
      <c r="A1205" t="s">
        <v>4981</v>
      </c>
      <c r="B1205" t="s">
        <v>4982</v>
      </c>
      <c r="C1205" t="s">
        <v>2766</v>
      </c>
      <c r="D1205" t="s">
        <v>2766</v>
      </c>
      <c r="E1205" t="s">
        <v>1298</v>
      </c>
      <c r="F1205" t="s">
        <v>4973</v>
      </c>
      <c r="G1205" t="s">
        <v>6582</v>
      </c>
      <c r="H1205">
        <v>0</v>
      </c>
      <c r="I1205">
        <v>0</v>
      </c>
    </row>
    <row r="1206" spans="1:9" x14ac:dyDescent="0.25">
      <c r="A1206" t="s">
        <v>4983</v>
      </c>
      <c r="B1206" t="s">
        <v>4984</v>
      </c>
      <c r="C1206" t="s">
        <v>2766</v>
      </c>
      <c r="D1206" t="s">
        <v>2766</v>
      </c>
      <c r="E1206" t="s">
        <v>1298</v>
      </c>
      <c r="F1206" t="s">
        <v>4941</v>
      </c>
      <c r="G1206" t="s">
        <v>6575</v>
      </c>
      <c r="H1206">
        <v>0</v>
      </c>
      <c r="I1206" t="s">
        <v>4924</v>
      </c>
    </row>
    <row r="1207" spans="1:9" x14ac:dyDescent="0.25">
      <c r="A1207" t="s">
        <v>4985</v>
      </c>
      <c r="B1207" t="s">
        <v>4986</v>
      </c>
      <c r="C1207" t="s">
        <v>2766</v>
      </c>
      <c r="D1207" t="s">
        <v>2766</v>
      </c>
      <c r="E1207" t="s">
        <v>1298</v>
      </c>
      <c r="F1207" t="s">
        <v>4923</v>
      </c>
      <c r="G1207" t="s">
        <v>6572</v>
      </c>
      <c r="H1207">
        <v>0</v>
      </c>
      <c r="I1207">
        <v>0</v>
      </c>
    </row>
    <row r="1208" spans="1:9" x14ac:dyDescent="0.25">
      <c r="A1208" t="s">
        <v>4987</v>
      </c>
      <c r="B1208" t="s">
        <v>4988</v>
      </c>
      <c r="C1208" t="s">
        <v>57</v>
      </c>
      <c r="D1208" t="s">
        <v>1388</v>
      </c>
      <c r="E1208" t="s">
        <v>1349</v>
      </c>
      <c r="F1208" t="s">
        <v>4989</v>
      </c>
      <c r="G1208" t="s">
        <v>6583</v>
      </c>
      <c r="H1208">
        <v>0</v>
      </c>
      <c r="I1208">
        <v>0</v>
      </c>
    </row>
    <row r="1209" spans="1:9" x14ac:dyDescent="0.25">
      <c r="A1209" t="s">
        <v>4990</v>
      </c>
      <c r="B1209" t="s">
        <v>4991</v>
      </c>
      <c r="C1209" t="s">
        <v>57</v>
      </c>
      <c r="D1209" t="s">
        <v>1388</v>
      </c>
      <c r="E1209" t="s">
        <v>1349</v>
      </c>
      <c r="F1209" t="s">
        <v>4992</v>
      </c>
      <c r="G1209" t="s">
        <v>6584</v>
      </c>
      <c r="H1209">
        <v>0</v>
      </c>
      <c r="I1209">
        <v>0</v>
      </c>
    </row>
    <row r="1210" spans="1:9" x14ac:dyDescent="0.25">
      <c r="A1210" t="s">
        <v>4993</v>
      </c>
      <c r="B1210" t="s">
        <v>4994</v>
      </c>
      <c r="C1210" t="s">
        <v>57</v>
      </c>
      <c r="D1210" t="s">
        <v>1388</v>
      </c>
      <c r="E1210" t="s">
        <v>1349</v>
      </c>
      <c r="F1210" t="s">
        <v>4995</v>
      </c>
      <c r="G1210" t="s">
        <v>6585</v>
      </c>
      <c r="H1210">
        <v>0</v>
      </c>
      <c r="I1210">
        <v>0</v>
      </c>
    </row>
    <row r="1211" spans="1:9" x14ac:dyDescent="0.25">
      <c r="A1211" t="s">
        <v>4996</v>
      </c>
      <c r="B1211" t="s">
        <v>4997</v>
      </c>
      <c r="C1211" t="s">
        <v>57</v>
      </c>
      <c r="D1211" t="s">
        <v>1388</v>
      </c>
      <c r="E1211" t="s">
        <v>1349</v>
      </c>
      <c r="F1211" t="s">
        <v>4998</v>
      </c>
      <c r="G1211" t="s">
        <v>6586</v>
      </c>
      <c r="H1211">
        <v>0</v>
      </c>
      <c r="I1211">
        <v>0</v>
      </c>
    </row>
    <row r="1212" spans="1:9" x14ac:dyDescent="0.25">
      <c r="A1212" t="s">
        <v>4999</v>
      </c>
      <c r="B1212" t="s">
        <v>5000</v>
      </c>
      <c r="C1212" t="s">
        <v>57</v>
      </c>
      <c r="D1212" t="s">
        <v>1388</v>
      </c>
      <c r="E1212" t="s">
        <v>1349</v>
      </c>
      <c r="F1212" t="s">
        <v>5001</v>
      </c>
      <c r="G1212" t="s">
        <v>6587</v>
      </c>
      <c r="H1212">
        <v>0</v>
      </c>
      <c r="I1212">
        <v>0</v>
      </c>
    </row>
    <row r="1213" spans="1:9" x14ac:dyDescent="0.25">
      <c r="A1213" t="s">
        <v>5002</v>
      </c>
      <c r="B1213" t="s">
        <v>5003</v>
      </c>
      <c r="C1213" t="s">
        <v>57</v>
      </c>
      <c r="D1213" t="s">
        <v>1388</v>
      </c>
      <c r="E1213" t="s">
        <v>1349</v>
      </c>
      <c r="F1213" t="s">
        <v>5004</v>
      </c>
      <c r="G1213" t="s">
        <v>6588</v>
      </c>
      <c r="H1213">
        <v>0</v>
      </c>
      <c r="I1213">
        <v>0</v>
      </c>
    </row>
    <row r="1214" spans="1:9" x14ac:dyDescent="0.25">
      <c r="A1214" t="s">
        <v>5005</v>
      </c>
      <c r="B1214" t="s">
        <v>5006</v>
      </c>
      <c r="C1214" t="s">
        <v>57</v>
      </c>
      <c r="D1214" t="s">
        <v>1388</v>
      </c>
      <c r="E1214" t="s">
        <v>1349</v>
      </c>
      <c r="F1214" t="s">
        <v>5007</v>
      </c>
      <c r="G1214" t="s">
        <v>6589</v>
      </c>
      <c r="H1214">
        <v>0</v>
      </c>
      <c r="I1214">
        <v>0</v>
      </c>
    </row>
    <row r="1215" spans="1:9" x14ac:dyDescent="0.25">
      <c r="A1215" t="s">
        <v>5008</v>
      </c>
      <c r="B1215" t="s">
        <v>5009</v>
      </c>
      <c r="C1215" t="s">
        <v>57</v>
      </c>
      <c r="D1215" t="s">
        <v>1388</v>
      </c>
      <c r="E1215" t="s">
        <v>1349</v>
      </c>
      <c r="F1215" t="s">
        <v>5010</v>
      </c>
      <c r="G1215" t="s">
        <v>6590</v>
      </c>
      <c r="H1215">
        <v>0</v>
      </c>
      <c r="I1215">
        <v>0</v>
      </c>
    </row>
    <row r="1216" spans="1:9" x14ac:dyDescent="0.25">
      <c r="A1216" t="s">
        <v>5011</v>
      </c>
      <c r="B1216" t="s">
        <v>5012</v>
      </c>
      <c r="C1216" t="s">
        <v>57</v>
      </c>
      <c r="D1216" t="s">
        <v>1388</v>
      </c>
      <c r="E1216" t="s">
        <v>1349</v>
      </c>
      <c r="F1216" t="s">
        <v>5013</v>
      </c>
      <c r="G1216" t="s">
        <v>6591</v>
      </c>
      <c r="H1216">
        <v>0</v>
      </c>
      <c r="I1216">
        <v>0</v>
      </c>
    </row>
    <row r="1217" spans="1:9" x14ac:dyDescent="0.25">
      <c r="A1217" t="s">
        <v>5014</v>
      </c>
      <c r="B1217" t="s">
        <v>5015</v>
      </c>
      <c r="C1217" t="s">
        <v>57</v>
      </c>
      <c r="D1217" t="s">
        <v>1388</v>
      </c>
      <c r="E1217" t="s">
        <v>1349</v>
      </c>
      <c r="F1217" t="s">
        <v>5016</v>
      </c>
      <c r="G1217" t="s">
        <v>6592</v>
      </c>
      <c r="H1217">
        <v>0</v>
      </c>
      <c r="I1217">
        <v>0</v>
      </c>
    </row>
    <row r="1218" spans="1:9" x14ac:dyDescent="0.25">
      <c r="A1218" t="s">
        <v>5017</v>
      </c>
      <c r="B1218" t="s">
        <v>5018</v>
      </c>
      <c r="C1218" t="s">
        <v>57</v>
      </c>
      <c r="D1218" t="s">
        <v>1388</v>
      </c>
      <c r="E1218" t="s">
        <v>1349</v>
      </c>
      <c r="F1218" t="s">
        <v>5019</v>
      </c>
      <c r="G1218" t="s">
        <v>6593</v>
      </c>
      <c r="H1218">
        <v>0</v>
      </c>
      <c r="I1218">
        <v>0</v>
      </c>
    </row>
    <row r="1219" spans="1:9" x14ac:dyDescent="0.25">
      <c r="A1219" t="s">
        <v>5020</v>
      </c>
      <c r="B1219" t="s">
        <v>5021</v>
      </c>
      <c r="C1219" t="s">
        <v>57</v>
      </c>
      <c r="D1219" t="s">
        <v>1388</v>
      </c>
      <c r="E1219" t="s">
        <v>1349</v>
      </c>
      <c r="F1219" t="s">
        <v>5022</v>
      </c>
      <c r="G1219" t="s">
        <v>6594</v>
      </c>
      <c r="H1219">
        <v>0</v>
      </c>
      <c r="I1219">
        <v>0</v>
      </c>
    </row>
    <row r="1220" spans="1:9" x14ac:dyDescent="0.25">
      <c r="A1220" t="s">
        <v>5023</v>
      </c>
      <c r="B1220" t="s">
        <v>5024</v>
      </c>
      <c r="C1220" t="s">
        <v>57</v>
      </c>
      <c r="D1220" t="s">
        <v>1388</v>
      </c>
      <c r="E1220" t="s">
        <v>1349</v>
      </c>
      <c r="F1220" t="s">
        <v>5025</v>
      </c>
      <c r="G1220" t="s">
        <v>6595</v>
      </c>
      <c r="H1220">
        <v>0</v>
      </c>
      <c r="I1220">
        <v>0</v>
      </c>
    </row>
    <row r="1221" spans="1:9" x14ac:dyDescent="0.25">
      <c r="A1221" t="s">
        <v>5026</v>
      </c>
      <c r="B1221" t="s">
        <v>5027</v>
      </c>
      <c r="C1221" t="s">
        <v>57</v>
      </c>
      <c r="D1221" t="s">
        <v>1388</v>
      </c>
      <c r="E1221" t="s">
        <v>1349</v>
      </c>
      <c r="F1221" t="s">
        <v>5028</v>
      </c>
      <c r="G1221" t="s">
        <v>6596</v>
      </c>
      <c r="H1221">
        <v>0</v>
      </c>
      <c r="I1221">
        <v>0</v>
      </c>
    </row>
    <row r="1222" spans="1:9" x14ac:dyDescent="0.25">
      <c r="A1222" t="s">
        <v>5029</v>
      </c>
      <c r="B1222" t="s">
        <v>5030</v>
      </c>
      <c r="C1222" t="s">
        <v>57</v>
      </c>
      <c r="D1222" t="s">
        <v>1388</v>
      </c>
      <c r="E1222" t="s">
        <v>1349</v>
      </c>
      <c r="F1222" t="s">
        <v>5031</v>
      </c>
      <c r="G1222" t="s">
        <v>6597</v>
      </c>
      <c r="H1222">
        <v>0</v>
      </c>
      <c r="I1222">
        <v>0</v>
      </c>
    </row>
    <row r="1223" spans="1:9" x14ac:dyDescent="0.25">
      <c r="A1223" t="s">
        <v>5032</v>
      </c>
      <c r="B1223" t="s">
        <v>5033</v>
      </c>
      <c r="C1223" t="s">
        <v>57</v>
      </c>
      <c r="D1223" t="s">
        <v>1388</v>
      </c>
      <c r="E1223" t="s">
        <v>1349</v>
      </c>
      <c r="F1223" t="s">
        <v>5034</v>
      </c>
      <c r="G1223" t="s">
        <v>6598</v>
      </c>
      <c r="H1223">
        <v>0</v>
      </c>
      <c r="I1223">
        <v>0</v>
      </c>
    </row>
    <row r="1224" spans="1:9" x14ac:dyDescent="0.25">
      <c r="A1224" t="s">
        <v>5035</v>
      </c>
      <c r="B1224" t="s">
        <v>5036</v>
      </c>
      <c r="C1224" t="s">
        <v>57</v>
      </c>
      <c r="D1224" t="s">
        <v>1388</v>
      </c>
      <c r="E1224" t="s">
        <v>1349</v>
      </c>
      <c r="F1224" t="s">
        <v>5037</v>
      </c>
      <c r="G1224" t="s">
        <v>6599</v>
      </c>
      <c r="H1224">
        <v>0</v>
      </c>
      <c r="I1224">
        <v>0</v>
      </c>
    </row>
    <row r="1225" spans="1:9" x14ac:dyDescent="0.25">
      <c r="A1225" t="s">
        <v>5038</v>
      </c>
      <c r="B1225" t="s">
        <v>5039</v>
      </c>
      <c r="C1225" t="s">
        <v>57</v>
      </c>
      <c r="D1225" t="s">
        <v>1388</v>
      </c>
      <c r="E1225" t="s">
        <v>1349</v>
      </c>
      <c r="F1225" t="s">
        <v>5040</v>
      </c>
      <c r="G1225" t="s">
        <v>6600</v>
      </c>
      <c r="H1225">
        <v>0</v>
      </c>
      <c r="I1225">
        <v>0</v>
      </c>
    </row>
    <row r="1226" spans="1:9" x14ac:dyDescent="0.25">
      <c r="A1226" t="s">
        <v>5041</v>
      </c>
      <c r="B1226" t="s">
        <v>5042</v>
      </c>
      <c r="C1226" t="s">
        <v>57</v>
      </c>
      <c r="D1226" t="s">
        <v>1388</v>
      </c>
      <c r="E1226" t="s">
        <v>1349</v>
      </c>
      <c r="F1226" t="s">
        <v>5043</v>
      </c>
      <c r="G1226" t="s">
        <v>6601</v>
      </c>
      <c r="H1226">
        <v>0</v>
      </c>
      <c r="I1226">
        <v>0</v>
      </c>
    </row>
    <row r="1227" spans="1:9" x14ac:dyDescent="0.25">
      <c r="A1227" t="s">
        <v>5044</v>
      </c>
      <c r="B1227" t="s">
        <v>5045</v>
      </c>
      <c r="C1227" t="s">
        <v>5046</v>
      </c>
      <c r="D1227" t="s">
        <v>2967</v>
      </c>
      <c r="E1227" t="s">
        <v>1298</v>
      </c>
      <c r="F1227" t="s">
        <v>5047</v>
      </c>
      <c r="G1227" t="s">
        <v>6602</v>
      </c>
      <c r="H1227">
        <v>0</v>
      </c>
      <c r="I1227">
        <v>0</v>
      </c>
    </row>
    <row r="1228" spans="1:9" x14ac:dyDescent="0.25">
      <c r="A1228" t="s">
        <v>5048</v>
      </c>
      <c r="B1228" t="s">
        <v>5049</v>
      </c>
      <c r="C1228" t="s">
        <v>5046</v>
      </c>
      <c r="D1228" t="s">
        <v>2967</v>
      </c>
      <c r="E1228" t="s">
        <v>1298</v>
      </c>
      <c r="F1228" t="s">
        <v>5050</v>
      </c>
      <c r="G1228" t="s">
        <v>6603</v>
      </c>
      <c r="H1228">
        <v>0</v>
      </c>
      <c r="I1228">
        <v>0</v>
      </c>
    </row>
    <row r="1229" spans="1:9" x14ac:dyDescent="0.25">
      <c r="A1229" t="s">
        <v>5051</v>
      </c>
      <c r="B1229" t="s">
        <v>5052</v>
      </c>
      <c r="C1229" t="s">
        <v>5046</v>
      </c>
      <c r="D1229" t="s">
        <v>2967</v>
      </c>
      <c r="E1229" t="s">
        <v>1298</v>
      </c>
      <c r="F1229" t="s">
        <v>5053</v>
      </c>
      <c r="G1229" t="s">
        <v>6604</v>
      </c>
      <c r="H1229" t="s">
        <v>5054</v>
      </c>
      <c r="I1229">
        <v>0</v>
      </c>
    </row>
    <row r="1230" spans="1:9" x14ac:dyDescent="0.25">
      <c r="A1230" t="s">
        <v>5055</v>
      </c>
      <c r="B1230" t="s">
        <v>5056</v>
      </c>
      <c r="C1230" t="s">
        <v>5046</v>
      </c>
      <c r="D1230" t="s">
        <v>2967</v>
      </c>
      <c r="E1230" t="s">
        <v>1298</v>
      </c>
      <c r="F1230" t="s">
        <v>5057</v>
      </c>
      <c r="G1230" t="s">
        <v>6605</v>
      </c>
      <c r="H1230">
        <v>0</v>
      </c>
      <c r="I1230">
        <v>0</v>
      </c>
    </row>
    <row r="1231" spans="1:9" x14ac:dyDescent="0.25">
      <c r="A1231" t="s">
        <v>5058</v>
      </c>
      <c r="B1231" t="s">
        <v>5059</v>
      </c>
      <c r="C1231" t="s">
        <v>5046</v>
      </c>
      <c r="D1231" t="s">
        <v>2967</v>
      </c>
      <c r="E1231" t="s">
        <v>1298</v>
      </c>
      <c r="F1231" t="s">
        <v>5060</v>
      </c>
      <c r="G1231" t="s">
        <v>6606</v>
      </c>
      <c r="H1231">
        <v>0</v>
      </c>
      <c r="I1231">
        <v>0</v>
      </c>
    </row>
    <row r="1232" spans="1:9" x14ac:dyDescent="0.25">
      <c r="A1232" t="s">
        <v>5061</v>
      </c>
      <c r="B1232" t="s">
        <v>5062</v>
      </c>
      <c r="C1232" t="s">
        <v>5046</v>
      </c>
      <c r="D1232" t="s">
        <v>2967</v>
      </c>
      <c r="E1232" t="s">
        <v>1298</v>
      </c>
      <c r="F1232" t="s">
        <v>5063</v>
      </c>
      <c r="G1232" t="s">
        <v>6607</v>
      </c>
      <c r="H1232">
        <v>0</v>
      </c>
      <c r="I1232">
        <v>0</v>
      </c>
    </row>
    <row r="1233" spans="1:9" x14ac:dyDescent="0.25">
      <c r="A1233" t="s">
        <v>5064</v>
      </c>
      <c r="B1233" t="s">
        <v>5065</v>
      </c>
      <c r="C1233" t="s">
        <v>5046</v>
      </c>
      <c r="D1233" t="s">
        <v>2967</v>
      </c>
      <c r="E1233" t="s">
        <v>1298</v>
      </c>
      <c r="F1233" t="s">
        <v>5066</v>
      </c>
      <c r="G1233" t="s">
        <v>6608</v>
      </c>
      <c r="H1233">
        <v>0</v>
      </c>
      <c r="I1233">
        <v>0</v>
      </c>
    </row>
    <row r="1234" spans="1:9" x14ac:dyDescent="0.25">
      <c r="A1234" t="s">
        <v>5067</v>
      </c>
      <c r="B1234" t="s">
        <v>5068</v>
      </c>
      <c r="C1234" t="s">
        <v>5046</v>
      </c>
      <c r="D1234" t="s">
        <v>2967</v>
      </c>
      <c r="E1234" t="s">
        <v>1298</v>
      </c>
      <c r="F1234" t="s">
        <v>5069</v>
      </c>
      <c r="G1234" t="s">
        <v>6609</v>
      </c>
      <c r="H1234" t="s">
        <v>5054</v>
      </c>
      <c r="I1234">
        <v>0</v>
      </c>
    </row>
    <row r="1235" spans="1:9" x14ac:dyDescent="0.25">
      <c r="A1235" t="s">
        <v>5070</v>
      </c>
      <c r="B1235" t="s">
        <v>5071</v>
      </c>
      <c r="C1235" t="s">
        <v>5046</v>
      </c>
      <c r="D1235" t="s">
        <v>2967</v>
      </c>
      <c r="E1235" t="s">
        <v>1298</v>
      </c>
      <c r="F1235" t="s">
        <v>5072</v>
      </c>
      <c r="G1235" t="s">
        <v>6610</v>
      </c>
      <c r="H1235" t="s">
        <v>5054</v>
      </c>
      <c r="I1235">
        <v>0</v>
      </c>
    </row>
    <row r="1236" spans="1:9" x14ac:dyDescent="0.25">
      <c r="A1236" t="s">
        <v>5073</v>
      </c>
      <c r="B1236" t="s">
        <v>5074</v>
      </c>
      <c r="C1236" t="s">
        <v>5046</v>
      </c>
      <c r="D1236" t="s">
        <v>2967</v>
      </c>
      <c r="E1236" t="s">
        <v>1298</v>
      </c>
      <c r="F1236" t="s">
        <v>5075</v>
      </c>
      <c r="G1236" t="s">
        <v>6611</v>
      </c>
      <c r="H1236">
        <v>0</v>
      </c>
      <c r="I1236">
        <v>0</v>
      </c>
    </row>
    <row r="1237" spans="1:9" x14ac:dyDescent="0.25">
      <c r="A1237" t="s">
        <v>5076</v>
      </c>
      <c r="B1237" t="s">
        <v>5077</v>
      </c>
      <c r="C1237" t="s">
        <v>5046</v>
      </c>
      <c r="D1237" t="s">
        <v>2967</v>
      </c>
      <c r="E1237" t="s">
        <v>1298</v>
      </c>
      <c r="F1237" t="s">
        <v>5078</v>
      </c>
      <c r="G1237" t="s">
        <v>6612</v>
      </c>
      <c r="H1237" t="s">
        <v>5054</v>
      </c>
      <c r="I1237">
        <v>0</v>
      </c>
    </row>
    <row r="1238" spans="1:9" x14ac:dyDescent="0.25">
      <c r="A1238" t="s">
        <v>5079</v>
      </c>
      <c r="B1238" t="s">
        <v>5080</v>
      </c>
      <c r="C1238" t="s">
        <v>5046</v>
      </c>
      <c r="D1238" t="s">
        <v>2967</v>
      </c>
      <c r="E1238" t="s">
        <v>1298</v>
      </c>
      <c r="F1238" t="s">
        <v>5081</v>
      </c>
      <c r="G1238" t="s">
        <v>6613</v>
      </c>
      <c r="H1238">
        <v>0</v>
      </c>
      <c r="I1238">
        <v>0</v>
      </c>
    </row>
    <row r="1239" spans="1:9" x14ac:dyDescent="0.25">
      <c r="A1239" t="s">
        <v>5082</v>
      </c>
      <c r="B1239" t="s">
        <v>5083</v>
      </c>
      <c r="C1239" t="s">
        <v>5046</v>
      </c>
      <c r="D1239" t="s">
        <v>2967</v>
      </c>
      <c r="E1239" t="s">
        <v>1298</v>
      </c>
      <c r="F1239" t="s">
        <v>5084</v>
      </c>
      <c r="G1239" t="s">
        <v>6614</v>
      </c>
      <c r="H1239">
        <v>0</v>
      </c>
      <c r="I1239">
        <v>0</v>
      </c>
    </row>
    <row r="1240" spans="1:9" x14ac:dyDescent="0.25">
      <c r="A1240" t="s">
        <v>5085</v>
      </c>
      <c r="B1240" t="s">
        <v>5086</v>
      </c>
      <c r="C1240" t="s">
        <v>5046</v>
      </c>
      <c r="D1240" t="s">
        <v>2967</v>
      </c>
      <c r="E1240" t="s">
        <v>1298</v>
      </c>
      <c r="F1240" t="s">
        <v>5087</v>
      </c>
      <c r="G1240" t="s">
        <v>6615</v>
      </c>
      <c r="H1240">
        <v>0</v>
      </c>
      <c r="I1240">
        <v>0</v>
      </c>
    </row>
    <row r="1241" spans="1:9" x14ac:dyDescent="0.25">
      <c r="A1241" t="s">
        <v>5088</v>
      </c>
      <c r="B1241" t="s">
        <v>5089</v>
      </c>
      <c r="C1241" t="s">
        <v>5046</v>
      </c>
      <c r="D1241" t="s">
        <v>2967</v>
      </c>
      <c r="E1241" t="s">
        <v>1298</v>
      </c>
      <c r="F1241" t="s">
        <v>5090</v>
      </c>
      <c r="G1241" t="s">
        <v>6616</v>
      </c>
      <c r="H1241">
        <v>0</v>
      </c>
      <c r="I1241">
        <v>0</v>
      </c>
    </row>
    <row r="1242" spans="1:9" x14ac:dyDescent="0.25">
      <c r="A1242" t="s">
        <v>5091</v>
      </c>
      <c r="B1242" t="s">
        <v>5092</v>
      </c>
      <c r="C1242" t="s">
        <v>5046</v>
      </c>
      <c r="D1242" t="s">
        <v>2967</v>
      </c>
      <c r="E1242" t="s">
        <v>1298</v>
      </c>
      <c r="F1242" t="s">
        <v>5093</v>
      </c>
      <c r="G1242" t="s">
        <v>6617</v>
      </c>
      <c r="H1242">
        <v>0</v>
      </c>
      <c r="I1242">
        <v>0</v>
      </c>
    </row>
    <row r="1243" spans="1:9" x14ac:dyDescent="0.25">
      <c r="A1243" t="s">
        <v>5094</v>
      </c>
      <c r="B1243" t="s">
        <v>5095</v>
      </c>
      <c r="C1243" t="s">
        <v>5046</v>
      </c>
      <c r="D1243" t="s">
        <v>2967</v>
      </c>
      <c r="E1243" t="s">
        <v>1298</v>
      </c>
      <c r="F1243" t="s">
        <v>5096</v>
      </c>
      <c r="G1243" t="s">
        <v>6618</v>
      </c>
      <c r="H1243" t="s">
        <v>5054</v>
      </c>
      <c r="I1243">
        <v>0</v>
      </c>
    </row>
    <row r="1244" spans="1:9" x14ac:dyDescent="0.25">
      <c r="A1244" t="s">
        <v>5097</v>
      </c>
      <c r="B1244" t="s">
        <v>5098</v>
      </c>
      <c r="C1244" t="s">
        <v>5046</v>
      </c>
      <c r="D1244" t="s">
        <v>2967</v>
      </c>
      <c r="E1244" t="s">
        <v>1298</v>
      </c>
      <c r="F1244" t="s">
        <v>5099</v>
      </c>
      <c r="G1244" t="s">
        <v>6619</v>
      </c>
      <c r="H1244">
        <v>0</v>
      </c>
      <c r="I1244">
        <v>0</v>
      </c>
    </row>
    <row r="1245" spans="1:9" x14ac:dyDescent="0.25">
      <c r="A1245" t="s">
        <v>5100</v>
      </c>
      <c r="B1245" t="s">
        <v>5101</v>
      </c>
      <c r="C1245" t="s">
        <v>5046</v>
      </c>
      <c r="D1245" t="s">
        <v>2967</v>
      </c>
      <c r="E1245" t="s">
        <v>1298</v>
      </c>
      <c r="F1245" t="s">
        <v>5102</v>
      </c>
      <c r="G1245" t="s">
        <v>6620</v>
      </c>
      <c r="H1245">
        <v>0</v>
      </c>
      <c r="I1245">
        <v>0</v>
      </c>
    </row>
    <row r="1246" spans="1:9" x14ac:dyDescent="0.25">
      <c r="A1246" t="s">
        <v>5103</v>
      </c>
      <c r="B1246" t="s">
        <v>5104</v>
      </c>
      <c r="C1246" t="s">
        <v>5046</v>
      </c>
      <c r="D1246" t="s">
        <v>2967</v>
      </c>
      <c r="E1246" t="s">
        <v>1298</v>
      </c>
      <c r="F1246" t="s">
        <v>5105</v>
      </c>
      <c r="G1246" t="s">
        <v>6621</v>
      </c>
      <c r="H1246">
        <v>0</v>
      </c>
      <c r="I1246">
        <v>0</v>
      </c>
    </row>
    <row r="1247" spans="1:9" x14ac:dyDescent="0.25">
      <c r="A1247" t="s">
        <v>5106</v>
      </c>
      <c r="B1247" t="s">
        <v>5107</v>
      </c>
      <c r="C1247" t="s">
        <v>5046</v>
      </c>
      <c r="D1247" t="s">
        <v>2967</v>
      </c>
      <c r="E1247" t="s">
        <v>1298</v>
      </c>
      <c r="F1247" t="s">
        <v>5108</v>
      </c>
      <c r="G1247" t="s">
        <v>6622</v>
      </c>
      <c r="H1247" t="s">
        <v>5054</v>
      </c>
      <c r="I1247">
        <v>0</v>
      </c>
    </row>
    <row r="1248" spans="1:9" x14ac:dyDescent="0.25">
      <c r="A1248" t="s">
        <v>5109</v>
      </c>
      <c r="B1248" t="s">
        <v>5110</v>
      </c>
      <c r="C1248" t="s">
        <v>5046</v>
      </c>
      <c r="D1248" t="s">
        <v>2967</v>
      </c>
      <c r="E1248" t="s">
        <v>1298</v>
      </c>
      <c r="F1248" t="s">
        <v>5111</v>
      </c>
      <c r="G1248" t="s">
        <v>6623</v>
      </c>
      <c r="H1248">
        <v>0</v>
      </c>
      <c r="I1248">
        <v>0</v>
      </c>
    </row>
    <row r="1249" spans="1:9" x14ac:dyDescent="0.25">
      <c r="A1249" t="s">
        <v>5112</v>
      </c>
      <c r="B1249" t="s">
        <v>5113</v>
      </c>
      <c r="C1249" t="s">
        <v>5046</v>
      </c>
      <c r="D1249" t="s">
        <v>2967</v>
      </c>
      <c r="E1249" t="s">
        <v>1298</v>
      </c>
      <c r="F1249" t="s">
        <v>5114</v>
      </c>
      <c r="G1249" t="s">
        <v>6624</v>
      </c>
      <c r="H1249">
        <v>0</v>
      </c>
      <c r="I1249">
        <v>0</v>
      </c>
    </row>
    <row r="1250" spans="1:9" x14ac:dyDescent="0.25">
      <c r="A1250" t="s">
        <v>5115</v>
      </c>
      <c r="B1250" t="s">
        <v>5116</v>
      </c>
      <c r="C1250" t="s">
        <v>5046</v>
      </c>
      <c r="D1250" t="s">
        <v>2967</v>
      </c>
      <c r="E1250" t="s">
        <v>1298</v>
      </c>
      <c r="F1250" t="s">
        <v>5117</v>
      </c>
      <c r="G1250" t="s">
        <v>6625</v>
      </c>
      <c r="H1250" t="s">
        <v>5054</v>
      </c>
      <c r="I1250">
        <v>0</v>
      </c>
    </row>
    <row r="1251" spans="1:9" x14ac:dyDescent="0.25">
      <c r="A1251" t="s">
        <v>5118</v>
      </c>
      <c r="B1251" t="s">
        <v>5119</v>
      </c>
      <c r="C1251" t="s">
        <v>5046</v>
      </c>
      <c r="D1251" t="s">
        <v>2967</v>
      </c>
      <c r="E1251" t="s">
        <v>1298</v>
      </c>
      <c r="F1251" t="s">
        <v>5120</v>
      </c>
      <c r="G1251" t="s">
        <v>6626</v>
      </c>
      <c r="H1251">
        <v>0</v>
      </c>
      <c r="I1251">
        <v>0</v>
      </c>
    </row>
    <row r="1252" spans="1:9" x14ac:dyDescent="0.25">
      <c r="A1252" t="s">
        <v>5121</v>
      </c>
      <c r="B1252" t="s">
        <v>5122</v>
      </c>
      <c r="C1252" t="s">
        <v>5046</v>
      </c>
      <c r="D1252" t="s">
        <v>2967</v>
      </c>
      <c r="E1252" t="s">
        <v>1298</v>
      </c>
      <c r="F1252" t="s">
        <v>5123</v>
      </c>
      <c r="G1252" t="s">
        <v>6627</v>
      </c>
      <c r="H1252">
        <v>0</v>
      </c>
      <c r="I1252">
        <v>0</v>
      </c>
    </row>
    <row r="1253" spans="1:9" x14ac:dyDescent="0.25">
      <c r="A1253" t="s">
        <v>5124</v>
      </c>
      <c r="B1253" t="s">
        <v>5125</v>
      </c>
      <c r="C1253" t="s">
        <v>5046</v>
      </c>
      <c r="D1253" t="s">
        <v>2967</v>
      </c>
      <c r="E1253" t="s">
        <v>1298</v>
      </c>
      <c r="F1253" t="s">
        <v>5126</v>
      </c>
      <c r="G1253" t="s">
        <v>6628</v>
      </c>
      <c r="H1253" t="s">
        <v>5054</v>
      </c>
      <c r="I1253">
        <v>0</v>
      </c>
    </row>
    <row r="1254" spans="1:9" x14ac:dyDescent="0.25">
      <c r="A1254" t="s">
        <v>5127</v>
      </c>
      <c r="B1254" t="s">
        <v>5128</v>
      </c>
      <c r="C1254" t="s">
        <v>5046</v>
      </c>
      <c r="D1254" t="s">
        <v>2967</v>
      </c>
      <c r="E1254" t="s">
        <v>1298</v>
      </c>
      <c r="F1254" t="s">
        <v>5129</v>
      </c>
      <c r="G1254" t="s">
        <v>6629</v>
      </c>
      <c r="H1254">
        <v>0</v>
      </c>
      <c r="I1254">
        <v>0</v>
      </c>
    </row>
    <row r="1255" spans="1:9" x14ac:dyDescent="0.25">
      <c r="A1255" t="s">
        <v>5130</v>
      </c>
      <c r="B1255" t="s">
        <v>5131</v>
      </c>
      <c r="C1255" t="s">
        <v>5046</v>
      </c>
      <c r="D1255" t="s">
        <v>2967</v>
      </c>
      <c r="E1255" t="s">
        <v>1298</v>
      </c>
      <c r="F1255" t="s">
        <v>5132</v>
      </c>
      <c r="G1255" t="s">
        <v>6630</v>
      </c>
      <c r="H1255">
        <v>0</v>
      </c>
      <c r="I1255">
        <v>0</v>
      </c>
    </row>
    <row r="1256" spans="1:9" x14ac:dyDescent="0.25">
      <c r="A1256" t="s">
        <v>5133</v>
      </c>
      <c r="B1256" t="s">
        <v>5134</v>
      </c>
      <c r="C1256" t="s">
        <v>5046</v>
      </c>
      <c r="D1256" t="s">
        <v>2967</v>
      </c>
      <c r="E1256" t="s">
        <v>1298</v>
      </c>
      <c r="F1256" t="s">
        <v>5135</v>
      </c>
      <c r="G1256" t="s">
        <v>6631</v>
      </c>
      <c r="H1256" t="s">
        <v>5054</v>
      </c>
      <c r="I1256">
        <v>0</v>
      </c>
    </row>
    <row r="1257" spans="1:9" x14ac:dyDescent="0.25">
      <c r="A1257" t="s">
        <v>5136</v>
      </c>
      <c r="B1257" t="s">
        <v>5137</v>
      </c>
      <c r="C1257" t="s">
        <v>5046</v>
      </c>
      <c r="D1257" t="s">
        <v>2967</v>
      </c>
      <c r="E1257" t="s">
        <v>1298</v>
      </c>
      <c r="F1257" t="s">
        <v>5138</v>
      </c>
      <c r="G1257" t="s">
        <v>6632</v>
      </c>
      <c r="H1257" t="s">
        <v>5054</v>
      </c>
      <c r="I1257">
        <v>0</v>
      </c>
    </row>
    <row r="1258" spans="1:9" x14ac:dyDescent="0.25">
      <c r="A1258" t="s">
        <v>5139</v>
      </c>
      <c r="B1258" t="s">
        <v>5140</v>
      </c>
      <c r="C1258" t="s">
        <v>5046</v>
      </c>
      <c r="D1258" t="s">
        <v>2967</v>
      </c>
      <c r="E1258" t="s">
        <v>1298</v>
      </c>
      <c r="F1258" t="s">
        <v>5141</v>
      </c>
      <c r="G1258" t="s">
        <v>6633</v>
      </c>
      <c r="H1258">
        <v>0</v>
      </c>
      <c r="I1258">
        <v>0</v>
      </c>
    </row>
    <row r="1259" spans="1:9" x14ac:dyDescent="0.25">
      <c r="A1259" t="s">
        <v>5142</v>
      </c>
      <c r="B1259" t="s">
        <v>5143</v>
      </c>
      <c r="C1259" t="s">
        <v>5046</v>
      </c>
      <c r="D1259" t="s">
        <v>2967</v>
      </c>
      <c r="E1259" t="s">
        <v>1298</v>
      </c>
      <c r="F1259" t="s">
        <v>5144</v>
      </c>
      <c r="G1259" t="s">
        <v>6634</v>
      </c>
      <c r="H1259">
        <v>0</v>
      </c>
      <c r="I1259">
        <v>0</v>
      </c>
    </row>
    <row r="1260" spans="1:9" x14ac:dyDescent="0.25">
      <c r="A1260" t="s">
        <v>5145</v>
      </c>
      <c r="B1260" t="s">
        <v>5146</v>
      </c>
      <c r="C1260" t="s">
        <v>5046</v>
      </c>
      <c r="D1260" t="s">
        <v>2967</v>
      </c>
      <c r="E1260" t="s">
        <v>1298</v>
      </c>
      <c r="F1260" t="s">
        <v>5147</v>
      </c>
      <c r="G1260" t="s">
        <v>6635</v>
      </c>
      <c r="H1260">
        <v>0</v>
      </c>
      <c r="I1260">
        <v>0</v>
      </c>
    </row>
    <row r="1261" spans="1:9" x14ac:dyDescent="0.25">
      <c r="A1261" t="s">
        <v>5148</v>
      </c>
      <c r="B1261" t="s">
        <v>5149</v>
      </c>
      <c r="C1261" t="s">
        <v>5046</v>
      </c>
      <c r="D1261" t="s">
        <v>2967</v>
      </c>
      <c r="E1261" t="s">
        <v>1298</v>
      </c>
      <c r="F1261" t="s">
        <v>5150</v>
      </c>
      <c r="G1261" t="s">
        <v>6636</v>
      </c>
      <c r="H1261">
        <v>0</v>
      </c>
      <c r="I1261">
        <v>0</v>
      </c>
    </row>
    <row r="1262" spans="1:9" x14ac:dyDescent="0.25">
      <c r="A1262" t="s">
        <v>5151</v>
      </c>
      <c r="B1262" t="s">
        <v>5152</v>
      </c>
      <c r="C1262" t="s">
        <v>5046</v>
      </c>
      <c r="D1262" t="s">
        <v>2967</v>
      </c>
      <c r="E1262" t="s">
        <v>1298</v>
      </c>
      <c r="F1262" t="s">
        <v>5153</v>
      </c>
      <c r="G1262" t="s">
        <v>6637</v>
      </c>
      <c r="H1262">
        <v>0</v>
      </c>
      <c r="I1262">
        <v>0</v>
      </c>
    </row>
    <row r="1263" spans="1:9" x14ac:dyDescent="0.25">
      <c r="A1263" t="s">
        <v>5154</v>
      </c>
      <c r="B1263" t="s">
        <v>5155</v>
      </c>
      <c r="C1263" t="s">
        <v>5046</v>
      </c>
      <c r="D1263" t="s">
        <v>2967</v>
      </c>
      <c r="E1263" t="s">
        <v>1298</v>
      </c>
      <c r="F1263" t="s">
        <v>5156</v>
      </c>
      <c r="G1263" t="s">
        <v>6638</v>
      </c>
      <c r="H1263">
        <v>0</v>
      </c>
      <c r="I1263">
        <v>0</v>
      </c>
    </row>
    <row r="1264" spans="1:9" x14ac:dyDescent="0.25">
      <c r="A1264" t="s">
        <v>5157</v>
      </c>
      <c r="B1264" t="s">
        <v>5158</v>
      </c>
      <c r="C1264" t="s">
        <v>5046</v>
      </c>
      <c r="D1264" t="s">
        <v>2967</v>
      </c>
      <c r="E1264" t="s">
        <v>1298</v>
      </c>
      <c r="F1264" t="s">
        <v>5159</v>
      </c>
      <c r="G1264" t="s">
        <v>6639</v>
      </c>
      <c r="H1264">
        <v>0</v>
      </c>
      <c r="I1264">
        <v>0</v>
      </c>
    </row>
    <row r="1265" spans="1:9" x14ac:dyDescent="0.25">
      <c r="A1265" t="s">
        <v>5160</v>
      </c>
      <c r="B1265" t="s">
        <v>5161</v>
      </c>
      <c r="C1265" t="s">
        <v>5046</v>
      </c>
      <c r="D1265" t="s">
        <v>2967</v>
      </c>
      <c r="E1265" t="s">
        <v>1298</v>
      </c>
      <c r="F1265" t="s">
        <v>5162</v>
      </c>
      <c r="G1265" t="s">
        <v>6640</v>
      </c>
      <c r="H1265">
        <v>0</v>
      </c>
      <c r="I1265">
        <v>0</v>
      </c>
    </row>
    <row r="1266" spans="1:9" x14ac:dyDescent="0.25">
      <c r="A1266" t="s">
        <v>5163</v>
      </c>
      <c r="B1266" t="s">
        <v>3960</v>
      </c>
      <c r="C1266" t="s">
        <v>5046</v>
      </c>
      <c r="D1266" t="s">
        <v>2967</v>
      </c>
      <c r="E1266" t="s">
        <v>1298</v>
      </c>
      <c r="F1266" t="s">
        <v>5164</v>
      </c>
      <c r="G1266" t="s">
        <v>6304</v>
      </c>
      <c r="H1266">
        <v>0</v>
      </c>
      <c r="I1266">
        <v>0</v>
      </c>
    </row>
    <row r="1267" spans="1:9" x14ac:dyDescent="0.25">
      <c r="A1267" t="s">
        <v>5165</v>
      </c>
      <c r="B1267" t="s">
        <v>5166</v>
      </c>
      <c r="C1267" t="s">
        <v>5046</v>
      </c>
      <c r="D1267" t="s">
        <v>2967</v>
      </c>
      <c r="E1267" t="s">
        <v>1298</v>
      </c>
      <c r="F1267" t="s">
        <v>5167</v>
      </c>
      <c r="G1267" t="s">
        <v>6641</v>
      </c>
      <c r="H1267">
        <v>0</v>
      </c>
      <c r="I1267">
        <v>0</v>
      </c>
    </row>
    <row r="1268" spans="1:9" x14ac:dyDescent="0.25">
      <c r="A1268" t="s">
        <v>5168</v>
      </c>
      <c r="B1268" t="s">
        <v>5169</v>
      </c>
      <c r="C1268" t="s">
        <v>5046</v>
      </c>
      <c r="D1268" t="s">
        <v>2967</v>
      </c>
      <c r="E1268" t="s">
        <v>1298</v>
      </c>
      <c r="F1268" t="s">
        <v>5170</v>
      </c>
      <c r="G1268" t="s">
        <v>6642</v>
      </c>
      <c r="H1268">
        <v>0</v>
      </c>
      <c r="I1268">
        <v>0</v>
      </c>
    </row>
    <row r="1269" spans="1:9" x14ac:dyDescent="0.25">
      <c r="A1269" t="s">
        <v>5171</v>
      </c>
      <c r="B1269" t="s">
        <v>5172</v>
      </c>
      <c r="C1269" t="s">
        <v>5046</v>
      </c>
      <c r="D1269" t="s">
        <v>2967</v>
      </c>
      <c r="E1269" t="s">
        <v>1298</v>
      </c>
      <c r="F1269" t="s">
        <v>5173</v>
      </c>
      <c r="G1269" t="s">
        <v>6643</v>
      </c>
      <c r="H1269">
        <v>0</v>
      </c>
      <c r="I1269">
        <v>0</v>
      </c>
    </row>
    <row r="1270" spans="1:9" x14ac:dyDescent="0.25">
      <c r="A1270" t="s">
        <v>5174</v>
      </c>
      <c r="B1270" t="s">
        <v>5175</v>
      </c>
      <c r="C1270" t="s">
        <v>5046</v>
      </c>
      <c r="D1270" t="s">
        <v>2967</v>
      </c>
      <c r="E1270" t="s">
        <v>1298</v>
      </c>
      <c r="F1270" t="s">
        <v>5176</v>
      </c>
      <c r="G1270" t="s">
        <v>6644</v>
      </c>
      <c r="H1270" t="s">
        <v>5054</v>
      </c>
      <c r="I1270">
        <v>0</v>
      </c>
    </row>
    <row r="1271" spans="1:9" x14ac:dyDescent="0.25">
      <c r="A1271" t="s">
        <v>5177</v>
      </c>
      <c r="B1271" t="s">
        <v>2254</v>
      </c>
      <c r="C1271" t="s">
        <v>5046</v>
      </c>
      <c r="D1271" t="s">
        <v>2967</v>
      </c>
      <c r="E1271" t="s">
        <v>1298</v>
      </c>
      <c r="F1271" t="s">
        <v>5178</v>
      </c>
      <c r="G1271" t="s">
        <v>5776</v>
      </c>
      <c r="H1271">
        <v>0</v>
      </c>
      <c r="I1271">
        <v>0</v>
      </c>
    </row>
    <row r="1272" spans="1:9" x14ac:dyDescent="0.25">
      <c r="A1272" t="s">
        <v>5179</v>
      </c>
      <c r="B1272" t="s">
        <v>5180</v>
      </c>
      <c r="C1272" t="s">
        <v>5046</v>
      </c>
      <c r="D1272" t="s">
        <v>2967</v>
      </c>
      <c r="E1272" t="s">
        <v>1298</v>
      </c>
      <c r="F1272" t="s">
        <v>5181</v>
      </c>
      <c r="G1272" t="s">
        <v>6645</v>
      </c>
      <c r="H1272">
        <v>0</v>
      </c>
      <c r="I1272">
        <v>0</v>
      </c>
    </row>
    <row r="1273" spans="1:9" x14ac:dyDescent="0.25">
      <c r="A1273" t="s">
        <v>5182</v>
      </c>
      <c r="B1273" t="s">
        <v>5183</v>
      </c>
      <c r="C1273" t="s">
        <v>5046</v>
      </c>
      <c r="D1273" t="s">
        <v>2967</v>
      </c>
      <c r="E1273" t="s">
        <v>1298</v>
      </c>
      <c r="F1273" t="s">
        <v>5184</v>
      </c>
      <c r="G1273" t="s">
        <v>6646</v>
      </c>
      <c r="H1273">
        <v>0</v>
      </c>
      <c r="I1273">
        <v>0</v>
      </c>
    </row>
    <row r="1274" spans="1:9" x14ac:dyDescent="0.25">
      <c r="A1274" t="s">
        <v>5185</v>
      </c>
      <c r="B1274" t="s">
        <v>5186</v>
      </c>
      <c r="C1274" t="s">
        <v>5046</v>
      </c>
      <c r="D1274" t="s">
        <v>2967</v>
      </c>
      <c r="E1274" t="s">
        <v>1298</v>
      </c>
      <c r="F1274" t="s">
        <v>5187</v>
      </c>
      <c r="G1274" t="s">
        <v>6647</v>
      </c>
      <c r="H1274">
        <v>0</v>
      </c>
      <c r="I1274">
        <v>0</v>
      </c>
    </row>
    <row r="1275" spans="1:9" x14ac:dyDescent="0.25">
      <c r="A1275" t="s">
        <v>5188</v>
      </c>
      <c r="B1275" t="s">
        <v>5189</v>
      </c>
      <c r="C1275" t="s">
        <v>5046</v>
      </c>
      <c r="D1275" t="s">
        <v>2967</v>
      </c>
      <c r="E1275" t="s">
        <v>1298</v>
      </c>
      <c r="F1275" t="s">
        <v>5190</v>
      </c>
      <c r="G1275" t="s">
        <v>6648</v>
      </c>
      <c r="H1275">
        <v>0</v>
      </c>
      <c r="I1275">
        <v>0</v>
      </c>
    </row>
    <row r="1276" spans="1:9" x14ac:dyDescent="0.25">
      <c r="A1276" t="s">
        <v>5191</v>
      </c>
      <c r="B1276" t="s">
        <v>5192</v>
      </c>
      <c r="C1276" t="s">
        <v>60</v>
      </c>
      <c r="D1276" t="s">
        <v>1297</v>
      </c>
      <c r="E1276" t="s">
        <v>1298</v>
      </c>
      <c r="F1276" t="s">
        <v>5193</v>
      </c>
      <c r="G1276" t="s">
        <v>6649</v>
      </c>
      <c r="H1276" t="s">
        <v>5194</v>
      </c>
      <c r="I1276">
        <v>0</v>
      </c>
    </row>
    <row r="1277" spans="1:9" x14ac:dyDescent="0.25">
      <c r="A1277" t="s">
        <v>5195</v>
      </c>
      <c r="B1277" t="s">
        <v>5196</v>
      </c>
      <c r="C1277" t="s">
        <v>60</v>
      </c>
      <c r="D1277" t="s">
        <v>1297</v>
      </c>
      <c r="E1277" t="s">
        <v>1298</v>
      </c>
      <c r="F1277" t="s">
        <v>5197</v>
      </c>
      <c r="G1277" t="s">
        <v>6650</v>
      </c>
      <c r="H1277" t="s">
        <v>5198</v>
      </c>
      <c r="I1277">
        <v>0</v>
      </c>
    </row>
    <row r="1278" spans="1:9" x14ac:dyDescent="0.25">
      <c r="A1278" t="s">
        <v>5199</v>
      </c>
      <c r="B1278" t="s">
        <v>5200</v>
      </c>
      <c r="C1278" t="s">
        <v>60</v>
      </c>
      <c r="D1278" t="s">
        <v>1297</v>
      </c>
      <c r="E1278" t="s">
        <v>1298</v>
      </c>
      <c r="F1278" t="s">
        <v>5201</v>
      </c>
      <c r="G1278" t="s">
        <v>6651</v>
      </c>
      <c r="H1278" t="s">
        <v>5198</v>
      </c>
      <c r="I1278">
        <v>0</v>
      </c>
    </row>
    <row r="1279" spans="1:9" x14ac:dyDescent="0.25">
      <c r="A1279" t="s">
        <v>5202</v>
      </c>
      <c r="B1279" t="s">
        <v>5203</v>
      </c>
      <c r="C1279" t="s">
        <v>60</v>
      </c>
      <c r="D1279" t="s">
        <v>1297</v>
      </c>
      <c r="E1279" t="s">
        <v>1298</v>
      </c>
      <c r="F1279" t="s">
        <v>5204</v>
      </c>
      <c r="G1279" t="s">
        <v>6652</v>
      </c>
      <c r="H1279">
        <v>0</v>
      </c>
      <c r="I1279">
        <v>0</v>
      </c>
    </row>
    <row r="1280" spans="1:9" x14ac:dyDescent="0.25">
      <c r="A1280" t="s">
        <v>5205</v>
      </c>
      <c r="B1280" t="s">
        <v>5206</v>
      </c>
      <c r="C1280" t="s">
        <v>60</v>
      </c>
      <c r="D1280" t="s">
        <v>1297</v>
      </c>
      <c r="E1280" t="s">
        <v>1298</v>
      </c>
      <c r="F1280" t="s">
        <v>5207</v>
      </c>
      <c r="G1280" t="s">
        <v>6653</v>
      </c>
      <c r="H1280">
        <v>0</v>
      </c>
      <c r="I1280">
        <v>0</v>
      </c>
    </row>
    <row r="1281" spans="1:9" x14ac:dyDescent="0.25">
      <c r="A1281" t="s">
        <v>5208</v>
      </c>
      <c r="B1281" t="s">
        <v>5209</v>
      </c>
      <c r="C1281" t="s">
        <v>60</v>
      </c>
      <c r="D1281" t="s">
        <v>1297</v>
      </c>
      <c r="E1281" t="s">
        <v>1298</v>
      </c>
      <c r="F1281" t="s">
        <v>5210</v>
      </c>
      <c r="G1281" t="s">
        <v>6654</v>
      </c>
      <c r="H1281">
        <v>0</v>
      </c>
      <c r="I1281">
        <v>0</v>
      </c>
    </row>
    <row r="1282" spans="1:9" x14ac:dyDescent="0.25">
      <c r="A1282" t="s">
        <v>5211</v>
      </c>
      <c r="B1282" t="s">
        <v>5212</v>
      </c>
      <c r="C1282" t="s">
        <v>60</v>
      </c>
      <c r="D1282" t="s">
        <v>1297</v>
      </c>
      <c r="E1282" t="s">
        <v>1298</v>
      </c>
      <c r="F1282" t="s">
        <v>5213</v>
      </c>
      <c r="G1282" t="s">
        <v>6655</v>
      </c>
      <c r="H1282">
        <v>0</v>
      </c>
      <c r="I1282">
        <v>0</v>
      </c>
    </row>
    <row r="1283" spans="1:9" x14ac:dyDescent="0.25">
      <c r="A1283" t="s">
        <v>5214</v>
      </c>
      <c r="B1283" t="s">
        <v>5215</v>
      </c>
      <c r="C1283" t="s">
        <v>60</v>
      </c>
      <c r="D1283" t="s">
        <v>1297</v>
      </c>
      <c r="E1283" t="s">
        <v>1298</v>
      </c>
      <c r="F1283" t="s">
        <v>5216</v>
      </c>
      <c r="G1283" t="s">
        <v>6656</v>
      </c>
      <c r="H1283">
        <v>0</v>
      </c>
      <c r="I1283">
        <v>0</v>
      </c>
    </row>
    <row r="1284" spans="1:9" x14ac:dyDescent="0.25">
      <c r="A1284" t="s">
        <v>5217</v>
      </c>
      <c r="B1284" t="s">
        <v>5218</v>
      </c>
      <c r="C1284" t="s">
        <v>60</v>
      </c>
      <c r="D1284" t="s">
        <v>1297</v>
      </c>
      <c r="E1284" t="s">
        <v>1298</v>
      </c>
      <c r="F1284" t="s">
        <v>5219</v>
      </c>
      <c r="G1284" t="s">
        <v>6657</v>
      </c>
      <c r="H1284">
        <v>0</v>
      </c>
      <c r="I1284">
        <v>0</v>
      </c>
    </row>
    <row r="1285" spans="1:9" x14ac:dyDescent="0.25">
      <c r="A1285" t="s">
        <v>5220</v>
      </c>
      <c r="B1285" t="s">
        <v>5221</v>
      </c>
      <c r="C1285" t="s">
        <v>60</v>
      </c>
      <c r="D1285" t="s">
        <v>1297</v>
      </c>
      <c r="E1285" t="s">
        <v>1298</v>
      </c>
      <c r="F1285" t="s">
        <v>5222</v>
      </c>
      <c r="G1285" t="s">
        <v>6658</v>
      </c>
      <c r="H1285">
        <v>0</v>
      </c>
      <c r="I1285">
        <v>0</v>
      </c>
    </row>
    <row r="1286" spans="1:9" x14ac:dyDescent="0.25">
      <c r="A1286" t="s">
        <v>5223</v>
      </c>
      <c r="B1286" t="s">
        <v>5224</v>
      </c>
      <c r="C1286" t="s">
        <v>60</v>
      </c>
      <c r="D1286" t="s">
        <v>1297</v>
      </c>
      <c r="E1286" t="s">
        <v>1298</v>
      </c>
      <c r="F1286" t="s">
        <v>5225</v>
      </c>
      <c r="G1286" t="s">
        <v>6659</v>
      </c>
      <c r="H1286">
        <v>0</v>
      </c>
      <c r="I1286">
        <v>0</v>
      </c>
    </row>
    <row r="1287" spans="1:9" x14ac:dyDescent="0.25">
      <c r="A1287" t="s">
        <v>5226</v>
      </c>
      <c r="B1287" t="s">
        <v>5227</v>
      </c>
      <c r="C1287" t="s">
        <v>60</v>
      </c>
      <c r="D1287" t="s">
        <v>1297</v>
      </c>
      <c r="E1287" t="s">
        <v>1298</v>
      </c>
      <c r="F1287" t="s">
        <v>5228</v>
      </c>
      <c r="G1287" t="s">
        <v>6660</v>
      </c>
      <c r="H1287">
        <v>0</v>
      </c>
      <c r="I1287">
        <v>0</v>
      </c>
    </row>
    <row r="1288" spans="1:9" x14ac:dyDescent="0.25">
      <c r="A1288" t="s">
        <v>5229</v>
      </c>
      <c r="B1288" t="s">
        <v>5230</v>
      </c>
      <c r="C1288" t="s">
        <v>60</v>
      </c>
      <c r="D1288" t="s">
        <v>1297</v>
      </c>
      <c r="E1288" t="s">
        <v>1298</v>
      </c>
      <c r="F1288" t="s">
        <v>5231</v>
      </c>
      <c r="G1288" t="s">
        <v>6661</v>
      </c>
      <c r="H1288">
        <v>0</v>
      </c>
      <c r="I1288">
        <v>0</v>
      </c>
    </row>
    <row r="1289" spans="1:9" x14ac:dyDescent="0.25">
      <c r="A1289" t="s">
        <v>5232</v>
      </c>
      <c r="B1289" t="s">
        <v>5233</v>
      </c>
      <c r="C1289" t="s">
        <v>60</v>
      </c>
      <c r="D1289" t="s">
        <v>1297</v>
      </c>
      <c r="E1289" t="s">
        <v>1298</v>
      </c>
      <c r="F1289" t="s">
        <v>5234</v>
      </c>
      <c r="G1289" t="s">
        <v>6662</v>
      </c>
      <c r="H1289">
        <v>0</v>
      </c>
      <c r="I1289">
        <v>0</v>
      </c>
    </row>
    <row r="1290" spans="1:9" x14ac:dyDescent="0.25">
      <c r="A1290" t="s">
        <v>5235</v>
      </c>
      <c r="B1290" t="s">
        <v>5236</v>
      </c>
      <c r="C1290" t="s">
        <v>60</v>
      </c>
      <c r="D1290" t="s">
        <v>1297</v>
      </c>
      <c r="E1290" t="s">
        <v>1298</v>
      </c>
      <c r="F1290" t="s">
        <v>5237</v>
      </c>
      <c r="G1290" t="s">
        <v>6663</v>
      </c>
      <c r="H1290" t="s">
        <v>5198</v>
      </c>
      <c r="I1290">
        <v>0</v>
      </c>
    </row>
    <row r="1291" spans="1:9" x14ac:dyDescent="0.25">
      <c r="A1291" t="s">
        <v>5238</v>
      </c>
      <c r="B1291" t="s">
        <v>5239</v>
      </c>
      <c r="C1291" t="s">
        <v>60</v>
      </c>
      <c r="D1291" t="s">
        <v>1297</v>
      </c>
      <c r="E1291" t="s">
        <v>1298</v>
      </c>
      <c r="F1291" t="s">
        <v>5240</v>
      </c>
      <c r="G1291" t="s">
        <v>6664</v>
      </c>
      <c r="H1291" t="s">
        <v>5194</v>
      </c>
      <c r="I1291">
        <v>0</v>
      </c>
    </row>
    <row r="1292" spans="1:9" x14ac:dyDescent="0.25">
      <c r="A1292" t="s">
        <v>5241</v>
      </c>
      <c r="B1292" t="s">
        <v>5242</v>
      </c>
      <c r="C1292" t="s">
        <v>60</v>
      </c>
      <c r="D1292" t="s">
        <v>1297</v>
      </c>
      <c r="E1292" t="s">
        <v>1298</v>
      </c>
      <c r="F1292" t="s">
        <v>5243</v>
      </c>
      <c r="G1292" t="s">
        <v>6665</v>
      </c>
      <c r="H1292">
        <v>0</v>
      </c>
      <c r="I1292">
        <v>0</v>
      </c>
    </row>
    <row r="1293" spans="1:9" x14ac:dyDescent="0.25">
      <c r="A1293" t="s">
        <v>5244</v>
      </c>
      <c r="B1293" t="s">
        <v>5245</v>
      </c>
      <c r="C1293" t="s">
        <v>60</v>
      </c>
      <c r="D1293" t="s">
        <v>1297</v>
      </c>
      <c r="E1293" t="s">
        <v>1298</v>
      </c>
      <c r="F1293" t="s">
        <v>5246</v>
      </c>
      <c r="G1293" t="s">
        <v>6666</v>
      </c>
      <c r="H1293" t="s">
        <v>5194</v>
      </c>
      <c r="I1293">
        <v>0</v>
      </c>
    </row>
    <row r="1294" spans="1:9" x14ac:dyDescent="0.25">
      <c r="A1294" t="s">
        <v>5247</v>
      </c>
      <c r="B1294" t="s">
        <v>5248</v>
      </c>
      <c r="C1294" t="s">
        <v>60</v>
      </c>
      <c r="D1294" t="s">
        <v>1297</v>
      </c>
      <c r="E1294" t="s">
        <v>1298</v>
      </c>
      <c r="F1294" t="s">
        <v>5249</v>
      </c>
      <c r="G1294" t="s">
        <v>6667</v>
      </c>
      <c r="H1294" t="s">
        <v>5194</v>
      </c>
      <c r="I1294">
        <v>0</v>
      </c>
    </row>
    <row r="1295" spans="1:9" x14ac:dyDescent="0.25">
      <c r="A1295" t="s">
        <v>5250</v>
      </c>
      <c r="B1295" t="s">
        <v>5251</v>
      </c>
      <c r="C1295" t="s">
        <v>60</v>
      </c>
      <c r="D1295" t="s">
        <v>1297</v>
      </c>
      <c r="E1295" t="s">
        <v>1298</v>
      </c>
      <c r="F1295" t="s">
        <v>5252</v>
      </c>
      <c r="G1295" t="s">
        <v>6668</v>
      </c>
      <c r="H1295">
        <v>0</v>
      </c>
      <c r="I1295">
        <v>0</v>
      </c>
    </row>
    <row r="1296" spans="1:9" x14ac:dyDescent="0.25">
      <c r="A1296" t="s">
        <v>5253</v>
      </c>
      <c r="B1296" t="s">
        <v>5254</v>
      </c>
      <c r="C1296" t="s">
        <v>60</v>
      </c>
      <c r="D1296" t="s">
        <v>1297</v>
      </c>
      <c r="E1296" t="s">
        <v>1298</v>
      </c>
      <c r="F1296" t="s">
        <v>5255</v>
      </c>
      <c r="G1296" t="s">
        <v>6669</v>
      </c>
      <c r="H1296" t="s">
        <v>5198</v>
      </c>
      <c r="I1296">
        <v>0</v>
      </c>
    </row>
    <row r="1297" spans="1:9" x14ac:dyDescent="0.25">
      <c r="A1297" t="s">
        <v>5256</v>
      </c>
      <c r="B1297" t="s">
        <v>5257</v>
      </c>
      <c r="C1297" t="s">
        <v>60</v>
      </c>
      <c r="D1297" t="s">
        <v>1297</v>
      </c>
      <c r="E1297" t="s">
        <v>1298</v>
      </c>
      <c r="F1297" t="s">
        <v>5258</v>
      </c>
      <c r="G1297" t="s">
        <v>6670</v>
      </c>
      <c r="H1297" t="s">
        <v>5198</v>
      </c>
      <c r="I1297">
        <v>0</v>
      </c>
    </row>
    <row r="1298" spans="1:9" x14ac:dyDescent="0.25">
      <c r="A1298" t="s">
        <v>5259</v>
      </c>
      <c r="B1298" t="s">
        <v>5260</v>
      </c>
      <c r="C1298" t="s">
        <v>60</v>
      </c>
      <c r="D1298" t="s">
        <v>1297</v>
      </c>
      <c r="E1298" t="s">
        <v>1298</v>
      </c>
      <c r="F1298" t="s">
        <v>5261</v>
      </c>
      <c r="G1298" t="s">
        <v>6671</v>
      </c>
      <c r="H1298" t="s">
        <v>5198</v>
      </c>
      <c r="I1298">
        <v>0</v>
      </c>
    </row>
    <row r="1299" spans="1:9" x14ac:dyDescent="0.25">
      <c r="A1299" t="s">
        <v>5262</v>
      </c>
      <c r="B1299" t="s">
        <v>5263</v>
      </c>
      <c r="C1299" t="s">
        <v>60</v>
      </c>
      <c r="D1299" t="s">
        <v>1297</v>
      </c>
      <c r="E1299" t="s">
        <v>1298</v>
      </c>
      <c r="F1299" t="s">
        <v>5264</v>
      </c>
      <c r="G1299" t="s">
        <v>6672</v>
      </c>
      <c r="H1299" t="s">
        <v>5198</v>
      </c>
      <c r="I1299">
        <v>0</v>
      </c>
    </row>
    <row r="1300" spans="1:9" x14ac:dyDescent="0.25">
      <c r="A1300" t="s">
        <v>5265</v>
      </c>
      <c r="B1300" t="s">
        <v>5266</v>
      </c>
      <c r="C1300" t="s">
        <v>60</v>
      </c>
      <c r="D1300" t="s">
        <v>1297</v>
      </c>
      <c r="E1300" t="s">
        <v>1298</v>
      </c>
      <c r="F1300" t="s">
        <v>5267</v>
      </c>
      <c r="G1300" t="s">
        <v>6673</v>
      </c>
      <c r="H1300" t="s">
        <v>5194</v>
      </c>
      <c r="I1300">
        <v>0</v>
      </c>
    </row>
    <row r="1302" spans="1:9" x14ac:dyDescent="0.25">
      <c r="A1302" t="s">
        <v>3103</v>
      </c>
      <c r="B1302" t="s">
        <v>6039</v>
      </c>
      <c r="C1302" t="s">
        <v>3042</v>
      </c>
      <c r="D1302" t="s">
        <v>41</v>
      </c>
      <c r="E1302" t="s">
        <v>1349</v>
      </c>
      <c r="F1302" t="s">
        <v>3103</v>
      </c>
      <c r="G1302" t="s">
        <v>6039</v>
      </c>
      <c r="H1302" t="s">
        <v>3104</v>
      </c>
    </row>
    <row r="1303" spans="1:9" x14ac:dyDescent="0.25">
      <c r="A1303" t="s">
        <v>3050</v>
      </c>
      <c r="B1303" t="s">
        <v>6028</v>
      </c>
      <c r="C1303" t="s">
        <v>3042</v>
      </c>
      <c r="D1303" t="s">
        <v>41</v>
      </c>
      <c r="E1303" t="s">
        <v>1349</v>
      </c>
      <c r="F1303" t="s">
        <v>3050</v>
      </c>
      <c r="G1303" t="s">
        <v>6028</v>
      </c>
      <c r="H1303" t="s">
        <v>3051</v>
      </c>
    </row>
    <row r="1304" spans="1:9" x14ac:dyDescent="0.25">
      <c r="A1304" t="s">
        <v>3060</v>
      </c>
      <c r="B1304" t="s">
        <v>6030</v>
      </c>
      <c r="C1304" t="s">
        <v>3042</v>
      </c>
      <c r="D1304" t="s">
        <v>41</v>
      </c>
      <c r="E1304" t="s">
        <v>1349</v>
      </c>
      <c r="F1304" t="s">
        <v>3060</v>
      </c>
      <c r="G1304" t="s">
        <v>6030</v>
      </c>
      <c r="H1304" t="s">
        <v>3061</v>
      </c>
    </row>
    <row r="1305" spans="1:9" x14ac:dyDescent="0.25">
      <c r="A1305" t="s">
        <v>3043</v>
      </c>
      <c r="B1305" t="s">
        <v>6026</v>
      </c>
      <c r="C1305" t="s">
        <v>3042</v>
      </c>
      <c r="D1305" t="s">
        <v>41</v>
      </c>
      <c r="E1305" t="s">
        <v>1349</v>
      </c>
      <c r="F1305" t="s">
        <v>3043</v>
      </c>
      <c r="G1305" t="s">
        <v>6026</v>
      </c>
      <c r="H1305" t="s">
        <v>91</v>
      </c>
    </row>
    <row r="1306" spans="1:9" x14ac:dyDescent="0.25">
      <c r="A1306" t="s">
        <v>3079</v>
      </c>
      <c r="B1306" t="s">
        <v>6035</v>
      </c>
      <c r="C1306" t="s">
        <v>3042</v>
      </c>
      <c r="D1306" t="s">
        <v>41</v>
      </c>
      <c r="E1306" t="s">
        <v>1349</v>
      </c>
      <c r="F1306" t="s">
        <v>3079</v>
      </c>
      <c r="G1306" t="s">
        <v>6035</v>
      </c>
      <c r="H1306" t="s">
        <v>75</v>
      </c>
    </row>
    <row r="1307" spans="1:9" x14ac:dyDescent="0.25">
      <c r="A1307" t="s">
        <v>4174</v>
      </c>
      <c r="B1307" t="s">
        <v>6362</v>
      </c>
      <c r="C1307" t="s">
        <v>3042</v>
      </c>
      <c r="D1307" t="s">
        <v>41</v>
      </c>
      <c r="E1307" t="s">
        <v>1349</v>
      </c>
      <c r="F1307" t="s">
        <v>4174</v>
      </c>
      <c r="G1307" t="s">
        <v>6362</v>
      </c>
      <c r="H1307" t="s">
        <v>74</v>
      </c>
    </row>
    <row r="1308" spans="1:9" x14ac:dyDescent="0.25">
      <c r="A1308" t="s">
        <v>3084</v>
      </c>
      <c r="B1308" t="s">
        <v>6036</v>
      </c>
      <c r="C1308" t="s">
        <v>3042</v>
      </c>
      <c r="D1308" t="s">
        <v>41</v>
      </c>
      <c r="E1308" t="s">
        <v>1349</v>
      </c>
      <c r="F1308" t="s">
        <v>3084</v>
      </c>
      <c r="G1308" t="s">
        <v>6036</v>
      </c>
      <c r="H1308" t="s">
        <v>3085</v>
      </c>
    </row>
    <row r="1309" spans="1:9" x14ac:dyDescent="0.25">
      <c r="A1309" t="s">
        <v>3056</v>
      </c>
      <c r="B1309" t="s">
        <v>6029</v>
      </c>
      <c r="C1309" t="s">
        <v>3042</v>
      </c>
      <c r="D1309" t="s">
        <v>41</v>
      </c>
      <c r="E1309" t="s">
        <v>1349</v>
      </c>
      <c r="F1309" t="s">
        <v>3056</v>
      </c>
      <c r="G1309" t="s">
        <v>6029</v>
      </c>
      <c r="H1309" t="s">
        <v>3057</v>
      </c>
    </row>
    <row r="1310" spans="1:9" x14ac:dyDescent="0.25">
      <c r="A1310" t="s">
        <v>3072</v>
      </c>
      <c r="B1310" t="s">
        <v>6033</v>
      </c>
      <c r="C1310" t="s">
        <v>3042</v>
      </c>
      <c r="D1310" t="s">
        <v>41</v>
      </c>
      <c r="E1310" t="s">
        <v>1349</v>
      </c>
      <c r="F1310" t="s">
        <v>3072</v>
      </c>
      <c r="G1310" t="s">
        <v>6033</v>
      </c>
      <c r="H1310" t="s">
        <v>79</v>
      </c>
    </row>
    <row r="1311" spans="1:9" x14ac:dyDescent="0.25">
      <c r="A1311" t="s">
        <v>3075</v>
      </c>
      <c r="B1311" t="s">
        <v>6034</v>
      </c>
      <c r="C1311" t="s">
        <v>3042</v>
      </c>
      <c r="D1311" t="s">
        <v>41</v>
      </c>
      <c r="E1311" t="s">
        <v>1349</v>
      </c>
      <c r="F1311" t="s">
        <v>3075</v>
      </c>
      <c r="G1311" t="s">
        <v>6034</v>
      </c>
      <c r="H1311" t="s">
        <v>3076</v>
      </c>
    </row>
    <row r="1312" spans="1:9" x14ac:dyDescent="0.25">
      <c r="A1312" t="s">
        <v>3047</v>
      </c>
      <c r="B1312" t="s">
        <v>6027</v>
      </c>
      <c r="C1312" t="s">
        <v>3042</v>
      </c>
      <c r="D1312" t="s">
        <v>41</v>
      </c>
      <c r="E1312" t="s">
        <v>1349</v>
      </c>
      <c r="F1312" t="s">
        <v>3047</v>
      </c>
      <c r="G1312" t="s">
        <v>6027</v>
      </c>
      <c r="H1312" t="s">
        <v>88</v>
      </c>
    </row>
    <row r="1313" spans="1:8" x14ac:dyDescent="0.25">
      <c r="A1313" t="s">
        <v>3098</v>
      </c>
      <c r="B1313" t="s">
        <v>6038</v>
      </c>
      <c r="C1313" t="s">
        <v>3042</v>
      </c>
      <c r="D1313" t="s">
        <v>41</v>
      </c>
      <c r="E1313" t="s">
        <v>1349</v>
      </c>
      <c r="F1313" t="s">
        <v>3098</v>
      </c>
      <c r="G1313" t="s">
        <v>6038</v>
      </c>
      <c r="H1313" t="s">
        <v>81</v>
      </c>
    </row>
    <row r="1314" spans="1:8" x14ac:dyDescent="0.25">
      <c r="A1314" t="s">
        <v>3064</v>
      </c>
      <c r="B1314" t="s">
        <v>6031</v>
      </c>
      <c r="C1314" t="s">
        <v>3042</v>
      </c>
      <c r="D1314" t="s">
        <v>41</v>
      </c>
      <c r="E1314" t="s">
        <v>1349</v>
      </c>
      <c r="F1314" t="s">
        <v>3064</v>
      </c>
      <c r="G1314" t="s">
        <v>6031</v>
      </c>
      <c r="H1314" t="s">
        <v>82</v>
      </c>
    </row>
    <row r="1316" spans="1:8" x14ac:dyDescent="0.25">
      <c r="A1316" t="s">
        <v>4110</v>
      </c>
      <c r="B1316" t="s">
        <v>6352</v>
      </c>
      <c r="C1316" t="s">
        <v>3067</v>
      </c>
      <c r="D1316" t="s">
        <v>41</v>
      </c>
      <c r="E1316" t="s">
        <v>1349</v>
      </c>
      <c r="F1316" t="s">
        <v>4110</v>
      </c>
      <c r="G1316" t="s">
        <v>6352</v>
      </c>
      <c r="H1316" t="s">
        <v>6674</v>
      </c>
    </row>
    <row r="1317" spans="1:8" x14ac:dyDescent="0.25">
      <c r="A1317" t="s">
        <v>4125</v>
      </c>
      <c r="B1317" t="s">
        <v>6356</v>
      </c>
      <c r="C1317" t="s">
        <v>3067</v>
      </c>
      <c r="D1317" t="s">
        <v>41</v>
      </c>
      <c r="E1317" t="s">
        <v>1349</v>
      </c>
      <c r="F1317" t="s">
        <v>4125</v>
      </c>
      <c r="G1317" t="s">
        <v>6356</v>
      </c>
      <c r="H1317" t="s">
        <v>4126</v>
      </c>
    </row>
    <row r="1318" spans="1:8" x14ac:dyDescent="0.25">
      <c r="A1318" t="s">
        <v>4129</v>
      </c>
      <c r="B1318" t="s">
        <v>6357</v>
      </c>
      <c r="C1318" t="s">
        <v>3067</v>
      </c>
      <c r="D1318" t="s">
        <v>41</v>
      </c>
      <c r="E1318" t="s">
        <v>1349</v>
      </c>
      <c r="F1318" t="s">
        <v>4129</v>
      </c>
      <c r="G1318" t="s">
        <v>6357</v>
      </c>
      <c r="H1318" t="s">
        <v>575</v>
      </c>
    </row>
    <row r="1319" spans="1:8" x14ac:dyDescent="0.25">
      <c r="A1319" t="s">
        <v>4141</v>
      </c>
      <c r="B1319" t="s">
        <v>6359</v>
      </c>
      <c r="C1319" t="s">
        <v>3067</v>
      </c>
      <c r="D1319" t="s">
        <v>41</v>
      </c>
      <c r="E1319" t="s">
        <v>1349</v>
      </c>
      <c r="F1319" t="s">
        <v>4141</v>
      </c>
      <c r="G1319" t="s">
        <v>6359</v>
      </c>
      <c r="H1319" t="s">
        <v>4142</v>
      </c>
    </row>
    <row r="1320" spans="1:8" x14ac:dyDescent="0.25">
      <c r="A1320" t="s">
        <v>4161</v>
      </c>
      <c r="B1320" t="s">
        <v>6361</v>
      </c>
      <c r="C1320" t="s">
        <v>3067</v>
      </c>
      <c r="D1320" t="s">
        <v>41</v>
      </c>
      <c r="E1320" t="s">
        <v>1349</v>
      </c>
      <c r="F1320" t="s">
        <v>4161</v>
      </c>
      <c r="G1320" t="s">
        <v>6361</v>
      </c>
      <c r="H1320" t="s">
        <v>786</v>
      </c>
    </row>
    <row r="1321" spans="1:8" x14ac:dyDescent="0.25">
      <c r="A1321" t="s">
        <v>4118</v>
      </c>
      <c r="B1321" t="s">
        <v>6354</v>
      </c>
      <c r="C1321" t="s">
        <v>3067</v>
      </c>
      <c r="D1321" t="s">
        <v>41</v>
      </c>
      <c r="E1321" t="s">
        <v>1349</v>
      </c>
      <c r="F1321" t="s">
        <v>4118</v>
      </c>
      <c r="G1321" t="s">
        <v>6354</v>
      </c>
      <c r="H1321" t="s">
        <v>525</v>
      </c>
    </row>
    <row r="1322" spans="1:8" x14ac:dyDescent="0.25">
      <c r="A1322" t="s">
        <v>4107</v>
      </c>
      <c r="B1322" t="s">
        <v>6351</v>
      </c>
      <c r="C1322" t="s">
        <v>3067</v>
      </c>
      <c r="D1322" t="s">
        <v>41</v>
      </c>
      <c r="E1322" t="s">
        <v>1349</v>
      </c>
      <c r="F1322" t="s">
        <v>4107</v>
      </c>
      <c r="G1322" t="s">
        <v>6351</v>
      </c>
      <c r="H1322" t="s">
        <v>784</v>
      </c>
    </row>
    <row r="1323" spans="1:8" x14ac:dyDescent="0.25">
      <c r="A1323" t="s">
        <v>4121</v>
      </c>
      <c r="B1323" t="s">
        <v>6355</v>
      </c>
      <c r="C1323" t="s">
        <v>3067</v>
      </c>
      <c r="D1323" t="s">
        <v>41</v>
      </c>
      <c r="E1323" t="s">
        <v>1349</v>
      </c>
      <c r="F1323" t="s">
        <v>4121</v>
      </c>
      <c r="G1323" t="s">
        <v>6355</v>
      </c>
      <c r="H1323" t="s">
        <v>576</v>
      </c>
    </row>
    <row r="1324" spans="1:8" x14ac:dyDescent="0.25">
      <c r="A1324" t="s">
        <v>4233</v>
      </c>
      <c r="B1324" t="s">
        <v>6369</v>
      </c>
      <c r="C1324" t="s">
        <v>3067</v>
      </c>
      <c r="D1324" t="s">
        <v>41</v>
      </c>
      <c r="E1324" t="s">
        <v>1349</v>
      </c>
      <c r="F1324" t="s">
        <v>4233</v>
      </c>
      <c r="G1324" t="s">
        <v>6369</v>
      </c>
      <c r="H1324" t="s">
        <v>4234</v>
      </c>
    </row>
    <row r="1325" spans="1:8" x14ac:dyDescent="0.25">
      <c r="A1325" t="s">
        <v>4148</v>
      </c>
      <c r="B1325" t="s">
        <v>6360</v>
      </c>
      <c r="C1325" t="s">
        <v>3067</v>
      </c>
      <c r="D1325" t="s">
        <v>41</v>
      </c>
      <c r="E1325" t="s">
        <v>1349</v>
      </c>
      <c r="F1325" t="s">
        <v>4148</v>
      </c>
      <c r="G1325" t="s">
        <v>6360</v>
      </c>
      <c r="H1325" t="s">
        <v>115</v>
      </c>
    </row>
    <row r="1326" spans="1:8" x14ac:dyDescent="0.25">
      <c r="A1326" t="s">
        <v>4133</v>
      </c>
      <c r="B1326" t="s">
        <v>6358</v>
      </c>
      <c r="C1326" t="s">
        <v>3067</v>
      </c>
      <c r="D1326" t="s">
        <v>41</v>
      </c>
      <c r="E1326" t="s">
        <v>1349</v>
      </c>
      <c r="F1326" t="s">
        <v>4133</v>
      </c>
      <c r="G1326" t="s">
        <v>6358</v>
      </c>
      <c r="H1326" t="s">
        <v>4134</v>
      </c>
    </row>
    <row r="1327" spans="1:8" x14ac:dyDescent="0.25">
      <c r="A1327" t="s">
        <v>4180</v>
      </c>
      <c r="B1327" t="s">
        <v>6364</v>
      </c>
      <c r="C1327" t="s">
        <v>3067</v>
      </c>
      <c r="D1327" t="s">
        <v>41</v>
      </c>
      <c r="E1327" t="s">
        <v>1349</v>
      </c>
      <c r="F1327" t="s">
        <v>4180</v>
      </c>
      <c r="G1327" t="s">
        <v>6364</v>
      </c>
      <c r="H1327" t="s">
        <v>4181</v>
      </c>
    </row>
    <row r="1328" spans="1:8" x14ac:dyDescent="0.25">
      <c r="A1328" t="s">
        <v>3090</v>
      </c>
      <c r="B1328" t="s">
        <v>6037</v>
      </c>
      <c r="C1328" t="s">
        <v>3067</v>
      </c>
      <c r="D1328" t="s">
        <v>41</v>
      </c>
      <c r="E1328" t="s">
        <v>1349</v>
      </c>
      <c r="F1328" t="s">
        <v>3090</v>
      </c>
      <c r="G1328" t="s">
        <v>6037</v>
      </c>
      <c r="H1328" t="s">
        <v>3091</v>
      </c>
    </row>
    <row r="1329" spans="1:9" x14ac:dyDescent="0.25">
      <c r="A1329" t="s">
        <v>4188</v>
      </c>
      <c r="B1329" t="s">
        <v>6365</v>
      </c>
      <c r="C1329" t="s">
        <v>3067</v>
      </c>
      <c r="D1329" t="s">
        <v>41</v>
      </c>
      <c r="E1329" t="s">
        <v>1349</v>
      </c>
      <c r="F1329" t="s">
        <v>4188</v>
      </c>
      <c r="G1329" t="s">
        <v>6365</v>
      </c>
      <c r="H1329" t="s">
        <v>6675</v>
      </c>
    </row>
    <row r="1330" spans="1:9" x14ac:dyDescent="0.25">
      <c r="A1330" t="s">
        <v>4177</v>
      </c>
      <c r="B1330" t="s">
        <v>6363</v>
      </c>
      <c r="C1330" t="s">
        <v>3067</v>
      </c>
      <c r="D1330" t="s">
        <v>41</v>
      </c>
      <c r="E1330" t="s">
        <v>1349</v>
      </c>
      <c r="F1330" t="s">
        <v>4177</v>
      </c>
      <c r="G1330" t="s">
        <v>6363</v>
      </c>
      <c r="H1330" t="s">
        <v>788</v>
      </c>
    </row>
    <row r="1331" spans="1:9" x14ac:dyDescent="0.25">
      <c r="A1331" t="s">
        <v>4191</v>
      </c>
      <c r="B1331" t="s">
        <v>6366</v>
      </c>
      <c r="C1331" t="s">
        <v>3067</v>
      </c>
      <c r="D1331" t="s">
        <v>41</v>
      </c>
      <c r="E1331" t="s">
        <v>1349</v>
      </c>
      <c r="F1331" t="s">
        <v>4191</v>
      </c>
      <c r="G1331" t="s">
        <v>6366</v>
      </c>
      <c r="H1331" t="s">
        <v>6676</v>
      </c>
    </row>
    <row r="1332" spans="1:9" x14ac:dyDescent="0.25">
      <c r="A1332" t="s">
        <v>3068</v>
      </c>
      <c r="B1332" t="s">
        <v>6032</v>
      </c>
      <c r="C1332" t="s">
        <v>3067</v>
      </c>
      <c r="D1332" t="s">
        <v>41</v>
      </c>
      <c r="E1332" t="s">
        <v>1349</v>
      </c>
      <c r="F1332" t="s">
        <v>3068</v>
      </c>
      <c r="G1332" t="s">
        <v>6032</v>
      </c>
      <c r="H1332" t="s">
        <v>6677</v>
      </c>
    </row>
    <row r="1333" spans="1:9" x14ac:dyDescent="0.25">
      <c r="A1333" t="s">
        <v>4114</v>
      </c>
      <c r="B1333" t="s">
        <v>6353</v>
      </c>
      <c r="C1333" t="s">
        <v>3067</v>
      </c>
      <c r="D1333" t="s">
        <v>41</v>
      </c>
      <c r="E1333" t="s">
        <v>1349</v>
      </c>
      <c r="F1333" t="s">
        <v>4114</v>
      </c>
      <c r="G1333" t="s">
        <v>6353</v>
      </c>
      <c r="H1333" t="s">
        <v>4115</v>
      </c>
    </row>
    <row r="1334" spans="1:9" x14ac:dyDescent="0.25">
      <c r="A1334" t="s">
        <v>4194</v>
      </c>
      <c r="B1334" t="s">
        <v>6367</v>
      </c>
      <c r="C1334" t="s">
        <v>3067</v>
      </c>
      <c r="D1334" t="s">
        <v>41</v>
      </c>
      <c r="E1334" t="s">
        <v>1349</v>
      </c>
      <c r="F1334" t="s">
        <v>4194</v>
      </c>
      <c r="G1334" t="s">
        <v>6367</v>
      </c>
      <c r="H1334" t="s">
        <v>4195</v>
      </c>
    </row>
    <row r="1335" spans="1:9" x14ac:dyDescent="0.25">
      <c r="A1335" t="s">
        <v>4202</v>
      </c>
      <c r="B1335" t="s">
        <v>6368</v>
      </c>
      <c r="C1335" t="s">
        <v>3067</v>
      </c>
      <c r="D1335" t="s">
        <v>41</v>
      </c>
      <c r="E1335" t="s">
        <v>1349</v>
      </c>
      <c r="F1335" t="s">
        <v>4202</v>
      </c>
      <c r="G1335" t="s">
        <v>6368</v>
      </c>
      <c r="H1335" t="s">
        <v>4203</v>
      </c>
    </row>
    <row r="1337" spans="1:9" x14ac:dyDescent="0.25">
      <c r="A1337" t="s">
        <v>4919</v>
      </c>
      <c r="B1337" t="s">
        <v>6571</v>
      </c>
      <c r="C1337" t="s">
        <v>2766</v>
      </c>
      <c r="D1337" t="s">
        <v>2766</v>
      </c>
      <c r="E1337" t="s">
        <v>1298</v>
      </c>
      <c r="F1337" t="s">
        <v>4919</v>
      </c>
      <c r="G1337" t="s">
        <v>6571</v>
      </c>
      <c r="H1337" t="s">
        <v>120</v>
      </c>
    </row>
    <row r="1338" spans="1:9" x14ac:dyDescent="0.25">
      <c r="A1338" t="s">
        <v>4941</v>
      </c>
      <c r="B1338" t="s">
        <v>6575</v>
      </c>
      <c r="C1338" t="s">
        <v>2766</v>
      </c>
      <c r="D1338" t="s">
        <v>2766</v>
      </c>
      <c r="E1338" t="s">
        <v>1298</v>
      </c>
      <c r="F1338" t="s">
        <v>4941</v>
      </c>
      <c r="G1338" t="s">
        <v>6575</v>
      </c>
      <c r="H1338" t="s">
        <v>164</v>
      </c>
    </row>
    <row r="1339" spans="1:9" x14ac:dyDescent="0.25">
      <c r="A1339" t="s">
        <v>4973</v>
      </c>
      <c r="B1339" t="s">
        <v>6582</v>
      </c>
      <c r="C1339" t="s">
        <v>2766</v>
      </c>
      <c r="D1339" t="s">
        <v>2766</v>
      </c>
      <c r="E1339" t="s">
        <v>1298</v>
      </c>
      <c r="F1339" t="s">
        <v>4973</v>
      </c>
      <c r="G1339" t="s">
        <v>6582</v>
      </c>
      <c r="H1339" t="s">
        <v>6678</v>
      </c>
    </row>
    <row r="1340" spans="1:9" x14ac:dyDescent="0.25">
      <c r="A1340" t="s">
        <v>4923</v>
      </c>
      <c r="B1340" t="s">
        <v>6572</v>
      </c>
      <c r="C1340" t="s">
        <v>2766</v>
      </c>
      <c r="D1340" t="s">
        <v>2766</v>
      </c>
      <c r="E1340" t="s">
        <v>1298</v>
      </c>
      <c r="F1340" t="s">
        <v>4923</v>
      </c>
      <c r="G1340" t="s">
        <v>6572</v>
      </c>
      <c r="H1340" t="s">
        <v>170</v>
      </c>
    </row>
    <row r="1341" spans="1:9" x14ac:dyDescent="0.25">
      <c r="A1341" t="s">
        <v>4915</v>
      </c>
      <c r="B1341" t="s">
        <v>6570</v>
      </c>
      <c r="C1341" t="s">
        <v>2766</v>
      </c>
      <c r="D1341" t="s">
        <v>2766</v>
      </c>
      <c r="E1341" t="s">
        <v>1298</v>
      </c>
      <c r="F1341" t="s">
        <v>4915</v>
      </c>
      <c r="G1341" t="s">
        <v>6570</v>
      </c>
      <c r="H1341" t="s">
        <v>164</v>
      </c>
    </row>
    <row r="1342" spans="1:9" x14ac:dyDescent="0.25">
      <c r="A1342" t="s">
        <v>4927</v>
      </c>
      <c r="B1342" t="s">
        <v>6573</v>
      </c>
      <c r="C1342" t="s">
        <v>2766</v>
      </c>
      <c r="D1342" t="s">
        <v>2766</v>
      </c>
      <c r="E1342" t="s">
        <v>1298</v>
      </c>
      <c r="F1342" t="s">
        <v>4927</v>
      </c>
      <c r="G1342" t="s">
        <v>6573</v>
      </c>
      <c r="H1342" t="s">
        <v>100</v>
      </c>
    </row>
    <row r="1343" spans="1:9" x14ac:dyDescent="0.25">
      <c r="A1343" t="s">
        <v>4938</v>
      </c>
      <c r="B1343" t="s">
        <v>6574</v>
      </c>
      <c r="C1343" t="s">
        <v>2766</v>
      </c>
      <c r="D1343" t="s">
        <v>2766</v>
      </c>
      <c r="E1343" t="s">
        <v>1298</v>
      </c>
      <c r="F1343" t="s">
        <v>4938</v>
      </c>
      <c r="G1343" t="s">
        <v>6574</v>
      </c>
      <c r="H1343" t="s">
        <v>114</v>
      </c>
    </row>
    <row r="1344" spans="1:9" x14ac:dyDescent="0.25">
      <c r="A1344" t="s">
        <v>4961</v>
      </c>
      <c r="B1344" t="s">
        <v>6579</v>
      </c>
      <c r="C1344" t="s">
        <v>2766</v>
      </c>
      <c r="D1344" t="s">
        <v>2766</v>
      </c>
      <c r="E1344" t="s">
        <v>1298</v>
      </c>
      <c r="F1344" t="s">
        <v>4961</v>
      </c>
      <c r="G1344" t="s">
        <v>6579</v>
      </c>
      <c r="H1344" t="s">
        <v>1091</v>
      </c>
      <c r="I1344" t="s">
        <v>6679</v>
      </c>
    </row>
    <row r="1345" spans="1:8" x14ac:dyDescent="0.25">
      <c r="A1345" t="s">
        <v>4968</v>
      </c>
      <c r="B1345" t="s">
        <v>6581</v>
      </c>
      <c r="C1345" t="s">
        <v>2766</v>
      </c>
      <c r="D1345" t="s">
        <v>2766</v>
      </c>
      <c r="E1345" t="s">
        <v>1298</v>
      </c>
      <c r="F1345" t="s">
        <v>4968</v>
      </c>
      <c r="G1345" t="s">
        <v>6581</v>
      </c>
      <c r="H1345" t="s">
        <v>100</v>
      </c>
    </row>
    <row r="1346" spans="1:8" x14ac:dyDescent="0.25">
      <c r="A1346" t="s">
        <v>4949</v>
      </c>
      <c r="B1346" t="s">
        <v>6577</v>
      </c>
      <c r="C1346" t="s">
        <v>2766</v>
      </c>
      <c r="D1346" t="s">
        <v>2766</v>
      </c>
      <c r="E1346" t="s">
        <v>1298</v>
      </c>
      <c r="F1346" t="s">
        <v>4949</v>
      </c>
      <c r="G1346" t="s">
        <v>6577</v>
      </c>
      <c r="H1346" t="s">
        <v>1091</v>
      </c>
    </row>
    <row r="1347" spans="1:8" x14ac:dyDescent="0.25">
      <c r="A1347" t="s">
        <v>4952</v>
      </c>
      <c r="B1347" t="s">
        <v>6578</v>
      </c>
      <c r="C1347" t="s">
        <v>2766</v>
      </c>
      <c r="D1347" t="s">
        <v>2766</v>
      </c>
      <c r="E1347" t="s">
        <v>1298</v>
      </c>
      <c r="F1347" t="s">
        <v>4952</v>
      </c>
      <c r="G1347" t="s">
        <v>6578</v>
      </c>
      <c r="H1347" t="s">
        <v>6678</v>
      </c>
    </row>
    <row r="1348" spans="1:8" x14ac:dyDescent="0.25">
      <c r="A1348" t="s">
        <v>4946</v>
      </c>
      <c r="B1348" t="s">
        <v>6576</v>
      </c>
      <c r="C1348" t="s">
        <v>2766</v>
      </c>
      <c r="D1348" t="s">
        <v>2766</v>
      </c>
      <c r="E1348" t="s">
        <v>1298</v>
      </c>
      <c r="F1348" t="s">
        <v>4946</v>
      </c>
      <c r="G1348" t="s">
        <v>6576</v>
      </c>
      <c r="H1348" t="s">
        <v>120</v>
      </c>
    </row>
    <row r="1349" spans="1:8" x14ac:dyDescent="0.25">
      <c r="A1349" t="s">
        <v>4965</v>
      </c>
      <c r="B1349" t="s">
        <v>6580</v>
      </c>
      <c r="C1349" t="s">
        <v>2766</v>
      </c>
      <c r="D1349" t="s">
        <v>2766</v>
      </c>
      <c r="E1349" t="s">
        <v>1298</v>
      </c>
      <c r="F1349" t="s">
        <v>4965</v>
      </c>
      <c r="G1349" t="s">
        <v>6580</v>
      </c>
      <c r="H1349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8246D3F7C2B47A494A339FDF5CC4A" ma:contentTypeVersion="18" ma:contentTypeDescription="Create a new document." ma:contentTypeScope="" ma:versionID="0ce096518759c6da43d5eeaaf714cf61">
  <xsd:schema xmlns:xsd="http://www.w3.org/2001/XMLSchema" xmlns:xs="http://www.w3.org/2001/XMLSchema" xmlns:p="http://schemas.microsoft.com/office/2006/metadata/properties" xmlns:ns2="7a436561-34c6-48a8-833e-99c650fd3fe3" xmlns:ns3="25475540-9773-43a3-8df6-094be5ca1716" targetNamespace="http://schemas.microsoft.com/office/2006/metadata/properties" ma:root="true" ma:fieldsID="836b862547399ebb80cc78f9563635b2" ns2:_="" ns3:_="">
    <xsd:import namespace="7a436561-34c6-48a8-833e-99c650fd3fe3"/>
    <xsd:import namespace="25475540-9773-43a3-8df6-094be5ca1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36561-34c6-48a8-833e-99c650fd3f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321298-61a5-4500-88b3-c95152561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75540-9773-43a3-8df6-094be5ca17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a071af-2787-4fad-b13c-c768b2278048}" ma:internalName="TaxCatchAll" ma:showField="CatchAllData" ma:web="25475540-9773-43a3-8df6-094be5ca1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332C3A-F71B-4666-947B-F841ADA00A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22E32C-2E1D-43C2-A26B-ADEA3AB00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436561-34c6-48a8-833e-99c650fd3fe3"/>
    <ds:schemaRef ds:uri="25475540-9773-43a3-8df6-094be5ca1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Poundage_63-64_London_62</vt:lpstr>
      <vt:lpstr>Poundage_63-64_County_Boroug_62</vt:lpstr>
      <vt:lpstr>1963-64 PI Table 6(III)</vt:lpstr>
      <vt:lpstr>RVs_Cty_62_Checked</vt:lpstr>
      <vt:lpstr>RVs_Districts_62_Checked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Anthony Breach</cp:lastModifiedBy>
  <dcterms:created xsi:type="dcterms:W3CDTF">2024-06-14T06:30:59Z</dcterms:created>
  <dcterms:modified xsi:type="dcterms:W3CDTF">2025-05-27T16:59:16Z</dcterms:modified>
</cp:coreProperties>
</file>